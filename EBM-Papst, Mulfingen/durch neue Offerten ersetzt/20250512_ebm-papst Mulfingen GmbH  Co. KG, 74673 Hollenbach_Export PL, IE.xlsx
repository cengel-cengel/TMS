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drawings/drawing1.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30.xml" ContentType="application/vnd.openxmlformats-officedocument.spreadsheetml.externalLink+xml"/>
  <Override PartName="/xl/externalLinks/externalLink6.xml" ContentType="application/vnd.openxmlformats-officedocument.spreadsheetml.externalLink+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7.xml" ContentType="application/vnd.openxmlformats-officedocument.spreadsheetml.externalLink+xml"/>
  <Override PartName="/xl/externalLinks/externalLink29.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kschell\Desktop\ULLI\"/>
    </mc:Choice>
  </mc:AlternateContent>
  <xr:revisionPtr revIDLastSave="0" documentId="8_{DD69D175-8B26-4DB3-B471-F08644B21361}" xr6:coauthVersionLast="47" xr6:coauthVersionMax="47" xr10:uidLastSave="{00000000-0000-0000-0000-000000000000}"/>
  <bookViews>
    <workbookView xWindow="8475" yWindow="195" windowWidth="40575" windowHeight="19635" xr2:uid="{63D08F1E-24F5-4983-8632-A1187449E563}"/>
  </bookViews>
  <sheets>
    <sheet name="Remarks" sheetId="14" r:id="rId1"/>
    <sheet name="Preise ab12.05.25-31.12.25 " sheetId="20" r:id="rId2"/>
    <sheet name="Dieselfloater V1" sheetId="24" r:id="rId3"/>
    <sheet name="Maut" sheetId="21" r:id="rId4"/>
    <sheet name="Surcharges" sheetId="15"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a">[1]EBARITAL!$D$89</definedName>
    <definedName name="\c">[1]EBARITAL!$U$1</definedName>
    <definedName name="\i">[1]EBARITAL!$AA$1</definedName>
    <definedName name="_18_24">[1]EBARITAL!$A$18:$S$24</definedName>
    <definedName name="_79_83">[1]EBARITAL!$A$79:$S$83</definedName>
    <definedName name="_Country">'[2]3.Fiche environnement'!$G$17</definedName>
    <definedName name="a" localSheetId="2">#REF!</definedName>
    <definedName name="a">#REF!</definedName>
    <definedName name="A1Col_Del_Cost_" localSheetId="2">#REF!</definedName>
    <definedName name="A1Col_Del_Cost_">#REF!</definedName>
    <definedName name="AB" localSheetId="2">#REF!</definedName>
    <definedName name="AB">#REF!</definedName>
    <definedName name="abhldm">[4]Basisvereinbarungen!$C$22</definedName>
    <definedName name="ADD" localSheetId="2">#REF!</definedName>
    <definedName name="ADD">#REF!</definedName>
    <definedName name="ADRESS" localSheetId="2">#REF!</definedName>
    <definedName name="ADRESS">#REF!</definedName>
    <definedName name="ADRESSE" localSheetId="2">#REF!</definedName>
    <definedName name="ADRESSE">#REF!</definedName>
    <definedName name="ADS">[1]EBARCALL!$L$20:$L$25</definedName>
    <definedName name="aed" localSheetId="2">#REF!</definedName>
    <definedName name="aed">#REF!</definedName>
    <definedName name="AFF" localSheetId="2">#REF!</definedName>
    <definedName name="AFF">#REF!</definedName>
    <definedName name="AgeEst">[5]BASE!$A$9967:$A$9976</definedName>
    <definedName name="AgeIDF">[5]BASE!$A$9978:$A$9990</definedName>
    <definedName name="AGEN">[6]Feuil1!$A$1:$E$65536</definedName>
    <definedName name="ageNCE">[6]Feuil1!$B$1:$E$65536</definedName>
    <definedName name="Agences">OFFSET([7]LISTES!$B$2,0,0,COUNTA([7]LISTES!$B:$B)-1,1)</definedName>
    <definedName name="AgeNord">[5]BASE!$A$9992:$A$10004</definedName>
    <definedName name="AgeO">[5]BASE!$A$10006:$A$10011</definedName>
    <definedName name="AgeRA">[5]BASE!$A$10013:$A$10031</definedName>
    <definedName name="AgeSO">[5]BASE!$A$10033:$A$10041</definedName>
    <definedName name="agree">'[8]List of content'!$A$6</definedName>
    <definedName name="alpha" localSheetId="2">#REF!</definedName>
    <definedName name="alpha">#REF!</definedName>
    <definedName name="ARCHI_TEMP" localSheetId="2">#REF!</definedName>
    <definedName name="ARCHI_TEMP">#REF!</definedName>
    <definedName name="as" localSheetId="2">#REF!</definedName>
    <definedName name="as">#REF!</definedName>
    <definedName name="asdas" localSheetId="2">#REF!</definedName>
    <definedName name="asdas">#REF!</definedName>
    <definedName name="ase" localSheetId="2">#REF!</definedName>
    <definedName name="ase">#REF!</definedName>
    <definedName name="ATMA">[9]Feuil1!$B$1:$B$3</definedName>
    <definedName name="Auslastung_HL_Proz">[10]Kalkulation!$G$8</definedName>
    <definedName name="Auswahl_Monatswerte_Abfrage_Team_1" localSheetId="2">#REF!</definedName>
    <definedName name="Auswahl_Monatswerte_Abfrage_Team_1">#REF!</definedName>
    <definedName name="AutomatisationGroupage" localSheetId="2">'[11]Indicateurs MOA_12 Mois'!#REF!</definedName>
    <definedName name="AutomatisationGroupage">'[11]Indicateurs MOA_12 Mois'!#REF!</definedName>
    <definedName name="AutomatisationLot" localSheetId="2">'[11]Indicateurs MOA_12 Mois'!#REF!</definedName>
    <definedName name="AutomatisationLot">'[11]Indicateurs MOA_12 Mois'!#REF!</definedName>
    <definedName name="Balkans" localSheetId="2">#REF!</definedName>
    <definedName name="Balkans">#REF!</definedName>
    <definedName name="bas" localSheetId="2">#REF!</definedName>
    <definedName name="bas">#REF!</definedName>
    <definedName name="BASE10" localSheetId="2">#REF!</definedName>
    <definedName name="BASE10">#REF!</definedName>
    <definedName name="Bouton1">"Bouton 9"</definedName>
    <definedName name="cdd">[9]CDD!$A$1:$B$65536</definedName>
    <definedName name="CDHWL_10" localSheetId="2">#REF!</definedName>
    <definedName name="CDHWL_10">#REF!</definedName>
    <definedName name="CDHWL_11" localSheetId="2">#REF!</definedName>
    <definedName name="CDHWL_11">#REF!</definedName>
    <definedName name="CLIENT" localSheetId="2">#REF!</definedName>
    <definedName name="CLIENT">#REF!</definedName>
    <definedName name="Co_Del_Costs_SI2" localSheetId="2">#REF!</definedName>
    <definedName name="Co_Del_Costs_SI2">#REF!</definedName>
    <definedName name="CodeAgence">OFFSET([7]LISTES!$C$2,0,0,COUNTA([7]LISTES!$C:$C)-1,1)</definedName>
    <definedName name="Col_Del_Cost_1" localSheetId="2">#REF!</definedName>
    <definedName name="Col_Del_Cost_1">#REF!</definedName>
    <definedName name="Col_Del_Cost_2" localSheetId="2">#REF!</definedName>
    <definedName name="Col_Del_Cost_2">#REF!</definedName>
    <definedName name="Col_Del_Cost_HWL" localSheetId="2">#REF!</definedName>
    <definedName name="Col_Del_Cost_HWL">#REF!</definedName>
    <definedName name="Col_Del_Costs_blank" localSheetId="2">#REF!</definedName>
    <definedName name="Col_Del_Costs_blank">#REF!</definedName>
    <definedName name="Col_Del_Costs_HR" localSheetId="2">#REF!</definedName>
    <definedName name="Col_Del_Costs_HR">#REF!</definedName>
    <definedName name="Col_Del_Costs_HU" localSheetId="2">#REF!</definedName>
    <definedName name="Col_Del_Costs_HU">#REF!</definedName>
    <definedName name="Col_Del_Costs_SI" localSheetId="2">#REF!</definedName>
    <definedName name="Col_Del_Costs_SI">#REF!</definedName>
    <definedName name="COM" localSheetId="2">#REF!</definedName>
    <definedName name="COM">#REF!</definedName>
    <definedName name="Commercial">[12]Menus!$C$1:$C$124</definedName>
    <definedName name="ConnexionsTlibox">'[11]Indicateurs MOA_12 Mois'!#REF!</definedName>
    <definedName name="CONTACT">'[13]Hausse 2014 2015'!$CL$12:$CM$23</definedName>
    <definedName name="Création">'[14]valeur liste fiche Env'!$A$1:$A$2</definedName>
    <definedName name="data">OFFSET([7]COTATIONS!$A$1,0,0,COUNTA([7]COTATIONS!$C:$C),COUNTA([7]COTATIONS!$1:$1))</definedName>
    <definedName name="Data_Incident" localSheetId="2">#REF!</definedName>
    <definedName name="Data_Incident">#REF!</definedName>
    <definedName name="data2">OFFSET('[7]Rappels aux tarifs'!$A$1,0,0,COUNTA('[7]Rappels aux tarifs'!$B:$B),14)</definedName>
    <definedName name="data8" localSheetId="2">[15]Guide!#REF!</definedName>
    <definedName name="data8">[15]Guide!#REF!</definedName>
    <definedName name="Data9" localSheetId="2">[15]Guide!#REF!</definedName>
    <definedName name="Data9">[15]Guide!#REF!</definedName>
    <definedName name="Database_3">[15]Guide!#REF!</definedName>
    <definedName name="Database_4">[15]Guide!#REF!</definedName>
    <definedName name="Database_5">[15]Guide!#REF!</definedName>
    <definedName name="Database1">[15]Guide!#REF!</definedName>
    <definedName name="Database2">[15]Guide!#REF!</definedName>
    <definedName name="DataIncident">[15]Guide!#REF!</definedName>
    <definedName name="Date">[16]PARAMETRES!$A$3</definedName>
    <definedName name="datum">'[17]List of content'!$A$3</definedName>
    <definedName name="DE_Maut">'[18]LKW Maut DE'!#REF!</definedName>
    <definedName name="Del_BA" localSheetId="2">#REF!</definedName>
    <definedName name="Del_BA">#REF!</definedName>
    <definedName name="Delivery_time_GW" localSheetId="2">'[18]Delivery times GW'!#REF!</definedName>
    <definedName name="Delivery_time_GW">'[18]Delivery times GW'!#REF!</definedName>
    <definedName name="DeploiementLot" localSheetId="2">#REF!</definedName>
    <definedName name="DeploiementLot">#REF!</definedName>
    <definedName name="DerMois" localSheetId="2">[15]Guide!#REF!</definedName>
    <definedName name="DerMois">[15]Guide!#REF!</definedName>
    <definedName name="det" localSheetId="2">'[18]Delivery times GW'!#REF!</definedName>
    <definedName name="det">'[18]Delivery times GW'!#REF!</definedName>
    <definedName name="_xlnm.Print_Area" localSheetId="2">'Dieselfloater V1'!$A$1:$M$57</definedName>
    <definedName name="_xlnm.Print_Area" localSheetId="0">Remarks!$A$1:$G$49</definedName>
    <definedName name="_xlnm.Print_Area">#REF!</definedName>
    <definedName name="E_Dec" localSheetId="2">#REF!</definedName>
    <definedName name="E_Dec">#REF!</definedName>
    <definedName name="eda" localSheetId="2">#REF!</definedName>
    <definedName name="eda">#REF!</definedName>
    <definedName name="edec" localSheetId="2">#REF!</definedName>
    <definedName name="edec">#REF!</definedName>
    <definedName name="Entfernung_Hauptlauf" localSheetId="2">[19]Kalkulation!#REF!</definedName>
    <definedName name="Entfernung_Hauptlauf">[19]Kalkulation!#REF!</definedName>
    <definedName name="EORT" localSheetId="1">#REF!</definedName>
    <definedName name="EORT" localSheetId="4">#REF!</definedName>
    <definedName name="EORT">#REF!</definedName>
    <definedName name="Est">[5]BASE!$B$9948:$B$9956</definedName>
    <definedName name="EURO" localSheetId="2">#REF!</definedName>
    <definedName name="EURO">#REF!</definedName>
    <definedName name="EURO_IMPR" localSheetId="2">#REF!</definedName>
    <definedName name="EURO_IMPR">#REF!</definedName>
    <definedName name="ewr" localSheetId="2">#REF!</definedName>
    <definedName name="ewr">#REF!</definedName>
    <definedName name="Excel_BuiltIn__FilterDatabase_1" localSheetId="2">'[20]2007 in Euro'!#REF!</definedName>
    <definedName name="Excel_BuiltIn__FilterDatabase_1">'[20]2007 in Euro'!#REF!</definedName>
    <definedName name="Excel_BuiltIn_Print_Area" localSheetId="2">#REF!</definedName>
    <definedName name="Excel_BuiltIn_Print_Area">#REF!</definedName>
    <definedName name="Excel_BuiltIn_Print_Area_10" localSheetId="2">#REF!</definedName>
    <definedName name="Excel_BuiltIn_Print_Area_10">#REF!</definedName>
    <definedName name="Excel_BuiltIn_Print_Area_11" localSheetId="2">#REF!</definedName>
    <definedName name="Excel_BuiltIn_Print_Area_11">#REF!</definedName>
    <definedName name="Excel_BuiltIn_Print_Titles_10" localSheetId="2">#REF!</definedName>
    <definedName name="Excel_BuiltIn_Print_Titles_10">#REF!</definedName>
    <definedName name="Excel_BuiltIn_Print_Titles_11" localSheetId="2">#REF!</definedName>
    <definedName name="Excel_BuiltIn_Print_Titles_11">#REF!</definedName>
    <definedName name="Exclusion">[12]Menus!$A$1:$A$16</definedName>
    <definedName name="fact" localSheetId="2">#REF!</definedName>
    <definedName name="fact">#REF!</definedName>
    <definedName name="FAIT" localSheetId="2">#REF!</definedName>
    <definedName name="FAIT">#REF!</definedName>
    <definedName name="FM" localSheetId="2">#REF!</definedName>
    <definedName name="FM">#REF!</definedName>
    <definedName name="Frachten" localSheetId="1">#REF!</definedName>
    <definedName name="Frachten" localSheetId="4">#REF!</definedName>
    <definedName name="Frachten">#REF!</definedName>
    <definedName name="From">[7]LISTES!$I$1</definedName>
    <definedName name="G" localSheetId="2">#REF!</definedName>
    <definedName name="G">#REF!</definedName>
    <definedName name="Gants" localSheetId="2">#REF!</definedName>
    <definedName name="Gants">#REF!</definedName>
    <definedName name="GEN">'[21]Hausse 001'!$A:$IV</definedName>
    <definedName name="genn" localSheetId="2">#REF!</definedName>
    <definedName name="genn">#REF!</definedName>
    <definedName name="GFT" localSheetId="1">#REF!</definedName>
    <definedName name="GFT" localSheetId="4">#REF!</definedName>
    <definedName name="GFT">#REF!</definedName>
    <definedName name="GFTA" localSheetId="1">#REF!</definedName>
    <definedName name="GFTA" localSheetId="4">#REF!</definedName>
    <definedName name="GFTA">#REF!</definedName>
    <definedName name="GFTAV" localSheetId="1">#REF!</definedName>
    <definedName name="GFTAV" localSheetId="4">#REF!</definedName>
    <definedName name="GFTAV">#REF!</definedName>
    <definedName name="GFTV" localSheetId="1">#REF!</definedName>
    <definedName name="GFTV" localSheetId="4">#REF!</definedName>
    <definedName name="GFTV">#REF!</definedName>
    <definedName name="gh" localSheetId="2">#REF!</definedName>
    <definedName name="gh">#REF!</definedName>
    <definedName name="ghj" localSheetId="2">#REF!</definedName>
    <definedName name="ghj">#REF!</definedName>
    <definedName name="GW_an_HWL" localSheetId="2">'[18]GW-HWL'!#REF!</definedName>
    <definedName name="GW_an_HWL">'[18]GW-HWL'!#REF!</definedName>
    <definedName name="Hauss" localSheetId="2">#REF!</definedName>
    <definedName name="Hauss">#REF!</definedName>
    <definedName name="HAUT">[22]Lots_Final!$N$74</definedName>
    <definedName name="hell" localSheetId="2">#REF!</definedName>
    <definedName name="hell">#REF!</definedName>
    <definedName name="HGFK">[23]Lots_Final!$N$74</definedName>
    <definedName name="hhh" localSheetId="2">#REF!</definedName>
    <definedName name="hhh">#REF!</definedName>
    <definedName name="hj" localSheetId="2">#REF!</definedName>
    <definedName name="hj">#REF!</definedName>
    <definedName name="HWL_an_GW" localSheetId="2">'[18]HWL-GW'!#REF!</definedName>
    <definedName name="HWL_an_GW">'[18]HWL-GW'!#REF!</definedName>
    <definedName name="I" localSheetId="2">'[24]Lots_Final gennevilliers'!#REF!</definedName>
    <definedName name="I">'[24]Lots_Final gennevilliers'!#REF!</definedName>
    <definedName name="Idf">[5]BASE!$C$9948:$C$9962</definedName>
    <definedName name="Incidents" localSheetId="2">#REF!</definedName>
    <definedName name="Incidents">#REF!</definedName>
    <definedName name="incidentsCr" localSheetId="2">#REF!</definedName>
    <definedName name="incidentsCr">#REF!</definedName>
    <definedName name="incidentscroises" localSheetId="2">[25]Data!#REF!</definedName>
    <definedName name="incidentscroises">[25]Data!#REF!</definedName>
    <definedName name="int.freigth_2" localSheetId="2">#REF!</definedName>
    <definedName name="int.freigth_2">#REF!</definedName>
    <definedName name="int_freight_BG" localSheetId="2">#REF!</definedName>
    <definedName name="int_freight_BG">#REF!</definedName>
    <definedName name="int_freight_blank" localSheetId="2">#REF!</definedName>
    <definedName name="int_freight_blank">#REF!</definedName>
    <definedName name="int_freight_HR" localSheetId="2">#REF!</definedName>
    <definedName name="int_freight_HR">#REF!</definedName>
    <definedName name="int_freight_HU" localSheetId="2">#REF!</definedName>
    <definedName name="int_freight_HU">#REF!</definedName>
    <definedName name="int_freight_RO" localSheetId="2">#REF!</definedName>
    <definedName name="int_freight_RO">#REF!</definedName>
    <definedName name="int_freight_SI" localSheetId="2">#REF!</definedName>
    <definedName name="int_freight_SI">#REF!</definedName>
    <definedName name="Int_freight_sk" localSheetId="2">#REF!</definedName>
    <definedName name="Int_freight_sk">#REF!</definedName>
    <definedName name="Intern_Freight_blank1" localSheetId="2">#REF!</definedName>
    <definedName name="Intern_Freight_blank1">#REF!</definedName>
    <definedName name="JPP" localSheetId="2">#REF!</definedName>
    <definedName name="JPP">#REF!</definedName>
    <definedName name="kgh" localSheetId="2">#REF!</definedName>
    <definedName name="kgh">#REF!</definedName>
    <definedName name="khj" localSheetId="2">#REF!</definedName>
    <definedName name="khj">#REF!</definedName>
    <definedName name="KM" localSheetId="1">#REF!</definedName>
    <definedName name="KM" localSheetId="4">#REF!</definedName>
    <definedName name="KM">#REF!</definedName>
    <definedName name="KME" localSheetId="2">#REF!</definedName>
    <definedName name="KME">#REF!</definedName>
    <definedName name="Kpi_Moa2" localSheetId="2">[15]Guide!#REF!</definedName>
    <definedName name="Kpi_Moa2">[15]Guide!#REF!</definedName>
    <definedName name="Kpi_Moa3" localSheetId="2">[15]Guide!#REF!</definedName>
    <definedName name="Kpi_Moa3">[15]Guide!#REF!</definedName>
    <definedName name="LibAG">'[26]Dossier d''analyse client'!$G$17</definedName>
    <definedName name="LIN">[27]Lots_Final!$N$74</definedName>
    <definedName name="ListeADVs">OFFSET([7]LISTES!$E$2,0,0,COUNTA([7]LISTES!$E:$E)-1,1)</definedName>
    <definedName name="ListeFlux">OFFSET([7]LISTES!$M$2,,,COUNTA([7]LISTES!$M:$M)-1,1)</definedName>
    <definedName name="LOCALIT" localSheetId="2">#REF!</definedName>
    <definedName name="LOCALIT">#REF!</definedName>
    <definedName name="LOT" localSheetId="2">#REF!</definedName>
    <definedName name="LOT">#REF!</definedName>
    <definedName name="Manager">[12]Menus!$C$126:$C$161</definedName>
    <definedName name="MESS" localSheetId="2">#REF!</definedName>
    <definedName name="MESS">#REF!</definedName>
    <definedName name="MESSINTER" localSheetId="2">#REF!</definedName>
    <definedName name="MESSINTER">#REF!</definedName>
    <definedName name="MESSNAT" localSheetId="2">#REF!</definedName>
    <definedName name="MESSNAT">#REF!</definedName>
    <definedName name="metier" localSheetId="2">#REF!</definedName>
    <definedName name="metier">#REF!</definedName>
    <definedName name="ML">[28]Feuil2!$A$1:$A$7</definedName>
    <definedName name="MM" localSheetId="2">#REF!</definedName>
    <definedName name="MM">#REF!</definedName>
    <definedName name="MOEL" localSheetId="2">#REF!</definedName>
    <definedName name="MOEL">#REF!</definedName>
    <definedName name="MOI">'[21]Hausse 024'!$A:$IV</definedName>
    <definedName name="Mois">'[11]Indicateurs MOA_12 Mois'!#REF!</definedName>
    <definedName name="moissy" localSheetId="2">#REF!</definedName>
    <definedName name="moissy">#REF!</definedName>
    <definedName name="Motifs_refus">OFFSET([7]LISTES!$K$2,0,0,COUNTA([7]LISTES!$K:$K)-1,1)</definedName>
    <definedName name="NM" localSheetId="2">#REF!</definedName>
    <definedName name="NM">#REF!</definedName>
    <definedName name="No">[5]BASE!$D$9948:$D$9957</definedName>
    <definedName name="OKL" localSheetId="1">#REF!</definedName>
    <definedName name="OKL" localSheetId="4">#REF!</definedName>
    <definedName name="OKL">#REF!</definedName>
    <definedName name="ORL">'[21]Hausse 255'!$A:$IV</definedName>
    <definedName name="Ouest">[5]BASE!$E$9948:$E$9957</definedName>
    <definedName name="OUVERT" localSheetId="2">#REF!</definedName>
    <definedName name="OUVERT">#REF!</definedName>
    <definedName name="Paletten" localSheetId="2">[19]Kalkulation!#REF!</definedName>
    <definedName name="Paletten">[19]Kalkulation!#REF!</definedName>
    <definedName name="Pallet_Concept" localSheetId="2">#REF!</definedName>
    <definedName name="Pallet_Concept">#REF!</definedName>
    <definedName name="PalmaresGroupage" localSheetId="2">'[11]Indicateurs MOA_12 Mois'!#REF!</definedName>
    <definedName name="PalmaresGroupage">'[11]Indicateurs MOA_12 Mois'!#REF!</definedName>
    <definedName name="PalmaresLot" localSheetId="2">'[11]Indicateurs MOA_12 Mois'!#REF!</definedName>
    <definedName name="PalmaresLot">'[11]Indicateurs MOA_12 Mois'!#REF!</definedName>
    <definedName name="Porte" localSheetId="2">#REF!</definedName>
    <definedName name="Porte">#REF!</definedName>
    <definedName name="PrFact" localSheetId="2">#REF!</definedName>
    <definedName name="PrFact">#REF!</definedName>
    <definedName name="qw" localSheetId="2">#REF!</definedName>
    <definedName name="qw">#REF!</definedName>
    <definedName name="RA">[5]BASE!$F$9948:$F$9962</definedName>
    <definedName name="RDR">[12]Menus!$C$163:$C$166</definedName>
    <definedName name="réf" localSheetId="2">#REF!</definedName>
    <definedName name="réf">#REF!</definedName>
    <definedName name="RENTA" localSheetId="2">#REF!</definedName>
    <definedName name="RENTA">#REF!</definedName>
    <definedName name="RENTAMI" localSheetId="2">#REF!</definedName>
    <definedName name="RENTAMI">#REF!</definedName>
    <definedName name="RENTAMN" localSheetId="2">#REF!</definedName>
    <definedName name="RENTAMN">#REF!</definedName>
    <definedName name="rewt" localSheetId="2">[19]Kalkulation!#REF!</definedName>
    <definedName name="rewt">[19]Kalkulation!#REF!</definedName>
    <definedName name="ROU">'[21]Hausse 022'!$A:$IV</definedName>
    <definedName name="ROUEN" localSheetId="2">#REF!</definedName>
    <definedName name="ROUEN">#REF!</definedName>
    <definedName name="rtz" localSheetId="2">#REF!</definedName>
    <definedName name="rtz">#REF!</definedName>
    <definedName name="SAPBEXrevision" hidden="1">6</definedName>
    <definedName name="SAPBEXsysID" hidden="1">"PW1"</definedName>
    <definedName name="SAPBEXwbID" hidden="1">"E8A3JGNJH2HGKPO72YP6VTCMF"</definedName>
    <definedName name="siret">'[14]valeur liste fiche Env'!$E$1:$E$2</definedName>
    <definedName name="Sites">[2]Menu!$C$3:$C$38</definedName>
    <definedName name="SITUATION">[9]Feuil1!$A$1:$A$65536</definedName>
    <definedName name="SM" localSheetId="2">#REF!</definedName>
    <definedName name="SM">#REF!</definedName>
    <definedName name="SO">[5]BASE!$G$9948:$G$9955</definedName>
    <definedName name="SR" localSheetId="2">#REF!</definedName>
    <definedName name="SR">#REF!</definedName>
    <definedName name="STGT" localSheetId="1">#REF!</definedName>
    <definedName name="STGT" localSheetId="4">#REF!</definedName>
    <definedName name="STGT">#REF!</definedName>
    <definedName name="STIDF" localSheetId="2">#REF!</definedName>
    <definedName name="STIDF">#REF!</definedName>
    <definedName name="T_Incident" localSheetId="2">#REF!</definedName>
    <definedName name="T_Incident">#REF!</definedName>
    <definedName name="table" localSheetId="2">#REF!</definedName>
    <definedName name="table">#REF!</definedName>
    <definedName name="TableName">"Dummy"</definedName>
    <definedName name="Taux">[29]PARAMETRES!$B$6</definedName>
    <definedName name="Tel">OFFSET([7]LISTES!$F$2,0,0,COUNTA([7]LISTES!$E:$E)-1,1)</definedName>
    <definedName name="test" localSheetId="2">#REF!</definedName>
    <definedName name="test">#REF!</definedName>
    <definedName name="Tlibox" localSheetId="2">'[11]Indicateurs MOA_12 Mois'!#REF!</definedName>
    <definedName name="Tlibox">'[11]Indicateurs MOA_12 Mois'!#REF!</definedName>
    <definedName name="TPays" localSheetId="2">#REF!</definedName>
    <definedName name="TPays">#REF!</definedName>
    <definedName name="TRO">'[21]Hausse 033'!$A:$IV</definedName>
    <definedName name="troyes" localSheetId="2">#REF!</definedName>
    <definedName name="troyes">#REF!</definedName>
    <definedName name="TSGENNA" localSheetId="2">#REF!</definedName>
    <definedName name="TSGENNA">#REF!</definedName>
    <definedName name="tsmoiA" localSheetId="2">#REF!</definedName>
    <definedName name="tsmoiA">#REF!</definedName>
    <definedName name="TSorl" localSheetId="2">#REF!</definedName>
    <definedName name="TSorl">#REF!</definedName>
    <definedName name="TSorlA" localSheetId="2">#REF!</definedName>
    <definedName name="TSorlA">#REF!</definedName>
    <definedName name="TSORLEANS" localSheetId="2">#REF!</definedName>
    <definedName name="TSORLEANS">#REF!</definedName>
    <definedName name="TSR" localSheetId="2">#REF!</definedName>
    <definedName name="TSR">#REF!</definedName>
    <definedName name="TSROUEN" localSheetId="2">#REF!</definedName>
    <definedName name="TSROUEN">#REF!</definedName>
    <definedName name="TSROUENA" localSheetId="2">#REF!</definedName>
    <definedName name="TSROUENA">#REF!</definedName>
    <definedName name="tstroyes" localSheetId="2">#REF!</definedName>
    <definedName name="tstroyes">#REF!</definedName>
    <definedName name="tstroyesa" localSheetId="2">#REF!</definedName>
    <definedName name="tstroyesa">#REF!</definedName>
    <definedName name="type">'[30]Simulation Tarif Client'!$CB$2:$CB$4</definedName>
    <definedName name="wer" localSheetId="2">#REF!</definedName>
    <definedName name="wer">#REF!</definedName>
    <definedName name="YN">[28]Feuil2!$B$1:$B$2</definedName>
    <definedName name="zone" localSheetId="2">#REF!</definedName>
    <definedName name="zone">#REF!</definedName>
    <definedName name="Zone_impres_MI">[1]EBARCALL!$B$16:$T$102</definedName>
    <definedName name="zonebis">[22]Lots_Final!#REF!</definedName>
    <definedName name="zstldm">[4]Basisvereinbarungen!$H$22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24" l="1"/>
  <c r="C12" i="24" s="1"/>
  <c r="C13" i="24" s="1"/>
  <c r="C14" i="24" s="1"/>
  <c r="C15" i="24" s="1"/>
  <c r="C16" i="24" s="1"/>
  <c r="C17" i="24" s="1"/>
  <c r="C18" i="24" s="1"/>
  <c r="C19" i="24" s="1"/>
  <c r="C20" i="24" s="1"/>
  <c r="C21" i="24" s="1"/>
  <c r="C22" i="24" s="1"/>
  <c r="C23" i="24" s="1"/>
  <c r="C24" i="24" s="1"/>
  <c r="C25" i="24" s="1"/>
  <c r="C26" i="24" s="1"/>
  <c r="C27" i="24" s="1"/>
  <c r="C28" i="24" s="1"/>
  <c r="C29" i="24" s="1"/>
  <c r="C30" i="24" s="1"/>
  <c r="C31" i="24" s="1"/>
  <c r="C32" i="24" s="1"/>
  <c r="C33" i="24" s="1"/>
  <c r="C34" i="24" s="1"/>
  <c r="C35" i="24" s="1"/>
  <c r="C36" i="24" s="1"/>
  <c r="C37" i="24" s="1"/>
  <c r="C38" i="24" s="1"/>
  <c r="C39" i="24" s="1"/>
  <c r="C40" i="24" s="1"/>
  <c r="C41" i="24" s="1"/>
  <c r="C42" i="24" s="1"/>
  <c r="C43" i="24" s="1"/>
  <c r="C44" i="24" s="1"/>
  <c r="C45" i="24" s="1"/>
  <c r="J10" i="24" s="1"/>
  <c r="J11" i="24" s="1"/>
  <c r="J12" i="24" s="1"/>
  <c r="J13" i="24" s="1"/>
  <c r="J14" i="24" s="1"/>
  <c r="J15" i="24" s="1"/>
  <c r="J16" i="24" s="1"/>
  <c r="J17" i="24" s="1"/>
  <c r="J18" i="24" s="1"/>
  <c r="J19" i="24" s="1"/>
  <c r="J20" i="24" s="1"/>
  <c r="J21" i="24" s="1"/>
  <c r="J22" i="24" s="1"/>
  <c r="J23" i="24" s="1"/>
  <c r="J24" i="24" s="1"/>
  <c r="J25" i="24" s="1"/>
  <c r="J26" i="24" s="1"/>
  <c r="J27" i="24" s="1"/>
  <c r="J28" i="24" s="1"/>
  <c r="J29" i="24" s="1"/>
  <c r="J30" i="24" s="1"/>
  <c r="J31" i="24" s="1"/>
  <c r="J32" i="24" s="1"/>
  <c r="J33" i="24" s="1"/>
  <c r="J34" i="24" s="1"/>
  <c r="J35" i="24" s="1"/>
  <c r="J36" i="24" s="1"/>
  <c r="J37" i="24" s="1"/>
  <c r="J38" i="24" s="1"/>
  <c r="J39" i="24" s="1"/>
  <c r="J40" i="24" s="1"/>
  <c r="J41" i="24" s="1"/>
  <c r="J42" i="24" s="1"/>
  <c r="J43" i="24" s="1"/>
  <c r="J44" i="24" s="1"/>
  <c r="J45" i="24" s="1"/>
  <c r="D17" i="21" l="1"/>
  <c r="D18" i="21"/>
  <c r="D19" i="21"/>
  <c r="D20" i="21"/>
  <c r="D21" i="21"/>
  <c r="D22" i="21"/>
  <c r="AJ4" i="21"/>
  <c r="AJ5" i="21"/>
  <c r="AJ6" i="21"/>
  <c r="AJ7" i="21"/>
  <c r="AJ8" i="21"/>
  <c r="AJ9" i="21"/>
  <c r="AJ3" i="21"/>
  <c r="E15" i="21"/>
  <c r="E13" i="21"/>
  <c r="F13" i="21" s="1"/>
  <c r="G13" i="21" s="1"/>
  <c r="H13" i="21" s="1"/>
  <c r="I13" i="21" s="1"/>
  <c r="J13" i="21" s="1"/>
  <c r="E19" i="21" l="1"/>
  <c r="E20" i="21"/>
  <c r="E22" i="21"/>
  <c r="E17" i="21"/>
  <c r="E18" i="21"/>
  <c r="E21" i="21"/>
  <c r="F15" i="21"/>
  <c r="F19" i="21" l="1"/>
  <c r="G15" i="21"/>
  <c r="F21" i="21"/>
  <c r="F18" i="21"/>
  <c r="F22" i="21"/>
  <c r="F17" i="21"/>
  <c r="F20" i="21"/>
  <c r="H15" i="21" l="1"/>
  <c r="G19" i="21"/>
  <c r="G21" i="21"/>
  <c r="G20" i="21"/>
  <c r="G22" i="21"/>
  <c r="G18" i="21"/>
  <c r="G17" i="21"/>
  <c r="H17" i="21" l="1"/>
  <c r="H19" i="21"/>
  <c r="I15" i="21"/>
  <c r="H21" i="21"/>
  <c r="H20" i="21"/>
  <c r="H18" i="21"/>
  <c r="H22" i="21"/>
  <c r="I22" i="21" l="1"/>
  <c r="I17" i="21"/>
  <c r="I18" i="21"/>
  <c r="I19" i="21"/>
  <c r="J15" i="21"/>
  <c r="I20" i="21"/>
  <c r="I21" i="21"/>
  <c r="J22" i="21" l="1"/>
  <c r="J18" i="21"/>
  <c r="J17" i="21"/>
  <c r="J19" i="21"/>
  <c r="K15" i="21"/>
  <c r="J21" i="21"/>
  <c r="J20" i="21"/>
  <c r="K20" i="21" l="1"/>
  <c r="K22" i="21"/>
  <c r="K17" i="21"/>
  <c r="K19" i="21"/>
  <c r="M15" i="21"/>
  <c r="K21" i="21"/>
  <c r="K18" i="21"/>
  <c r="M20" i="21" l="1"/>
  <c r="M22" i="21"/>
  <c r="M17" i="21"/>
  <c r="M21" i="21"/>
  <c r="M19" i="21"/>
  <c r="N15" i="21"/>
  <c r="M18" i="21"/>
  <c r="N18" i="21" l="1"/>
  <c r="N20" i="21"/>
  <c r="O15" i="21"/>
  <c r="N21" i="21"/>
  <c r="N22" i="21"/>
  <c r="N17" i="21"/>
  <c r="N19" i="21"/>
  <c r="O18" i="21" l="1"/>
  <c r="O21" i="21"/>
  <c r="O20" i="21"/>
  <c r="O19" i="21"/>
  <c r="P15" i="21"/>
  <c r="O22" i="21"/>
  <c r="O17" i="21"/>
  <c r="P18" i="21" l="1"/>
  <c r="Q15" i="21"/>
  <c r="P20" i="21"/>
  <c r="P19" i="21"/>
  <c r="P22" i="21"/>
  <c r="P17" i="21"/>
  <c r="P21" i="21"/>
  <c r="Q21" i="21" l="1"/>
  <c r="Q18" i="21"/>
  <c r="Q19" i="21"/>
  <c r="Q22" i="21"/>
  <c r="Q20" i="21"/>
  <c r="Q17" i="21"/>
  <c r="R15" i="21"/>
  <c r="S15" i="21" l="1"/>
  <c r="R21" i="21"/>
  <c r="R22" i="21"/>
  <c r="R18" i="21"/>
  <c r="R17" i="21"/>
  <c r="R20" i="21"/>
  <c r="R19" i="21"/>
  <c r="S19" i="21" l="1"/>
  <c r="T15" i="21"/>
  <c r="S22" i="21"/>
  <c r="S21" i="21"/>
  <c r="S18" i="21"/>
  <c r="S20" i="21"/>
  <c r="S17" i="21"/>
  <c r="T19" i="21" l="1"/>
  <c r="U15" i="21"/>
  <c r="T22" i="21"/>
  <c r="T21" i="21"/>
  <c r="T18" i="21"/>
  <c r="T20" i="21"/>
  <c r="T17" i="21"/>
  <c r="U17" i="21" l="1"/>
  <c r="U19" i="21"/>
  <c r="V15" i="21"/>
  <c r="U21" i="21"/>
  <c r="U18" i="21"/>
  <c r="U20" i="21"/>
  <c r="U22" i="21"/>
  <c r="V22" i="21" l="1"/>
  <c r="V17" i="21"/>
  <c r="V19" i="21"/>
  <c r="W15" i="21"/>
  <c r="V18" i="21"/>
  <c r="V21" i="21"/>
  <c r="V20" i="21"/>
  <c r="W22" i="21" l="1"/>
  <c r="W17" i="21"/>
  <c r="W18" i="21"/>
  <c r="W19" i="21"/>
  <c r="X15" i="21"/>
  <c r="W21" i="21"/>
  <c r="W20" i="21"/>
  <c r="X20" i="21" l="1"/>
  <c r="X22" i="21"/>
  <c r="X18" i="21"/>
  <c r="X17" i="21"/>
  <c r="X19" i="21"/>
  <c r="Y15" i="21"/>
  <c r="X21" i="21"/>
  <c r="Y20" i="21" l="1"/>
  <c r="Y21" i="21"/>
  <c r="Y22" i="21"/>
  <c r="Z15" i="21"/>
  <c r="Y17" i="21"/>
  <c r="Y19" i="21"/>
  <c r="Y18" i="21"/>
  <c r="Z18" i="21" l="1"/>
  <c r="Z20" i="21"/>
  <c r="Z22" i="21"/>
  <c r="AA15" i="21"/>
  <c r="Z17" i="21"/>
  <c r="Z21" i="21"/>
  <c r="Z19" i="21"/>
  <c r="AA18" i="21" l="1"/>
  <c r="AA19" i="21"/>
  <c r="AA20" i="21"/>
  <c r="AA22" i="21"/>
  <c r="AA21" i="21"/>
  <c r="AA17" i="21"/>
  <c r="AB15" i="21"/>
  <c r="AB18" i="21" l="1"/>
  <c r="AB19" i="21"/>
  <c r="AB20" i="21"/>
  <c r="AC15" i="21"/>
  <c r="AB22" i="21"/>
  <c r="AB17" i="21"/>
  <c r="AB21" i="21"/>
  <c r="AC21" i="21" l="1"/>
  <c r="AC17" i="21"/>
  <c r="AC18" i="21"/>
  <c r="AC20" i="21"/>
  <c r="AC19" i="21"/>
  <c r="AC22" i="21"/>
  <c r="AD15" i="21"/>
  <c r="AE15" i="21" l="1"/>
  <c r="AD22" i="21"/>
  <c r="AD21" i="21"/>
  <c r="AD17" i="21"/>
  <c r="AD18" i="21"/>
  <c r="AD20" i="21"/>
  <c r="AD19" i="21"/>
  <c r="AE19" i="21" l="1"/>
  <c r="AF15" i="21"/>
  <c r="AE21" i="21"/>
  <c r="AE17" i="21"/>
  <c r="AE22" i="21"/>
  <c r="AE18" i="21"/>
  <c r="AE20" i="21"/>
  <c r="AG15" i="21" l="1"/>
  <c r="AF19" i="21"/>
  <c r="AF21" i="21"/>
  <c r="AF18" i="21"/>
  <c r="AF20" i="21"/>
  <c r="AF17" i="21"/>
  <c r="AF22" i="21"/>
  <c r="AG17" i="21" l="1"/>
  <c r="AG20" i="21"/>
  <c r="AG19" i="21"/>
  <c r="AH15" i="21"/>
  <c r="AG21" i="21"/>
  <c r="AG18" i="21"/>
  <c r="AG22" i="21"/>
  <c r="AH22" i="21" l="1"/>
  <c r="AH17" i="21"/>
  <c r="AH19" i="21"/>
  <c r="AI15" i="21"/>
  <c r="AH21" i="21"/>
  <c r="AH18" i="21"/>
  <c r="AH20" i="21"/>
  <c r="AI22" i="21" l="1"/>
  <c r="AI17" i="21"/>
  <c r="AI19" i="21"/>
  <c r="AJ15" i="21"/>
  <c r="AI21" i="21"/>
  <c r="AI18" i="21"/>
  <c r="AI20" i="21"/>
  <c r="AJ21" i="21" l="1"/>
  <c r="AJ17" i="21"/>
  <c r="AJ18" i="21"/>
  <c r="AJ19" i="21"/>
  <c r="AJ20" i="21"/>
  <c r="AJ22" i="21"/>
</calcChain>
</file>

<file path=xl/sharedStrings.xml><?xml version="1.0" encoding="utf-8"?>
<sst xmlns="http://schemas.openxmlformats.org/spreadsheetml/2006/main" count="435" uniqueCount="98">
  <si>
    <t>Service Provider (please insert your company name)</t>
  </si>
  <si>
    <t>Consignee Country</t>
  </si>
  <si>
    <t>Europe</t>
  </si>
  <si>
    <t>Loadingmeter factor = 1 ldm in kg</t>
  </si>
  <si>
    <t>Currency</t>
  </si>
  <si>
    <t>EUR</t>
  </si>
  <si>
    <t>Freight rates validity</t>
  </si>
  <si>
    <t>Entity</t>
  </si>
  <si>
    <t>To Europe-Location</t>
  </si>
  <si>
    <t>Groupage</t>
  </si>
  <si>
    <t>LTL/ FTL</t>
  </si>
  <si>
    <t>Palletspaces</t>
  </si>
  <si>
    <t>ldm</t>
  </si>
  <si>
    <t>Consignee Country Code + Zipcode Area</t>
  </si>
  <si>
    <t xml:space="preserve">Leadtime </t>
  </si>
  <si>
    <t>FTL</t>
  </si>
  <si>
    <t>in day(s) for Groupage</t>
  </si>
  <si>
    <t>per shipment</t>
  </si>
  <si>
    <t>in day(s) for LTL / FTL</t>
  </si>
  <si>
    <t xml:space="preserve">Further charges </t>
  </si>
  <si>
    <t>Fuel surcharge</t>
  </si>
  <si>
    <t>fuel price index</t>
  </si>
  <si>
    <t>Rate change</t>
  </si>
  <si>
    <t>validity</t>
  </si>
  <si>
    <t>to</t>
  </si>
  <si>
    <r>
      <t xml:space="preserve">Please type in current index </t>
    </r>
    <r>
      <rPr>
        <sz val="10"/>
        <color rgb="FFFFFF00"/>
        <rFont val="Calibri"/>
        <family val="2"/>
      </rPr>
      <t>→</t>
    </r>
  </si>
  <si>
    <t>Definition of further charges</t>
  </si>
  <si>
    <t>Amount</t>
  </si>
  <si>
    <t>Pricing basis</t>
  </si>
  <si>
    <t>EUROcent per liter incl. 19% tax DE</t>
  </si>
  <si>
    <t>FTL additional pick-up 50 km Radius</t>
  </si>
  <si>
    <t>per pick-up</t>
  </si>
  <si>
    <t>FTL additional drop-off 50 km Radius</t>
  </si>
  <si>
    <t>per drop-off</t>
  </si>
  <si>
    <t>per shipm</t>
  </si>
  <si>
    <t>Pallet-Exchange-Fee</t>
  </si>
  <si>
    <t>next day delivery, only DE</t>
  </si>
  <si>
    <t>next day 12h, only DE</t>
  </si>
  <si>
    <t>next day 10h, only DE</t>
  </si>
  <si>
    <t>export customs clearance</t>
  </si>
  <si>
    <t>import customs clearance</t>
  </si>
  <si>
    <t>Advice</t>
  </si>
  <si>
    <t>Megatrailer Surcharge</t>
  </si>
  <si>
    <t>per FTL</t>
  </si>
  <si>
    <t>Megatrailer to IE</t>
  </si>
  <si>
    <t>Source for fuel price index</t>
  </si>
  <si>
    <t>Rechnungsstellung, Zahlungsziel</t>
  </si>
  <si>
    <t>https://adac.de/verkehr/tanken-kraftstoff-antrieb/deutschland/kraftstoffpreisentwicklung/</t>
  </si>
  <si>
    <t>IE-A92 FY90</t>
  </si>
  <si>
    <t>IE-D12 FFDO</t>
  </si>
  <si>
    <t>IE-H91D72H</t>
  </si>
  <si>
    <t>IE-R32 XT95</t>
  </si>
  <si>
    <t>PL-03-236</t>
  </si>
  <si>
    <t>PL-59-241</t>
  </si>
  <si>
    <t>Waidhaus</t>
  </si>
  <si>
    <t>Aachen</t>
  </si>
  <si>
    <t>Freilassing</t>
  </si>
  <si>
    <t>Kiefersfelden</t>
  </si>
  <si>
    <t>Grenzübergang</t>
  </si>
  <si>
    <t>km ab Hollenbach</t>
  </si>
  <si>
    <t>Maut</t>
  </si>
  <si>
    <t>Frankfurt/Oder</t>
  </si>
  <si>
    <t>Görlitz</t>
  </si>
  <si>
    <t>Stettin</t>
  </si>
  <si>
    <t>ERKA Internationale Spedition GmbH</t>
  </si>
  <si>
    <t>12.05.2025 to 31.12.2025</t>
  </si>
  <si>
    <t>ebm DE-74673 Hollenbach</t>
  </si>
  <si>
    <t>ebm Hollenbach</t>
  </si>
  <si>
    <t>ebm Papst Pick-Up Location</t>
  </si>
  <si>
    <t>Internationale Spedition GmbH</t>
  </si>
  <si>
    <t>Dieselfloater</t>
  </si>
  <si>
    <t>Dieselpreis € pro Liter brutto</t>
  </si>
  <si>
    <t>Treibstoffzuschlag</t>
  </si>
  <si>
    <t>bis</t>
  </si>
  <si>
    <r>
      <rPr>
        <b/>
        <sz val="11"/>
        <color theme="1"/>
        <rFont val="Calibri"/>
        <family val="2"/>
      </rPr>
      <t xml:space="preserve">Erka Internationale Spedition GmbH, Motorstraße 8, DE-70499 Stuttgart-Weilimdorf </t>
    </r>
    <r>
      <rPr>
        <sz val="11"/>
        <color theme="1"/>
        <rFont val="Calibri"/>
        <family val="2"/>
      </rPr>
      <t xml:space="preserve">
Tel.: 0711-95551-0          Fax: 0711-95551-500          E-Mail: info@spedition-erka.de          www.spedition-erka.de
BW-Bank IBAN: DE93 6005 0101 0002 3117 35  |  SOLADEST600                                                                                                                                                                                                                 Geschäftsführer: Stefan Noerpel-Schneider, Borek Heiringhoff, Arnold Ottenbreit
Reg.-Gericht Stuttgart HRB 9908 | UST-IdNr.: DE 147 852 567 | Gerichtsstand und Erfüllungsort ist Stuttgart
Wir arbeiten ausschließlich auf Grundlage der Allgemeinen Deutschen Spediteurbedingungen, jeweils neueste Fassung. Diese beschränken in Ziffer 23 die gesetzliche Haftung für Güterschäden nach § 431 HGB in Höhe von  8,33 SZR/kg je Schadenfall bzw. je Schadenereignis auf 1 Million bzw. 2 Millionen Euro oder 2 SZR/kg, je nachdem,  welcher Betrag höher ist, und bei multimodalen Transporten unter Einschluss einer Seebeförderung generell auf 2 SZR/kg. 
Die ADSp können Sie sich auf unserer Homepage unter http://www.spedition-erka.de/de/Downloads/ADSP.pdf herunterladen.</t>
    </r>
  </si>
  <si>
    <t>Unser Angebot ist freibleibend. Es beruht auf den Allgemeinen Deutschen Spediteurbedingungen (ADSp) und setzt normale unveränderte Beförderungsverhältnisse sowie die Weitergeltungder heute gültigen Frachten, Tarife und Treibstoffkosten voraus.</t>
  </si>
  <si>
    <t xml:space="preserve">Fix-Delivery </t>
  </si>
  <si>
    <t>not availabe</t>
  </si>
  <si>
    <t>-</t>
  </si>
  <si>
    <t xml:space="preserve">B2C surcharge </t>
  </si>
  <si>
    <t xml:space="preserve">Einzelsendungen, die am gleichen Tag mit gleicher Lieferadresse und gleichem Service </t>
  </si>
  <si>
    <t>versendet werden, werden als eine Sendung abgerechnet.</t>
  </si>
  <si>
    <t>Ebm Papst behält sich eine abweichende Berechnung zur nächsten Gewichtsklasse (Sammelgut) vor.</t>
  </si>
  <si>
    <t>Zahlungsbedingungen:</t>
  </si>
  <si>
    <t>30 Tage ab Rechnungseingang</t>
  </si>
  <si>
    <t>Die Rechnungsstellung kann als Sammelrechnung oder als Einzelrechnung pro</t>
  </si>
  <si>
    <t xml:space="preserve">Sendung erfolgen. </t>
  </si>
  <si>
    <t>Originalrechnungen sind per Post oder E-Mail an ebm-Papst pro Unternehmen</t>
  </si>
  <si>
    <t>erfolgen.</t>
  </si>
  <si>
    <t>- Hollenbach</t>
  </si>
  <si>
    <t>- ebm-Papst Mulfingen GmbH&amp;Co. KG, Bachmühle 2 , 74673 Mulfingen</t>
  </si>
  <si>
    <r>
      <t>Basis</t>
    </r>
    <r>
      <rPr>
        <sz val="12"/>
        <color theme="1"/>
        <rFont val="Calibri"/>
        <family val="2"/>
        <scheme val="minor"/>
      </rPr>
      <t>:</t>
    </r>
  </si>
  <si>
    <t>Durchschnittswert der Vorwoche von Montag - Freitag.
Als Abrechnungsgrundlage gelten die vom Fleetcor ARAL ermittelten durchschnittlichen Dieselpreise.</t>
  </si>
  <si>
    <t>Dem Dieselpreisindex wird als Referenzpreis der Bruttoverbraucherpreis gem Fleetcor ARAL zugrunde gelegt.
Der Durchschnittswert wird wöchentlich von Montag bis Freitag gebildet.
Der Dieselzuschlag orientiert sich an den Dieselpreisen gem. Fleetcor ARAL und wird jeden Dienstag für die Vorwoche ermittelt. 
Der Zuschlag wird separat auf der Rechnung ausgewiesen.
Die Durchschnittswerte finden Sie im Internet auf der Seite des Fleetcor \ ARAL:</t>
  </si>
  <si>
    <t xml:space="preserve">https://fleetcor.de/services/fleetcor-preisvergleich </t>
  </si>
  <si>
    <t>ADR</t>
  </si>
  <si>
    <t>Minimum</t>
  </si>
  <si>
    <t>15 % freight surcharge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</si>
</sst>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7" formatCode="#,##0.00\ &quot;€&quot;;\-#,##0.00\ &quot;€&quot;"/>
    <numFmt numFmtId="44" formatCode="_-* #,##0.00\ &quot;€&quot;_-;\-* #,##0.00\ &quot;€&quot;_-;_-* &quot;-&quot;??\ &quot;€&quot;_-;_-@_-"/>
    <numFmt numFmtId="43" formatCode="_-* #,##0.00_-;\-* #,##0.00_-;_-* &quot;-&quot;??_-;_-@_-"/>
    <numFmt numFmtId="164" formatCode="_-* #,##0_-;\-* #,##0_-;_-* &quot;-&quot;??_-;_-@_-"/>
    <numFmt numFmtId="165" formatCode="_-* #,##0.0_-;\-* #,##0.0_-;_-* &quot;-&quot;??_-;_-@_-"/>
    <numFmt numFmtId="166" formatCode="0.0%"/>
    <numFmt numFmtId="167" formatCode="0.0"/>
    <numFmt numFmtId="168" formatCode="#,##0.00\ &quot;€&quot;"/>
    <numFmt numFmtId="170" formatCode="#,##0\ &quot;kg&quot;"/>
    <numFmt numFmtId="171" formatCode="#,##0.0000\ &quot;€&quot;;\-#,##0.0000\ &quot;€&quot;"/>
    <numFmt numFmtId="172" formatCode="_-* #,##0.0000\ &quot;€&quot;_-;\-* #,##0.0000\ &quot;€&quot;_-;_-* &quot;-&quot;??\ &quot;€&quot;_-;_-@_-"/>
  </numFmts>
  <fonts count="35"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1"/>
      <color theme="1"/>
      <name val="Arial Narrow"/>
      <family val="2"/>
    </font>
    <font>
      <sz val="10"/>
      <color rgb="FFFFFF00"/>
      <name val="Arial Narrow"/>
      <family val="2"/>
    </font>
    <font>
      <sz val="11"/>
      <name val="Calibri"/>
      <family val="2"/>
      <scheme val="minor"/>
    </font>
    <font>
      <u/>
      <sz val="11"/>
      <color theme="10"/>
      <name val="Calibri"/>
      <family val="2"/>
      <scheme val="minor"/>
    </font>
    <font>
      <sz val="11"/>
      <color theme="1"/>
      <name val="Arial"/>
      <family val="2"/>
    </font>
    <font>
      <b/>
      <sz val="11"/>
      <color theme="1"/>
      <name val="Arial"/>
      <family val="2"/>
    </font>
    <font>
      <sz val="11"/>
      <color theme="0"/>
      <name val="Arial Narrow"/>
      <family val="2"/>
    </font>
    <font>
      <sz val="10"/>
      <color theme="1"/>
      <name val="Arial"/>
      <family val="2"/>
    </font>
    <font>
      <b/>
      <sz val="10"/>
      <name val="Arial"/>
      <family val="2"/>
    </font>
    <font>
      <sz val="10"/>
      <color rgb="FFFFFF00"/>
      <name val="Calibri"/>
      <family val="2"/>
    </font>
    <font>
      <sz val="11"/>
      <color rgb="FFFFFF00"/>
      <name val="Arial Narrow"/>
      <family val="2"/>
    </font>
    <font>
      <b/>
      <u/>
      <sz val="11"/>
      <color theme="1"/>
      <name val="Calibri"/>
      <family val="2"/>
      <scheme val="minor"/>
    </font>
    <font>
      <sz val="11"/>
      <color rgb="FFFFFF00"/>
      <name val="Calibri"/>
      <family val="2"/>
      <scheme val="minor"/>
    </font>
    <font>
      <sz val="11"/>
      <color rgb="FFFFFF00"/>
      <name val="Arial"/>
      <family val="2"/>
    </font>
    <font>
      <sz val="10"/>
      <name val="Times New Roman"/>
      <family val="1"/>
    </font>
    <font>
      <u/>
      <sz val="10"/>
      <color theme="10"/>
      <name val="Times New Roman"/>
      <family val="1"/>
    </font>
    <font>
      <sz val="10"/>
      <name val="Arial"/>
      <family val="2"/>
    </font>
    <font>
      <sz val="10"/>
      <name val="MS Sans Serif"/>
      <family val="2"/>
    </font>
    <font>
      <u/>
      <sz val="11"/>
      <color theme="10"/>
      <name val="Arial"/>
      <family val="2"/>
    </font>
    <font>
      <b/>
      <sz val="14"/>
      <color theme="0"/>
      <name val="Calibri"/>
      <family val="2"/>
      <scheme val="minor"/>
    </font>
    <font>
      <b/>
      <sz val="11"/>
      <name val="Calibri"/>
      <family val="2"/>
      <scheme val="minor"/>
    </font>
    <font>
      <sz val="12"/>
      <color theme="1"/>
      <name val="Calibri"/>
      <family val="2"/>
      <scheme val="minor"/>
    </font>
    <font>
      <b/>
      <sz val="12"/>
      <color theme="1"/>
      <name val="Calibri"/>
      <family val="2"/>
      <scheme val="minor"/>
    </font>
    <font>
      <sz val="11"/>
      <color theme="1"/>
      <name val="Calibri"/>
      <family val="2"/>
    </font>
    <font>
      <sz val="11"/>
      <color rgb="FFFFFF00"/>
      <name val="Calibri"/>
      <family val="2"/>
    </font>
    <font>
      <sz val="11"/>
      <name val="Arial Narrow"/>
      <family val="2"/>
    </font>
    <font>
      <i/>
      <sz val="12"/>
      <color theme="1"/>
      <name val="Calibri"/>
      <family val="2"/>
      <scheme val="minor"/>
    </font>
    <font>
      <i/>
      <sz val="11"/>
      <color theme="1"/>
      <name val="Calibri"/>
      <family val="2"/>
      <scheme val="minor"/>
    </font>
    <font>
      <b/>
      <sz val="11"/>
      <color theme="1"/>
      <name val="Calibri"/>
      <family val="2"/>
    </font>
    <font>
      <b/>
      <sz val="16"/>
      <color theme="1"/>
      <name val="Calibri"/>
      <family val="2"/>
      <scheme val="minor"/>
    </font>
    <font>
      <u/>
      <sz val="12"/>
      <color theme="1"/>
      <name val="Calibri"/>
      <family val="2"/>
      <scheme val="minor"/>
    </font>
  </fonts>
  <fills count="16">
    <fill>
      <patternFill patternType="none"/>
    </fill>
    <fill>
      <patternFill patternType="gray125"/>
    </fill>
    <fill>
      <patternFill patternType="solid">
        <fgColor theme="5"/>
      </patternFill>
    </fill>
    <fill>
      <patternFill patternType="solid">
        <fgColor theme="4" tint="0.59999389629810485"/>
        <bgColor indexed="64"/>
      </patternFill>
    </fill>
    <fill>
      <patternFill patternType="solid">
        <fgColor theme="0"/>
        <bgColor indexed="64"/>
      </patternFill>
    </fill>
    <fill>
      <patternFill patternType="solid">
        <fgColor theme="4" tint="-0.249977111117893"/>
        <bgColor indexed="64"/>
      </patternFill>
    </fill>
    <fill>
      <patternFill patternType="solid">
        <fgColor rgb="FFFF0000"/>
        <bgColor indexed="64"/>
      </patternFill>
    </fill>
    <fill>
      <patternFill patternType="solid">
        <fgColor theme="0" tint="-0.14999847407452621"/>
        <bgColor indexed="64"/>
      </patternFill>
    </fill>
    <fill>
      <patternFill patternType="solid">
        <fgColor theme="4" tint="-0.499984740745262"/>
        <bgColor indexed="64"/>
      </patternFill>
    </fill>
    <fill>
      <patternFill patternType="solid">
        <fgColor theme="6"/>
        <bgColor indexed="64"/>
      </patternFill>
    </fill>
    <fill>
      <patternFill patternType="solid">
        <fgColor theme="8"/>
        <bgColor indexed="64"/>
      </patternFill>
    </fill>
    <fill>
      <patternFill patternType="solid">
        <fgColor theme="3"/>
        <bgColor indexed="64"/>
      </patternFill>
    </fill>
    <fill>
      <patternFill patternType="solid">
        <fgColor theme="7"/>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rgb="FFFFFF00"/>
        <bgColor indexed="64"/>
      </patternFill>
    </fill>
  </fills>
  <borders count="15">
    <border>
      <left/>
      <right/>
      <top/>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8">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2" borderId="0" applyNumberFormat="0" applyBorder="0" applyAlignment="0" applyProtection="0"/>
    <xf numFmtId="0" fontId="4" fillId="0" borderId="0"/>
    <xf numFmtId="0" fontId="7" fillId="0" borderId="0" applyNumberFormat="0" applyFill="0" applyBorder="0" applyAlignment="0" applyProtection="0"/>
    <xf numFmtId="0" fontId="11" fillId="0" borderId="0"/>
    <xf numFmtId="0" fontId="18" fillId="0" borderId="0"/>
    <xf numFmtId="44" fontId="18" fillId="0" borderId="0" applyFont="0" applyFill="0" applyBorder="0" applyAlignment="0" applyProtection="0"/>
    <xf numFmtId="0" fontId="19" fillId="0" borderId="0" applyNumberFormat="0" applyFill="0" applyBorder="0" applyAlignment="0" applyProtection="0">
      <alignment vertical="top"/>
      <protection locked="0"/>
    </xf>
    <xf numFmtId="0" fontId="20" fillId="0" borderId="0"/>
    <xf numFmtId="0" fontId="21" fillId="0" borderId="0"/>
    <xf numFmtId="0" fontId="8" fillId="0" borderId="0"/>
    <xf numFmtId="0" fontId="22" fillId="0" borderId="0" applyNumberFormat="0" applyFill="0" applyBorder="0" applyAlignment="0" applyProtection="0"/>
    <xf numFmtId="0" fontId="8"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159">
    <xf numFmtId="0" fontId="0" fillId="0" borderId="0" xfId="0"/>
    <xf numFmtId="0" fontId="2" fillId="3" borderId="3" xfId="0" applyFont="1" applyFill="1" applyBorder="1"/>
    <xf numFmtId="0" fontId="2" fillId="4" borderId="0" xfId="0" applyFont="1" applyFill="1"/>
    <xf numFmtId="0" fontId="0" fillId="4" borderId="0" xfId="0" applyFill="1"/>
    <xf numFmtId="0" fontId="2" fillId="3" borderId="5" xfId="0" applyFont="1" applyFill="1" applyBorder="1"/>
    <xf numFmtId="0" fontId="2" fillId="3" borderId="6" xfId="0" applyFont="1" applyFill="1" applyBorder="1"/>
    <xf numFmtId="0" fontId="3" fillId="8" borderId="8" xfId="0" applyFont="1" applyFill="1" applyBorder="1" applyProtection="1">
      <protection locked="0"/>
    </xf>
    <xf numFmtId="0" fontId="6" fillId="0" borderId="0" xfId="0" applyFont="1" applyProtection="1">
      <protection locked="0"/>
    </xf>
    <xf numFmtId="0" fontId="0" fillId="9" borderId="7" xfId="0" applyFill="1" applyBorder="1"/>
    <xf numFmtId="0" fontId="8" fillId="0" borderId="0" xfId="0" applyFont="1"/>
    <xf numFmtId="0" fontId="0" fillId="0" borderId="10" xfId="0" applyBorder="1"/>
    <xf numFmtId="0" fontId="8" fillId="0" borderId="10" xfId="0" applyFont="1" applyBorder="1"/>
    <xf numFmtId="0" fontId="0" fillId="0" borderId="13" xfId="0" applyBorder="1"/>
    <xf numFmtId="0" fontId="12" fillId="13" borderId="11" xfId="6" applyFont="1" applyFill="1" applyBorder="1" applyAlignment="1">
      <alignment vertical="center" wrapText="1"/>
    </xf>
    <xf numFmtId="14" fontId="12" fillId="13" borderId="1" xfId="6" applyNumberFormat="1" applyFont="1" applyFill="1" applyBorder="1" applyAlignment="1">
      <alignment horizontal="center" vertical="center" wrapText="1"/>
    </xf>
    <xf numFmtId="0" fontId="2" fillId="13" borderId="1" xfId="0" applyFont="1" applyFill="1" applyBorder="1" applyAlignment="1">
      <alignment horizontal="center" vertical="center"/>
    </xf>
    <xf numFmtId="14" fontId="12" fillId="13" borderId="12" xfId="6" applyNumberFormat="1" applyFont="1" applyFill="1" applyBorder="1" applyAlignment="1">
      <alignment horizontal="center" vertical="center" wrapText="1"/>
    </xf>
    <xf numFmtId="2" fontId="5" fillId="6" borderId="6" xfId="4" applyNumberFormat="1" applyFont="1" applyFill="1" applyBorder="1" applyAlignment="1" applyProtection="1">
      <alignment horizontal="left"/>
      <protection hidden="1"/>
    </xf>
    <xf numFmtId="0" fontId="14" fillId="6" borderId="8" xfId="3" applyFont="1" applyFill="1" applyBorder="1" applyAlignment="1" applyProtection="1">
      <alignment horizontal="center"/>
      <protection locked="0"/>
    </xf>
    <xf numFmtId="0" fontId="12" fillId="0" borderId="3" xfId="6" applyFont="1" applyBorder="1" applyAlignment="1">
      <alignment vertical="top" wrapText="1"/>
    </xf>
    <xf numFmtId="0" fontId="12" fillId="0" borderId="5" xfId="6" applyFont="1" applyBorder="1" applyAlignment="1">
      <alignment vertical="top" wrapText="1"/>
    </xf>
    <xf numFmtId="0" fontId="0" fillId="0" borderId="5" xfId="0" applyBorder="1"/>
    <xf numFmtId="0" fontId="0" fillId="0" borderId="6" xfId="0" applyBorder="1"/>
    <xf numFmtId="0" fontId="0" fillId="9" borderId="7" xfId="0" applyFill="1" applyBorder="1" applyAlignment="1">
      <alignment horizontal="center" vertical="center" wrapText="1"/>
    </xf>
    <xf numFmtId="0" fontId="0" fillId="0" borderId="0" xfId="0" applyAlignment="1">
      <alignment horizontal="center" vertical="center" wrapText="1"/>
    </xf>
    <xf numFmtId="0" fontId="2" fillId="0" borderId="9" xfId="6" applyFont="1" applyBorder="1" applyAlignment="1">
      <alignment horizontal="center" vertical="center"/>
    </xf>
    <xf numFmtId="0" fontId="2" fillId="0" borderId="9" xfId="0" applyFont="1" applyBorder="1" applyAlignment="1">
      <alignment horizontal="center" vertical="center"/>
    </xf>
    <xf numFmtId="0" fontId="0" fillId="0" borderId="13" xfId="0" applyBorder="1" applyAlignment="1">
      <alignment horizontal="center" vertical="center" wrapText="1"/>
    </xf>
    <xf numFmtId="0" fontId="2" fillId="0" borderId="8" xfId="0" applyFont="1" applyBorder="1" applyAlignment="1">
      <alignment horizontal="center" vertical="center" wrapText="1"/>
    </xf>
    <xf numFmtId="0" fontId="8" fillId="0" borderId="8" xfId="6" applyFont="1" applyBorder="1" applyAlignment="1" applyProtection="1">
      <alignment vertical="top"/>
      <protection locked="0"/>
    </xf>
    <xf numFmtId="0" fontId="0" fillId="0" borderId="8" xfId="6" applyFont="1" applyBorder="1" applyAlignment="1">
      <alignment horizontal="center" vertical="top"/>
    </xf>
    <xf numFmtId="0" fontId="0" fillId="0" borderId="8" xfId="0" applyBorder="1" applyProtection="1">
      <protection locked="0"/>
    </xf>
    <xf numFmtId="0" fontId="7" fillId="0" borderId="0" xfId="5" applyFill="1" applyBorder="1" applyAlignment="1">
      <alignment horizontal="center"/>
    </xf>
    <xf numFmtId="0" fontId="15" fillId="0" borderId="0" xfId="0" applyFont="1"/>
    <xf numFmtId="0" fontId="16" fillId="14" borderId="8" xfId="0" applyFont="1" applyFill="1" applyBorder="1"/>
    <xf numFmtId="0" fontId="16" fillId="14" borderId="5" xfId="0" applyFont="1" applyFill="1" applyBorder="1"/>
    <xf numFmtId="0" fontId="17" fillId="14" borderId="5" xfId="0" applyFont="1" applyFill="1" applyBorder="1"/>
    <xf numFmtId="0" fontId="2" fillId="0" borderId="0" xfId="0" applyFont="1"/>
    <xf numFmtId="0" fontId="9" fillId="10" borderId="3" xfId="0" applyFont="1" applyFill="1" applyBorder="1" applyAlignment="1">
      <alignment horizontal="center"/>
    </xf>
    <xf numFmtId="0" fontId="9" fillId="10" borderId="5" xfId="0" applyFont="1" applyFill="1" applyBorder="1" applyAlignment="1">
      <alignment horizontal="center"/>
    </xf>
    <xf numFmtId="0" fontId="2" fillId="0" borderId="9" xfId="6" applyFont="1" applyBorder="1" applyAlignment="1">
      <alignment horizontal="center" vertical="center" wrapText="1"/>
    </xf>
    <xf numFmtId="0" fontId="3" fillId="8" borderId="8" xfId="0" applyFont="1" applyFill="1" applyBorder="1" applyAlignment="1" applyProtection="1">
      <alignment horizontal="left" vertical="top"/>
      <protection locked="0"/>
    </xf>
    <xf numFmtId="2" fontId="0" fillId="0" borderId="0" xfId="0" applyNumberFormat="1"/>
    <xf numFmtId="0" fontId="25" fillId="0" borderId="0" xfId="0" applyFont="1"/>
    <xf numFmtId="0" fontId="26" fillId="4" borderId="0" xfId="0" applyFont="1" applyFill="1"/>
    <xf numFmtId="0" fontId="25" fillId="4" borderId="0" xfId="0" applyFont="1" applyFill="1"/>
    <xf numFmtId="0" fontId="2" fillId="3" borderId="4" xfId="0" applyFont="1" applyFill="1" applyBorder="1" applyAlignment="1">
      <alignment horizontal="center"/>
    </xf>
    <xf numFmtId="0" fontId="2" fillId="3" borderId="7" xfId="0" applyFont="1" applyFill="1" applyBorder="1" applyAlignment="1">
      <alignment horizontal="center"/>
    </xf>
    <xf numFmtId="0" fontId="2" fillId="3" borderId="9" xfId="0" applyFont="1" applyFill="1" applyBorder="1" applyAlignment="1">
      <alignment horizontal="center"/>
    </xf>
    <xf numFmtId="0" fontId="2" fillId="3" borderId="4" xfId="0" applyFont="1" applyFill="1" applyBorder="1" applyAlignment="1">
      <alignment horizontal="left" vertical="center"/>
    </xf>
    <xf numFmtId="0" fontId="2" fillId="3" borderId="7" xfId="0" applyFont="1" applyFill="1" applyBorder="1" applyAlignment="1">
      <alignment horizontal="left" vertical="center"/>
    </xf>
    <xf numFmtId="0" fontId="2" fillId="3" borderId="9" xfId="0" applyFont="1" applyFill="1" applyBorder="1" applyAlignment="1">
      <alignment horizontal="left" vertical="center"/>
    </xf>
    <xf numFmtId="0" fontId="7" fillId="0" borderId="0" xfId="5" applyFill="1" applyBorder="1" applyAlignment="1">
      <alignment horizontal="left" vertical="center" wrapText="1"/>
    </xf>
    <xf numFmtId="0" fontId="9" fillId="10" borderId="3" xfId="0" applyFont="1" applyFill="1" applyBorder="1" applyAlignment="1">
      <alignment horizontal="center"/>
    </xf>
    <xf numFmtId="0" fontId="9" fillId="10" borderId="5" xfId="0" applyFont="1" applyFill="1" applyBorder="1" applyAlignment="1">
      <alignment horizontal="center"/>
    </xf>
    <xf numFmtId="0" fontId="9" fillId="10" borderId="6" xfId="0" applyFont="1" applyFill="1" applyBorder="1" applyAlignment="1">
      <alignment horizontal="center"/>
    </xf>
    <xf numFmtId="0" fontId="10" fillId="11" borderId="11" xfId="3" applyFont="1" applyFill="1" applyBorder="1" applyAlignment="1">
      <alignment horizontal="center"/>
    </xf>
    <xf numFmtId="0" fontId="10" fillId="11" borderId="12" xfId="3" applyFont="1" applyFill="1" applyBorder="1" applyAlignment="1">
      <alignment horizontal="center"/>
    </xf>
    <xf numFmtId="0" fontId="10" fillId="12" borderId="11" xfId="3" applyFont="1" applyFill="1" applyBorder="1" applyAlignment="1">
      <alignment horizontal="center"/>
    </xf>
    <xf numFmtId="0" fontId="10" fillId="12" borderId="12" xfId="3" applyFont="1" applyFill="1" applyBorder="1" applyAlignment="1">
      <alignment horizontal="center"/>
    </xf>
    <xf numFmtId="166" fontId="10" fillId="12" borderId="2" xfId="2" applyNumberFormat="1" applyFont="1" applyFill="1" applyBorder="1" applyAlignment="1">
      <alignment horizontal="center"/>
    </xf>
    <xf numFmtId="166" fontId="10" fillId="12" borderId="14" xfId="2" applyNumberFormat="1" applyFont="1" applyFill="1" applyBorder="1" applyAlignment="1">
      <alignment horizontal="center"/>
    </xf>
    <xf numFmtId="0" fontId="2" fillId="3" borderId="8" xfId="0" applyFont="1" applyFill="1" applyBorder="1" applyAlignment="1">
      <alignment horizontal="right" wrapText="1"/>
    </xf>
    <xf numFmtId="0" fontId="2" fillId="0" borderId="8" xfId="0" applyFont="1" applyBorder="1" applyAlignment="1" applyProtection="1">
      <alignment horizontal="right" vertical="center"/>
      <protection locked="0"/>
    </xf>
    <xf numFmtId="0" fontId="2" fillId="0" borderId="0" xfId="0" applyFont="1" applyAlignment="1">
      <alignment horizontal="right"/>
    </xf>
    <xf numFmtId="0" fontId="2" fillId="3" borderId="8" xfId="0" applyFont="1" applyFill="1" applyBorder="1" applyAlignment="1">
      <alignment horizontal="right"/>
    </xf>
    <xf numFmtId="0" fontId="2" fillId="0" borderId="8" xfId="0" applyFont="1" applyBorder="1" applyAlignment="1">
      <alignment horizontal="right"/>
    </xf>
    <xf numFmtId="164" fontId="2" fillId="0" borderId="8" xfId="1" applyNumberFormat="1" applyFont="1" applyBorder="1" applyAlignment="1" applyProtection="1">
      <alignment horizontal="right"/>
      <protection locked="0"/>
    </xf>
    <xf numFmtId="14" fontId="2" fillId="0" borderId="8" xfId="0" applyNumberFormat="1" applyFont="1" applyBorder="1" applyAlignment="1">
      <alignment horizontal="right"/>
    </xf>
    <xf numFmtId="0" fontId="3" fillId="5" borderId="8" xfId="0" applyFont="1" applyFill="1" applyBorder="1" applyProtection="1">
      <protection locked="0"/>
    </xf>
    <xf numFmtId="0" fontId="3" fillId="5" borderId="8" xfId="0" applyFont="1" applyFill="1" applyBorder="1"/>
    <xf numFmtId="2" fontId="28" fillId="6" borderId="8" xfId="4" applyNumberFormat="1" applyFont="1" applyFill="1" applyBorder="1" applyAlignment="1" applyProtection="1">
      <alignment horizontal="left"/>
      <protection locked="0"/>
    </xf>
    <xf numFmtId="2" fontId="4" fillId="7" borderId="8" xfId="4" applyNumberFormat="1" applyFont="1" applyFill="1" applyBorder="1" applyAlignment="1" applyProtection="1">
      <alignment horizontal="center"/>
      <protection hidden="1"/>
    </xf>
    <xf numFmtId="0" fontId="24" fillId="3" borderId="3" xfId="0" applyFont="1" applyFill="1" applyBorder="1" applyAlignment="1">
      <alignment horizontal="center"/>
    </xf>
    <xf numFmtId="0" fontId="24" fillId="3" borderId="5" xfId="0" applyFont="1" applyFill="1" applyBorder="1" applyAlignment="1">
      <alignment horizontal="center"/>
    </xf>
    <xf numFmtId="0" fontId="24" fillId="3" borderId="6" xfId="0" applyFont="1" applyFill="1" applyBorder="1" applyAlignment="1">
      <alignment horizontal="center"/>
    </xf>
    <xf numFmtId="0" fontId="0" fillId="0" borderId="0" xfId="0" applyFont="1"/>
    <xf numFmtId="0" fontId="24" fillId="3" borderId="8" xfId="0" applyFont="1" applyFill="1" applyBorder="1" applyAlignment="1">
      <alignment horizontal="center"/>
    </xf>
    <xf numFmtId="164" fontId="3" fillId="5" borderId="9" xfId="1" applyNumberFormat="1" applyFont="1" applyFill="1" applyBorder="1" applyAlignment="1">
      <alignment horizontal="right"/>
    </xf>
    <xf numFmtId="1" fontId="3" fillId="5" borderId="9" xfId="1" applyNumberFormat="1" applyFont="1" applyFill="1" applyBorder="1" applyAlignment="1">
      <alignment horizontal="center"/>
    </xf>
    <xf numFmtId="165" fontId="3" fillId="5" borderId="8" xfId="1" applyNumberFormat="1" applyFont="1" applyFill="1" applyBorder="1" applyAlignment="1">
      <alignment horizontal="center"/>
    </xf>
    <xf numFmtId="165" fontId="3" fillId="5" borderId="8" xfId="1" applyNumberFormat="1" applyFont="1" applyFill="1" applyBorder="1" applyAlignment="1">
      <alignment horizontal="right"/>
    </xf>
    <xf numFmtId="167" fontId="3" fillId="5" borderId="8" xfId="1" applyNumberFormat="1" applyFont="1" applyFill="1" applyBorder="1" applyAlignment="1">
      <alignment horizontal="center"/>
    </xf>
    <xf numFmtId="2" fontId="16" fillId="6" borderId="8" xfId="4" applyNumberFormat="1" applyFont="1" applyFill="1" applyBorder="1" applyAlignment="1" applyProtection="1">
      <alignment horizontal="left"/>
      <protection locked="0"/>
    </xf>
    <xf numFmtId="2" fontId="0" fillId="7" borderId="8" xfId="4" applyNumberFormat="1" applyFont="1" applyFill="1" applyBorder="1" applyAlignment="1" applyProtection="1">
      <alignment horizontal="center"/>
      <protection hidden="1"/>
    </xf>
    <xf numFmtId="0" fontId="6" fillId="0" borderId="8" xfId="0" applyFont="1" applyBorder="1" applyAlignment="1" applyProtection="1">
      <alignment horizontal="center"/>
      <protection locked="0"/>
    </xf>
    <xf numFmtId="168" fontId="6" fillId="0" borderId="8" xfId="4" applyNumberFormat="1" applyFont="1" applyBorder="1" applyAlignment="1" applyProtection="1">
      <alignment horizontal="center"/>
      <protection locked="0"/>
    </xf>
    <xf numFmtId="168" fontId="29" fillId="0" borderId="8" xfId="4" applyNumberFormat="1" applyFont="1" applyBorder="1" applyProtection="1">
      <protection locked="0"/>
    </xf>
    <xf numFmtId="0" fontId="0" fillId="0" borderId="0" xfId="0" applyAlignment="1">
      <alignment vertical="center"/>
    </xf>
    <xf numFmtId="0" fontId="2" fillId="0" borderId="0" xfId="0" applyFont="1" applyAlignment="1">
      <alignment vertical="center"/>
    </xf>
    <xf numFmtId="0" fontId="31" fillId="0" borderId="0" xfId="0" applyFont="1"/>
    <xf numFmtId="0" fontId="0" fillId="0" borderId="0" xfId="0" applyAlignment="1">
      <alignment horizontal="left" vertical="center" wrapText="1"/>
    </xf>
    <xf numFmtId="0" fontId="7" fillId="0" borderId="0" xfId="5" applyFill="1" applyBorder="1" applyAlignment="1">
      <alignment horizontal="left" vertical="center"/>
    </xf>
    <xf numFmtId="0" fontId="27" fillId="0" borderId="0" xfId="17" applyFont="1" applyAlignment="1">
      <alignment horizontal="center" vertical="center" wrapText="1"/>
    </xf>
    <xf numFmtId="0" fontId="0" fillId="0" borderId="0" xfId="0" applyAlignment="1">
      <alignment vertical="center" wrapText="1"/>
    </xf>
    <xf numFmtId="0" fontId="25" fillId="0" borderId="0" xfId="0" applyFont="1" applyAlignment="1">
      <alignment vertical="center"/>
    </xf>
    <xf numFmtId="0" fontId="31" fillId="0" borderId="0" xfId="0" applyFont="1" applyAlignment="1">
      <alignment vertical="center"/>
    </xf>
    <xf numFmtId="168" fontId="0" fillId="0" borderId="8" xfId="0" applyNumberFormat="1" applyBorder="1" applyAlignment="1" applyProtection="1">
      <alignment horizontal="center"/>
      <protection locked="0"/>
    </xf>
    <xf numFmtId="168" fontId="0" fillId="0" borderId="8" xfId="0" quotePrefix="1" applyNumberFormat="1" applyBorder="1" applyAlignment="1" applyProtection="1">
      <alignment horizontal="center"/>
      <protection locked="0"/>
    </xf>
    <xf numFmtId="0" fontId="0" fillId="0" borderId="0" xfId="0" applyBorder="1" applyAlignment="1">
      <alignment horizontal="center" vertical="center" wrapText="1"/>
    </xf>
    <xf numFmtId="0" fontId="0" fillId="0" borderId="0" xfId="0" applyBorder="1"/>
    <xf numFmtId="0" fontId="9" fillId="0" borderId="0" xfId="0" applyFont="1" applyFill="1" applyBorder="1" applyAlignment="1">
      <alignment horizontal="center"/>
    </xf>
    <xf numFmtId="0" fontId="8" fillId="0" borderId="0" xfId="0" applyFont="1" applyFill="1" applyBorder="1"/>
    <xf numFmtId="0" fontId="0" fillId="0" borderId="0" xfId="0" applyFill="1" applyBorder="1"/>
    <xf numFmtId="0" fontId="12" fillId="0" borderId="0" xfId="6" applyFont="1" applyFill="1" applyBorder="1" applyAlignment="1">
      <alignment vertical="center" wrapText="1"/>
    </xf>
    <xf numFmtId="14" fontId="12" fillId="0" borderId="0" xfId="6" applyNumberFormat="1" applyFont="1" applyFill="1" applyBorder="1" applyAlignment="1">
      <alignment horizontal="center" vertical="center" wrapText="1"/>
    </xf>
    <xf numFmtId="0" fontId="2" fillId="0" borderId="0" xfId="0" applyFont="1" applyFill="1" applyBorder="1" applyAlignment="1">
      <alignment horizontal="center" vertical="center"/>
    </xf>
    <xf numFmtId="0" fontId="12" fillId="0" borderId="0" xfId="6" applyFont="1" applyFill="1" applyBorder="1" applyAlignment="1">
      <alignment vertical="top" wrapText="1"/>
    </xf>
    <xf numFmtId="0" fontId="2" fillId="0" borderId="0" xfId="0" applyFont="1" applyFill="1" applyBorder="1" applyAlignment="1">
      <alignment horizontal="center" vertical="center" wrapText="1"/>
    </xf>
    <xf numFmtId="0" fontId="2" fillId="0" borderId="0" xfId="6" applyFont="1" applyFill="1" applyBorder="1" applyAlignment="1">
      <alignment vertical="center"/>
    </xf>
    <xf numFmtId="0" fontId="11" fillId="0" borderId="0" xfId="0" applyFont="1" applyFill="1" applyBorder="1" applyAlignment="1">
      <alignment vertical="center"/>
    </xf>
    <xf numFmtId="0" fontId="0" fillId="0" borderId="0" xfId="6" applyFont="1" applyFill="1" applyBorder="1" applyAlignment="1" applyProtection="1">
      <alignment horizontal="center" vertical="top"/>
      <protection locked="0"/>
    </xf>
    <xf numFmtId="0" fontId="0" fillId="0" borderId="0" xfId="0" applyFill="1" applyBorder="1" applyAlignment="1" applyProtection="1">
      <alignment horizontal="center"/>
      <protection locked="0"/>
    </xf>
    <xf numFmtId="7" fontId="0" fillId="0" borderId="0" xfId="0" applyNumberFormat="1" applyAlignment="1">
      <alignment vertical="center"/>
    </xf>
    <xf numFmtId="0" fontId="0" fillId="0" borderId="8" xfId="0" applyFont="1" applyBorder="1" applyAlignment="1">
      <alignment horizontal="center"/>
    </xf>
    <xf numFmtId="166" fontId="0" fillId="4" borderId="8" xfId="2" applyNumberFormat="1" applyFont="1" applyFill="1" applyBorder="1" applyAlignment="1">
      <alignment horizontal="center"/>
    </xf>
    <xf numFmtId="166" fontId="0" fillId="0" borderId="8" xfId="2" applyNumberFormat="1" applyFont="1" applyBorder="1" applyAlignment="1">
      <alignment horizontal="center"/>
    </xf>
    <xf numFmtId="166" fontId="0" fillId="0" borderId="8" xfId="2" applyNumberFormat="1" applyFont="1" applyFill="1" applyBorder="1" applyAlignment="1">
      <alignment horizontal="center"/>
    </xf>
    <xf numFmtId="2" fontId="0" fillId="0" borderId="8" xfId="0" applyNumberFormat="1" applyFont="1" applyBorder="1" applyAlignment="1">
      <alignment horizontal="center"/>
    </xf>
    <xf numFmtId="2" fontId="0" fillId="0" borderId="8" xfId="0" applyNumberFormat="1" applyFont="1" applyFill="1" applyBorder="1" applyAlignment="1">
      <alignment horizontal="center"/>
    </xf>
    <xf numFmtId="2" fontId="6" fillId="0" borderId="8" xfId="0" applyNumberFormat="1" applyFont="1" applyFill="1" applyBorder="1" applyAlignment="1">
      <alignment horizontal="center"/>
    </xf>
    <xf numFmtId="2" fontId="0" fillId="0" borderId="8" xfId="4" applyNumberFormat="1" applyFont="1" applyBorder="1" applyAlignment="1">
      <alignment horizontal="center"/>
    </xf>
    <xf numFmtId="0" fontId="0" fillId="15" borderId="8" xfId="0" applyFont="1" applyFill="1" applyBorder="1" applyAlignment="1">
      <alignment horizontal="center"/>
    </xf>
    <xf numFmtId="2" fontId="0" fillId="15" borderId="8" xfId="0" applyNumberFormat="1" applyFont="1" applyFill="1" applyBorder="1" applyAlignment="1">
      <alignment horizontal="center"/>
    </xf>
    <xf numFmtId="166" fontId="0" fillId="15" borderId="8" xfId="2" applyNumberFormat="1" applyFont="1" applyFill="1" applyBorder="1" applyAlignment="1">
      <alignment horizontal="center"/>
    </xf>
    <xf numFmtId="0" fontId="0" fillId="9" borderId="8" xfId="0" applyFill="1" applyBorder="1"/>
    <xf numFmtId="0" fontId="0" fillId="9" borderId="4" xfId="0" applyFill="1" applyBorder="1"/>
    <xf numFmtId="0" fontId="16" fillId="0" borderId="0" xfId="0" applyFont="1" applyFill="1" applyBorder="1"/>
    <xf numFmtId="0" fontId="23" fillId="14" borderId="0" xfId="0" applyFont="1" applyFill="1" applyAlignment="1">
      <alignment horizontal="right"/>
    </xf>
    <xf numFmtId="0" fontId="0" fillId="0" borderId="0" xfId="0"/>
    <xf numFmtId="0" fontId="7" fillId="0" borderId="0" xfId="5" applyAlignment="1">
      <alignment vertical="center"/>
    </xf>
    <xf numFmtId="0" fontId="0" fillId="0" borderId="0" xfId="0" quotePrefix="1"/>
    <xf numFmtId="0" fontId="30" fillId="0" borderId="0" xfId="0" applyFont="1" applyAlignment="1">
      <alignment horizontal="center" vertical="center" wrapText="1"/>
    </xf>
    <xf numFmtId="0" fontId="0" fillId="14" borderId="0" xfId="0" applyFill="1"/>
    <xf numFmtId="0" fontId="23" fillId="4" borderId="0" xfId="0" applyFont="1" applyFill="1" applyAlignment="1">
      <alignment horizontal="right"/>
    </xf>
    <xf numFmtId="0" fontId="26" fillId="0" borderId="0" xfId="0" applyFont="1" applyAlignment="1">
      <alignment horizontal="center" vertical="center"/>
    </xf>
    <xf numFmtId="0" fontId="26" fillId="0" borderId="0" xfId="0" applyFont="1" applyAlignment="1">
      <alignment vertical="center"/>
    </xf>
    <xf numFmtId="0" fontId="30" fillId="0" borderId="0" xfId="0" applyFont="1" applyAlignment="1">
      <alignment vertical="center"/>
    </xf>
    <xf numFmtId="0" fontId="34" fillId="0" borderId="0" xfId="0" applyFont="1" applyAlignment="1">
      <alignment vertical="center"/>
    </xf>
    <xf numFmtId="0" fontId="0" fillId="0" borderId="0" xfId="0" applyAlignment="1">
      <alignment horizontal="center" vertical="center"/>
    </xf>
    <xf numFmtId="172" fontId="0" fillId="0" borderId="0" xfId="16" applyNumberFormat="1" applyFont="1" applyFill="1" applyBorder="1" applyAlignment="1">
      <alignment horizontal="center" vertical="center"/>
    </xf>
    <xf numFmtId="9" fontId="0" fillId="0" borderId="0" xfId="2" applyFont="1" applyFill="1" applyBorder="1" applyAlignment="1">
      <alignment horizontal="center" vertical="center"/>
    </xf>
    <xf numFmtId="9" fontId="0" fillId="0" borderId="0" xfId="2" applyFont="1" applyFill="1" applyBorder="1" applyAlignment="1">
      <alignment vertical="center"/>
    </xf>
    <xf numFmtId="0" fontId="25" fillId="0" borderId="0" xfId="0" applyFont="1" applyAlignment="1">
      <alignment horizontal="left" vertical="center" wrapText="1"/>
    </xf>
    <xf numFmtId="9" fontId="25" fillId="0" borderId="0" xfId="2" applyFont="1" applyFill="1" applyBorder="1" applyAlignment="1">
      <alignment vertical="center"/>
    </xf>
    <xf numFmtId="0" fontId="27" fillId="0" borderId="0" xfId="17" applyFont="1" applyAlignment="1">
      <alignment vertical="center" wrapText="1"/>
    </xf>
    <xf numFmtId="0" fontId="33" fillId="14" borderId="3" xfId="0" applyFont="1" applyFill="1" applyBorder="1" applyAlignment="1">
      <alignment horizontal="center" vertical="center" wrapText="1"/>
    </xf>
    <xf numFmtId="0" fontId="33" fillId="14" borderId="5" xfId="0" applyFont="1" applyFill="1" applyBorder="1" applyAlignment="1">
      <alignment horizontal="center" vertical="center" wrapText="1"/>
    </xf>
    <xf numFmtId="0" fontId="33" fillId="14" borderId="6" xfId="0" applyFont="1" applyFill="1" applyBorder="1" applyAlignment="1">
      <alignment horizontal="center" vertical="center" wrapText="1"/>
    </xf>
    <xf numFmtId="0" fontId="25" fillId="14" borderId="8" xfId="0" applyFont="1" applyFill="1" applyBorder="1" applyAlignment="1">
      <alignment horizontal="center" vertical="center"/>
    </xf>
    <xf numFmtId="0" fontId="26" fillId="14" borderId="8" xfId="0" applyFont="1" applyFill="1" applyBorder="1" applyAlignment="1">
      <alignment horizontal="center" vertical="center" wrapText="1"/>
    </xf>
    <xf numFmtId="170" fontId="26" fillId="14" borderId="8" xfId="0" applyNumberFormat="1" applyFont="1" applyFill="1" applyBorder="1" applyAlignment="1">
      <alignment horizontal="center" vertical="center"/>
    </xf>
    <xf numFmtId="171" fontId="25" fillId="0" borderId="8" xfId="16" applyNumberFormat="1" applyFont="1" applyFill="1" applyBorder="1" applyAlignment="1">
      <alignment horizontal="center" vertical="center"/>
    </xf>
    <xf numFmtId="166" fontId="25" fillId="0" borderId="8" xfId="2" applyNumberFormat="1" applyFont="1" applyFill="1" applyBorder="1" applyAlignment="1">
      <alignment horizontal="center" vertical="center"/>
    </xf>
    <xf numFmtId="0" fontId="8" fillId="0" borderId="4" xfId="6" applyFont="1" applyBorder="1" applyAlignment="1" applyProtection="1">
      <alignment horizontal="left" vertical="center"/>
      <protection locked="0"/>
    </xf>
    <xf numFmtId="0" fontId="8" fillId="0" borderId="9" xfId="6" applyFont="1" applyBorder="1" applyAlignment="1" applyProtection="1">
      <alignment horizontal="left" vertical="center"/>
      <protection locked="0"/>
    </xf>
    <xf numFmtId="168" fontId="0" fillId="0" borderId="3" xfId="0" applyNumberFormat="1" applyBorder="1" applyAlignment="1" applyProtection="1">
      <alignment horizontal="center"/>
      <protection locked="0"/>
    </xf>
    <xf numFmtId="168" fontId="0" fillId="0" borderId="5" xfId="0" applyNumberFormat="1" applyBorder="1" applyAlignment="1" applyProtection="1">
      <alignment horizontal="center"/>
      <protection locked="0"/>
    </xf>
    <xf numFmtId="168" fontId="0" fillId="0" borderId="6" xfId="0" applyNumberFormat="1" applyBorder="1" applyAlignment="1" applyProtection="1">
      <alignment horizontal="center"/>
      <protection locked="0"/>
    </xf>
  </cellXfs>
  <cellStyles count="18">
    <cellStyle name="Akzent2" xfId="3" builtinId="33"/>
    <cellStyle name="Komma" xfId="1" builtinId="3"/>
    <cellStyle name="Komma 2" xfId="15" xr:uid="{23A77868-69C6-4A8F-ABC5-154F20E06A31}"/>
    <cellStyle name="Link" xfId="5" builtinId="8"/>
    <cellStyle name="Link 2" xfId="9" xr:uid="{5FA27765-DF03-458E-9F25-2E771763B2B5}"/>
    <cellStyle name="Link 2 2" xfId="13" xr:uid="{2D0A71F0-91E3-48F2-ADA6-976D01A5A723}"/>
    <cellStyle name="Prozent" xfId="2" builtinId="5"/>
    <cellStyle name="Standard" xfId="0" builtinId="0"/>
    <cellStyle name="Standard 10 2" xfId="6" xr:uid="{0AB02A73-F22D-4A1F-A654-58933AA18095}"/>
    <cellStyle name="Standard 11 3" xfId="4" xr:uid="{E1B11024-72AB-41CC-B8B1-C36F323CB94D}"/>
    <cellStyle name="Standard 2" xfId="7" xr:uid="{35BCEAEA-C043-47BA-A33B-4E1A1FCFB4FE}"/>
    <cellStyle name="Standard 2 2" xfId="10" xr:uid="{7214A522-1583-4F41-AD25-3427FABE0B73}"/>
    <cellStyle name="Standard 2 3" xfId="12" xr:uid="{C9687066-C9C4-4EAB-A020-F29BB93934D5}"/>
    <cellStyle name="Standard 2 4" xfId="17" xr:uid="{0FE4C658-25BD-47CB-96E2-30C969AB3BA0}"/>
    <cellStyle name="Standard 3" xfId="14" xr:uid="{05A3526B-B3C3-4841-A13D-3A11652DB4B6}"/>
    <cellStyle name="Standard 4 3" xfId="11" xr:uid="{758A810A-E5CA-4BFA-AE6B-FE6EDDA5465D}"/>
    <cellStyle name="Währung" xfId="16" builtinId="4"/>
    <cellStyle name="Währung 2" xfId="8" xr:uid="{4C2DAA3C-354B-4F71-9EB6-7CCCEABEA4A8}"/>
  </cellStyles>
  <dxfs count="0"/>
  <tableStyles count="0" defaultTableStyle="TableStyleMedium2" defaultPivotStyle="PivotStyleLight16"/>
  <colors>
    <mruColors>
      <color rgb="FF0000FF"/>
      <color rgb="FFCC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externalLink" Target="externalLinks/externalLink21.xml"/><Relationship Id="rId39" Type="http://schemas.openxmlformats.org/officeDocument/2006/relationships/calcChain" Target="calcChain.xml"/><Relationship Id="rId21" Type="http://schemas.openxmlformats.org/officeDocument/2006/relationships/externalLink" Target="externalLinks/externalLink16.xml"/><Relationship Id="rId34" Type="http://schemas.openxmlformats.org/officeDocument/2006/relationships/externalLink" Target="externalLinks/externalLink29.xml"/><Relationship Id="rId42" Type="http://schemas.openxmlformats.org/officeDocument/2006/relationships/customXml" Target="../customXml/item3.xml"/><Relationship Id="rId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externalLink" Target="externalLinks/externalLink15.xml"/><Relationship Id="rId29" Type="http://schemas.openxmlformats.org/officeDocument/2006/relationships/externalLink" Target="externalLinks/externalLink24.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32" Type="http://schemas.openxmlformats.org/officeDocument/2006/relationships/externalLink" Target="externalLinks/externalLink27.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36" Type="http://schemas.openxmlformats.org/officeDocument/2006/relationships/theme" Target="theme/theme1.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31" Type="http://schemas.openxmlformats.org/officeDocument/2006/relationships/externalLink" Target="externalLinks/externalLink26.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8" Type="http://schemas.openxmlformats.org/officeDocument/2006/relationships/externalLink" Target="externalLinks/externalLink3.xml"/><Relationship Id="rId3" Type="http://schemas.openxmlformats.org/officeDocument/2006/relationships/worksheet" Target="worksheets/sheet3.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externalLink" Target="externalLinks/externalLink28.xml"/><Relationship Id="rId3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1381125</xdr:colOff>
      <xdr:row>0</xdr:row>
      <xdr:rowOff>0</xdr:rowOff>
    </xdr:from>
    <xdr:to>
      <xdr:col>6</xdr:col>
      <xdr:colOff>1427670</xdr:colOff>
      <xdr:row>2</xdr:row>
      <xdr:rowOff>152400</xdr:rowOff>
    </xdr:to>
    <xdr:pic>
      <xdr:nvPicPr>
        <xdr:cNvPr id="2" name="Grafik 1">
          <a:extLst>
            <a:ext uri="{FF2B5EF4-FFF2-40B4-BE49-F238E27FC236}">
              <a16:creationId xmlns:a16="http://schemas.microsoft.com/office/drawing/2014/main" id="{9F436512-1A44-4229-9DB9-33E8F47CB644}"/>
            </a:ext>
          </a:extLst>
        </xdr:cNvPr>
        <xdr:cNvPicPr>
          <a:picLocks noChangeAspect="1"/>
        </xdr:cNvPicPr>
      </xdr:nvPicPr>
      <xdr:blipFill>
        <a:blip xmlns:r="http://schemas.openxmlformats.org/officeDocument/2006/relationships" r:embed="rId1"/>
        <a:stretch>
          <a:fillRect/>
        </a:stretch>
      </xdr:blipFill>
      <xdr:spPr>
        <a:xfrm>
          <a:off x="5191125" y="0"/>
          <a:ext cx="2265870" cy="533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147542</xdr:colOff>
      <xdr:row>2</xdr:row>
      <xdr:rowOff>96650</xdr:rowOff>
    </xdr:from>
    <xdr:to>
      <xdr:col>9</xdr:col>
      <xdr:colOff>396875</xdr:colOff>
      <xdr:row>4</xdr:row>
      <xdr:rowOff>46878</xdr:rowOff>
    </xdr:to>
    <xdr:sp macro="" textlink="">
      <xdr:nvSpPr>
        <xdr:cNvPr id="2" name="Textfeld 1">
          <a:extLst>
            <a:ext uri="{FF2B5EF4-FFF2-40B4-BE49-F238E27FC236}">
              <a16:creationId xmlns:a16="http://schemas.microsoft.com/office/drawing/2014/main" id="{4803F8C9-4875-439A-82AE-68367AE513D6}"/>
            </a:ext>
          </a:extLst>
        </xdr:cNvPr>
        <xdr:cNvSpPr txBox="1"/>
      </xdr:nvSpPr>
      <xdr:spPr>
        <a:xfrm>
          <a:off x="4441412" y="464315"/>
          <a:ext cx="6484398" cy="336943"/>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u="sng">
              <a:solidFill>
                <a:schemeClr val="dk1"/>
              </a:solidFill>
              <a:effectLst/>
              <a:latin typeface="+mn-lt"/>
              <a:ea typeface="+mn-ea"/>
              <a:cs typeface="+mn-cs"/>
            </a:rPr>
            <a:t>Templates have to be used as-is </a:t>
          </a:r>
          <a:r>
            <a:rPr lang="en-US" sz="1100">
              <a:solidFill>
                <a:schemeClr val="dk1"/>
              </a:solidFill>
              <a:effectLst/>
              <a:latin typeface="+mn-lt"/>
              <a:ea typeface="+mn-ea"/>
              <a:cs typeface="+mn-cs"/>
            </a:rPr>
            <a:t>otherwise your quotation could not be considered to the next level in the tender (2</a:t>
          </a:r>
          <a:r>
            <a:rPr lang="en-US" sz="1100" baseline="30000">
              <a:solidFill>
                <a:schemeClr val="dk1"/>
              </a:solidFill>
              <a:effectLst/>
              <a:latin typeface="+mn-lt"/>
              <a:ea typeface="+mn-ea"/>
              <a:cs typeface="+mn-cs"/>
            </a:rPr>
            <a:t>nd</a:t>
          </a:r>
          <a:r>
            <a:rPr lang="en-US" sz="1100">
              <a:solidFill>
                <a:schemeClr val="dk1"/>
              </a:solidFill>
              <a:effectLst/>
              <a:latin typeface="+mn-lt"/>
              <a:ea typeface="+mn-ea"/>
              <a:cs typeface="+mn-cs"/>
            </a:rPr>
            <a:t> round negotiation)</a:t>
          </a:r>
          <a:endParaRPr lang="de-DE" sz="1100">
            <a:solidFill>
              <a:schemeClr val="dk1"/>
            </a:solidFill>
            <a:effectLst/>
            <a:latin typeface="+mn-lt"/>
            <a:ea typeface="+mn-ea"/>
            <a:cs typeface="+mn-cs"/>
          </a:endParaRPr>
        </a:p>
        <a:p>
          <a:endParaRPr lang="de-DE"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657225</xdr:colOff>
      <xdr:row>0</xdr:row>
      <xdr:rowOff>0</xdr:rowOff>
    </xdr:from>
    <xdr:to>
      <xdr:col>13</xdr:col>
      <xdr:colOff>17970</xdr:colOff>
      <xdr:row>2</xdr:row>
      <xdr:rowOff>133350</xdr:rowOff>
    </xdr:to>
    <xdr:pic>
      <xdr:nvPicPr>
        <xdr:cNvPr id="2" name="Grafik 1">
          <a:extLst>
            <a:ext uri="{FF2B5EF4-FFF2-40B4-BE49-F238E27FC236}">
              <a16:creationId xmlns:a16="http://schemas.microsoft.com/office/drawing/2014/main" id="{0D210B9A-BDF3-4F8B-90BB-971FD4CF3BF4}"/>
            </a:ext>
          </a:extLst>
        </xdr:cNvPr>
        <xdr:cNvPicPr>
          <a:picLocks noChangeAspect="1"/>
        </xdr:cNvPicPr>
      </xdr:nvPicPr>
      <xdr:blipFill>
        <a:blip xmlns:r="http://schemas.openxmlformats.org/officeDocument/2006/relationships" r:embed="rId1"/>
        <a:stretch>
          <a:fillRect/>
        </a:stretch>
      </xdr:blipFill>
      <xdr:spPr>
        <a:xfrm>
          <a:off x="5838825" y="0"/>
          <a:ext cx="2265870" cy="533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147542</xdr:colOff>
      <xdr:row>2</xdr:row>
      <xdr:rowOff>96650</xdr:rowOff>
    </xdr:from>
    <xdr:to>
      <xdr:col>9</xdr:col>
      <xdr:colOff>396875</xdr:colOff>
      <xdr:row>4</xdr:row>
      <xdr:rowOff>46878</xdr:rowOff>
    </xdr:to>
    <xdr:sp macro="" textlink="">
      <xdr:nvSpPr>
        <xdr:cNvPr id="2" name="Textfeld 1">
          <a:extLst>
            <a:ext uri="{FF2B5EF4-FFF2-40B4-BE49-F238E27FC236}">
              <a16:creationId xmlns:a16="http://schemas.microsoft.com/office/drawing/2014/main" id="{B722A75E-60F6-4AA9-8D39-9034F9188CD4}"/>
            </a:ext>
          </a:extLst>
        </xdr:cNvPr>
        <xdr:cNvSpPr txBox="1"/>
      </xdr:nvSpPr>
      <xdr:spPr>
        <a:xfrm>
          <a:off x="4445222" y="470030"/>
          <a:ext cx="6482493" cy="331228"/>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u="sng">
              <a:solidFill>
                <a:schemeClr val="dk1"/>
              </a:solidFill>
              <a:effectLst/>
              <a:latin typeface="+mn-lt"/>
              <a:ea typeface="+mn-ea"/>
              <a:cs typeface="+mn-cs"/>
            </a:rPr>
            <a:t>Templates have to be used as-is </a:t>
          </a:r>
          <a:r>
            <a:rPr lang="en-US" sz="1100">
              <a:solidFill>
                <a:schemeClr val="dk1"/>
              </a:solidFill>
              <a:effectLst/>
              <a:latin typeface="+mn-lt"/>
              <a:ea typeface="+mn-ea"/>
              <a:cs typeface="+mn-cs"/>
            </a:rPr>
            <a:t>otherwise your quotation could not be considered to the next level in the tender (2</a:t>
          </a:r>
          <a:r>
            <a:rPr lang="en-US" sz="1100" baseline="30000">
              <a:solidFill>
                <a:schemeClr val="dk1"/>
              </a:solidFill>
              <a:effectLst/>
              <a:latin typeface="+mn-lt"/>
              <a:ea typeface="+mn-ea"/>
              <a:cs typeface="+mn-cs"/>
            </a:rPr>
            <a:t>nd</a:t>
          </a:r>
          <a:r>
            <a:rPr lang="en-US" sz="1100">
              <a:solidFill>
                <a:schemeClr val="dk1"/>
              </a:solidFill>
              <a:effectLst/>
              <a:latin typeface="+mn-lt"/>
              <a:ea typeface="+mn-ea"/>
              <a:cs typeface="+mn-cs"/>
            </a:rPr>
            <a:t> round negotiation)</a:t>
          </a:r>
          <a:endParaRPr lang="de-DE" sz="1100">
            <a:solidFill>
              <a:schemeClr val="dk1"/>
            </a:solidFill>
            <a:effectLst/>
            <a:latin typeface="+mn-lt"/>
            <a:ea typeface="+mn-ea"/>
            <a:cs typeface="+mn-cs"/>
          </a:endParaRPr>
        </a:p>
        <a:p>
          <a:endParaRPr lang="de-DE"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USER_FTE\COMMUN\ESPAGNE\BARTRAC.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users\F006977\Documents\Groupage\Matrices\Offre%20commerciale\2015%2011%2017%20-%20OFFRE%20COMMERCIALE%20FRANCE%20GROUPAGE_V7.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X:\Verkauf\Verkauf_Neu\2.0_Tarife\2.1_Verkaufstarife_ERKA\Europa_Tarif_Export_2025.xlsx" TargetMode="External"/><Relationship Id="rId1" Type="http://schemas.openxmlformats.org/officeDocument/2006/relationships/externalLinkPath" Target="file:///X:\Verkauf\Verkauf_Neu\2.0_Tarife\2.1_Verkaufstarife_ERKA\Europa_Tarif_Export_202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Users\TOBIAS~1.VOL\AppData\Local\Temp\notes1647B1\5046-5716%20Rhenus%20Hilden%20-%20Essers%20Genk%20def_2013-05-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users\u410879\Local%20Settings\Temporary%20Internet%20Files\Content.Outlook\BUCIP388\Matrice%20MAI%20201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K:\users\u110226\Desktop\ERREU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K:\Users\F011678\AppData\Local\Microsoft\Windows\Temporary%20Internet%20Files\Content.Outlook\1062H41L\Copie%20de%20Fichier%20Cotations%20v7.8%20LYON%20-%20Copie%20(002)%20(002).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gwshare/SME_PEP_SV_PARTNER/Partnerverrechnung_share/Hellmann/HWL_RR_Nord_GW-AT-CH_11-2012_update_01-2013.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Atma\HAUSSES%20TARIFAIRES%202013-2014\Fichier%20Hausse%202013-201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T:\Dokumente%20und%20Einstellungen\mlehmkue\Lokale%20Einstellungen\Temporary%20Internet%20Files\Content.IE5\YW3XIUVU\INTERN\Z_PERS\MARTIN\SPED\UNNA\Kalkulation\Kundenkalkulation%20ab%20Unn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inetgefco.net\Dfs\Users\gg20252\AppData\Local\Microsoft\Windows\Temporary%20Internet%20Files\Content.Outlook\4TO0718R\Indicateurs%20MOA_12%20Mois.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etgefco.net\Dfs\FR-800\HQ-048\TLI-Transport-Logistique-Industrielle\OVL&amp;WRP%20France\ADV-France\EST\%23%20Anne%20et%20Catherine\Anne%20hausse%202020.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K:\Atma\HAUSSES%20TARIFAIRES%202014-2015\Hausse%202014%20-201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gefco.sharepoint.com/users/F006977/Documents/SI/Doc%20EDI/FRANCAIS-GEFCOLINE_Documentation_TEDI_V1%2016.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etgefco.net\Dfs\23-%20Reporting%20KPI%20&amp;%20OBEYA\ProductionKpi\outilProd\ProductionMOA_V2_12%20MoisAAAAMM.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Z:\USERS\gg26128\Personal\DOSSIERS%20COMMERCIAUX\Com%202002\Tarifs%202002\GI\TG%20GI%202002%20%20NEW%2009%202002%20copie.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T:\Dokumente%20und%20Einstellungen\mnclaus\Eigene%20Dateien\Hellmann\PM%20Europa\Partner\Itella\SCAN_itella%20alle%20L&#196;nder%20EVE-EVI%20(20)-DE%2001.03.201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gwshare/Dokumente%20und%20Einstellungen/mnclaus/Eigene%20Dateien/Hellmann/PM%20Europa/TARIFE%20PARTNER%202010/MOEL_Weiss-DE%2001.02.2010%20(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T:\Dokumente%20und%20Einstellungen\mlehmkue\Lokale%20Einstellungen\Temporary%20Internet%20Files\Content.IE5\YW3XIUVU\INTERN\Z_PERS\MARTIN\KUNDEN\L\Legrand\Legrand%20200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gwshare/SME_PEP_SV_PARTNER/Partnerverrechnung_share/DIEHL/Diehl_Partnerverrechnung_share/Diehl_LTL_FTL_Italsempione_Milano.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K:\Atma\HAUSSES%20TARIFAIRES%202012-2013\Hausse%202012%202013.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K:\users\u320363\Local%20Settings\Temporary%20Internet%20Files\OLK46\Mod&#232;les%20tarifs%20commerce%20v3.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K:\Temp\4c\Mod&#232;les%20tarifs%20commerce%20v3.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AAA-PERRIN\nouveau%20fond%20documentaire%202006\gennevilliers\tarifs%20julien%20essai\nouvelles%20grilles%20tarifaires%202006%2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K:\Users\F019117\Desktop\EDI.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users\F006977\Documents\AO\Champagne%20P0\Grille%20GRP%20V5-P0%20V3_Avignon.xlsb"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K:\users\gg19585\My%20Documents\Personal\EXCEL\REGION\OVERLAND\Messagerie%20nat\Mod&#232;les%20tarifs%20commerce%20v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K:\03%20-%20Marketing%20strat&#233;gique%20des%20offres\GATEWAY%201520%20SOLUTIONS\Products\Gateway%201520%20Solutions\SOLUTIONS\OVS_Baltic%20Gate\BALTIC%20Asia-Ukraine%20via%20Baltic%20port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Z:\USERS\gg26128\Personal\DOSSIERS%20COMMERCIAUX\Com%202002\Tarifs%202002\GI\TG%20GI%202002%20%20%20NEW.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O:\Groupage\CONSTANTES\SIMULATIONS%20TARIFAIRES\Versions%20applicables\BELGIQUE\Outil%20simul%20tarifaire%202012%20Mess%20Belgique_V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BARCALL"/>
      <sheetName val="EBARITAL"/>
      <sheetName val="EBARGB"/>
      <sheetName val="EBARPORT"/>
      <sheetName val="EBARHOLL"/>
      <sheetName val="EBARFRAN"/>
    </sheetNames>
    <sheetDataSet>
      <sheetData sheetId="0">
        <row r="17">
          <cell r="C17" t="str">
            <v>TARIF GROUPAGE INTER CENTRE EUROPE</v>
          </cell>
          <cell r="P17" t="str">
            <v>22 JANVIER 1966</v>
          </cell>
        </row>
        <row r="18">
          <cell r="B18" t="str">
            <v>ESP</v>
          </cell>
          <cell r="C18" t="str">
            <v>EBARCALL</v>
          </cell>
          <cell r="E18" t="str">
            <v>P . SPECK DM/FTE/EXPL</v>
          </cell>
          <cell r="Q18" t="str">
            <v>EBARCALL</v>
          </cell>
          <cell r="T18">
            <v>35891.588909953702</v>
          </cell>
        </row>
        <row r="20">
          <cell r="C20" t="str">
            <v>LIAISONS INTERNATIONALES</v>
          </cell>
          <cell r="L20" t="str">
            <v>GEFCO ESPANA</v>
          </cell>
          <cell r="Q20" t="str">
            <v xml:space="preserve"> E S P A G N E </v>
          </cell>
        </row>
        <row r="21">
          <cell r="L21" t="str">
            <v>POLIGONO INDUSTIAL SALVATELLA</v>
          </cell>
        </row>
        <row r="22">
          <cell r="L22" t="str">
            <v>GORGS LLADO, 174 - 186</v>
          </cell>
        </row>
        <row r="23">
          <cell r="C23" t="str">
            <v xml:space="preserve">AU DEPART : </v>
          </cell>
          <cell r="G23" t="str">
            <v>BARBERA DEL VALLES</v>
          </cell>
          <cell r="L23" t="str">
            <v>08210 - BARBERA DEL VALLES</v>
          </cell>
          <cell r="Q23" t="str">
            <v xml:space="preserve"> BARCELONA</v>
          </cell>
        </row>
        <row r="24">
          <cell r="L24" t="str">
            <v>TEL 00 34 3 729 79 70</v>
          </cell>
        </row>
        <row r="25">
          <cell r="L25" t="str">
            <v>FAX 00 34 3 718 34 94</v>
          </cell>
        </row>
        <row r="26">
          <cell r="C26" t="str">
            <v>Achat................................</v>
          </cell>
          <cell r="H26" t="str">
            <v>ESP=</v>
          </cell>
          <cell r="I26">
            <v>35891.5625</v>
          </cell>
          <cell r="J26">
            <v>35891.5625</v>
          </cell>
          <cell r="Q26" t="str">
            <v xml:space="preserve"> ZONE : E 01</v>
          </cell>
        </row>
        <row r="29">
          <cell r="C29" t="str">
            <v>A DESTINATION DE :</v>
          </cell>
          <cell r="L29" t="str">
            <v>ETUDE N° 3</v>
          </cell>
          <cell r="Q29" t="str">
            <v xml:space="preserve"> ALLEMAGNE</v>
          </cell>
        </row>
        <row r="31">
          <cell r="E31" t="str">
            <v>FORFAIT EN :</v>
          </cell>
          <cell r="G31" t="str">
            <v>PESETAS - ESP</v>
          </cell>
        </row>
        <row r="32">
          <cell r="C32" t="str">
            <v xml:space="preserve">  A</v>
          </cell>
          <cell r="D32" t="str">
            <v>- LIVRAISON D'ESPAGNE SUR CEE, ORIGINE ET PROVENANCE CEE: PAS DE FORMALITE, PAS DE DE DEBIT</v>
          </cell>
        </row>
        <row r="34">
          <cell r="D34" t="str">
            <v>- FORMALITES EXPORT ESPAGNE (SUR POIDS REEL)</v>
          </cell>
          <cell r="M34" t="str">
            <v>1 A 100 KGS =</v>
          </cell>
          <cell r="O34">
            <v>1900</v>
          </cell>
          <cell r="P34" t="str">
            <v>ESP=</v>
          </cell>
          <cell r="Q34" t="str">
            <v>+ 100 KGS =</v>
          </cell>
          <cell r="S34">
            <v>3000</v>
          </cell>
          <cell r="T34" t="str">
            <v>ESP=</v>
          </cell>
        </row>
        <row r="35">
          <cell r="D35" t="str">
            <v xml:space="preserve">  ORIGINE ET OU PROVENANCE PAYS TIERS ET DE L'AELE</v>
          </cell>
        </row>
        <row r="38">
          <cell r="C38" t="str">
            <v xml:space="preserve">  B</v>
          </cell>
          <cell r="D38" t="str">
            <v xml:space="preserve"> TRACTION INTERNATIONALE (SUR POIDS TAXABLE) 4 M3 = 1 TONNE</v>
          </cell>
        </row>
        <row r="40">
          <cell r="C40" t="str">
            <v>M3 MAXI</v>
          </cell>
          <cell r="E40">
            <v>0.12</v>
          </cell>
          <cell r="F40">
            <v>0.24</v>
          </cell>
          <cell r="G40">
            <v>0.4</v>
          </cell>
          <cell r="H40">
            <v>0.8</v>
          </cell>
          <cell r="I40">
            <v>1.2</v>
          </cell>
          <cell r="J40">
            <v>1.6</v>
          </cell>
          <cell r="K40">
            <v>2</v>
          </cell>
          <cell r="L40">
            <v>2.4</v>
          </cell>
          <cell r="M40">
            <v>2.8</v>
          </cell>
          <cell r="N40">
            <v>3.2</v>
          </cell>
          <cell r="O40">
            <v>3.6</v>
          </cell>
          <cell r="P40">
            <v>4</v>
          </cell>
          <cell r="Q40">
            <v>6</v>
          </cell>
          <cell r="R40">
            <v>8</v>
          </cell>
          <cell r="S40">
            <v>10</v>
          </cell>
          <cell r="T40">
            <v>12</v>
          </cell>
        </row>
        <row r="42">
          <cell r="C42" t="str">
            <v>KGS MINI</v>
          </cell>
          <cell r="E42">
            <v>1</v>
          </cell>
          <cell r="F42">
            <v>31</v>
          </cell>
          <cell r="G42">
            <v>61</v>
          </cell>
          <cell r="H42">
            <v>101</v>
          </cell>
          <cell r="I42">
            <v>201</v>
          </cell>
          <cell r="J42">
            <v>301</v>
          </cell>
          <cell r="K42">
            <v>401</v>
          </cell>
          <cell r="L42">
            <v>501</v>
          </cell>
          <cell r="M42">
            <v>601</v>
          </cell>
          <cell r="N42">
            <v>701</v>
          </cell>
          <cell r="O42">
            <v>801</v>
          </cell>
          <cell r="P42">
            <v>901</v>
          </cell>
          <cell r="Q42">
            <v>1001</v>
          </cell>
          <cell r="R42">
            <v>1501</v>
          </cell>
          <cell r="S42">
            <v>2001</v>
          </cell>
          <cell r="T42">
            <v>2501</v>
          </cell>
        </row>
        <row r="43">
          <cell r="C43" t="str">
            <v>KGS MAXI</v>
          </cell>
          <cell r="E43">
            <v>30</v>
          </cell>
          <cell r="F43">
            <v>60</v>
          </cell>
          <cell r="G43">
            <v>100</v>
          </cell>
          <cell r="H43">
            <v>200</v>
          </cell>
          <cell r="I43">
            <v>300</v>
          </cell>
          <cell r="J43">
            <v>400</v>
          </cell>
          <cell r="K43">
            <v>500</v>
          </cell>
          <cell r="L43">
            <v>600</v>
          </cell>
          <cell r="M43">
            <v>700</v>
          </cell>
          <cell r="N43">
            <v>800</v>
          </cell>
          <cell r="O43">
            <v>900</v>
          </cell>
          <cell r="P43">
            <v>1000</v>
          </cell>
          <cell r="Q43">
            <v>1500</v>
          </cell>
          <cell r="R43">
            <v>2000</v>
          </cell>
          <cell r="S43">
            <v>2500</v>
          </cell>
          <cell r="T43">
            <v>3000</v>
          </cell>
        </row>
        <row r="44">
          <cell r="C44" t="str">
            <v>EBARCALL</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row>
        <row r="46">
          <cell r="C46" t="str">
            <v>D 09 - DUSSELDORF - HILDEN</v>
          </cell>
        </row>
        <row r="47">
          <cell r="E47">
            <v>480.00299999999999</v>
          </cell>
          <cell r="F47">
            <v>960.00599999999997</v>
          </cell>
          <cell r="G47">
            <v>1600.01</v>
          </cell>
          <cell r="H47">
            <v>3200.02</v>
          </cell>
          <cell r="I47">
            <v>4800.03</v>
          </cell>
          <cell r="J47">
            <v>5600.0349999999999</v>
          </cell>
          <cell r="K47">
            <v>7200.0450000000001</v>
          </cell>
          <cell r="L47">
            <v>8800.0550000000003</v>
          </cell>
          <cell r="M47">
            <v>10400.065000000001</v>
          </cell>
          <cell r="N47">
            <v>12000.075000000001</v>
          </cell>
          <cell r="O47">
            <v>13600.084999999999</v>
          </cell>
          <cell r="P47">
            <v>15200.094999999999</v>
          </cell>
          <cell r="Q47">
            <v>20000.125</v>
          </cell>
          <cell r="R47">
            <v>28000.174999999999</v>
          </cell>
          <cell r="S47">
            <v>36000.224999999999</v>
          </cell>
          <cell r="T47">
            <v>44000.275000000001</v>
          </cell>
        </row>
        <row r="48">
          <cell r="C48" t="str">
            <v>INCOTERM D.A.F. ESPAGNE (Rendu Frontiere ESPAGNOLE)</v>
          </cell>
        </row>
        <row r="49">
          <cell r="C49" t="str">
            <v>PART E</v>
          </cell>
          <cell r="D49">
            <v>0.11</v>
          </cell>
          <cell r="E49">
            <v>52.800329999999995</v>
          </cell>
          <cell r="F49">
            <v>105.60065999999999</v>
          </cell>
          <cell r="G49">
            <v>176.00110000000001</v>
          </cell>
          <cell r="H49">
            <v>352.00220000000002</v>
          </cell>
          <cell r="I49">
            <v>528.00329999999997</v>
          </cell>
          <cell r="J49">
            <v>616.00384999999994</v>
          </cell>
          <cell r="K49">
            <v>792.00495000000001</v>
          </cell>
          <cell r="L49">
            <v>968.00605000000007</v>
          </cell>
          <cell r="M49">
            <v>1144.0071500000001</v>
          </cell>
          <cell r="N49">
            <v>1320.0082500000001</v>
          </cell>
          <cell r="O49">
            <v>1496.0093499999998</v>
          </cell>
          <cell r="P49">
            <v>1672.01045</v>
          </cell>
          <cell r="Q49">
            <v>2200.0137500000001</v>
          </cell>
          <cell r="R49">
            <v>3080.0192499999998</v>
          </cell>
          <cell r="S49">
            <v>3960.02475</v>
          </cell>
          <cell r="T49">
            <v>4840.0302499999998</v>
          </cell>
        </row>
        <row r="50">
          <cell r="C50" t="str">
            <v>PART A</v>
          </cell>
          <cell r="D50">
            <v>0.89</v>
          </cell>
          <cell r="E50">
            <v>427.20267000000001</v>
          </cell>
          <cell r="F50">
            <v>854.40534000000002</v>
          </cell>
          <cell r="G50">
            <v>1424.0089</v>
          </cell>
          <cell r="H50">
            <v>2848.0178000000001</v>
          </cell>
          <cell r="I50">
            <v>4272.0266999999994</v>
          </cell>
          <cell r="J50">
            <v>4984.0311499999998</v>
          </cell>
          <cell r="K50">
            <v>6408.0400500000005</v>
          </cell>
          <cell r="L50">
            <v>7832.0489500000003</v>
          </cell>
          <cell r="M50">
            <v>9256.0578500000011</v>
          </cell>
          <cell r="N50">
            <v>10680.06675</v>
          </cell>
          <cell r="O50">
            <v>12104.075649999999</v>
          </cell>
          <cell r="P50">
            <v>13528.08455</v>
          </cell>
          <cell r="Q50">
            <v>17800.111250000002</v>
          </cell>
          <cell r="R50">
            <v>24920.155749999998</v>
          </cell>
          <cell r="S50">
            <v>32040.200249999998</v>
          </cell>
          <cell r="T50">
            <v>39160.244750000005</v>
          </cell>
        </row>
        <row r="52">
          <cell r="C52" t="str">
            <v>D 13 - FRANKFURT / MAIN - MORFELDEN</v>
          </cell>
        </row>
        <row r="53">
          <cell r="E53">
            <v>445.00199999999995</v>
          </cell>
          <cell r="F53">
            <v>890.00399999999991</v>
          </cell>
          <cell r="G53">
            <v>1483.34</v>
          </cell>
          <cell r="H53">
            <v>2966.68</v>
          </cell>
          <cell r="I53">
            <v>4450.0199999999995</v>
          </cell>
          <cell r="J53">
            <v>5191.6899999999996</v>
          </cell>
          <cell r="K53">
            <v>6675.03</v>
          </cell>
          <cell r="L53">
            <v>8158.37</v>
          </cell>
          <cell r="M53">
            <v>9641.7099999999991</v>
          </cell>
          <cell r="N53">
            <v>11125.05</v>
          </cell>
          <cell r="O53">
            <v>12608.39</v>
          </cell>
          <cell r="P53">
            <v>14091.73</v>
          </cell>
          <cell r="Q53">
            <v>18541.75</v>
          </cell>
          <cell r="R53">
            <v>25958.449999999997</v>
          </cell>
          <cell r="S53">
            <v>33375.15</v>
          </cell>
          <cell r="T53">
            <v>40791.85</v>
          </cell>
        </row>
        <row r="54">
          <cell r="C54" t="str">
            <v>INCOTERM D.A.F. ESPAGNE (Rendu Frontiere ESPAGNOLE)</v>
          </cell>
        </row>
        <row r="55">
          <cell r="C55" t="str">
            <v>PART E</v>
          </cell>
          <cell r="D55">
            <v>0.11</v>
          </cell>
          <cell r="E55">
            <v>48.950219999999995</v>
          </cell>
          <cell r="F55">
            <v>97.900439999999989</v>
          </cell>
          <cell r="G55">
            <v>163.16739999999999</v>
          </cell>
          <cell r="H55">
            <v>326.33479999999997</v>
          </cell>
          <cell r="I55">
            <v>489.50219999999996</v>
          </cell>
          <cell r="J55">
            <v>571.08589999999992</v>
          </cell>
          <cell r="K55">
            <v>734.25329999999997</v>
          </cell>
          <cell r="L55">
            <v>897.42070000000001</v>
          </cell>
          <cell r="M55">
            <v>1060.5880999999999</v>
          </cell>
          <cell r="N55">
            <v>1223.7555</v>
          </cell>
          <cell r="O55">
            <v>1386.9229</v>
          </cell>
          <cell r="P55">
            <v>1550.0903000000001</v>
          </cell>
          <cell r="Q55">
            <v>2039.5925</v>
          </cell>
          <cell r="R55">
            <v>2855.4294999999997</v>
          </cell>
          <cell r="S55">
            <v>3671.2665000000002</v>
          </cell>
          <cell r="T55">
            <v>4487.1035000000002</v>
          </cell>
        </row>
        <row r="56">
          <cell r="C56" t="str">
            <v>PART A</v>
          </cell>
          <cell r="D56">
            <v>0.89</v>
          </cell>
          <cell r="E56">
            <v>396.05177999999995</v>
          </cell>
          <cell r="F56">
            <v>792.1035599999999</v>
          </cell>
          <cell r="G56">
            <v>1320.1725999999999</v>
          </cell>
          <cell r="H56">
            <v>2640.3451999999997</v>
          </cell>
          <cell r="I56">
            <v>3960.5177999999996</v>
          </cell>
          <cell r="J56">
            <v>4620.6040999999996</v>
          </cell>
          <cell r="K56">
            <v>5940.7766999999994</v>
          </cell>
          <cell r="L56">
            <v>7260.9493000000002</v>
          </cell>
          <cell r="M56">
            <v>8581.1219000000001</v>
          </cell>
          <cell r="N56">
            <v>9901.2945</v>
          </cell>
          <cell r="O56">
            <v>11221.4671</v>
          </cell>
          <cell r="P56">
            <v>12541.6397</v>
          </cell>
          <cell r="Q56">
            <v>16502.157500000001</v>
          </cell>
          <cell r="R56">
            <v>23103.020499999999</v>
          </cell>
          <cell r="S56">
            <v>29703.883500000004</v>
          </cell>
          <cell r="T56">
            <v>36304.746500000001</v>
          </cell>
        </row>
        <row r="58">
          <cell r="C58" t="str">
            <v>D 17 - STUTTGART - SCHWIEBERDINGEN</v>
          </cell>
        </row>
        <row r="59">
          <cell r="E59">
            <v>445.00199999999995</v>
          </cell>
          <cell r="F59">
            <v>890.00399999999991</v>
          </cell>
          <cell r="G59">
            <v>1483.34</v>
          </cell>
          <cell r="H59">
            <v>2966.68</v>
          </cell>
          <cell r="I59">
            <v>4450.0199999999995</v>
          </cell>
          <cell r="J59">
            <v>5191.6899999999996</v>
          </cell>
          <cell r="K59">
            <v>6675.03</v>
          </cell>
          <cell r="L59">
            <v>8158.37</v>
          </cell>
          <cell r="M59">
            <v>9641.7099999999991</v>
          </cell>
          <cell r="N59">
            <v>11125.05</v>
          </cell>
          <cell r="O59">
            <v>12608.39</v>
          </cell>
          <cell r="P59">
            <v>14091.73</v>
          </cell>
          <cell r="Q59">
            <v>18541.75</v>
          </cell>
          <cell r="R59">
            <v>25958.449999999997</v>
          </cell>
          <cell r="S59">
            <v>33375.15</v>
          </cell>
          <cell r="T59">
            <v>40791.85</v>
          </cell>
        </row>
        <row r="60">
          <cell r="C60" t="str">
            <v>INCOTERM D.A.F. ESPAGNE (Rendu Frontiere ESPAGNOLE)</v>
          </cell>
        </row>
        <row r="61">
          <cell r="C61" t="str">
            <v>PART E</v>
          </cell>
          <cell r="D61">
            <v>0.12</v>
          </cell>
          <cell r="E61">
            <v>53.400239999999989</v>
          </cell>
          <cell r="F61">
            <v>106.80047999999998</v>
          </cell>
          <cell r="G61">
            <v>178.00079999999997</v>
          </cell>
          <cell r="H61">
            <v>356.00159999999994</v>
          </cell>
          <cell r="I61">
            <v>534.00239999999997</v>
          </cell>
          <cell r="J61">
            <v>623.00279999999998</v>
          </cell>
          <cell r="K61">
            <v>801.00359999999989</v>
          </cell>
          <cell r="L61">
            <v>979.00439999999992</v>
          </cell>
          <cell r="M61">
            <v>1157.0051999999998</v>
          </cell>
          <cell r="N61">
            <v>1335.0059999999999</v>
          </cell>
          <cell r="O61">
            <v>1513.0067999999999</v>
          </cell>
          <cell r="P61">
            <v>1691.0075999999999</v>
          </cell>
          <cell r="Q61">
            <v>2225.0099999999998</v>
          </cell>
          <cell r="R61">
            <v>3115.0139999999997</v>
          </cell>
          <cell r="S61">
            <v>4005.018</v>
          </cell>
          <cell r="T61">
            <v>4895.0219999999999</v>
          </cell>
        </row>
        <row r="62">
          <cell r="C62" t="str">
            <v>PART A</v>
          </cell>
          <cell r="D62">
            <v>0.88</v>
          </cell>
          <cell r="E62">
            <v>391.60175999999996</v>
          </cell>
          <cell r="F62">
            <v>783.20351999999991</v>
          </cell>
          <cell r="G62">
            <v>1305.3391999999999</v>
          </cell>
          <cell r="H62">
            <v>2610.6783999999998</v>
          </cell>
          <cell r="I62">
            <v>3916.0175999999997</v>
          </cell>
          <cell r="J62">
            <v>4568.6871999999994</v>
          </cell>
          <cell r="K62">
            <v>5874.0263999999997</v>
          </cell>
          <cell r="L62">
            <v>7179.3656000000001</v>
          </cell>
          <cell r="M62">
            <v>8484.7047999999995</v>
          </cell>
          <cell r="N62">
            <v>9790.0439999999999</v>
          </cell>
          <cell r="O62">
            <v>11095.3832</v>
          </cell>
          <cell r="P62">
            <v>12400.722400000001</v>
          </cell>
          <cell r="Q62">
            <v>16316.74</v>
          </cell>
          <cell r="R62">
            <v>22843.435999999998</v>
          </cell>
          <cell r="S62">
            <v>29370.132000000001</v>
          </cell>
          <cell r="T62">
            <v>35896.828000000001</v>
          </cell>
        </row>
        <row r="64">
          <cell r="C64" t="str">
            <v>X</v>
          </cell>
        </row>
        <row r="65">
          <cell r="E65">
            <v>3.0000000000000001E-3</v>
          </cell>
          <cell r="F65">
            <v>6.0000000000000001E-3</v>
          </cell>
          <cell r="G65">
            <v>0.01</v>
          </cell>
          <cell r="H65">
            <v>0.02</v>
          </cell>
          <cell r="I65">
            <v>0.03</v>
          </cell>
          <cell r="J65">
            <v>3.5000000000000003E-2</v>
          </cell>
          <cell r="K65">
            <v>4.4999999999999998E-2</v>
          </cell>
          <cell r="L65">
            <v>5.5E-2</v>
          </cell>
          <cell r="M65">
            <v>6.5000000000000002E-2</v>
          </cell>
          <cell r="N65">
            <v>7.4999999999999997E-2</v>
          </cell>
          <cell r="O65">
            <v>8.5000000000000006E-2</v>
          </cell>
          <cell r="P65">
            <v>9.5000000000000001E-2</v>
          </cell>
          <cell r="Q65">
            <v>0.125</v>
          </cell>
          <cell r="R65">
            <v>0.17500000000000002</v>
          </cell>
          <cell r="S65">
            <v>0.22500000000000001</v>
          </cell>
          <cell r="T65">
            <v>0.27500000000000002</v>
          </cell>
        </row>
        <row r="66">
          <cell r="C66" t="str">
            <v>INCOTERM D.A.F. ESPAGNE (Rendu Frontiere ESPAGNOLE)</v>
          </cell>
        </row>
        <row r="67">
          <cell r="C67" t="str">
            <v>PART E</v>
          </cell>
          <cell r="D67" t="e">
            <v>#DIV/0!</v>
          </cell>
          <cell r="E67" t="e">
            <v>#DIV/0!</v>
          </cell>
          <cell r="F67" t="e">
            <v>#DIV/0!</v>
          </cell>
          <cell r="G67" t="e">
            <v>#DIV/0!</v>
          </cell>
          <cell r="H67" t="e">
            <v>#DIV/0!</v>
          </cell>
          <cell r="I67" t="e">
            <v>#DIV/0!</v>
          </cell>
          <cell r="J67" t="e">
            <v>#DIV/0!</v>
          </cell>
          <cell r="K67" t="e">
            <v>#DIV/0!</v>
          </cell>
          <cell r="L67" t="e">
            <v>#DIV/0!</v>
          </cell>
          <cell r="M67" t="e">
            <v>#DIV/0!</v>
          </cell>
          <cell r="N67" t="e">
            <v>#DIV/0!</v>
          </cell>
          <cell r="O67" t="e">
            <v>#DIV/0!</v>
          </cell>
          <cell r="P67" t="e">
            <v>#DIV/0!</v>
          </cell>
          <cell r="Q67" t="e">
            <v>#DIV/0!</v>
          </cell>
          <cell r="R67" t="e">
            <v>#DIV/0!</v>
          </cell>
          <cell r="S67" t="e">
            <v>#DIV/0!</v>
          </cell>
          <cell r="T67" t="e">
            <v>#DIV/0!</v>
          </cell>
        </row>
        <row r="68">
          <cell r="C68" t="str">
            <v>PART UK</v>
          </cell>
          <cell r="D68" t="e">
            <v>#DIV/0!</v>
          </cell>
          <cell r="E68" t="e">
            <v>#DIV/0!</v>
          </cell>
          <cell r="F68" t="e">
            <v>#DIV/0!</v>
          </cell>
          <cell r="G68" t="e">
            <v>#DIV/0!</v>
          </cell>
          <cell r="H68" t="e">
            <v>#DIV/0!</v>
          </cell>
          <cell r="I68" t="e">
            <v>#DIV/0!</v>
          </cell>
          <cell r="J68" t="e">
            <v>#DIV/0!</v>
          </cell>
          <cell r="K68" t="e">
            <v>#DIV/0!</v>
          </cell>
          <cell r="L68" t="e">
            <v>#DIV/0!</v>
          </cell>
          <cell r="M68" t="e">
            <v>#DIV/0!</v>
          </cell>
          <cell r="N68" t="e">
            <v>#DIV/0!</v>
          </cell>
          <cell r="O68" t="e">
            <v>#DIV/0!</v>
          </cell>
          <cell r="P68" t="e">
            <v>#DIV/0!</v>
          </cell>
          <cell r="Q68" t="e">
            <v>#DIV/0!</v>
          </cell>
          <cell r="R68" t="e">
            <v>#DIV/0!</v>
          </cell>
          <cell r="S68" t="e">
            <v>#DIV/0!</v>
          </cell>
          <cell r="T68" t="e">
            <v>#DIV/0!</v>
          </cell>
        </row>
        <row r="70">
          <cell r="C70" t="str">
            <v>X</v>
          </cell>
        </row>
        <row r="71">
          <cell r="E71">
            <v>3.0000000000000001E-3</v>
          </cell>
          <cell r="F71">
            <v>6.0000000000000001E-3</v>
          </cell>
          <cell r="G71">
            <v>0.01</v>
          </cell>
          <cell r="H71">
            <v>0.02</v>
          </cell>
          <cell r="I71">
            <v>0.03</v>
          </cell>
          <cell r="J71">
            <v>3.5000000000000003E-2</v>
          </cell>
          <cell r="K71">
            <v>4.4999999999999998E-2</v>
          </cell>
          <cell r="L71">
            <v>5.5E-2</v>
          </cell>
          <cell r="M71">
            <v>6.5000000000000002E-2</v>
          </cell>
          <cell r="N71">
            <v>7.4999999999999997E-2</v>
          </cell>
          <cell r="O71">
            <v>8.5000000000000006E-2</v>
          </cell>
          <cell r="P71">
            <v>9.5000000000000001E-2</v>
          </cell>
          <cell r="Q71">
            <v>0.125</v>
          </cell>
          <cell r="R71">
            <v>0.17500000000000002</v>
          </cell>
          <cell r="S71">
            <v>0.22500000000000001</v>
          </cell>
          <cell r="T71">
            <v>0.27500000000000002</v>
          </cell>
        </row>
        <row r="72">
          <cell r="C72" t="str">
            <v xml:space="preserve">INCOTERM DAF FRANCE (Rendu Frontiere Francaise) </v>
          </cell>
        </row>
        <row r="73">
          <cell r="C73" t="str">
            <v>PART F</v>
          </cell>
          <cell r="D73" t="e">
            <v>#DIV/0!</v>
          </cell>
          <cell r="E73" t="e">
            <v>#DIV/0!</v>
          </cell>
          <cell r="F73" t="e">
            <v>#DIV/0!</v>
          </cell>
          <cell r="G73" t="e">
            <v>#DIV/0!</v>
          </cell>
          <cell r="H73" t="e">
            <v>#DIV/0!</v>
          </cell>
          <cell r="I73" t="e">
            <v>#DIV/0!</v>
          </cell>
          <cell r="J73" t="e">
            <v>#DIV/0!</v>
          </cell>
          <cell r="K73" t="e">
            <v>#DIV/0!</v>
          </cell>
          <cell r="L73" t="e">
            <v>#DIV/0!</v>
          </cell>
          <cell r="M73" t="e">
            <v>#DIV/0!</v>
          </cell>
          <cell r="N73" t="e">
            <v>#DIV/0!</v>
          </cell>
          <cell r="O73" t="e">
            <v>#DIV/0!</v>
          </cell>
          <cell r="P73" t="e">
            <v>#DIV/0!</v>
          </cell>
          <cell r="Q73" t="e">
            <v>#DIV/0!</v>
          </cell>
          <cell r="R73" t="e">
            <v>#DIV/0!</v>
          </cell>
          <cell r="S73" t="e">
            <v>#DIV/0!</v>
          </cell>
          <cell r="T73" t="e">
            <v>#DIV/0!</v>
          </cell>
        </row>
        <row r="74">
          <cell r="C74" t="str">
            <v>PART A</v>
          </cell>
          <cell r="D74" t="e">
            <v>#DIV/0!</v>
          </cell>
          <cell r="E74" t="e">
            <v>#DIV/0!</v>
          </cell>
          <cell r="F74" t="e">
            <v>#DIV/0!</v>
          </cell>
          <cell r="G74" t="e">
            <v>#DIV/0!</v>
          </cell>
          <cell r="H74" t="e">
            <v>#DIV/0!</v>
          </cell>
          <cell r="I74" t="e">
            <v>#DIV/0!</v>
          </cell>
          <cell r="J74" t="e">
            <v>#DIV/0!</v>
          </cell>
          <cell r="K74" t="e">
            <v>#DIV/0!</v>
          </cell>
          <cell r="L74" t="e">
            <v>#DIV/0!</v>
          </cell>
          <cell r="M74" t="e">
            <v>#DIV/0!</v>
          </cell>
          <cell r="N74" t="e">
            <v>#DIV/0!</v>
          </cell>
          <cell r="O74" t="e">
            <v>#DIV/0!</v>
          </cell>
          <cell r="P74" t="e">
            <v>#DIV/0!</v>
          </cell>
          <cell r="Q74" t="e">
            <v>#DIV/0!</v>
          </cell>
          <cell r="R74" t="e">
            <v>#DIV/0!</v>
          </cell>
          <cell r="S74" t="e">
            <v>#DIV/0!</v>
          </cell>
          <cell r="T74" t="e">
            <v>#DIV/0!</v>
          </cell>
        </row>
        <row r="76">
          <cell r="C76" t="str">
            <v>X</v>
          </cell>
        </row>
        <row r="77">
          <cell r="E77">
            <v>3.0000000000000001E-3</v>
          </cell>
          <cell r="F77">
            <v>6.0000000000000001E-3</v>
          </cell>
          <cell r="G77">
            <v>0.01</v>
          </cell>
          <cell r="H77">
            <v>0.02</v>
          </cell>
          <cell r="I77">
            <v>0.03</v>
          </cell>
          <cell r="J77">
            <v>3.5000000000000003E-2</v>
          </cell>
          <cell r="K77">
            <v>4.4999999999999998E-2</v>
          </cell>
          <cell r="L77">
            <v>5.5E-2</v>
          </cell>
          <cell r="M77">
            <v>6.5000000000000002E-2</v>
          </cell>
          <cell r="N77">
            <v>7.4999999999999997E-2</v>
          </cell>
          <cell r="O77">
            <v>8.5000000000000006E-2</v>
          </cell>
          <cell r="P77">
            <v>9.5000000000000001E-2</v>
          </cell>
          <cell r="Q77">
            <v>0.125</v>
          </cell>
          <cell r="R77">
            <v>0.17500000000000002</v>
          </cell>
          <cell r="S77">
            <v>0.22500000000000001</v>
          </cell>
          <cell r="T77">
            <v>0.27500000000000002</v>
          </cell>
        </row>
        <row r="78">
          <cell r="C78" t="str">
            <v>INCOTERM D.A.F. ESPAGNE (Rendu Frontiere ESPAGNOLE)</v>
          </cell>
        </row>
        <row r="79">
          <cell r="C79" t="str">
            <v>PART E</v>
          </cell>
          <cell r="D79" t="e">
            <v>#DIV/0!</v>
          </cell>
          <cell r="E79" t="e">
            <v>#DIV/0!</v>
          </cell>
          <cell r="F79" t="e">
            <v>#DIV/0!</v>
          </cell>
          <cell r="G79" t="e">
            <v>#DIV/0!</v>
          </cell>
          <cell r="H79" t="e">
            <v>#DIV/0!</v>
          </cell>
          <cell r="I79" t="e">
            <v>#DIV/0!</v>
          </cell>
          <cell r="J79" t="e">
            <v>#DIV/0!</v>
          </cell>
          <cell r="K79" t="e">
            <v>#DIV/0!</v>
          </cell>
          <cell r="L79" t="e">
            <v>#DIV/0!</v>
          </cell>
          <cell r="M79" t="e">
            <v>#DIV/0!</v>
          </cell>
          <cell r="N79" t="e">
            <v>#DIV/0!</v>
          </cell>
          <cell r="O79" t="e">
            <v>#DIV/0!</v>
          </cell>
          <cell r="P79" t="e">
            <v>#DIV/0!</v>
          </cell>
          <cell r="Q79" t="e">
            <v>#DIV/0!</v>
          </cell>
          <cell r="R79" t="e">
            <v>#DIV/0!</v>
          </cell>
          <cell r="S79" t="e">
            <v>#DIV/0!</v>
          </cell>
          <cell r="T79" t="e">
            <v>#DIV/0!</v>
          </cell>
        </row>
        <row r="80">
          <cell r="C80" t="str">
            <v>PART UK</v>
          </cell>
          <cell r="D80" t="e">
            <v>#DIV/0!</v>
          </cell>
          <cell r="E80" t="e">
            <v>#DIV/0!</v>
          </cell>
          <cell r="F80" t="e">
            <v>#DIV/0!</v>
          </cell>
          <cell r="G80" t="e">
            <v>#DIV/0!</v>
          </cell>
          <cell r="H80" t="e">
            <v>#DIV/0!</v>
          </cell>
          <cell r="I80" t="e">
            <v>#DIV/0!</v>
          </cell>
          <cell r="J80" t="e">
            <v>#DIV/0!</v>
          </cell>
          <cell r="K80" t="e">
            <v>#DIV/0!</v>
          </cell>
          <cell r="L80" t="e">
            <v>#DIV/0!</v>
          </cell>
          <cell r="M80" t="e">
            <v>#DIV/0!</v>
          </cell>
          <cell r="N80" t="e">
            <v>#DIV/0!</v>
          </cell>
          <cell r="O80" t="e">
            <v>#DIV/0!</v>
          </cell>
          <cell r="P80" t="e">
            <v>#DIV/0!</v>
          </cell>
          <cell r="Q80" t="e">
            <v>#DIV/0!</v>
          </cell>
          <cell r="R80" t="e">
            <v>#DIV/0!</v>
          </cell>
          <cell r="S80" t="e">
            <v>#DIV/0!</v>
          </cell>
          <cell r="T80" t="e">
            <v>#DIV/0!</v>
          </cell>
        </row>
        <row r="82">
          <cell r="C82" t="str">
            <v>X</v>
          </cell>
        </row>
        <row r="83">
          <cell r="E83">
            <v>3.0000000000000001E-3</v>
          </cell>
          <cell r="F83">
            <v>6.0000000000000001E-3</v>
          </cell>
          <cell r="G83">
            <v>0.01</v>
          </cell>
          <cell r="H83">
            <v>0.02</v>
          </cell>
          <cell r="I83">
            <v>0.03</v>
          </cell>
          <cell r="J83">
            <v>3.5000000000000003E-2</v>
          </cell>
          <cell r="K83">
            <v>4.4999999999999998E-2</v>
          </cell>
          <cell r="L83">
            <v>5.5E-2</v>
          </cell>
          <cell r="M83">
            <v>6.5000000000000002E-2</v>
          </cell>
          <cell r="N83">
            <v>7.4999999999999997E-2</v>
          </cell>
          <cell r="O83">
            <v>8.5000000000000006E-2</v>
          </cell>
          <cell r="P83">
            <v>9.5000000000000001E-2</v>
          </cell>
          <cell r="Q83">
            <v>0.125</v>
          </cell>
          <cell r="R83">
            <v>0.17500000000000002</v>
          </cell>
          <cell r="S83">
            <v>0.22500000000000001</v>
          </cell>
          <cell r="T83">
            <v>0.27500000000000002</v>
          </cell>
        </row>
        <row r="84">
          <cell r="C84" t="str">
            <v xml:space="preserve">INCOTERM DAF FRANCE (Rendu Frontiere Francaise) </v>
          </cell>
        </row>
        <row r="85">
          <cell r="C85" t="str">
            <v>PART F</v>
          </cell>
          <cell r="D85" t="e">
            <v>#DIV/0!</v>
          </cell>
          <cell r="E85" t="e">
            <v>#DIV/0!</v>
          </cell>
          <cell r="F85" t="e">
            <v>#DIV/0!</v>
          </cell>
          <cell r="G85" t="e">
            <v>#DIV/0!</v>
          </cell>
          <cell r="H85" t="e">
            <v>#DIV/0!</v>
          </cell>
          <cell r="I85" t="e">
            <v>#DIV/0!</v>
          </cell>
          <cell r="J85" t="e">
            <v>#DIV/0!</v>
          </cell>
          <cell r="K85" t="e">
            <v>#DIV/0!</v>
          </cell>
          <cell r="L85" t="e">
            <v>#DIV/0!</v>
          </cell>
          <cell r="M85" t="e">
            <v>#DIV/0!</v>
          </cell>
          <cell r="N85" t="e">
            <v>#DIV/0!</v>
          </cell>
          <cell r="O85" t="e">
            <v>#DIV/0!</v>
          </cell>
          <cell r="P85" t="e">
            <v>#DIV/0!</v>
          </cell>
          <cell r="Q85" t="e">
            <v>#DIV/0!</v>
          </cell>
          <cell r="R85" t="e">
            <v>#DIV/0!</v>
          </cell>
          <cell r="S85" t="e">
            <v>#DIV/0!</v>
          </cell>
          <cell r="T85" t="e">
            <v>#DIV/0!</v>
          </cell>
        </row>
        <row r="86">
          <cell r="C86" t="str">
            <v>PART A</v>
          </cell>
          <cell r="D86" t="e">
            <v>#DIV/0!</v>
          </cell>
          <cell r="E86" t="e">
            <v>#DIV/0!</v>
          </cell>
          <cell r="F86" t="e">
            <v>#DIV/0!</v>
          </cell>
          <cell r="G86" t="e">
            <v>#DIV/0!</v>
          </cell>
          <cell r="H86" t="e">
            <v>#DIV/0!</v>
          </cell>
          <cell r="I86" t="e">
            <v>#DIV/0!</v>
          </cell>
          <cell r="J86" t="e">
            <v>#DIV/0!</v>
          </cell>
          <cell r="K86" t="e">
            <v>#DIV/0!</v>
          </cell>
          <cell r="L86" t="e">
            <v>#DIV/0!</v>
          </cell>
          <cell r="M86" t="e">
            <v>#DIV/0!</v>
          </cell>
          <cell r="N86" t="e">
            <v>#DIV/0!</v>
          </cell>
          <cell r="O86" t="e">
            <v>#DIV/0!</v>
          </cell>
          <cell r="P86" t="e">
            <v>#DIV/0!</v>
          </cell>
          <cell r="Q86" t="e">
            <v>#DIV/0!</v>
          </cell>
          <cell r="R86" t="e">
            <v>#DIV/0!</v>
          </cell>
          <cell r="S86" t="e">
            <v>#DIV/0!</v>
          </cell>
          <cell r="T86" t="e">
            <v>#DIV/0!</v>
          </cell>
        </row>
        <row r="88">
          <cell r="C88" t="str">
            <v>X</v>
          </cell>
        </row>
        <row r="89">
          <cell r="E89">
            <v>3.0000000000000001E-3</v>
          </cell>
          <cell r="F89">
            <v>6.0000000000000001E-3</v>
          </cell>
          <cell r="G89">
            <v>0.01</v>
          </cell>
          <cell r="H89">
            <v>0.02</v>
          </cell>
          <cell r="I89">
            <v>0.03</v>
          </cell>
          <cell r="J89">
            <v>3.5000000000000003E-2</v>
          </cell>
          <cell r="K89">
            <v>4.4999999999999998E-2</v>
          </cell>
          <cell r="L89">
            <v>5.5E-2</v>
          </cell>
          <cell r="M89">
            <v>6.5000000000000002E-2</v>
          </cell>
          <cell r="N89">
            <v>7.4999999999999997E-2</v>
          </cell>
          <cell r="O89">
            <v>8.5000000000000006E-2</v>
          </cell>
          <cell r="P89">
            <v>9.5000000000000001E-2</v>
          </cell>
          <cell r="Q89">
            <v>0.125</v>
          </cell>
          <cell r="R89">
            <v>0.17500000000000002</v>
          </cell>
          <cell r="S89">
            <v>0.22500000000000001</v>
          </cell>
          <cell r="T89">
            <v>0.27500000000000002</v>
          </cell>
        </row>
        <row r="90">
          <cell r="C90" t="str">
            <v xml:space="preserve">INCOTERM DAF FRANCE (Rendu Frontiere Francaise) </v>
          </cell>
        </row>
        <row r="91">
          <cell r="C91" t="str">
            <v>PART F</v>
          </cell>
          <cell r="D91" t="e">
            <v>#DIV/0!</v>
          </cell>
          <cell r="E91" t="e">
            <v>#DIV/0!</v>
          </cell>
          <cell r="F91" t="e">
            <v>#DIV/0!</v>
          </cell>
          <cell r="G91" t="e">
            <v>#DIV/0!</v>
          </cell>
          <cell r="H91" t="e">
            <v>#DIV/0!</v>
          </cell>
          <cell r="I91" t="e">
            <v>#DIV/0!</v>
          </cell>
          <cell r="J91" t="e">
            <v>#DIV/0!</v>
          </cell>
          <cell r="K91" t="e">
            <v>#DIV/0!</v>
          </cell>
          <cell r="L91" t="e">
            <v>#DIV/0!</v>
          </cell>
          <cell r="M91" t="e">
            <v>#DIV/0!</v>
          </cell>
          <cell r="N91" t="e">
            <v>#DIV/0!</v>
          </cell>
          <cell r="O91" t="e">
            <v>#DIV/0!</v>
          </cell>
          <cell r="P91" t="e">
            <v>#DIV/0!</v>
          </cell>
          <cell r="Q91" t="e">
            <v>#DIV/0!</v>
          </cell>
          <cell r="R91" t="e">
            <v>#DIV/0!</v>
          </cell>
          <cell r="S91" t="e">
            <v>#DIV/0!</v>
          </cell>
          <cell r="T91" t="e">
            <v>#DIV/0!</v>
          </cell>
        </row>
        <row r="92">
          <cell r="C92" t="str">
            <v>PART A</v>
          </cell>
          <cell r="D92" t="e">
            <v>#DIV/0!</v>
          </cell>
          <cell r="E92" t="e">
            <v>#DIV/0!</v>
          </cell>
          <cell r="F92" t="e">
            <v>#DIV/0!</v>
          </cell>
          <cell r="G92" t="e">
            <v>#DIV/0!</v>
          </cell>
          <cell r="H92" t="e">
            <v>#DIV/0!</v>
          </cell>
          <cell r="I92" t="e">
            <v>#DIV/0!</v>
          </cell>
          <cell r="J92" t="e">
            <v>#DIV/0!</v>
          </cell>
          <cell r="K92" t="e">
            <v>#DIV/0!</v>
          </cell>
          <cell r="L92" t="e">
            <v>#DIV/0!</v>
          </cell>
          <cell r="M92" t="e">
            <v>#DIV/0!</v>
          </cell>
          <cell r="N92" t="e">
            <v>#DIV/0!</v>
          </cell>
          <cell r="O92" t="e">
            <v>#DIV/0!</v>
          </cell>
          <cell r="P92" t="e">
            <v>#DIV/0!</v>
          </cell>
          <cell r="Q92" t="e">
            <v>#DIV/0!</v>
          </cell>
          <cell r="R92" t="e">
            <v>#DIV/0!</v>
          </cell>
          <cell r="S92" t="e">
            <v>#DIV/0!</v>
          </cell>
          <cell r="T92" t="e">
            <v>#DIV/0!</v>
          </cell>
        </row>
        <row r="94">
          <cell r="E94" t="str">
            <v>FORFAIT EN DEVISES : DEM = DEUTSHE MARKS</v>
          </cell>
        </row>
        <row r="95">
          <cell r="C95" t="str">
            <v xml:space="preserve">  C</v>
          </cell>
          <cell r="D95" t="str">
            <v>- ACQUISITION EN ALLEMAGNE, ORIGINE ET PROVENANCE CEE: PAS DE FORMALITE, PAS DE DEBIT</v>
          </cell>
        </row>
        <row r="97">
          <cell r="D97" t="str">
            <v>- FORMALITES IMPORT ALLEMAGNE (SUR POIDS REEL)</v>
          </cell>
          <cell r="M97" t="str">
            <v xml:space="preserve">0 A 100 KGS = </v>
          </cell>
          <cell r="O97">
            <v>35</v>
          </cell>
          <cell r="P97" t="str">
            <v>DEM</v>
          </cell>
          <cell r="Q97" t="str">
            <v xml:space="preserve">+ 100 KGS = </v>
          </cell>
          <cell r="S97">
            <v>70</v>
          </cell>
          <cell r="T97" t="str">
            <v>DEM</v>
          </cell>
        </row>
        <row r="98">
          <cell r="D98" t="str">
            <v xml:space="preserve">  ORIGINE ET OU PROVENANCE PAYS TIERS ET DE L' AELE</v>
          </cell>
        </row>
        <row r="100">
          <cell r="E100" t="str">
            <v>TAUX DE CHANGE A RETENIR POUR LA PRISE EN COMPTE DES FACTURES EN DEVISES</v>
          </cell>
        </row>
        <row r="101">
          <cell r="E101" t="str">
            <v>SE REFERER A LA NOTE MENSUELLE EMISE PAR DFG. OBJET : "FACTURES EN DEVISES"</v>
          </cell>
        </row>
        <row r="102">
          <cell r="T102">
            <v>0</v>
          </cell>
        </row>
      </sheetData>
      <sheetData sheetId="1">
        <row r="1">
          <cell r="AA1" t="str">
            <v>:IOD1~F1~{ESC}I</v>
          </cell>
        </row>
        <row r="18">
          <cell r="B18" t="str">
            <v>ESP</v>
          </cell>
          <cell r="C18" t="str">
            <v>BAR</v>
          </cell>
          <cell r="K18" t="str">
            <v>GORGS LLADO, 174 - 186</v>
          </cell>
        </row>
        <row r="19">
          <cell r="C19" t="str">
            <v>AU DEPART :</v>
          </cell>
          <cell r="F19" t="str">
            <v>BARBERA DEL VALLES</v>
          </cell>
          <cell r="K19" t="str">
            <v>08210 - BARBERA DEL VALLES</v>
          </cell>
          <cell r="P19" t="str">
            <v xml:space="preserve"> BARCELONA</v>
          </cell>
        </row>
        <row r="20">
          <cell r="C20" t="str">
            <v>FORFAIT EN  :   PESETAS</v>
          </cell>
          <cell r="K20" t="str">
            <v>TEL 00 34 3 729 79 70</v>
          </cell>
        </row>
        <row r="21">
          <cell r="B21" t="str">
            <v xml:space="preserve">  A</v>
          </cell>
          <cell r="C21" t="str">
            <v>- LIVRAISON D'ESPAGNE SUR CEE, ORIGINE ET PROVENANCE CEE: PAS DE FORMALITE, PAS DE DE DEBIT</v>
          </cell>
          <cell r="K21" t="str">
            <v>FAX 00 34 3 718 34 94</v>
          </cell>
        </row>
        <row r="22">
          <cell r="P22" t="str">
            <v xml:space="preserve"> ZONE : E 01</v>
          </cell>
        </row>
        <row r="23">
          <cell r="C23" t="str">
            <v>- FORMALITES EXPORT ESPAGNE (SUR POIDS REEL)</v>
          </cell>
          <cell r="L23" t="str">
            <v>0   A  100 kg= 1900 PTAS</v>
          </cell>
          <cell r="P23" t="str">
            <v>+ 100 kg= 3000 PTAS</v>
          </cell>
        </row>
        <row r="24">
          <cell r="C24" t="str">
            <v xml:space="preserve">  ORIGINE ET OU PROVENANCE PAYS TIERS ET DE L'AELE</v>
          </cell>
        </row>
        <row r="79">
          <cell r="C79" t="str">
            <v xml:space="preserve">  ORIGINE ET OU PROVENANCE PAYS TIERS ET DE L'AELE</v>
          </cell>
          <cell r="L79" t="str">
            <v>JUSQU'A</v>
          </cell>
          <cell r="N79" t="str">
            <v xml:space="preserve">  3 000</v>
          </cell>
          <cell r="O79" t="str">
            <v>000 LIRES</v>
          </cell>
          <cell r="Q79">
            <v>86000</v>
          </cell>
          <cell r="R79" t="str">
            <v>LIRES</v>
          </cell>
        </row>
        <row r="80">
          <cell r="L80" t="str">
            <v>JUSQU'A</v>
          </cell>
          <cell r="N80" t="str">
            <v>10 000</v>
          </cell>
          <cell r="O80" t="str">
            <v>000</v>
          </cell>
          <cell r="Q80">
            <v>100000</v>
          </cell>
        </row>
        <row r="81">
          <cell r="D81" t="str">
            <v>FORFAIT EN DEVISES : LIRES</v>
          </cell>
          <cell r="L81" t="str">
            <v>JUSQU'A</v>
          </cell>
          <cell r="N81" t="str">
            <v>50 000</v>
          </cell>
          <cell r="O81" t="str">
            <v>000</v>
          </cell>
          <cell r="Q81">
            <v>117000</v>
          </cell>
        </row>
        <row r="82">
          <cell r="C82" t="str">
            <v xml:space="preserve">  C</v>
          </cell>
          <cell r="D82" t="str">
            <v>- ACQUISITION EN ITALE ORIGINE ET PROVENANCE CEE :   PAS DE FORMALITE, PAS DE DEBIT</v>
          </cell>
          <cell r="L82" t="str">
            <v>JUSQU'A</v>
          </cell>
          <cell r="N82" t="str">
            <v>80 000</v>
          </cell>
          <cell r="O82" t="str">
            <v>000</v>
          </cell>
          <cell r="Q82">
            <v>145000</v>
          </cell>
        </row>
        <row r="83">
          <cell r="L83" t="str">
            <v>JUSQU'A</v>
          </cell>
          <cell r="M83" t="str">
            <v xml:space="preserve">         2</v>
          </cell>
          <cell r="N83" t="str">
            <v>00 000</v>
          </cell>
          <cell r="O83" t="str">
            <v>000</v>
          </cell>
          <cell r="Q83">
            <v>170000</v>
          </cell>
        </row>
      </sheetData>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ice"/>
      <sheetName val="Sélection"/>
      <sheetName val="1.Courrier"/>
      <sheetName val="1.Syntech"/>
      <sheetName val="CDC D"/>
      <sheetName val="1.Analyse"/>
      <sheetName val="1.Présentation"/>
      <sheetName val="1.Offre Tech"/>
      <sheetName val="1.PLANTP"/>
      <sheetName val="1.Plan Trp G"/>
      <sheetName val="1.Normes&amp;Services"/>
      <sheetName val="1&amp;2.Tarif"/>
      <sheetName val="1&amp;2.Cond Co"/>
      <sheetName val="1&amp;2.CGV "/>
      <sheetName val="DOUANES"/>
      <sheetName val="2.Démarrage"/>
      <sheetName val="2.Démarrage_agence"/>
      <sheetName val="3.Fiche environnement"/>
      <sheetName val="3.BC WEBLINE"/>
      <sheetName val="3.BC NETLINE  EDI"/>
      <sheetName val="3.HP-BES"/>
      <sheetName val="3.FE notice"/>
      <sheetName val="4.Revue de contrat"/>
      <sheetName val="5.Data"/>
      <sheetName val="Men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7">
          <cell r="G17" t="str">
            <v>France</v>
          </cell>
        </row>
      </sheetData>
      <sheetData sheetId="18"/>
      <sheetData sheetId="19"/>
      <sheetData sheetId="20"/>
      <sheetData sheetId="21"/>
      <sheetData sheetId="22"/>
      <sheetData sheetId="23"/>
      <sheetData sheetId="24">
        <row r="3">
          <cell r="C3" t="str">
            <v>Amiens</v>
          </cell>
        </row>
        <row r="4">
          <cell r="C4" t="str">
            <v>Avignon</v>
          </cell>
        </row>
        <row r="5">
          <cell r="C5" t="str">
            <v>Bordeaux</v>
          </cell>
        </row>
        <row r="6">
          <cell r="C6" t="str">
            <v>Charleville</v>
          </cell>
        </row>
        <row r="7">
          <cell r="C7" t="str">
            <v>Chateauroux</v>
          </cell>
        </row>
        <row r="8">
          <cell r="C8" t="str">
            <v>Clermont-Ferrand</v>
          </cell>
        </row>
        <row r="9">
          <cell r="C9" t="str">
            <v>Cornier</v>
          </cell>
        </row>
        <row r="10">
          <cell r="C10" t="str">
            <v>Dijon</v>
          </cell>
        </row>
        <row r="11">
          <cell r="C11" t="str">
            <v>Grenoble</v>
          </cell>
        </row>
        <row r="12">
          <cell r="C12" t="str">
            <v>Lille</v>
          </cell>
        </row>
        <row r="13">
          <cell r="C13" t="str">
            <v>Lyon</v>
          </cell>
        </row>
        <row r="14">
          <cell r="C14" t="str">
            <v>Manosque</v>
          </cell>
        </row>
        <row r="15">
          <cell r="C15" t="str">
            <v>Marseille</v>
          </cell>
        </row>
        <row r="16">
          <cell r="C16" t="str">
            <v>Metz</v>
          </cell>
        </row>
        <row r="17">
          <cell r="C17" t="str">
            <v>Montpellier</v>
          </cell>
        </row>
        <row r="18">
          <cell r="C18" t="str">
            <v>Mulhouse</v>
          </cell>
        </row>
        <row r="19">
          <cell r="C19" t="str">
            <v>Nancy</v>
          </cell>
        </row>
        <row r="20">
          <cell r="C20" t="str">
            <v>Nantes</v>
          </cell>
        </row>
        <row r="21">
          <cell r="C21" t="str">
            <v>Nice</v>
          </cell>
        </row>
        <row r="22">
          <cell r="C22" t="str">
            <v>Orleans</v>
          </cell>
        </row>
        <row r="23">
          <cell r="C23" t="str">
            <v>Oyonnax</v>
          </cell>
        </row>
        <row r="24">
          <cell r="C24" t="str">
            <v>Drancy</v>
          </cell>
        </row>
        <row r="25">
          <cell r="C25" t="str">
            <v>Gennevilliers</v>
          </cell>
        </row>
        <row r="26">
          <cell r="C26" t="str">
            <v>Moissy</v>
          </cell>
        </row>
        <row r="27">
          <cell r="C27" t="str">
            <v>Perpignan</v>
          </cell>
        </row>
        <row r="28">
          <cell r="C28" t="str">
            <v>Reims</v>
          </cell>
        </row>
        <row r="29">
          <cell r="C29" t="str">
            <v>Rennes</v>
          </cell>
        </row>
        <row r="30">
          <cell r="C30" t="str">
            <v>Rouen</v>
          </cell>
        </row>
        <row r="31">
          <cell r="C31" t="str">
            <v>Saint Jean de Luz</v>
          </cell>
        </row>
        <row r="32">
          <cell r="C32" t="str">
            <v>Sochaux</v>
          </cell>
        </row>
        <row r="33">
          <cell r="C33" t="str">
            <v>Strasbourg</v>
          </cell>
        </row>
        <row r="34">
          <cell r="C34" t="str">
            <v>Toulouse</v>
          </cell>
        </row>
        <row r="35">
          <cell r="C35" t="str">
            <v>Tours</v>
          </cell>
        </row>
        <row r="36">
          <cell r="C36" t="str">
            <v>Troyes</v>
          </cell>
        </row>
        <row r="37">
          <cell r="C37" t="str">
            <v>Valenciennes</v>
          </cell>
        </row>
        <row r="38">
          <cell r="C38" t="str">
            <v>Vesoul</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rifblatt Belgien, Niederlande"/>
      <sheetName val="Tarifblatt Dänemark"/>
      <sheetName val="Tarifblatt Estland"/>
      <sheetName val="Tarifblatt Finnland"/>
      <sheetName val="Tarifblatt Frankreich"/>
      <sheetName val="Tarifblatt Griechenland"/>
      <sheetName val="Tarifblatt Export GB"/>
      <sheetName val="Zoneneinteilung Export GB"/>
      <sheetName val="Tarifblatt Irland"/>
      <sheetName val="Tarifblatt Italien"/>
      <sheetName val="Tarifblatt Lettland"/>
      <sheetName val="Tarifblatt Litauen"/>
      <sheetName val="Tarifblatt Norwegen"/>
      <sheetName val="Zoneneinteilung Export NO"/>
      <sheetName val="Tarifblatt Österreich"/>
      <sheetName val="Tarifblatt Polen"/>
      <sheetName val="Tarifblatt Portugal"/>
      <sheetName val="Tarifblatt Schweiz"/>
      <sheetName val="Tarifblatt Schweden"/>
      <sheetName val="Zoneneinteilung Export SE"/>
      <sheetName val="Tarifblatt Spanien"/>
      <sheetName val="Tarifblatt Tschechien"/>
      <sheetName val="Tarifblatt Ungarn"/>
      <sheetName val="Tarifblatt Rumänien"/>
      <sheetName val="Tarifblatt Slovenien"/>
      <sheetName val="Tarifblatt Slowakai"/>
      <sheetName val="Tarifblatt Luxemburg"/>
      <sheetName val="Tarifblatt Bosnien"/>
      <sheetName val="Abrgbasis, Nebenkosten"/>
      <sheetName val="Währungsfloater"/>
      <sheetName val="Dieselfloater V1"/>
      <sheetName val="Dieselfloater V2"/>
      <sheetName val="Maut 2024"/>
      <sheetName val="Transit Maut AT-IT"/>
      <sheetName val="Maut BE, GB, IRL, (FR)"/>
      <sheetName val="#BEZU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vereinbarungen"/>
      <sheetName val="Kundentarif"/>
      <sheetName val="Zusatzleistungen"/>
      <sheetName val="Verpackungsarten"/>
      <sheetName val="Basistarif"/>
      <sheetName val="Abholung (S01)"/>
      <sheetName val="Abholung direkt (S07)"/>
      <sheetName val="Abholung Basistarif (S01)"/>
      <sheetName val="Abholung Zonen (S01,S07)"/>
      <sheetName val="Zustellung (S02,R02)"/>
      <sheetName val="Zustellung direkt (S08,R08)"/>
      <sheetName val="Zust. Basistarif (S02,R02)"/>
      <sheetName val="Zust. Zonen (S02,S08,R02,R08)"/>
      <sheetName val="Base"/>
      <sheetName val="Branches"/>
      <sheetName val="ISO Country Codes"/>
    </sheetNames>
    <sheetDataSet>
      <sheetData sheetId="0">
        <row r="22">
          <cell r="C22">
            <v>1250</v>
          </cell>
          <cell r="H22">
            <v>1250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s>
    <sheetDataSet>
      <sheetData sheetId="0">
        <row r="9948">
          <cell r="B9948" t="str">
            <v>Bachmann Stéphane</v>
          </cell>
          <cell r="C9948" t="str">
            <v>Bertiaux Axel</v>
          </cell>
          <cell r="D9948" t="str">
            <v>Ball Xavier</v>
          </cell>
          <cell r="E9948" t="str">
            <v>Aulnette Delphine</v>
          </cell>
          <cell r="F9948" t="str">
            <v>Bardin Marion</v>
          </cell>
          <cell r="G9948" t="str">
            <v>Belenguer Gregory</v>
          </cell>
        </row>
        <row r="9949">
          <cell r="B9949" t="str">
            <v>Blanche Dominique</v>
          </cell>
          <cell r="C9949" t="str">
            <v>Bureau</v>
          </cell>
          <cell r="D9949" t="str">
            <v>Bureau</v>
          </cell>
          <cell r="E9949" t="str">
            <v>Boutruche Agnès</v>
          </cell>
          <cell r="F9949" t="str">
            <v>Bridier Laurent</v>
          </cell>
          <cell r="G9949" t="str">
            <v>Bureau</v>
          </cell>
        </row>
        <row r="9950">
          <cell r="B9950" t="str">
            <v>Bureau</v>
          </cell>
          <cell r="C9950" t="str">
            <v>De Jorna Amaury</v>
          </cell>
          <cell r="D9950" t="str">
            <v>Dupont Nicolas</v>
          </cell>
          <cell r="E9950" t="str">
            <v>Bureau</v>
          </cell>
          <cell r="F9950" t="str">
            <v>Bureau</v>
          </cell>
          <cell r="G9950" t="str">
            <v>Holie Philippe</v>
          </cell>
        </row>
        <row r="9951">
          <cell r="B9951" t="str">
            <v>Haumesser Nelly</v>
          </cell>
          <cell r="C9951" t="str">
            <v>Elouard Karl</v>
          </cell>
          <cell r="D9951" t="str">
            <v>Leroy Pascal</v>
          </cell>
          <cell r="E9951" t="str">
            <v>Couannet Charline</v>
          </cell>
          <cell r="F9951" t="str">
            <v>Corsi Gilles</v>
          </cell>
          <cell r="G9951" t="str">
            <v>Mainvielle Maryse</v>
          </cell>
        </row>
        <row r="9952">
          <cell r="B9952" t="str">
            <v>Metz Christophe</v>
          </cell>
          <cell r="C9952" t="str">
            <v>Klein Brigitte</v>
          </cell>
          <cell r="D9952" t="str">
            <v>Musumecci Pierre</v>
          </cell>
          <cell r="E9952" t="str">
            <v>LeLievre Jean François</v>
          </cell>
          <cell r="F9952" t="str">
            <v>Deceglie Sebastien</v>
          </cell>
          <cell r="G9952" t="str">
            <v>Martinez Christophe</v>
          </cell>
        </row>
        <row r="9953">
          <cell r="B9953" t="str">
            <v>Schnurpel Guillaume</v>
          </cell>
          <cell r="C9953" t="str">
            <v>Marques Sergio</v>
          </cell>
          <cell r="D9953" t="str">
            <v>Quetin Barbara</v>
          </cell>
          <cell r="E9953" t="str">
            <v>Mançois Thierry</v>
          </cell>
          <cell r="F9953" t="str">
            <v>Fournie Cédric</v>
          </cell>
          <cell r="G9953" t="str">
            <v>Pouyfaucon Pascale</v>
          </cell>
        </row>
        <row r="9954">
          <cell r="B9954" t="str">
            <v>Sebaikhi Jacques</v>
          </cell>
          <cell r="C9954" t="str">
            <v>Mehee Marie</v>
          </cell>
          <cell r="D9954" t="str">
            <v>Ribour Céline</v>
          </cell>
          <cell r="E9954" t="str">
            <v>Pocreaux Frederick</v>
          </cell>
          <cell r="F9954" t="str">
            <v>Gerbelot Michel</v>
          </cell>
          <cell r="G9954" t="str">
            <v>Rousseau Julien</v>
          </cell>
        </row>
        <row r="9955">
          <cell r="B9955" t="str">
            <v>Simler Yannick</v>
          </cell>
          <cell r="C9955" t="str">
            <v>Moisson Nathalie</v>
          </cell>
          <cell r="D9955" t="str">
            <v>Richez Gael</v>
          </cell>
          <cell r="E9955" t="str">
            <v>Renault Nadia</v>
          </cell>
          <cell r="F9955" t="str">
            <v>Ginoux Marielle</v>
          </cell>
          <cell r="G9955" t="str">
            <v>Rovira Montse</v>
          </cell>
        </row>
        <row r="9956">
          <cell r="C9956" t="str">
            <v>Montagne Franck</v>
          </cell>
          <cell r="D9956" t="str">
            <v>Ringeval Hélène</v>
          </cell>
          <cell r="E9956" t="str">
            <v>Steinbah Yves</v>
          </cell>
          <cell r="F9956" t="str">
            <v>Lasala Guillaume</v>
          </cell>
        </row>
        <row r="9957">
          <cell r="C9957" t="str">
            <v>Paget Jean Philippe</v>
          </cell>
          <cell r="F9957" t="str">
            <v>Laurent Gilles</v>
          </cell>
        </row>
        <row r="9958">
          <cell r="C9958" t="str">
            <v>Quetin Barbara</v>
          </cell>
          <cell r="F9958" t="str">
            <v>Lebreux Philippe</v>
          </cell>
        </row>
        <row r="9959">
          <cell r="C9959" t="str">
            <v>Rahn Fabienne</v>
          </cell>
          <cell r="F9959" t="str">
            <v>Prenat Régis</v>
          </cell>
        </row>
        <row r="9960">
          <cell r="C9960" t="str">
            <v>Ropars Sandrine</v>
          </cell>
          <cell r="F9960" t="str">
            <v>Stintzy Frederic</v>
          </cell>
        </row>
        <row r="9961">
          <cell r="C9961" t="str">
            <v>Saint Denis Marie</v>
          </cell>
          <cell r="F9961" t="str">
            <v>Vaissière Pierre</v>
          </cell>
        </row>
        <row r="9962">
          <cell r="C9962" t="str">
            <v>Seumois Philippe</v>
          </cell>
        </row>
        <row r="9967">
          <cell r="A9967" t="str">
            <v>Age BALE MULHOUSE</v>
          </cell>
        </row>
        <row r="9968">
          <cell r="A9968" t="str">
            <v>Age BESANCON</v>
          </cell>
        </row>
        <row r="9969">
          <cell r="A9969" t="str">
            <v>Age DIJON</v>
          </cell>
        </row>
        <row r="9970">
          <cell r="A9970" t="str">
            <v>Age Etp. SAUSSHEIM</v>
          </cell>
        </row>
        <row r="9971">
          <cell r="A9971" t="str">
            <v>Age Fontaine Stock</v>
          </cell>
        </row>
        <row r="9972">
          <cell r="A9972" t="str">
            <v>Age MULHOUSE</v>
          </cell>
        </row>
        <row r="9973">
          <cell r="A9973" t="str">
            <v>Age RMA  STRASBOURG</v>
          </cell>
        </row>
        <row r="9974">
          <cell r="A9974" t="str">
            <v>Age SOCHAUX</v>
          </cell>
        </row>
        <row r="9975">
          <cell r="A9975" t="str">
            <v>Age STRASBOURG</v>
          </cell>
        </row>
        <row r="9976">
          <cell r="A9976" t="str">
            <v>Age VESOUL</v>
          </cell>
        </row>
        <row r="9978">
          <cell r="A9978" t="str">
            <v>Age DRANCY</v>
          </cell>
        </row>
        <row r="9979">
          <cell r="A9979" t="str">
            <v>Age Etp. MARLY</v>
          </cell>
        </row>
        <row r="9980">
          <cell r="A9980" t="str">
            <v>Age Etp. SURVILLIERS</v>
          </cell>
        </row>
        <row r="9981">
          <cell r="A9981" t="str">
            <v>Age GARONOR</v>
          </cell>
        </row>
        <row r="9982">
          <cell r="A9982" t="str">
            <v>Age GENNEVILLIERS 001</v>
          </cell>
        </row>
        <row r="9983">
          <cell r="A9983" t="str">
            <v>Age LE HAVRE</v>
          </cell>
        </row>
        <row r="9984">
          <cell r="A9984" t="str">
            <v>Age MELUN-SENART</v>
          </cell>
        </row>
        <row r="9985">
          <cell r="A9985" t="str">
            <v>Age ORLEANS</v>
          </cell>
        </row>
        <row r="9986">
          <cell r="A9986" t="str">
            <v>Age ORLY</v>
          </cell>
        </row>
        <row r="9987">
          <cell r="A9987" t="str">
            <v>Age POISSY</v>
          </cell>
        </row>
        <row r="9988">
          <cell r="A9988" t="str">
            <v>Age ROISSY</v>
          </cell>
        </row>
        <row r="9989">
          <cell r="A9989" t="str">
            <v>Age ROUEN</v>
          </cell>
        </row>
        <row r="9990">
          <cell r="A9990" t="str">
            <v>Age TROYES</v>
          </cell>
        </row>
        <row r="9992">
          <cell r="A9992" t="str">
            <v>Age AMIENS</v>
          </cell>
        </row>
        <row r="9993">
          <cell r="A9993" t="str">
            <v>Age BALE MULHOUSE</v>
          </cell>
        </row>
        <row r="9994">
          <cell r="A9994" t="str">
            <v>Age CHARLEVILLE</v>
          </cell>
        </row>
        <row r="9995">
          <cell r="A9995" t="str">
            <v>Age DIJON</v>
          </cell>
        </row>
        <row r="9996">
          <cell r="A9996" t="str">
            <v>Age LILLE</v>
          </cell>
        </row>
        <row r="9997">
          <cell r="A9997" t="str">
            <v>Age LILLE RMA</v>
          </cell>
        </row>
        <row r="9998">
          <cell r="A9998" t="str">
            <v>Age METZ</v>
          </cell>
        </row>
        <row r="9999">
          <cell r="A9999" t="str">
            <v>Age NANCY</v>
          </cell>
        </row>
        <row r="10000">
          <cell r="A10000" t="str">
            <v>Age REIMS</v>
          </cell>
        </row>
        <row r="10001">
          <cell r="A10001" t="str">
            <v>Age RMA  STRASBOURG</v>
          </cell>
        </row>
        <row r="10002">
          <cell r="A10002" t="str">
            <v>Age ROISSY</v>
          </cell>
        </row>
        <row r="10003">
          <cell r="A10003" t="str">
            <v>Age SATOLAS</v>
          </cell>
        </row>
        <row r="10004">
          <cell r="A10004" t="str">
            <v>Age VALENCIENNES</v>
          </cell>
        </row>
        <row r="10006">
          <cell r="A10006" t="str">
            <v>Age CHATEAUROUX</v>
          </cell>
        </row>
        <row r="10007">
          <cell r="A10007" t="str">
            <v>Age LE MANS</v>
          </cell>
        </row>
        <row r="10008">
          <cell r="A10008" t="str">
            <v>Age NANTES 035</v>
          </cell>
        </row>
        <row r="10009">
          <cell r="A10009" t="str">
            <v>Age NANTES RMA</v>
          </cell>
        </row>
        <row r="10010">
          <cell r="A10010" t="str">
            <v>Age RENNES</v>
          </cell>
        </row>
        <row r="10011">
          <cell r="A10011" t="str">
            <v>Age TOURS</v>
          </cell>
        </row>
        <row r="10013">
          <cell r="A10013" t="str">
            <v>Age ANNECY</v>
          </cell>
        </row>
        <row r="10014">
          <cell r="A10014" t="str">
            <v>Age AVIGNON</v>
          </cell>
        </row>
        <row r="10015">
          <cell r="A10015" t="str">
            <v>Age CHAMBERY</v>
          </cell>
        </row>
        <row r="10016">
          <cell r="A10016" t="str">
            <v>Age CLERMONT-FD</v>
          </cell>
        </row>
        <row r="10017">
          <cell r="A10017" t="str">
            <v>Age GAP</v>
          </cell>
        </row>
        <row r="10018">
          <cell r="A10018" t="str">
            <v>Age GRENOBLE</v>
          </cell>
        </row>
        <row r="10019">
          <cell r="A10019" t="str">
            <v>Age LA BATHIE</v>
          </cell>
        </row>
        <row r="10020">
          <cell r="A10020" t="str">
            <v>Age LYON</v>
          </cell>
        </row>
        <row r="10021">
          <cell r="A10021" t="str">
            <v>Age MANOSQUE</v>
          </cell>
        </row>
        <row r="10022">
          <cell r="A10022" t="str">
            <v>Age MARSEILLE</v>
          </cell>
        </row>
        <row r="10023">
          <cell r="A10023" t="str">
            <v>Age MONTLUCON</v>
          </cell>
        </row>
        <row r="10024">
          <cell r="A10024" t="str">
            <v>Age NICE</v>
          </cell>
        </row>
        <row r="10025">
          <cell r="A10025" t="str">
            <v>Age OYONNAX</v>
          </cell>
        </row>
        <row r="10026">
          <cell r="A10026" t="str">
            <v>Age SATOLAS</v>
          </cell>
        </row>
        <row r="10027">
          <cell r="A10027" t="str">
            <v>Age ST ETIENNE</v>
          </cell>
        </row>
        <row r="10028">
          <cell r="A10028" t="str">
            <v>Age TOULON 113</v>
          </cell>
        </row>
        <row r="10029">
          <cell r="A10029" t="str">
            <v>Age TOUSSIEU</v>
          </cell>
        </row>
        <row r="10030">
          <cell r="A10030" t="str">
            <v>Age VICHY/CUSSET</v>
          </cell>
        </row>
        <row r="10031">
          <cell r="A10031" t="str">
            <v>Age VITROLLES</v>
          </cell>
        </row>
        <row r="10033">
          <cell r="A10033" t="str">
            <v>Age BORDEAUX</v>
          </cell>
        </row>
        <row r="10034">
          <cell r="A10034" t="str">
            <v>Age CASTRES</v>
          </cell>
        </row>
        <row r="10035">
          <cell r="A10035" t="str">
            <v>Age COGNAC</v>
          </cell>
        </row>
        <row r="10036">
          <cell r="A10036" t="str">
            <v>Age MONTPELLIER</v>
          </cell>
        </row>
        <row r="10037">
          <cell r="A10037" t="str">
            <v>Age PERPIGNAN</v>
          </cell>
        </row>
        <row r="10038">
          <cell r="A10038" t="str">
            <v>Age RMA TOULOUSE</v>
          </cell>
        </row>
        <row r="10039">
          <cell r="A10039" t="str">
            <v>Age St JEAN LUZ</v>
          </cell>
        </row>
        <row r="10040">
          <cell r="A10040" t="str">
            <v>Age TARBES</v>
          </cell>
        </row>
        <row r="10041">
          <cell r="A10041" t="str">
            <v>Age TOULOUSE 091</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4"/>
      <sheetName val="Feuil1"/>
      <sheetName val="Feuil2"/>
      <sheetName val="Feuil3"/>
    </sheetNames>
    <sheetDataSet>
      <sheetData sheetId="0"/>
      <sheetData sheetId="1">
        <row r="1">
          <cell r="A1" t="str">
            <v>Client payeur</v>
          </cell>
          <cell r="B1" t="str">
            <v>Agence</v>
          </cell>
          <cell r="C1" t="str">
            <v>NOM</v>
          </cell>
          <cell r="D1" t="str">
            <v>Activité</v>
          </cell>
          <cell r="E1" t="str">
            <v>* 1.000 EUR</v>
          </cell>
        </row>
        <row r="2">
          <cell r="A2">
            <v>379</v>
          </cell>
          <cell r="B2" t="str">
            <v>GENNEVILLIERS</v>
          </cell>
          <cell r="C2" t="str">
            <v>F W F</v>
          </cell>
          <cell r="D2" t="str">
            <v>A551Groupage nationa</v>
          </cell>
          <cell r="E2">
            <v>0.11323</v>
          </cell>
        </row>
        <row r="3">
          <cell r="A3">
            <v>379</v>
          </cell>
          <cell r="B3" t="str">
            <v>MOISSY CRAMAYEL</v>
          </cell>
          <cell r="C3" t="str">
            <v>F W F</v>
          </cell>
          <cell r="D3" t="str">
            <v>A551Groupage nationa</v>
          </cell>
        </row>
        <row r="4">
          <cell r="A4">
            <v>1606</v>
          </cell>
          <cell r="B4" t="str">
            <v>ORLEANS / ST JEAN DE</v>
          </cell>
          <cell r="C4" t="str">
            <v>FEDERAL MOGUL OPERATIONS FRANCE</v>
          </cell>
          <cell r="D4" t="str">
            <v>A551Groupage nationa</v>
          </cell>
          <cell r="E4">
            <v>17.456489999999999</v>
          </cell>
        </row>
        <row r="5">
          <cell r="A5">
            <v>1606</v>
          </cell>
          <cell r="B5" t="str">
            <v>ROUEN / GRAND QUEVIL</v>
          </cell>
          <cell r="C5" t="str">
            <v>FEDERAL MOGUL OPERATIONS FRANCE</v>
          </cell>
          <cell r="D5" t="str">
            <v>A501Lot Divers -501-</v>
          </cell>
          <cell r="E5">
            <v>1.8871100000000001</v>
          </cell>
        </row>
        <row r="6">
          <cell r="A6">
            <v>1606</v>
          </cell>
          <cell r="B6" t="str">
            <v>ORLEANS / ST JEAN DE</v>
          </cell>
          <cell r="C6" t="str">
            <v>FEDERAL MOGUL OPERATIONS FRANCE</v>
          </cell>
          <cell r="D6" t="str">
            <v>A501Lot Divers -501-</v>
          </cell>
          <cell r="E6">
            <v>0.43236000000000002</v>
          </cell>
        </row>
        <row r="7">
          <cell r="A7">
            <v>1606</v>
          </cell>
          <cell r="B7" t="str">
            <v>ROUEN / GRAND QUEVIL</v>
          </cell>
          <cell r="C7" t="str">
            <v>FEDERAL MOGUL OPERATIONS FRANCE</v>
          </cell>
          <cell r="D7" t="str">
            <v>A553Groupage interna</v>
          </cell>
          <cell r="E7">
            <v>0.41167999999999999</v>
          </cell>
        </row>
        <row r="8">
          <cell r="A8">
            <v>1606</v>
          </cell>
          <cell r="B8" t="str">
            <v>ORLEANS / ST JEAN DE</v>
          </cell>
          <cell r="C8" t="str">
            <v>FEDERAL MOGUL OPERATIONS FRANCE</v>
          </cell>
          <cell r="D8" t="str">
            <v>A553Groupage interna</v>
          </cell>
          <cell r="E8">
            <v>0.32657000000000003</v>
          </cell>
        </row>
        <row r="9">
          <cell r="A9">
            <v>1606</v>
          </cell>
          <cell r="B9" t="str">
            <v>ROUEN / GRAND QUEVIL</v>
          </cell>
          <cell r="C9" t="str">
            <v>FEDERAL MOGUL OPERATIONS FRANCE</v>
          </cell>
          <cell r="D9" t="str">
            <v>A551Groupage nationa</v>
          </cell>
          <cell r="E9">
            <v>0.28793999999999997</v>
          </cell>
        </row>
        <row r="10">
          <cell r="A10">
            <v>9708</v>
          </cell>
          <cell r="B10" t="str">
            <v>TROYES / LA CHAPELLE</v>
          </cell>
          <cell r="C10" t="str">
            <v>FONTES DE PARIS</v>
          </cell>
          <cell r="D10" t="str">
            <v>A551Groupage nationa</v>
          </cell>
          <cell r="E10">
            <v>17.53417</v>
          </cell>
        </row>
        <row r="11">
          <cell r="A11">
            <v>9708</v>
          </cell>
          <cell r="B11" t="str">
            <v>TROYES / LA CHAPELLE</v>
          </cell>
          <cell r="C11" t="str">
            <v>FONTES DE PARIS</v>
          </cell>
          <cell r="D11" t="str">
            <v>A553Groupage interna</v>
          </cell>
          <cell r="E11">
            <v>0.40333999999999998</v>
          </cell>
        </row>
        <row r="12">
          <cell r="A12">
            <v>9708</v>
          </cell>
          <cell r="B12" t="str">
            <v>MOISSY CRAMAYEL</v>
          </cell>
          <cell r="C12" t="str">
            <v>FONTES DE PARIS</v>
          </cell>
          <cell r="D12" t="str">
            <v>A551Groupage nationa</v>
          </cell>
          <cell r="E12">
            <v>0.11765</v>
          </cell>
        </row>
        <row r="13">
          <cell r="A13">
            <v>9708</v>
          </cell>
          <cell r="B13" t="str">
            <v>TROYES / LA CHAPELLE</v>
          </cell>
          <cell r="C13" t="str">
            <v>FONTES DE PARIS</v>
          </cell>
          <cell r="D13" t="str">
            <v>A501Lot Divers -501-</v>
          </cell>
        </row>
        <row r="14">
          <cell r="A14">
            <v>9911</v>
          </cell>
          <cell r="B14" t="str">
            <v>MOISSY CRAMAYEL</v>
          </cell>
          <cell r="C14" t="str">
            <v>SCHENKER-JOYAU</v>
          </cell>
          <cell r="D14" t="str">
            <v>A551Groupage nationa</v>
          </cell>
          <cell r="E14">
            <v>-0.41588000000000003</v>
          </cell>
        </row>
        <row r="15">
          <cell r="A15">
            <v>9911</v>
          </cell>
          <cell r="B15" t="str">
            <v>GENNEVILLIERS</v>
          </cell>
          <cell r="C15" t="str">
            <v>SCHENKER-JOYAU</v>
          </cell>
          <cell r="D15" t="str">
            <v>A551Groupage nationa</v>
          </cell>
          <cell r="E15">
            <v>-0.74314999999999998</v>
          </cell>
        </row>
        <row r="16">
          <cell r="A16">
            <v>10785</v>
          </cell>
          <cell r="B16" t="str">
            <v>GENNEVILLIERS</v>
          </cell>
          <cell r="C16" t="str">
            <v>LISI AUTOMOTIVE FORMER SAS</v>
          </cell>
          <cell r="D16" t="str">
            <v>A551Groupage nationa</v>
          </cell>
        </row>
        <row r="17">
          <cell r="A17">
            <v>10785</v>
          </cell>
          <cell r="B17" t="str">
            <v>TROYES / LA CHAPELLE</v>
          </cell>
          <cell r="C17" t="str">
            <v>LISI AUTOMOTIVE FORMER SAS</v>
          </cell>
          <cell r="D17" t="str">
            <v>A551Groupage nationa</v>
          </cell>
        </row>
        <row r="18">
          <cell r="A18">
            <v>11621</v>
          </cell>
          <cell r="B18" t="str">
            <v>MOISSY CRAMAYEL</v>
          </cell>
          <cell r="C18" t="str">
            <v>SMR AUTOMOTIVE SYSTEMS FRANCE SA</v>
          </cell>
          <cell r="D18" t="str">
            <v>A501Lot Divers -501-</v>
          </cell>
          <cell r="E18">
            <v>31.911390000000001</v>
          </cell>
        </row>
        <row r="19">
          <cell r="A19">
            <v>11621</v>
          </cell>
          <cell r="B19" t="str">
            <v>GENNEVILLIERS</v>
          </cell>
          <cell r="C19" t="str">
            <v>SMR AUTOMOTIVE SYSTEMS FRANCE SA</v>
          </cell>
          <cell r="D19" t="str">
            <v>A553Groupage interna</v>
          </cell>
          <cell r="E19">
            <v>7.5582799999999999</v>
          </cell>
        </row>
        <row r="20">
          <cell r="A20">
            <v>11621</v>
          </cell>
          <cell r="B20" t="str">
            <v>GENNEVILLIERS</v>
          </cell>
          <cell r="C20" t="str">
            <v>SMR AUTOMOTIVE SYSTEMS FRANCE SA</v>
          </cell>
          <cell r="D20" t="str">
            <v>A551Groupage nationa</v>
          </cell>
          <cell r="E20">
            <v>4.2192699999999999</v>
          </cell>
        </row>
        <row r="21">
          <cell r="A21">
            <v>11621</v>
          </cell>
          <cell r="B21" t="str">
            <v>MOISSY CRAMAYEL</v>
          </cell>
          <cell r="C21" t="str">
            <v>SMR AUTOMOTIVE SYSTEMS FRANCE SA</v>
          </cell>
          <cell r="D21" t="str">
            <v>A551Groupage nationa</v>
          </cell>
        </row>
        <row r="22">
          <cell r="A22">
            <v>11621</v>
          </cell>
          <cell r="B22" t="str">
            <v>MOISSY CRAMAYEL</v>
          </cell>
          <cell r="C22" t="str">
            <v>SMR AUTOMOTIVE SYSTEMS FRANCE SA</v>
          </cell>
          <cell r="D22" t="str">
            <v>A553Groupage interna</v>
          </cell>
        </row>
        <row r="23">
          <cell r="A23">
            <v>11621</v>
          </cell>
          <cell r="B23" t="str">
            <v>TROYES / LA CHAPELLE</v>
          </cell>
          <cell r="C23" t="str">
            <v>SMR AUTOMOTIVE SYSTEMS FRANCE SA</v>
          </cell>
          <cell r="D23" t="str">
            <v>A551Groupage nationa</v>
          </cell>
        </row>
        <row r="24">
          <cell r="A24">
            <v>12229</v>
          </cell>
          <cell r="B24" t="str">
            <v>GENNEVILLIERS</v>
          </cell>
          <cell r="C24" t="str">
            <v>CATERPILLAR FRANCE</v>
          </cell>
          <cell r="D24" t="str">
            <v>A551Groupage nationa</v>
          </cell>
          <cell r="E24">
            <v>0.41166000000000003</v>
          </cell>
        </row>
        <row r="25">
          <cell r="A25">
            <v>12229</v>
          </cell>
          <cell r="B25" t="str">
            <v>ROUEN / GRAND QUEVIL</v>
          </cell>
          <cell r="C25" t="str">
            <v>CATERPILLAR FRANCE</v>
          </cell>
          <cell r="D25" t="str">
            <v>A551Groupage nationa</v>
          </cell>
          <cell r="E25">
            <v>0.16055</v>
          </cell>
        </row>
        <row r="26">
          <cell r="A26">
            <v>12229</v>
          </cell>
          <cell r="B26" t="str">
            <v>MOISSY CRAMAYEL</v>
          </cell>
          <cell r="C26" t="str">
            <v>CATERPILLAR FRANCE</v>
          </cell>
          <cell r="D26" t="str">
            <v>A551Groupage nationa</v>
          </cell>
          <cell r="E26">
            <v>8.3129999999999996E-2</v>
          </cell>
        </row>
        <row r="27">
          <cell r="A27">
            <v>13417</v>
          </cell>
          <cell r="B27" t="str">
            <v>MOISSY CRAMAYEL</v>
          </cell>
          <cell r="C27" t="str">
            <v>ECTRA</v>
          </cell>
          <cell r="D27" t="str">
            <v>A551Groupage nationa</v>
          </cell>
          <cell r="E27">
            <v>0.25574000000000002</v>
          </cell>
        </row>
        <row r="28">
          <cell r="A28">
            <v>13417</v>
          </cell>
          <cell r="B28" t="str">
            <v>GENNEVILLIERS</v>
          </cell>
          <cell r="C28" t="str">
            <v>ECTRA</v>
          </cell>
          <cell r="D28" t="str">
            <v>A551Groupage nationa</v>
          </cell>
          <cell r="E28">
            <v>7.492E-2</v>
          </cell>
        </row>
        <row r="29">
          <cell r="A29">
            <v>14902</v>
          </cell>
          <cell r="B29" t="str">
            <v>MOISSY CRAMAYEL</v>
          </cell>
          <cell r="C29" t="str">
            <v>CEGELEC NORD EST</v>
          </cell>
          <cell r="D29" t="str">
            <v>A551Groupage nationa</v>
          </cell>
        </row>
        <row r="30">
          <cell r="A30">
            <v>14902</v>
          </cell>
          <cell r="B30" t="str">
            <v>TROYES / LA CHAPELLE</v>
          </cell>
          <cell r="C30" t="str">
            <v>CEGELEC NORD EST</v>
          </cell>
          <cell r="D30" t="str">
            <v>A551Groupage nationa</v>
          </cell>
        </row>
        <row r="31">
          <cell r="A31">
            <v>15268</v>
          </cell>
          <cell r="B31" t="str">
            <v>GENNEVILLIERS</v>
          </cell>
          <cell r="C31" t="str">
            <v>CATERPILLAR</v>
          </cell>
          <cell r="D31" t="str">
            <v>A551Groupage nationa</v>
          </cell>
          <cell r="E31">
            <v>0.27771000000000001</v>
          </cell>
        </row>
        <row r="32">
          <cell r="A32">
            <v>15268</v>
          </cell>
          <cell r="B32" t="str">
            <v>MOISSY CRAMAYEL</v>
          </cell>
          <cell r="C32" t="str">
            <v>CATERPILLAR</v>
          </cell>
          <cell r="D32" t="str">
            <v>A551Groupage nationa</v>
          </cell>
          <cell r="E32">
            <v>6.1249999999999999E-2</v>
          </cell>
        </row>
        <row r="33">
          <cell r="A33">
            <v>17192</v>
          </cell>
          <cell r="B33" t="str">
            <v>GENNEVILLIERS</v>
          </cell>
          <cell r="C33" t="str">
            <v>SNECMA</v>
          </cell>
          <cell r="D33" t="str">
            <v>A501Lot Divers -501-</v>
          </cell>
          <cell r="E33">
            <v>69.530600000000007</v>
          </cell>
        </row>
        <row r="34">
          <cell r="A34">
            <v>17192</v>
          </cell>
          <cell r="B34" t="str">
            <v>GENNEVILLIERS</v>
          </cell>
          <cell r="C34" t="str">
            <v>SNECMA</v>
          </cell>
          <cell r="D34" t="str">
            <v>A583 Genn Démé Indus</v>
          </cell>
          <cell r="E34">
            <v>16.905000000000001</v>
          </cell>
        </row>
        <row r="35">
          <cell r="A35">
            <v>17192</v>
          </cell>
          <cell r="B35" t="str">
            <v>MOISSY CRAMAYEL</v>
          </cell>
          <cell r="C35" t="str">
            <v>SNECMA</v>
          </cell>
          <cell r="D35" t="str">
            <v>A501Lot Divers -501-</v>
          </cell>
          <cell r="E35">
            <v>7.8445799999999997</v>
          </cell>
        </row>
        <row r="36">
          <cell r="A36">
            <v>17192</v>
          </cell>
          <cell r="B36" t="str">
            <v>MOISSY CRAMAYEL</v>
          </cell>
          <cell r="C36" t="str">
            <v>SNECMA</v>
          </cell>
          <cell r="D36" t="str">
            <v>A551Groupage nationa</v>
          </cell>
          <cell r="E36">
            <v>0.65803999999999996</v>
          </cell>
        </row>
        <row r="37">
          <cell r="A37">
            <v>17192</v>
          </cell>
          <cell r="B37" t="str">
            <v>GENNEVILLIERS</v>
          </cell>
          <cell r="C37" t="str">
            <v>SNECMA</v>
          </cell>
          <cell r="D37" t="str">
            <v>A551Groupage nationa</v>
          </cell>
          <cell r="E37">
            <v>0.15459999999999999</v>
          </cell>
        </row>
        <row r="38">
          <cell r="A38">
            <v>20743</v>
          </cell>
          <cell r="B38" t="str">
            <v>TROYES / LA CHAPELLE</v>
          </cell>
          <cell r="C38" t="str">
            <v>VULCANIC</v>
          </cell>
          <cell r="D38" t="str">
            <v>A551Groupage nationa</v>
          </cell>
          <cell r="E38">
            <v>9.9159799999999994</v>
          </cell>
        </row>
        <row r="39">
          <cell r="A39">
            <v>20743</v>
          </cell>
          <cell r="B39" t="str">
            <v>TROYES / LA CHAPELLE</v>
          </cell>
          <cell r="C39" t="str">
            <v>VULCANIC</v>
          </cell>
          <cell r="D39" t="str">
            <v>A553Groupage interna</v>
          </cell>
          <cell r="E39">
            <v>5.9760299999999997</v>
          </cell>
        </row>
        <row r="40">
          <cell r="A40">
            <v>20743</v>
          </cell>
          <cell r="B40" t="str">
            <v>GENNEVILLIERS</v>
          </cell>
          <cell r="C40" t="str">
            <v>VULCANIC</v>
          </cell>
          <cell r="D40" t="str">
            <v>A551Groupage nationa</v>
          </cell>
          <cell r="E40">
            <v>3.8990900000000002</v>
          </cell>
        </row>
        <row r="41">
          <cell r="A41">
            <v>20743</v>
          </cell>
          <cell r="B41" t="str">
            <v>TROYES / LA CHAPELLE</v>
          </cell>
          <cell r="C41" t="str">
            <v>VULCANIC</v>
          </cell>
          <cell r="D41" t="str">
            <v>A501Lot Divers -501-</v>
          </cell>
          <cell r="E41">
            <v>3.7948599999999999</v>
          </cell>
        </row>
        <row r="42">
          <cell r="A42">
            <v>20743</v>
          </cell>
          <cell r="B42" t="str">
            <v>GENNEVILLIERS</v>
          </cell>
          <cell r="C42" t="str">
            <v>VULCANIC</v>
          </cell>
          <cell r="D42" t="str">
            <v>A553Groupage interna</v>
          </cell>
          <cell r="E42">
            <v>0.36930000000000002</v>
          </cell>
        </row>
        <row r="43">
          <cell r="A43">
            <v>23740</v>
          </cell>
          <cell r="B43" t="str">
            <v>MOISSY CRAMAYEL</v>
          </cell>
          <cell r="C43" t="str">
            <v>OCE FRANCE S.A</v>
          </cell>
          <cell r="D43" t="str">
            <v>A551Groupage nationa</v>
          </cell>
          <cell r="E43">
            <v>392.73908999999998</v>
          </cell>
        </row>
        <row r="44">
          <cell r="A44">
            <v>23740</v>
          </cell>
          <cell r="B44" t="str">
            <v>MOISSY CRAMAYEL</v>
          </cell>
          <cell r="C44" t="str">
            <v>OCE FRANCE S.A</v>
          </cell>
          <cell r="D44" t="str">
            <v>A501Lot Divers -501-</v>
          </cell>
          <cell r="E44">
            <v>12.912699999999999</v>
          </cell>
        </row>
        <row r="45">
          <cell r="A45">
            <v>23740</v>
          </cell>
          <cell r="B45" t="str">
            <v>GENNEVILLIERS</v>
          </cell>
          <cell r="C45" t="str">
            <v>OCE FRANCE S.A</v>
          </cell>
          <cell r="D45" t="str">
            <v>A551Groupage nationa</v>
          </cell>
          <cell r="E45">
            <v>4.8849999999999998E-2</v>
          </cell>
        </row>
        <row r="46">
          <cell r="A46">
            <v>23740</v>
          </cell>
          <cell r="B46" t="str">
            <v>MOISSY CRAMAYEL</v>
          </cell>
          <cell r="C46" t="str">
            <v>OCE FRANCE S.A</v>
          </cell>
          <cell r="D46" t="str">
            <v>A553Groupage interna</v>
          </cell>
          <cell r="E46">
            <v>4.3790000000000003E-2</v>
          </cell>
        </row>
        <row r="47">
          <cell r="A47">
            <v>24736</v>
          </cell>
          <cell r="B47" t="str">
            <v>TROYES / LA CHAPELLE</v>
          </cell>
          <cell r="C47" t="str">
            <v>TIMBO</v>
          </cell>
          <cell r="D47" t="str">
            <v>A551Groupage nationa</v>
          </cell>
          <cell r="E47">
            <v>131.63113999999999</v>
          </cell>
        </row>
        <row r="48">
          <cell r="A48">
            <v>24736</v>
          </cell>
          <cell r="B48" t="str">
            <v>TROYES / LA CHAPELLE</v>
          </cell>
          <cell r="C48" t="str">
            <v>TIMBO</v>
          </cell>
          <cell r="D48" t="str">
            <v>A501Lot Divers -501-</v>
          </cell>
          <cell r="E48">
            <v>18.613320000000002</v>
          </cell>
        </row>
        <row r="49">
          <cell r="A49">
            <v>24736</v>
          </cell>
          <cell r="B49" t="str">
            <v>TROYES / LA CHAPELLE</v>
          </cell>
          <cell r="C49" t="str">
            <v>TIMBO</v>
          </cell>
          <cell r="D49" t="str">
            <v>A553Groupage interna</v>
          </cell>
          <cell r="E49">
            <v>1.1428</v>
          </cell>
        </row>
        <row r="50">
          <cell r="A50">
            <v>24736</v>
          </cell>
          <cell r="B50" t="str">
            <v>GENNEVILLIERS</v>
          </cell>
          <cell r="C50" t="str">
            <v>TIMBO</v>
          </cell>
          <cell r="D50" t="str">
            <v>A551Groupage nationa</v>
          </cell>
        </row>
        <row r="51">
          <cell r="A51">
            <v>25551</v>
          </cell>
          <cell r="B51" t="str">
            <v>GENNEVILLIERS</v>
          </cell>
          <cell r="C51" t="str">
            <v>DRESSER RAND</v>
          </cell>
          <cell r="D51" t="str">
            <v>A553Groupage interna</v>
          </cell>
          <cell r="E51">
            <v>0.65</v>
          </cell>
        </row>
        <row r="52">
          <cell r="A52">
            <v>25551</v>
          </cell>
          <cell r="B52" t="str">
            <v>ROUEN / GRAND QUEVIL</v>
          </cell>
          <cell r="C52" t="str">
            <v>DRESSER RAND</v>
          </cell>
          <cell r="D52" t="str">
            <v>A501Lot Divers -501-</v>
          </cell>
        </row>
        <row r="53">
          <cell r="A53">
            <v>33608</v>
          </cell>
          <cell r="B53" t="str">
            <v>GENNEVILLIERS</v>
          </cell>
          <cell r="C53" t="str">
            <v>TFH</v>
          </cell>
          <cell r="D53" t="str">
            <v>A551Groupage nationa</v>
          </cell>
          <cell r="E53">
            <v>11.59066</v>
          </cell>
        </row>
        <row r="54">
          <cell r="A54">
            <v>33608</v>
          </cell>
          <cell r="B54" t="str">
            <v>GENNEVILLIERS</v>
          </cell>
          <cell r="C54" t="str">
            <v>TFH</v>
          </cell>
          <cell r="D54" t="str">
            <v>A553Groupage interna</v>
          </cell>
          <cell r="E54">
            <v>10.741910000000001</v>
          </cell>
        </row>
        <row r="55">
          <cell r="A55">
            <v>33608</v>
          </cell>
          <cell r="B55" t="str">
            <v>GENNEVILLIERS</v>
          </cell>
          <cell r="C55" t="str">
            <v>TFH</v>
          </cell>
          <cell r="D55" t="str">
            <v>A501Lot Divers -501-</v>
          </cell>
          <cell r="E55">
            <v>4.4869899999999996</v>
          </cell>
        </row>
        <row r="56">
          <cell r="A56">
            <v>33608</v>
          </cell>
          <cell r="B56" t="str">
            <v>TROYES / LA CHAPELLE</v>
          </cell>
          <cell r="C56" t="str">
            <v>TFH</v>
          </cell>
          <cell r="D56" t="str">
            <v>A551Groupage nationa</v>
          </cell>
        </row>
        <row r="57">
          <cell r="A57">
            <v>38476</v>
          </cell>
          <cell r="B57" t="str">
            <v>GENNEVILLIERS</v>
          </cell>
          <cell r="C57" t="str">
            <v>SOPROREAL</v>
          </cell>
          <cell r="D57" t="str">
            <v>A501Lot Divers -501-</v>
          </cell>
          <cell r="E57">
            <v>366.50083999999998</v>
          </cell>
        </row>
        <row r="58">
          <cell r="A58">
            <v>38476</v>
          </cell>
          <cell r="B58" t="str">
            <v>DRANCY</v>
          </cell>
          <cell r="C58" t="str">
            <v>SOPROREAL</v>
          </cell>
          <cell r="D58" t="str">
            <v>A553Groupage interna</v>
          </cell>
        </row>
        <row r="59">
          <cell r="A59">
            <v>41850</v>
          </cell>
          <cell r="B59" t="str">
            <v>GENNEVILLIERS</v>
          </cell>
          <cell r="C59" t="str">
            <v>JTEKT HPI</v>
          </cell>
          <cell r="D59" t="str">
            <v>A553Groupage interna</v>
          </cell>
          <cell r="E59">
            <v>0.69384000000000001</v>
          </cell>
        </row>
        <row r="60">
          <cell r="A60">
            <v>41850</v>
          </cell>
          <cell r="B60" t="str">
            <v>GENNEVILLIERS</v>
          </cell>
          <cell r="C60" t="str">
            <v>JTEKT HPI</v>
          </cell>
          <cell r="D60" t="str">
            <v>A501Lot Divers -501-</v>
          </cell>
        </row>
        <row r="61">
          <cell r="A61">
            <v>41850</v>
          </cell>
          <cell r="B61" t="str">
            <v>ROUEN / GRAND QUEVIL</v>
          </cell>
          <cell r="C61" t="str">
            <v>JTEKT HPI</v>
          </cell>
          <cell r="D61" t="str">
            <v>A501Lot Divers -501-</v>
          </cell>
        </row>
        <row r="62">
          <cell r="A62">
            <v>41850</v>
          </cell>
          <cell r="B62" t="str">
            <v>MOISSY CRAMAYEL</v>
          </cell>
          <cell r="C62" t="str">
            <v>JTEKT HPI</v>
          </cell>
          <cell r="D62" t="str">
            <v>A501Lot Divers -501-</v>
          </cell>
        </row>
        <row r="63">
          <cell r="A63">
            <v>41850</v>
          </cell>
          <cell r="B63" t="str">
            <v>MOISSY CRAMAYEL</v>
          </cell>
          <cell r="C63" t="str">
            <v>JTEKT HPI</v>
          </cell>
          <cell r="D63" t="str">
            <v>A551Groupage nationa</v>
          </cell>
        </row>
        <row r="64">
          <cell r="A64">
            <v>41850</v>
          </cell>
          <cell r="B64" t="str">
            <v>MOISSY CRAMAYEL</v>
          </cell>
          <cell r="C64" t="str">
            <v>JTEKT HPI</v>
          </cell>
          <cell r="D64" t="str">
            <v>A553Groupage interna</v>
          </cell>
        </row>
        <row r="65">
          <cell r="A65">
            <v>42610</v>
          </cell>
          <cell r="B65" t="str">
            <v>ROUEN / GRAND QUEVIL</v>
          </cell>
          <cell r="C65" t="str">
            <v>INTEVA PRODUCTS FRANCE SA</v>
          </cell>
          <cell r="D65" t="str">
            <v>A551Groupage nationa</v>
          </cell>
          <cell r="E65">
            <v>5.08047</v>
          </cell>
        </row>
        <row r="66">
          <cell r="A66">
            <v>42610</v>
          </cell>
          <cell r="B66" t="str">
            <v>ORLEANS / ST JEAN DE</v>
          </cell>
          <cell r="C66" t="str">
            <v>INTEVA PRODUCTS FRANCE SA</v>
          </cell>
          <cell r="D66" t="str">
            <v>A501Lot Divers -501-</v>
          </cell>
          <cell r="E66">
            <v>0.61</v>
          </cell>
        </row>
        <row r="67">
          <cell r="A67">
            <v>42610</v>
          </cell>
          <cell r="B67" t="str">
            <v>ORLEANS / ST JEAN DE</v>
          </cell>
          <cell r="C67" t="str">
            <v>INTEVA PRODUCTS FRANCE SA</v>
          </cell>
          <cell r="D67" t="str">
            <v>A553Groupage interna</v>
          </cell>
        </row>
        <row r="68">
          <cell r="A68">
            <v>44856</v>
          </cell>
          <cell r="B68" t="str">
            <v>ORLEANS / ST JEAN DE</v>
          </cell>
          <cell r="C68" t="str">
            <v>LOCAPHARM             TNA</v>
          </cell>
          <cell r="D68" t="str">
            <v>A551Groupage nationa</v>
          </cell>
          <cell r="E68">
            <v>0.65661000000000003</v>
          </cell>
        </row>
        <row r="69">
          <cell r="A69">
            <v>44856</v>
          </cell>
          <cell r="B69" t="str">
            <v>TROYES / LA CHAPELLE</v>
          </cell>
          <cell r="C69" t="str">
            <v>LOCAPHARM             TNA</v>
          </cell>
          <cell r="D69" t="str">
            <v>A551Groupage nationa</v>
          </cell>
          <cell r="E69">
            <v>0.50390999999999997</v>
          </cell>
        </row>
        <row r="70">
          <cell r="A70">
            <v>44856</v>
          </cell>
          <cell r="B70" t="str">
            <v>ROUEN / GRAND QUEVIL</v>
          </cell>
          <cell r="C70" t="str">
            <v>LOCAPHARM             TNA</v>
          </cell>
          <cell r="D70" t="str">
            <v>A551Groupage nationa</v>
          </cell>
          <cell r="E70">
            <v>0.23666000000000001</v>
          </cell>
        </row>
        <row r="71">
          <cell r="A71">
            <v>44856</v>
          </cell>
          <cell r="B71" t="str">
            <v>GENNEVILLIERS</v>
          </cell>
          <cell r="C71" t="str">
            <v>LOCAPHARM             TNA</v>
          </cell>
          <cell r="D71" t="str">
            <v>A551Groupage nationa</v>
          </cell>
          <cell r="E71">
            <v>6.8599999999999994E-2</v>
          </cell>
        </row>
        <row r="72">
          <cell r="A72">
            <v>44856</v>
          </cell>
          <cell r="B72" t="str">
            <v>MOISSY CRAMAYEL</v>
          </cell>
          <cell r="C72" t="str">
            <v>LOCAPHARM             TNA</v>
          </cell>
          <cell r="D72" t="str">
            <v>A551Groupage nationa</v>
          </cell>
          <cell r="E72">
            <v>3.2059999999999998E-2</v>
          </cell>
        </row>
        <row r="73">
          <cell r="A73">
            <v>44856</v>
          </cell>
          <cell r="B73" t="str">
            <v>DRANCY</v>
          </cell>
          <cell r="C73" t="str">
            <v>LOCAPHARM             TNA</v>
          </cell>
          <cell r="D73" t="str">
            <v>A553Groupage interna</v>
          </cell>
        </row>
        <row r="74">
          <cell r="A74">
            <v>48815</v>
          </cell>
          <cell r="B74" t="str">
            <v>ORLEANS / ST JEAN DE</v>
          </cell>
          <cell r="C74" t="str">
            <v>LEONI WIRING SYSTEMS FRANCE SA</v>
          </cell>
          <cell r="D74" t="str">
            <v>A551Groupage nationa</v>
          </cell>
          <cell r="E74">
            <v>37.045850000000002</v>
          </cell>
        </row>
        <row r="75">
          <cell r="A75">
            <v>48815</v>
          </cell>
          <cell r="B75" t="str">
            <v>GENNEVILLIERS</v>
          </cell>
          <cell r="C75" t="str">
            <v>LEONI WIRING SYSTEMS FRANCE SA</v>
          </cell>
          <cell r="D75" t="str">
            <v>A551Groupage nationa</v>
          </cell>
          <cell r="E75">
            <v>32.202680000000001</v>
          </cell>
        </row>
        <row r="76">
          <cell r="A76">
            <v>48815</v>
          </cell>
          <cell r="B76" t="str">
            <v>ORLEANS / ST JEAN DE</v>
          </cell>
          <cell r="C76" t="str">
            <v>LEONI WIRING SYSTEMS FRANCE SA</v>
          </cell>
          <cell r="D76" t="str">
            <v>A501Lot Divers -501-</v>
          </cell>
          <cell r="E76">
            <v>32.029089999999997</v>
          </cell>
        </row>
        <row r="77">
          <cell r="A77">
            <v>48815</v>
          </cell>
          <cell r="B77" t="str">
            <v>ORLEANS / ST JEAN DE</v>
          </cell>
          <cell r="C77" t="str">
            <v>LEONI WIRING SYSTEMS FRANCE SA</v>
          </cell>
          <cell r="D77" t="str">
            <v>A553Groupage interna</v>
          </cell>
          <cell r="E77">
            <v>9.8871300000000009</v>
          </cell>
        </row>
        <row r="78">
          <cell r="A78">
            <v>48815</v>
          </cell>
          <cell r="B78" t="str">
            <v>GENNEVILLIERS</v>
          </cell>
          <cell r="C78" t="str">
            <v>LEONI WIRING SYSTEMS FRANCE SA</v>
          </cell>
          <cell r="D78" t="str">
            <v>A501Lot Divers -501-</v>
          </cell>
          <cell r="E78">
            <v>8.0289999999999999</v>
          </cell>
        </row>
        <row r="79">
          <cell r="A79">
            <v>48815</v>
          </cell>
          <cell r="B79" t="str">
            <v>ORLEANS / ST JEAN DE</v>
          </cell>
          <cell r="C79" t="str">
            <v>LEONI WIRING SYSTEMS FRANCE SA</v>
          </cell>
          <cell r="D79" t="str">
            <v>A507Lot Appro PSA -5</v>
          </cell>
          <cell r="E79">
            <v>2.13062</v>
          </cell>
        </row>
        <row r="80">
          <cell r="A80">
            <v>48815</v>
          </cell>
          <cell r="B80" t="str">
            <v>GENNEVILLIERS</v>
          </cell>
          <cell r="C80" t="str">
            <v>LEONI WIRING SYSTEMS FRANCE SA</v>
          </cell>
          <cell r="D80" t="str">
            <v>A507Lot Appro PSA -5</v>
          </cell>
        </row>
        <row r="81">
          <cell r="A81">
            <v>48815</v>
          </cell>
          <cell r="B81" t="str">
            <v>GENNEVILLIERS</v>
          </cell>
          <cell r="C81" t="str">
            <v>LEONI WIRING SYSTEMS FRANCE SA</v>
          </cell>
          <cell r="D81" t="str">
            <v>A553Groupage interna</v>
          </cell>
        </row>
        <row r="82">
          <cell r="A82">
            <v>51690</v>
          </cell>
          <cell r="B82" t="str">
            <v>GENNEVILLIERS</v>
          </cell>
          <cell r="C82" t="str">
            <v>MANUTAN</v>
          </cell>
          <cell r="D82" t="str">
            <v>A551Groupage nationa</v>
          </cell>
          <cell r="E82">
            <v>1148.43462</v>
          </cell>
        </row>
        <row r="83">
          <cell r="A83">
            <v>51690</v>
          </cell>
          <cell r="B83" t="str">
            <v>TROYES / LA CHAPELLE</v>
          </cell>
          <cell r="C83" t="str">
            <v>MANUTAN</v>
          </cell>
          <cell r="D83" t="str">
            <v>A551Groupage nationa</v>
          </cell>
          <cell r="E83">
            <v>135.52078</v>
          </cell>
        </row>
        <row r="84">
          <cell r="A84">
            <v>51690</v>
          </cell>
          <cell r="B84" t="str">
            <v>TROYES / LA CHAPELLE</v>
          </cell>
          <cell r="C84" t="str">
            <v>MANUTAN</v>
          </cell>
          <cell r="D84" t="str">
            <v>A501Lot Divers -501-</v>
          </cell>
          <cell r="E84">
            <v>48.919339999999998</v>
          </cell>
        </row>
        <row r="85">
          <cell r="A85">
            <v>51690</v>
          </cell>
          <cell r="B85" t="str">
            <v>GENNEVILLIERS</v>
          </cell>
          <cell r="C85" t="str">
            <v>MANUTAN</v>
          </cell>
          <cell r="D85" t="str">
            <v>A501Lot Divers -501-</v>
          </cell>
          <cell r="E85">
            <v>35.949449999999999</v>
          </cell>
        </row>
        <row r="86">
          <cell r="A86">
            <v>51690</v>
          </cell>
          <cell r="B86" t="str">
            <v>GENNEVILLIERS</v>
          </cell>
          <cell r="C86" t="str">
            <v>MANUTAN</v>
          </cell>
          <cell r="D86" t="str">
            <v>A553Groupage interna</v>
          </cell>
          <cell r="E86">
            <v>0.94762999999999997</v>
          </cell>
        </row>
        <row r="87">
          <cell r="A87">
            <v>51690</v>
          </cell>
          <cell r="B87" t="str">
            <v>MOISSY CRAMAYEL</v>
          </cell>
          <cell r="C87" t="str">
            <v>MANUTAN</v>
          </cell>
          <cell r="D87" t="str">
            <v>A551Groupage nationa</v>
          </cell>
          <cell r="E87">
            <v>0.68352000000000002</v>
          </cell>
        </row>
        <row r="88">
          <cell r="A88">
            <v>51690</v>
          </cell>
          <cell r="B88" t="str">
            <v>TROYES / LA CHAPELLE</v>
          </cell>
          <cell r="C88" t="str">
            <v>MANUTAN</v>
          </cell>
          <cell r="D88" t="str">
            <v>A553Groupage interna</v>
          </cell>
          <cell r="E88">
            <v>6.5930000000000002E-2</v>
          </cell>
        </row>
        <row r="89">
          <cell r="A89">
            <v>51690</v>
          </cell>
          <cell r="B89" t="str">
            <v>DRANCY</v>
          </cell>
          <cell r="C89" t="str">
            <v>MANUTAN</v>
          </cell>
          <cell r="D89" t="str">
            <v>A553Groupage interna</v>
          </cell>
        </row>
        <row r="90">
          <cell r="A90">
            <v>51874</v>
          </cell>
          <cell r="B90" t="str">
            <v>MOISSY CRAMAYEL</v>
          </cell>
          <cell r="C90" t="str">
            <v>MARECHAL</v>
          </cell>
          <cell r="D90" t="str">
            <v>A501Lot Divers -501-</v>
          </cell>
          <cell r="E90">
            <v>0.56000000000000005</v>
          </cell>
        </row>
        <row r="91">
          <cell r="A91">
            <v>51874</v>
          </cell>
          <cell r="B91" t="str">
            <v>GENNEVILLIERS</v>
          </cell>
          <cell r="C91" t="str">
            <v>MARECHAL</v>
          </cell>
          <cell r="D91" t="str">
            <v>A501Lot Divers -501-</v>
          </cell>
        </row>
        <row r="92">
          <cell r="A92">
            <v>52843</v>
          </cell>
          <cell r="B92" t="str">
            <v>GENNEVILLIERS</v>
          </cell>
          <cell r="C92" t="str">
            <v>MECAGRAV</v>
          </cell>
          <cell r="D92" t="str">
            <v>A553Groupage interna</v>
          </cell>
        </row>
        <row r="93">
          <cell r="A93">
            <v>52843</v>
          </cell>
          <cell r="B93" t="str">
            <v>MOISSY CRAMAYEL</v>
          </cell>
          <cell r="C93" t="str">
            <v>MECAGRAV</v>
          </cell>
          <cell r="D93" t="str">
            <v>A553Groupage interna</v>
          </cell>
        </row>
        <row r="94">
          <cell r="A94">
            <v>52868</v>
          </cell>
          <cell r="B94" t="str">
            <v>GENNEVILLIERS</v>
          </cell>
          <cell r="C94" t="str">
            <v>JTEKT AUTOMOTIVE LYON</v>
          </cell>
          <cell r="D94" t="str">
            <v>A551Groupage nationa</v>
          </cell>
          <cell r="E94">
            <v>1.8150500000000001</v>
          </cell>
        </row>
        <row r="95">
          <cell r="A95">
            <v>52868</v>
          </cell>
          <cell r="B95" t="str">
            <v>TROYES / LA CHAPELLE</v>
          </cell>
          <cell r="C95" t="str">
            <v>JTEKT AUTOMOTIVE LYON</v>
          </cell>
          <cell r="D95" t="str">
            <v>A551Groupage nationa</v>
          </cell>
          <cell r="E95">
            <v>3.7159999999999999E-2</v>
          </cell>
        </row>
        <row r="96">
          <cell r="A96">
            <v>52868</v>
          </cell>
          <cell r="B96" t="str">
            <v>TROYES / LA CHAPELLE</v>
          </cell>
          <cell r="C96" t="str">
            <v>JTEKT AUTOMOTIVE LYON</v>
          </cell>
          <cell r="D96" t="str">
            <v>A501Lot Divers -501-</v>
          </cell>
        </row>
        <row r="97">
          <cell r="A97">
            <v>54031</v>
          </cell>
          <cell r="B97" t="str">
            <v>ROUEN / GRAND QUEVIL</v>
          </cell>
          <cell r="C97" t="str">
            <v>MGI COUTIER</v>
          </cell>
          <cell r="D97" t="str">
            <v>A501Lot Divers -501-</v>
          </cell>
          <cell r="E97">
            <v>195.18755999999999</v>
          </cell>
        </row>
        <row r="98">
          <cell r="A98">
            <v>54031</v>
          </cell>
          <cell r="B98" t="str">
            <v>TROYES / LA CHAPELLE</v>
          </cell>
          <cell r="C98" t="str">
            <v>MGI COUTIER</v>
          </cell>
          <cell r="D98" t="str">
            <v>A501Lot Divers -501-</v>
          </cell>
          <cell r="E98">
            <v>19.5473</v>
          </cell>
        </row>
        <row r="99">
          <cell r="A99">
            <v>54031</v>
          </cell>
          <cell r="B99" t="str">
            <v>GENNEVILLIERS</v>
          </cell>
          <cell r="C99" t="str">
            <v>MGI COUTIER</v>
          </cell>
          <cell r="D99" t="str">
            <v>A551Groupage nationa</v>
          </cell>
          <cell r="E99">
            <v>1.14879</v>
          </cell>
        </row>
        <row r="100">
          <cell r="A100">
            <v>54031</v>
          </cell>
          <cell r="B100" t="str">
            <v>ROUEN / GRAND QUEVIL</v>
          </cell>
          <cell r="C100" t="str">
            <v>MGI COUTIER</v>
          </cell>
          <cell r="D100" t="str">
            <v>A551Groupage nationa</v>
          </cell>
          <cell r="E100">
            <v>0.13863</v>
          </cell>
        </row>
        <row r="101">
          <cell r="A101">
            <v>54031</v>
          </cell>
          <cell r="B101" t="str">
            <v>GENNEVILLIERS</v>
          </cell>
          <cell r="C101" t="str">
            <v>MGI COUTIER</v>
          </cell>
          <cell r="D101" t="str">
            <v>A553Groupage interna</v>
          </cell>
          <cell r="E101">
            <v>0.10598</v>
          </cell>
        </row>
        <row r="102">
          <cell r="A102">
            <v>54031</v>
          </cell>
          <cell r="B102" t="str">
            <v>GENNEVILLIERS</v>
          </cell>
          <cell r="C102" t="str">
            <v>MGI COUTIER</v>
          </cell>
          <cell r="D102" t="str">
            <v>A501Lot Divers -501-</v>
          </cell>
        </row>
        <row r="103">
          <cell r="A103">
            <v>54031</v>
          </cell>
          <cell r="B103" t="str">
            <v>ROUEN / GRAND QUEVIL</v>
          </cell>
          <cell r="C103" t="str">
            <v>MGI COUTIER</v>
          </cell>
          <cell r="D103" t="str">
            <v>A507Lot Appro PSA -5</v>
          </cell>
        </row>
        <row r="104">
          <cell r="A104">
            <v>54031</v>
          </cell>
          <cell r="B104" t="str">
            <v>ROUEN / GRAND QUEVIL</v>
          </cell>
          <cell r="C104" t="str">
            <v>MGI COUTIER</v>
          </cell>
          <cell r="D104" t="str">
            <v>A553Groupage interna</v>
          </cell>
        </row>
        <row r="105">
          <cell r="A105">
            <v>60779</v>
          </cell>
          <cell r="B105" t="str">
            <v>ROUEN / GRAND QUEVIL</v>
          </cell>
          <cell r="C105" t="str">
            <v>HUTCHINSON - PAULSTRA</v>
          </cell>
          <cell r="D105" t="str">
            <v>A551Groupage nationa</v>
          </cell>
          <cell r="E105">
            <v>3.5979999999999998E-2</v>
          </cell>
        </row>
        <row r="106">
          <cell r="A106">
            <v>60779</v>
          </cell>
          <cell r="B106" t="str">
            <v>GENNEVILLIERS</v>
          </cell>
          <cell r="C106" t="str">
            <v>HUTCHINSON - PAULSTRA</v>
          </cell>
          <cell r="D106" t="str">
            <v>A501Lot Divers -501-</v>
          </cell>
        </row>
        <row r="107">
          <cell r="A107">
            <v>60779</v>
          </cell>
          <cell r="B107" t="str">
            <v>GENNEVILLIERS</v>
          </cell>
          <cell r="C107" t="str">
            <v>HUTCHINSON - PAULSTRA</v>
          </cell>
          <cell r="D107" t="str">
            <v>A507Lot Appro PSA -5</v>
          </cell>
        </row>
        <row r="108">
          <cell r="A108">
            <v>60779</v>
          </cell>
          <cell r="B108" t="str">
            <v>GENNEVILLIERS</v>
          </cell>
          <cell r="C108" t="str">
            <v>HUTCHINSON - PAULSTRA</v>
          </cell>
          <cell r="D108" t="str">
            <v>A553Groupage interna</v>
          </cell>
        </row>
        <row r="109">
          <cell r="A109">
            <v>62755</v>
          </cell>
          <cell r="B109" t="str">
            <v>ROUEN / GRAND QUEVIL</v>
          </cell>
          <cell r="C109" t="str">
            <v>FILTRAUTO</v>
          </cell>
          <cell r="D109" t="str">
            <v>A553Groupage interna</v>
          </cell>
          <cell r="E109">
            <v>0.28716999999999998</v>
          </cell>
        </row>
        <row r="110">
          <cell r="A110">
            <v>62755</v>
          </cell>
          <cell r="B110" t="str">
            <v>ROUEN / GRAND QUEVIL</v>
          </cell>
          <cell r="C110" t="str">
            <v>FILTRAUTO</v>
          </cell>
          <cell r="D110" t="str">
            <v>A551Groupage nationa</v>
          </cell>
          <cell r="E110">
            <v>-2.9425400000000002</v>
          </cell>
        </row>
        <row r="111">
          <cell r="A111">
            <v>62755</v>
          </cell>
          <cell r="B111" t="str">
            <v>GENNEVILLIERS</v>
          </cell>
          <cell r="C111" t="str">
            <v>FILTRAUTO</v>
          </cell>
          <cell r="D111" t="str">
            <v>A551Groupage nationa</v>
          </cell>
        </row>
        <row r="112">
          <cell r="A112">
            <v>64679</v>
          </cell>
          <cell r="B112" t="str">
            <v>MOISSY CRAMAYEL</v>
          </cell>
          <cell r="C112" t="str">
            <v>TESSALI DIFFUSION</v>
          </cell>
          <cell r="D112" t="str">
            <v>A551Groupage nationa</v>
          </cell>
        </row>
        <row r="113">
          <cell r="A113">
            <v>64679</v>
          </cell>
          <cell r="B113" t="str">
            <v>ORLEANS / ST JEAN DE</v>
          </cell>
          <cell r="C113" t="str">
            <v>TESSALI DIFFUSION</v>
          </cell>
          <cell r="D113" t="str">
            <v>A551Groupage nationa</v>
          </cell>
        </row>
        <row r="114">
          <cell r="A114">
            <v>64679</v>
          </cell>
          <cell r="B114" t="str">
            <v>ORLEANS / ST JEAN DE</v>
          </cell>
          <cell r="C114" t="str">
            <v>TESSALI DIFFUSION</v>
          </cell>
          <cell r="D114" t="str">
            <v>A553Groupage interna</v>
          </cell>
        </row>
        <row r="115">
          <cell r="A115">
            <v>65013</v>
          </cell>
          <cell r="B115" t="str">
            <v>ORLEANS / ST JEAN DE</v>
          </cell>
          <cell r="C115" t="str">
            <v>ST GOBAIN QUARTZ SAS</v>
          </cell>
          <cell r="D115" t="str">
            <v>A501Lot Divers -501-</v>
          </cell>
          <cell r="E115">
            <v>5.7374999999999998</v>
          </cell>
        </row>
        <row r="116">
          <cell r="A116">
            <v>65013</v>
          </cell>
          <cell r="B116" t="str">
            <v>ORLEANS / ST JEAN DE</v>
          </cell>
          <cell r="C116" t="str">
            <v>ST GOBAIN QUARTZ SAS</v>
          </cell>
          <cell r="D116" t="str">
            <v>A551Groupage nationa</v>
          </cell>
          <cell r="E116">
            <v>1.14585</v>
          </cell>
        </row>
        <row r="117">
          <cell r="A117">
            <v>65013</v>
          </cell>
          <cell r="B117" t="str">
            <v>MOISSY CRAMAYEL</v>
          </cell>
          <cell r="C117" t="str">
            <v>ST GOBAIN QUARTZ SAS</v>
          </cell>
          <cell r="D117" t="str">
            <v>A501Lot Divers -501-</v>
          </cell>
        </row>
        <row r="118">
          <cell r="A118">
            <v>65013</v>
          </cell>
          <cell r="B118" t="str">
            <v>MOISSY CRAMAYEL</v>
          </cell>
          <cell r="C118" t="str">
            <v>ST GOBAIN QUARTZ SAS</v>
          </cell>
          <cell r="D118" t="str">
            <v>A551Groupage nationa</v>
          </cell>
        </row>
        <row r="119">
          <cell r="A119">
            <v>65013</v>
          </cell>
          <cell r="B119" t="str">
            <v>MOISSY CRAMAYEL</v>
          </cell>
          <cell r="C119" t="str">
            <v>ST GOBAIN QUARTZ SAS</v>
          </cell>
          <cell r="D119" t="str">
            <v>A553Groupage interna</v>
          </cell>
        </row>
        <row r="120">
          <cell r="A120">
            <v>65013</v>
          </cell>
          <cell r="B120" t="str">
            <v>ORLEANS / ST JEAN DE</v>
          </cell>
          <cell r="C120" t="str">
            <v>ST GOBAIN QUARTZ SAS</v>
          </cell>
          <cell r="D120" t="str">
            <v>A553Groupage interna</v>
          </cell>
        </row>
        <row r="121">
          <cell r="A121">
            <v>65292</v>
          </cell>
          <cell r="B121" t="str">
            <v>GENNEVILLIERS</v>
          </cell>
          <cell r="C121" t="str">
            <v>AGILITY SAS</v>
          </cell>
          <cell r="D121" t="str">
            <v>A551Groupage nationa</v>
          </cell>
          <cell r="E121">
            <v>178.41120000000001</v>
          </cell>
        </row>
        <row r="122">
          <cell r="A122">
            <v>65292</v>
          </cell>
          <cell r="B122" t="str">
            <v>GENNEVILLIERS</v>
          </cell>
          <cell r="C122" t="str">
            <v>AGILITY SAS</v>
          </cell>
          <cell r="D122" t="str">
            <v>A501Lot Divers -501-</v>
          </cell>
          <cell r="E122">
            <v>39.694609999999997</v>
          </cell>
        </row>
        <row r="123">
          <cell r="A123">
            <v>65292</v>
          </cell>
          <cell r="B123" t="str">
            <v>ROUEN / GRAND QUEVIL</v>
          </cell>
          <cell r="C123" t="str">
            <v>AGILITY SAS</v>
          </cell>
          <cell r="D123" t="str">
            <v>A551Groupage nationa</v>
          </cell>
          <cell r="E123">
            <v>6.4479999999999996E-2</v>
          </cell>
        </row>
        <row r="124">
          <cell r="A124">
            <v>65292</v>
          </cell>
          <cell r="B124" t="str">
            <v>DRANCY</v>
          </cell>
          <cell r="C124" t="str">
            <v>AGILITY SAS</v>
          </cell>
          <cell r="D124" t="str">
            <v>A551Groupage nationa</v>
          </cell>
          <cell r="E124">
            <v>5.1029999999999999E-2</v>
          </cell>
        </row>
        <row r="125">
          <cell r="A125">
            <v>65292</v>
          </cell>
          <cell r="B125" t="str">
            <v>MOISSY CRAMAYEL</v>
          </cell>
          <cell r="C125" t="str">
            <v>AGILITY SAS</v>
          </cell>
          <cell r="D125" t="str">
            <v>A551Groupage nationa</v>
          </cell>
          <cell r="E125">
            <v>4.5650000000000003E-2</v>
          </cell>
        </row>
        <row r="126">
          <cell r="A126">
            <v>65292</v>
          </cell>
          <cell r="B126" t="str">
            <v>GENNEVILLIERS</v>
          </cell>
          <cell r="C126" t="str">
            <v>AGILITY SAS</v>
          </cell>
          <cell r="D126" t="str">
            <v>A553Groupage interna</v>
          </cell>
          <cell r="E126">
            <v>3.168E-2</v>
          </cell>
        </row>
        <row r="127">
          <cell r="A127">
            <v>65292</v>
          </cell>
          <cell r="B127" t="str">
            <v>ORLEANS / ST JEAN DE</v>
          </cell>
          <cell r="C127" t="str">
            <v>AGILITY SAS</v>
          </cell>
          <cell r="D127" t="str">
            <v>A551Groupage nationa</v>
          </cell>
          <cell r="E127">
            <v>2.9960000000000001E-2</v>
          </cell>
        </row>
        <row r="128">
          <cell r="A128">
            <v>65292</v>
          </cell>
          <cell r="B128" t="str">
            <v>DRANCY</v>
          </cell>
          <cell r="C128" t="str">
            <v>AGILITY SAS</v>
          </cell>
          <cell r="D128" t="str">
            <v>A553Groupage interna</v>
          </cell>
        </row>
        <row r="129">
          <cell r="A129">
            <v>66042</v>
          </cell>
          <cell r="B129" t="str">
            <v>MOISSY CRAMAYEL</v>
          </cell>
          <cell r="C129" t="str">
            <v>A RAYMOND SARL</v>
          </cell>
          <cell r="D129" t="str">
            <v>A551Groupage nationa</v>
          </cell>
          <cell r="E129">
            <v>0.14779</v>
          </cell>
        </row>
        <row r="130">
          <cell r="A130">
            <v>66042</v>
          </cell>
          <cell r="B130" t="str">
            <v>GENNEVILLIERS</v>
          </cell>
          <cell r="C130" t="str">
            <v>A RAYMOND SARL</v>
          </cell>
          <cell r="D130" t="str">
            <v>A551Groupage nationa</v>
          </cell>
          <cell r="E130">
            <v>7.843E-2</v>
          </cell>
        </row>
        <row r="131">
          <cell r="A131">
            <v>66042</v>
          </cell>
          <cell r="B131" t="str">
            <v>ROUEN / GRAND QUEVIL</v>
          </cell>
          <cell r="C131" t="str">
            <v>A RAYMOND SARL</v>
          </cell>
          <cell r="D131" t="str">
            <v>A551Groupage nationa</v>
          </cell>
        </row>
        <row r="132">
          <cell r="A132">
            <v>67748</v>
          </cell>
          <cell r="B132" t="str">
            <v>MOISSY CRAMAYEL</v>
          </cell>
          <cell r="C132" t="str">
            <v>JOULIN AERO</v>
          </cell>
          <cell r="D132" t="str">
            <v>A553Groupage interna</v>
          </cell>
          <cell r="E132">
            <v>20.443650000000002</v>
          </cell>
        </row>
        <row r="133">
          <cell r="A133">
            <v>67748</v>
          </cell>
          <cell r="B133" t="str">
            <v>MOISSY CRAMAYEL</v>
          </cell>
          <cell r="C133" t="str">
            <v>JOULIN AERO</v>
          </cell>
          <cell r="D133" t="str">
            <v>A551Groupage nationa</v>
          </cell>
          <cell r="E133">
            <v>6.8640800000000004</v>
          </cell>
        </row>
        <row r="134">
          <cell r="A134">
            <v>67748</v>
          </cell>
          <cell r="B134" t="str">
            <v>MOISSY CRAMAYEL</v>
          </cell>
          <cell r="C134" t="str">
            <v>JOULIN AERO</v>
          </cell>
          <cell r="D134" t="str">
            <v>A501Lot Divers -501-</v>
          </cell>
          <cell r="E134">
            <v>2.2029999999999998</v>
          </cell>
        </row>
        <row r="135">
          <cell r="A135">
            <v>67748</v>
          </cell>
          <cell r="B135" t="str">
            <v>GENNEVILLIERS</v>
          </cell>
          <cell r="C135" t="str">
            <v>JOULIN AERO</v>
          </cell>
          <cell r="D135" t="str">
            <v>A553Groupage interna</v>
          </cell>
          <cell r="E135">
            <v>3.6659999999999998E-2</v>
          </cell>
        </row>
        <row r="136">
          <cell r="A136">
            <v>68641</v>
          </cell>
          <cell r="B136" t="str">
            <v>ORLEANS / ST JEAN DE</v>
          </cell>
          <cell r="C136" t="str">
            <v>DELPHI FRANCE SAS</v>
          </cell>
          <cell r="D136" t="str">
            <v>A501Lot Divers -501-</v>
          </cell>
          <cell r="E136">
            <v>30.96161</v>
          </cell>
        </row>
        <row r="137">
          <cell r="A137">
            <v>68641</v>
          </cell>
          <cell r="B137" t="str">
            <v>ORLEANS / ST JEAN DE</v>
          </cell>
          <cell r="C137" t="str">
            <v>DELPHI FRANCE SAS</v>
          </cell>
          <cell r="D137" t="str">
            <v>A551Groupage nationa</v>
          </cell>
          <cell r="E137">
            <v>16.591270000000002</v>
          </cell>
        </row>
        <row r="138">
          <cell r="A138">
            <v>68641</v>
          </cell>
          <cell r="B138" t="str">
            <v>ORLEANS / ST JEAN DE</v>
          </cell>
          <cell r="C138" t="str">
            <v>DELPHI FRANCE SAS</v>
          </cell>
          <cell r="D138" t="str">
            <v>A553Groupage interna</v>
          </cell>
          <cell r="E138">
            <v>2.8216199999999998</v>
          </cell>
        </row>
        <row r="139">
          <cell r="A139">
            <v>68641</v>
          </cell>
          <cell r="B139" t="str">
            <v>GENNEVILLIERS</v>
          </cell>
          <cell r="C139" t="str">
            <v>DELPHI FRANCE SAS</v>
          </cell>
          <cell r="D139" t="str">
            <v>A551Groupage nationa</v>
          </cell>
          <cell r="E139">
            <v>0.33360000000000001</v>
          </cell>
        </row>
        <row r="140">
          <cell r="A140">
            <v>68641</v>
          </cell>
          <cell r="B140" t="str">
            <v>GENNEVILLIERS</v>
          </cell>
          <cell r="C140" t="str">
            <v>DELPHI FRANCE SAS</v>
          </cell>
          <cell r="D140" t="str">
            <v>A582Activites Annexe</v>
          </cell>
          <cell r="E140">
            <v>0.16200000000000001</v>
          </cell>
        </row>
        <row r="141">
          <cell r="A141">
            <v>68641</v>
          </cell>
          <cell r="B141" t="str">
            <v>GENNEVILLIERS</v>
          </cell>
          <cell r="C141" t="str">
            <v>DELPHI FRANCE SAS</v>
          </cell>
          <cell r="D141" t="str">
            <v>A501Lot Divers -501-</v>
          </cell>
        </row>
        <row r="142">
          <cell r="A142">
            <v>68912</v>
          </cell>
          <cell r="B142" t="str">
            <v>ORLEANS / ST JEAN DE</v>
          </cell>
          <cell r="C142" t="str">
            <v>BOWDEN SAS</v>
          </cell>
          <cell r="D142" t="str">
            <v>A553Groupage interna</v>
          </cell>
          <cell r="E142">
            <v>2.0282399999999998</v>
          </cell>
        </row>
        <row r="143">
          <cell r="A143">
            <v>68912</v>
          </cell>
          <cell r="B143" t="str">
            <v>GENNEVILLIERS</v>
          </cell>
          <cell r="C143" t="str">
            <v>BOWDEN SAS</v>
          </cell>
          <cell r="D143" t="str">
            <v>A553Groupage interna</v>
          </cell>
          <cell r="E143">
            <v>1.575</v>
          </cell>
        </row>
        <row r="144">
          <cell r="A144">
            <v>68912</v>
          </cell>
          <cell r="B144" t="str">
            <v>ORLEANS / ST JEAN DE</v>
          </cell>
          <cell r="C144" t="str">
            <v>BOWDEN SAS</v>
          </cell>
          <cell r="D144" t="str">
            <v>A551Groupage nationa</v>
          </cell>
          <cell r="E144">
            <v>0.67513000000000001</v>
          </cell>
        </row>
        <row r="145">
          <cell r="A145">
            <v>68912</v>
          </cell>
          <cell r="B145" t="str">
            <v>ORLEANS / ST JEAN DE</v>
          </cell>
          <cell r="C145" t="str">
            <v>BOWDEN SAS</v>
          </cell>
          <cell r="D145" t="str">
            <v>A501Lot Divers -501-</v>
          </cell>
          <cell r="E145">
            <v>0.44991999999999999</v>
          </cell>
        </row>
        <row r="146">
          <cell r="A146">
            <v>68912</v>
          </cell>
          <cell r="B146" t="str">
            <v>GENNEVILLIERS</v>
          </cell>
          <cell r="C146" t="str">
            <v>BOWDEN SAS</v>
          </cell>
          <cell r="D146" t="str">
            <v>A582Activites Annexe</v>
          </cell>
          <cell r="E146">
            <v>0.105</v>
          </cell>
        </row>
        <row r="147">
          <cell r="A147">
            <v>70215</v>
          </cell>
          <cell r="B147" t="str">
            <v>MOISSY CRAMAYEL</v>
          </cell>
          <cell r="C147" t="str">
            <v>BEIERSDORF</v>
          </cell>
          <cell r="D147" t="str">
            <v>A501Lot Divers -501-</v>
          </cell>
          <cell r="E147">
            <v>175.57920999999999</v>
          </cell>
        </row>
        <row r="148">
          <cell r="A148">
            <v>70215</v>
          </cell>
          <cell r="B148" t="str">
            <v>MOISSY CRAMAYEL</v>
          </cell>
          <cell r="C148" t="str">
            <v>BEIERSDORF</v>
          </cell>
          <cell r="D148" t="str">
            <v>A551Groupage nationa</v>
          </cell>
          <cell r="E148">
            <v>150.84876</v>
          </cell>
        </row>
        <row r="149">
          <cell r="A149">
            <v>70215</v>
          </cell>
          <cell r="B149" t="str">
            <v>MOISSY CRAMAYEL</v>
          </cell>
          <cell r="C149" t="str">
            <v>BEIERSDORF</v>
          </cell>
          <cell r="D149" t="str">
            <v>A553Groupage interna</v>
          </cell>
          <cell r="E149">
            <v>0.24789</v>
          </cell>
        </row>
        <row r="150">
          <cell r="A150">
            <v>70215</v>
          </cell>
          <cell r="B150" t="str">
            <v>GENNEVILLIERS</v>
          </cell>
          <cell r="C150" t="str">
            <v>BEIERSDORF</v>
          </cell>
          <cell r="D150" t="str">
            <v>A551Groupage nationa</v>
          </cell>
        </row>
        <row r="151">
          <cell r="A151">
            <v>76319</v>
          </cell>
          <cell r="B151" t="str">
            <v>GENNEVILLIERS</v>
          </cell>
          <cell r="C151" t="str">
            <v>SKF FRANCE SA</v>
          </cell>
          <cell r="D151" t="str">
            <v>A551Groupage nationa</v>
          </cell>
          <cell r="E151">
            <v>3.1050000000000001E-2</v>
          </cell>
        </row>
        <row r="152">
          <cell r="A152">
            <v>76319</v>
          </cell>
          <cell r="B152" t="str">
            <v>ROUEN / GRAND QUEVIL</v>
          </cell>
          <cell r="C152" t="str">
            <v>SKF FRANCE SA</v>
          </cell>
          <cell r="D152" t="str">
            <v>A551Groupage nationa</v>
          </cell>
        </row>
        <row r="153">
          <cell r="A153">
            <v>78606</v>
          </cell>
          <cell r="B153" t="str">
            <v>MOISSY CRAMAYEL</v>
          </cell>
          <cell r="C153" t="str">
            <v>BEISSIER</v>
          </cell>
          <cell r="D153" t="str">
            <v>A501Lot Divers -501-</v>
          </cell>
          <cell r="E153">
            <v>316.16221000000002</v>
          </cell>
        </row>
        <row r="154">
          <cell r="A154">
            <v>78606</v>
          </cell>
          <cell r="B154" t="str">
            <v>MOISSY CRAMAYEL</v>
          </cell>
          <cell r="C154" t="str">
            <v>BEISSIER</v>
          </cell>
          <cell r="D154" t="str">
            <v>A553Groupage interna</v>
          </cell>
          <cell r="E154">
            <v>1.35049</v>
          </cell>
        </row>
        <row r="155">
          <cell r="A155">
            <v>78606</v>
          </cell>
          <cell r="B155" t="str">
            <v>MOISSY CRAMAYEL</v>
          </cell>
          <cell r="C155" t="str">
            <v>BEISSIER</v>
          </cell>
          <cell r="D155" t="str">
            <v>A551Groupage nationa</v>
          </cell>
          <cell r="E155">
            <v>0.31459999999999999</v>
          </cell>
        </row>
        <row r="156">
          <cell r="A156">
            <v>78606</v>
          </cell>
          <cell r="B156" t="str">
            <v>ORLEANS / ST JEAN DE</v>
          </cell>
          <cell r="C156" t="str">
            <v>BEISSIER</v>
          </cell>
          <cell r="D156" t="str">
            <v>A551Groupage nationa</v>
          </cell>
        </row>
        <row r="157">
          <cell r="A157">
            <v>82729</v>
          </cell>
          <cell r="B157" t="str">
            <v>GENNEVILLIERS</v>
          </cell>
          <cell r="C157" t="str">
            <v>TRAMICO 27 BRIONNE</v>
          </cell>
          <cell r="D157" t="str">
            <v>A501Lot Divers -501-</v>
          </cell>
        </row>
        <row r="158">
          <cell r="A158">
            <v>82729</v>
          </cell>
          <cell r="B158" t="str">
            <v>ROUEN / GRAND QUEVIL</v>
          </cell>
          <cell r="C158" t="str">
            <v>TRAMICO 27 BRIONNE</v>
          </cell>
          <cell r="D158" t="str">
            <v>A501Lot Divers -501-</v>
          </cell>
        </row>
        <row r="159">
          <cell r="A159">
            <v>82729</v>
          </cell>
          <cell r="B159" t="str">
            <v>ROUEN / GRAND QUEVIL</v>
          </cell>
          <cell r="C159" t="str">
            <v>TRAMICO 27 BRIONNE</v>
          </cell>
          <cell r="D159" t="str">
            <v>A551Groupage nationa</v>
          </cell>
        </row>
        <row r="160">
          <cell r="A160">
            <v>84030</v>
          </cell>
          <cell r="B160" t="str">
            <v>GENNEVILLIERS</v>
          </cell>
          <cell r="C160" t="str">
            <v>DELATEX SA</v>
          </cell>
          <cell r="D160" t="str">
            <v>A551Groupage nationa</v>
          </cell>
          <cell r="E160">
            <v>10.061680000000001</v>
          </cell>
        </row>
        <row r="161">
          <cell r="A161">
            <v>84030</v>
          </cell>
          <cell r="B161" t="str">
            <v>GENNEVILLIERS</v>
          </cell>
          <cell r="C161" t="str">
            <v>DELATEX SA</v>
          </cell>
          <cell r="D161" t="str">
            <v>A553Groupage interna</v>
          </cell>
          <cell r="E161">
            <v>8.5279299999999996</v>
          </cell>
        </row>
        <row r="162">
          <cell r="A162">
            <v>84030</v>
          </cell>
          <cell r="B162" t="str">
            <v>GENNEVILLIERS</v>
          </cell>
          <cell r="C162" t="str">
            <v>DELATEX SA</v>
          </cell>
          <cell r="D162" t="str">
            <v>A501Lot Divers -501-</v>
          </cell>
          <cell r="E162">
            <v>1.085</v>
          </cell>
        </row>
        <row r="163">
          <cell r="A163">
            <v>84030</v>
          </cell>
          <cell r="B163" t="str">
            <v>MOISSY CRAMAYEL</v>
          </cell>
          <cell r="C163" t="str">
            <v>DELATEX SA</v>
          </cell>
          <cell r="D163" t="str">
            <v>A551Groupage nationa</v>
          </cell>
          <cell r="E163">
            <v>2.81E-2</v>
          </cell>
        </row>
        <row r="164">
          <cell r="A164">
            <v>84030</v>
          </cell>
          <cell r="B164" t="str">
            <v>MOISSY CRAMAYEL</v>
          </cell>
          <cell r="C164" t="str">
            <v>DELATEX SA</v>
          </cell>
          <cell r="D164" t="str">
            <v>A501Lot Divers -501-</v>
          </cell>
        </row>
        <row r="165">
          <cell r="A165">
            <v>84030</v>
          </cell>
          <cell r="B165" t="str">
            <v>MOISSY CRAMAYEL</v>
          </cell>
          <cell r="C165" t="str">
            <v>DELATEX SA</v>
          </cell>
          <cell r="D165" t="str">
            <v>A553Groupage interna</v>
          </cell>
        </row>
        <row r="166">
          <cell r="A166">
            <v>84570</v>
          </cell>
          <cell r="B166" t="str">
            <v>GENNEVILLIERS</v>
          </cell>
          <cell r="C166" t="str">
            <v>GESTAMP NOURY SAS</v>
          </cell>
          <cell r="D166" t="str">
            <v>A553Groupage interna</v>
          </cell>
          <cell r="E166">
            <v>3.2424599999999999</v>
          </cell>
        </row>
        <row r="167">
          <cell r="A167">
            <v>84570</v>
          </cell>
          <cell r="B167" t="str">
            <v>GENNEVILLIERS</v>
          </cell>
          <cell r="C167" t="str">
            <v>GESTAMP NOURY SAS</v>
          </cell>
          <cell r="D167" t="str">
            <v>A551Groupage nationa</v>
          </cell>
          <cell r="E167">
            <v>2.1293000000000002</v>
          </cell>
        </row>
        <row r="168">
          <cell r="A168">
            <v>84570</v>
          </cell>
          <cell r="B168" t="str">
            <v>MOISSY CRAMAYEL</v>
          </cell>
          <cell r="C168" t="str">
            <v>GESTAMP NOURY SAS</v>
          </cell>
          <cell r="D168" t="str">
            <v>A551Groupage nationa</v>
          </cell>
          <cell r="E168">
            <v>0.22869999999999999</v>
          </cell>
        </row>
        <row r="169">
          <cell r="A169">
            <v>84570</v>
          </cell>
          <cell r="B169" t="str">
            <v>MOISSY CRAMAYEL</v>
          </cell>
          <cell r="C169" t="str">
            <v>GESTAMP NOURY SAS</v>
          </cell>
          <cell r="D169" t="str">
            <v>A501Lot Divers -501-</v>
          </cell>
          <cell r="E169">
            <v>0.125</v>
          </cell>
        </row>
        <row r="170">
          <cell r="A170">
            <v>84570</v>
          </cell>
          <cell r="B170" t="str">
            <v>GENNEVILLIERS</v>
          </cell>
          <cell r="C170" t="str">
            <v>GESTAMP NOURY SAS</v>
          </cell>
          <cell r="D170" t="str">
            <v>A507Lot Appro PSA -5</v>
          </cell>
        </row>
        <row r="171">
          <cell r="A171">
            <v>85412</v>
          </cell>
          <cell r="B171" t="str">
            <v>GENNEVILLIERS</v>
          </cell>
          <cell r="C171" t="str">
            <v>MONTELEM</v>
          </cell>
          <cell r="D171" t="str">
            <v>A551Groupage nationa</v>
          </cell>
          <cell r="E171">
            <v>7.3833799999999998</v>
          </cell>
        </row>
        <row r="172">
          <cell r="A172">
            <v>85412</v>
          </cell>
          <cell r="B172" t="str">
            <v>GENNEVILLIERS</v>
          </cell>
          <cell r="C172" t="str">
            <v>MONTELEM</v>
          </cell>
          <cell r="D172" t="str">
            <v>A553Groupage interna</v>
          </cell>
          <cell r="E172">
            <v>8.5389999999999994E-2</v>
          </cell>
        </row>
        <row r="173">
          <cell r="A173">
            <v>85412</v>
          </cell>
          <cell r="B173" t="str">
            <v>MOISSY CRAMAYEL</v>
          </cell>
          <cell r="C173" t="str">
            <v>MONTELEM</v>
          </cell>
          <cell r="D173" t="str">
            <v>A551Groupage nationa</v>
          </cell>
        </row>
        <row r="174">
          <cell r="A174">
            <v>85412</v>
          </cell>
          <cell r="B174" t="str">
            <v>MOISSY CRAMAYEL</v>
          </cell>
          <cell r="C174" t="str">
            <v>MONTELEM</v>
          </cell>
          <cell r="D174" t="str">
            <v>A553Groupage interna</v>
          </cell>
        </row>
        <row r="175">
          <cell r="A175">
            <v>87595</v>
          </cell>
          <cell r="B175" t="str">
            <v>DRANCY</v>
          </cell>
          <cell r="C175" t="str">
            <v>SRD</v>
          </cell>
          <cell r="D175" t="str">
            <v>A551Groupage nationa</v>
          </cell>
          <cell r="E175">
            <v>8.1979999999999997E-2</v>
          </cell>
        </row>
        <row r="176">
          <cell r="A176">
            <v>87595</v>
          </cell>
          <cell r="B176" t="str">
            <v>GENNEVILLIERS</v>
          </cell>
          <cell r="C176" t="str">
            <v>SRD</v>
          </cell>
          <cell r="D176" t="str">
            <v>A551Groupage nationa</v>
          </cell>
        </row>
        <row r="177">
          <cell r="A177">
            <v>99999</v>
          </cell>
          <cell r="B177" t="str">
            <v>ROUEN / GRAND QUEVIL</v>
          </cell>
          <cell r="C177" t="str">
            <v>CLIENT A IMPUTER</v>
          </cell>
          <cell r="D177" t="str">
            <v>A551Groupage nationa</v>
          </cell>
          <cell r="E177">
            <v>0.47964000000000001</v>
          </cell>
        </row>
        <row r="178">
          <cell r="A178">
            <v>99999</v>
          </cell>
          <cell r="B178" t="str">
            <v>TROYES / LA CHAPELLE</v>
          </cell>
          <cell r="C178" t="str">
            <v>CLIENT A IMPUTER</v>
          </cell>
          <cell r="D178" t="str">
            <v>A553Groupage interna</v>
          </cell>
          <cell r="E178">
            <v>0.42864999999999998</v>
          </cell>
        </row>
        <row r="179">
          <cell r="A179">
            <v>99999</v>
          </cell>
          <cell r="B179" t="str">
            <v>TROYES / LA CHAPELLE</v>
          </cell>
          <cell r="C179" t="str">
            <v>CLIENT A IMPUTER</v>
          </cell>
          <cell r="D179" t="str">
            <v>A551Groupage nationa</v>
          </cell>
          <cell r="E179">
            <v>0.35435</v>
          </cell>
        </row>
        <row r="180">
          <cell r="A180">
            <v>99999</v>
          </cell>
          <cell r="B180" t="str">
            <v>GENNEVILLIERS</v>
          </cell>
          <cell r="C180" t="str">
            <v>CLIENT A IMPUTER</v>
          </cell>
          <cell r="D180" t="str">
            <v>A551Groupage nationa</v>
          </cell>
          <cell r="E180">
            <v>0.28682000000000002</v>
          </cell>
        </row>
        <row r="181">
          <cell r="A181">
            <v>99999</v>
          </cell>
          <cell r="B181" t="str">
            <v>ROUEN / GRAND QUEVIL</v>
          </cell>
          <cell r="C181" t="str">
            <v>CLIENT A IMPUTER</v>
          </cell>
          <cell r="D181" t="str">
            <v>A501Lot Divers -501-</v>
          </cell>
          <cell r="E181">
            <v>0.22500000000000001</v>
          </cell>
        </row>
        <row r="182">
          <cell r="A182">
            <v>99999</v>
          </cell>
          <cell r="B182" t="str">
            <v>ROUEN / GRAND QUEVIL</v>
          </cell>
          <cell r="C182" t="str">
            <v>CLIENT A IMPUTER</v>
          </cell>
          <cell r="D182" t="str">
            <v>A553Groupage interna</v>
          </cell>
          <cell r="E182">
            <v>7.3789999999999994E-2</v>
          </cell>
        </row>
        <row r="183">
          <cell r="A183">
            <v>99999</v>
          </cell>
          <cell r="B183" t="str">
            <v>MOISSY CRAMAYEL</v>
          </cell>
          <cell r="C183" t="str">
            <v>CLIENT A IMPUTER</v>
          </cell>
          <cell r="D183" t="str">
            <v>A551Groupage nationa</v>
          </cell>
          <cell r="E183">
            <v>4.1579999999999999E-2</v>
          </cell>
        </row>
        <row r="184">
          <cell r="A184">
            <v>99999</v>
          </cell>
          <cell r="B184" t="str">
            <v>ORLEANS / ST JEAN DE</v>
          </cell>
          <cell r="C184" t="str">
            <v>CLIENT A IMPUTER</v>
          </cell>
          <cell r="D184" t="str">
            <v>A551Groupage nationa</v>
          </cell>
          <cell r="E184">
            <v>3.7990000000000003E-2</v>
          </cell>
        </row>
        <row r="185">
          <cell r="A185">
            <v>99999</v>
          </cell>
          <cell r="B185" t="str">
            <v>ORLEANS / ST JEAN DE</v>
          </cell>
          <cell r="C185" t="str">
            <v>CLIENT A IMPUTER</v>
          </cell>
          <cell r="D185" t="str">
            <v>A553Groupage interna</v>
          </cell>
          <cell r="E185">
            <v>3.2730000000000002E-2</v>
          </cell>
        </row>
        <row r="186">
          <cell r="A186">
            <v>99999</v>
          </cell>
          <cell r="B186" t="str">
            <v>MOISSY CRAMAYEL</v>
          </cell>
          <cell r="C186" t="str">
            <v>CLIENT A IMPUTER</v>
          </cell>
          <cell r="D186" t="str">
            <v>A501Lot Divers -501-</v>
          </cell>
        </row>
        <row r="187">
          <cell r="A187">
            <v>99999</v>
          </cell>
          <cell r="B187" t="str">
            <v>DRANCY</v>
          </cell>
          <cell r="C187" t="str">
            <v>CLIENT A IMPUTER</v>
          </cell>
          <cell r="D187" t="str">
            <v>A553Groupage interna</v>
          </cell>
        </row>
        <row r="188">
          <cell r="A188">
            <v>300194</v>
          </cell>
          <cell r="B188" t="str">
            <v>GENNEVILLIERS</v>
          </cell>
          <cell r="C188" t="str">
            <v>CONSTRUCTEUR DE POMPES</v>
          </cell>
          <cell r="D188" t="str">
            <v>A551Groupage nationa</v>
          </cell>
          <cell r="E188">
            <v>8.0410799999999991</v>
          </cell>
        </row>
        <row r="189">
          <cell r="A189">
            <v>300194</v>
          </cell>
          <cell r="B189" t="str">
            <v>GENNEVILLIERS</v>
          </cell>
          <cell r="C189" t="str">
            <v>CONSTRUCTEUR DE POMPES</v>
          </cell>
          <cell r="D189" t="str">
            <v>A553Groupage interna</v>
          </cell>
          <cell r="E189">
            <v>1.5588599999999999</v>
          </cell>
        </row>
        <row r="190">
          <cell r="A190">
            <v>300194</v>
          </cell>
          <cell r="B190" t="str">
            <v>ROUEN / GRAND QUEVIL</v>
          </cell>
          <cell r="C190" t="str">
            <v>CONSTRUCTEUR DE POMPES</v>
          </cell>
          <cell r="D190" t="str">
            <v>A551Groupage nationa</v>
          </cell>
        </row>
        <row r="191">
          <cell r="A191">
            <v>300714</v>
          </cell>
          <cell r="B191" t="str">
            <v>ORLEANS / ST JEAN DE</v>
          </cell>
          <cell r="C191" t="str">
            <v>FONDERIE DE PACY SUR EURE</v>
          </cell>
          <cell r="D191" t="str">
            <v>A551Groupage nationa</v>
          </cell>
          <cell r="E191">
            <v>0.40486</v>
          </cell>
        </row>
        <row r="192">
          <cell r="A192">
            <v>300714</v>
          </cell>
          <cell r="B192" t="str">
            <v>ROUEN / GRAND QUEVIL</v>
          </cell>
          <cell r="C192" t="str">
            <v>FONDERIE DE PACY SUR EURE</v>
          </cell>
          <cell r="D192" t="str">
            <v>A551Groupage nationa</v>
          </cell>
        </row>
        <row r="193">
          <cell r="A193">
            <v>302202</v>
          </cell>
          <cell r="B193" t="str">
            <v>ORLEANS / ST JEAN DE</v>
          </cell>
          <cell r="C193" t="str">
            <v>FAGOR BRANDT SAS</v>
          </cell>
          <cell r="D193" t="str">
            <v>A501Lot Divers -501-</v>
          </cell>
          <cell r="E193">
            <v>19.975000000000001</v>
          </cell>
        </row>
        <row r="194">
          <cell r="A194">
            <v>302202</v>
          </cell>
          <cell r="B194" t="str">
            <v>GENNEVILLIERS</v>
          </cell>
          <cell r="C194" t="str">
            <v>FAGOR BRANDT SAS</v>
          </cell>
          <cell r="D194" t="str">
            <v>A553Groupage interna</v>
          </cell>
          <cell r="E194">
            <v>0.14000000000000001</v>
          </cell>
        </row>
        <row r="195">
          <cell r="A195">
            <v>302847</v>
          </cell>
          <cell r="B195" t="str">
            <v>GENNEVILLIERS</v>
          </cell>
          <cell r="C195" t="str">
            <v>PARAGON TRANSACTION</v>
          </cell>
          <cell r="D195" t="str">
            <v>A551Groupage nationa</v>
          </cell>
          <cell r="E195">
            <v>1.553E-2</v>
          </cell>
        </row>
        <row r="196">
          <cell r="A196">
            <v>302847</v>
          </cell>
          <cell r="B196" t="str">
            <v>MOISSY CRAMAYEL</v>
          </cell>
          <cell r="C196" t="str">
            <v>PARAGON TRANSACTION</v>
          </cell>
          <cell r="D196" t="str">
            <v>A551Groupage nationa</v>
          </cell>
          <cell r="E196">
            <v>4.2000000000000002E-4</v>
          </cell>
        </row>
        <row r="197">
          <cell r="A197">
            <v>303051</v>
          </cell>
          <cell r="B197" t="str">
            <v>GENNEVILLIERS</v>
          </cell>
          <cell r="C197" t="str">
            <v>RELINCO</v>
          </cell>
          <cell r="D197" t="str">
            <v>A551Groupage nationa</v>
          </cell>
          <cell r="E197">
            <v>4.2499799999999999</v>
          </cell>
        </row>
        <row r="198">
          <cell r="A198">
            <v>303051</v>
          </cell>
          <cell r="B198" t="str">
            <v>MOISSY CRAMAYEL</v>
          </cell>
          <cell r="C198" t="str">
            <v>RELINCO</v>
          </cell>
          <cell r="D198" t="str">
            <v>A551Groupage nationa</v>
          </cell>
          <cell r="E198">
            <v>0.1169</v>
          </cell>
        </row>
        <row r="199">
          <cell r="A199">
            <v>303051</v>
          </cell>
          <cell r="B199" t="str">
            <v>MOISSY CRAMAYEL</v>
          </cell>
          <cell r="C199" t="str">
            <v>RELINCO</v>
          </cell>
          <cell r="D199" t="str">
            <v>A553Groupage interna</v>
          </cell>
        </row>
        <row r="200">
          <cell r="A200">
            <v>347712</v>
          </cell>
          <cell r="B200" t="str">
            <v>GENNEVILLIERS</v>
          </cell>
          <cell r="C200" t="str">
            <v>PHILIPS FRANCE</v>
          </cell>
          <cell r="D200" t="str">
            <v>A501Lot Divers -501-</v>
          </cell>
          <cell r="E200">
            <v>367.82402000000002</v>
          </cell>
        </row>
        <row r="201">
          <cell r="A201">
            <v>347712</v>
          </cell>
          <cell r="B201" t="str">
            <v>GENNEVILLIERS</v>
          </cell>
          <cell r="C201" t="str">
            <v>PHILIPS FRANCE</v>
          </cell>
          <cell r="D201" t="str">
            <v>A551Groupage nationa</v>
          </cell>
          <cell r="E201">
            <v>0.56635999999999997</v>
          </cell>
        </row>
        <row r="202">
          <cell r="A202">
            <v>347712</v>
          </cell>
          <cell r="B202" t="str">
            <v>MOISSY CRAMAYEL</v>
          </cell>
          <cell r="C202" t="str">
            <v>PHILIPS FRANCE</v>
          </cell>
          <cell r="D202" t="str">
            <v>A551Groupage nationa</v>
          </cell>
          <cell r="E202">
            <v>0.19905999999999999</v>
          </cell>
        </row>
        <row r="203">
          <cell r="A203">
            <v>361220</v>
          </cell>
          <cell r="B203" t="str">
            <v>GENNEVILLIERS</v>
          </cell>
          <cell r="C203" t="str">
            <v>ESCALADE INTERNATIONAL LTD</v>
          </cell>
          <cell r="D203" t="str">
            <v>A553Groupage interna</v>
          </cell>
        </row>
        <row r="204">
          <cell r="A204">
            <v>361220</v>
          </cell>
          <cell r="B204" t="str">
            <v>MOISSY CRAMAYEL</v>
          </cell>
          <cell r="C204" t="str">
            <v>ESCALADE INTERNATIONAL LTD</v>
          </cell>
          <cell r="D204" t="str">
            <v>A553Groupage interna</v>
          </cell>
        </row>
        <row r="205">
          <cell r="A205">
            <v>361597</v>
          </cell>
          <cell r="B205" t="str">
            <v>GENNEVILLIERS</v>
          </cell>
          <cell r="C205" t="str">
            <v>WINTER CO UK LIMITED</v>
          </cell>
          <cell r="D205" t="str">
            <v>A553Groupage interna</v>
          </cell>
          <cell r="E205">
            <v>0</v>
          </cell>
        </row>
        <row r="206">
          <cell r="A206">
            <v>361597</v>
          </cell>
          <cell r="B206" t="str">
            <v>ROUEN / GRAND QUEVIL</v>
          </cell>
          <cell r="C206" t="str">
            <v>WINTER CO UK LIMITED</v>
          </cell>
          <cell r="D206" t="str">
            <v>A553Groupage interna</v>
          </cell>
        </row>
        <row r="207">
          <cell r="A207">
            <v>361597</v>
          </cell>
          <cell r="B207" t="str">
            <v>TROYES / LA CHAPELLE</v>
          </cell>
          <cell r="C207" t="str">
            <v>WINTER CO UK LIMITED</v>
          </cell>
          <cell r="D207" t="str">
            <v>A553Groupage interna</v>
          </cell>
        </row>
        <row r="208">
          <cell r="A208">
            <v>363509</v>
          </cell>
          <cell r="B208" t="str">
            <v>ORLEANS / ST JEAN DE</v>
          </cell>
          <cell r="C208" t="str">
            <v>LES TRANSPORTS LEXOVIENS</v>
          </cell>
          <cell r="D208" t="str">
            <v>A501Lot Divers -501-</v>
          </cell>
          <cell r="E208">
            <v>0.19500000000000001</v>
          </cell>
        </row>
        <row r="209">
          <cell r="A209">
            <v>363509</v>
          </cell>
          <cell r="B209" t="str">
            <v>ORLEANS / ST JEAN DE</v>
          </cell>
          <cell r="C209" t="str">
            <v>LES TRANSPORTS LEXOVIENS</v>
          </cell>
          <cell r="D209" t="str">
            <v>A551Groupage nationa</v>
          </cell>
          <cell r="E209">
            <v>7.4999999999999997E-2</v>
          </cell>
        </row>
        <row r="210">
          <cell r="A210">
            <v>363509</v>
          </cell>
          <cell r="B210" t="str">
            <v>ROUEN / GRAND QUEVIL</v>
          </cell>
          <cell r="C210" t="str">
            <v>LES TRANSPORTS LEXOVIENS</v>
          </cell>
          <cell r="D210" t="str">
            <v>A551Groupage nationa</v>
          </cell>
        </row>
        <row r="211">
          <cell r="A211">
            <v>376241</v>
          </cell>
          <cell r="B211" t="str">
            <v>GENNEVILLIERS</v>
          </cell>
          <cell r="C211" t="str">
            <v>PERSEE</v>
          </cell>
          <cell r="D211" t="str">
            <v>A551Groupage nationa</v>
          </cell>
        </row>
        <row r="212">
          <cell r="A212">
            <v>376241</v>
          </cell>
          <cell r="B212" t="str">
            <v>MOISSY CRAMAYEL</v>
          </cell>
          <cell r="C212" t="str">
            <v>PERSEE</v>
          </cell>
          <cell r="D212" t="str">
            <v>A551Groupage nationa</v>
          </cell>
        </row>
        <row r="213">
          <cell r="A213">
            <v>377004</v>
          </cell>
          <cell r="B213" t="str">
            <v>GENNEVILLIERS</v>
          </cell>
          <cell r="C213" t="str">
            <v>ETABLISSEMENTS CAILLAU SAS</v>
          </cell>
          <cell r="D213" t="str">
            <v>A553Groupage interna</v>
          </cell>
          <cell r="E213">
            <v>7.0000000000000007E-2</v>
          </cell>
        </row>
        <row r="214">
          <cell r="A214">
            <v>377004</v>
          </cell>
          <cell r="B214" t="str">
            <v>MOISSY CRAMAYEL</v>
          </cell>
          <cell r="C214" t="str">
            <v>ETABLISSEMENTS CAILLAU SAS</v>
          </cell>
          <cell r="D214" t="str">
            <v>A551Groupage nationa</v>
          </cell>
          <cell r="E214">
            <v>3.9579999999999997E-2</v>
          </cell>
        </row>
        <row r="215">
          <cell r="A215">
            <v>379197</v>
          </cell>
          <cell r="B215" t="str">
            <v>MOISSY CRAMAYEL</v>
          </cell>
          <cell r="C215" t="str">
            <v>CNH FRANCE</v>
          </cell>
          <cell r="D215" t="str">
            <v>A551Groupage nationa</v>
          </cell>
          <cell r="E215">
            <v>0.98265000000000002</v>
          </cell>
        </row>
        <row r="216">
          <cell r="A216">
            <v>379197</v>
          </cell>
          <cell r="B216" t="str">
            <v>GENNEVILLIERS</v>
          </cell>
          <cell r="C216" t="str">
            <v>CNH FRANCE</v>
          </cell>
          <cell r="D216" t="str">
            <v>A551Groupage nationa</v>
          </cell>
        </row>
        <row r="217">
          <cell r="A217">
            <v>379197</v>
          </cell>
          <cell r="B217" t="str">
            <v>DRANCY</v>
          </cell>
          <cell r="C217" t="str">
            <v>CNH FRANCE</v>
          </cell>
          <cell r="D217" t="str">
            <v>A553Groupage interna</v>
          </cell>
        </row>
        <row r="218">
          <cell r="A218">
            <v>379833</v>
          </cell>
          <cell r="B218" t="str">
            <v>ORLEANS / ST JEAN DE</v>
          </cell>
          <cell r="C218" t="str">
            <v>SOFEDIT SAS</v>
          </cell>
          <cell r="D218" t="str">
            <v>A501Lot Divers -501-</v>
          </cell>
          <cell r="E218">
            <v>6.8829200000000004</v>
          </cell>
        </row>
        <row r="219">
          <cell r="A219">
            <v>379833</v>
          </cell>
          <cell r="B219" t="str">
            <v>ORLEANS / ST JEAN DE</v>
          </cell>
          <cell r="C219" t="str">
            <v>SOFEDIT SAS</v>
          </cell>
          <cell r="D219" t="str">
            <v>A551Groupage nationa</v>
          </cell>
          <cell r="E219">
            <v>4.8447399999999998</v>
          </cell>
        </row>
        <row r="220">
          <cell r="A220">
            <v>379833</v>
          </cell>
          <cell r="B220" t="str">
            <v>ORLEANS / ST JEAN DE</v>
          </cell>
          <cell r="C220" t="str">
            <v>SOFEDIT SAS</v>
          </cell>
          <cell r="D220" t="str">
            <v>A553Groupage interna</v>
          </cell>
          <cell r="E220">
            <v>3.8790399999999998</v>
          </cell>
        </row>
        <row r="221">
          <cell r="A221">
            <v>379833</v>
          </cell>
          <cell r="B221" t="str">
            <v>GENNEVILLIERS</v>
          </cell>
          <cell r="C221" t="str">
            <v>SOFEDIT SAS</v>
          </cell>
          <cell r="D221" t="str">
            <v>A553Groupage interna</v>
          </cell>
          <cell r="E221">
            <v>0.98</v>
          </cell>
        </row>
        <row r="222">
          <cell r="A222">
            <v>379833</v>
          </cell>
          <cell r="B222" t="str">
            <v>GENNEVILLIERS</v>
          </cell>
          <cell r="C222" t="str">
            <v>SOFEDIT SAS</v>
          </cell>
          <cell r="D222" t="str">
            <v>A551Groupage nationa</v>
          </cell>
          <cell r="E222">
            <v>0.23094999999999999</v>
          </cell>
        </row>
        <row r="223">
          <cell r="A223">
            <v>379833</v>
          </cell>
          <cell r="B223" t="str">
            <v>ORLEANS / ST JEAN DE</v>
          </cell>
          <cell r="C223" t="str">
            <v>SOFEDIT SAS</v>
          </cell>
          <cell r="D223" t="str">
            <v>A507Lot Appro PSA -5</v>
          </cell>
        </row>
        <row r="224">
          <cell r="A224">
            <v>380076</v>
          </cell>
          <cell r="B224" t="str">
            <v>GENNEVILLIERS</v>
          </cell>
          <cell r="C224" t="str">
            <v>CELIO FRANCE</v>
          </cell>
          <cell r="D224" t="str">
            <v>A551Groupage nationa</v>
          </cell>
          <cell r="E224">
            <v>98.050920000000005</v>
          </cell>
        </row>
        <row r="225">
          <cell r="A225">
            <v>380076</v>
          </cell>
          <cell r="B225" t="str">
            <v>GENNEVILLIERS</v>
          </cell>
          <cell r="C225" t="str">
            <v>CELIO FRANCE</v>
          </cell>
          <cell r="D225" t="str">
            <v>A501Lot Divers -501-</v>
          </cell>
        </row>
        <row r="226">
          <cell r="A226">
            <v>380076</v>
          </cell>
          <cell r="B226" t="str">
            <v>MOISSY CRAMAYEL</v>
          </cell>
          <cell r="C226" t="str">
            <v>CELIO FRANCE</v>
          </cell>
          <cell r="D226" t="str">
            <v>A551Groupage nationa</v>
          </cell>
        </row>
        <row r="227">
          <cell r="A227">
            <v>381110</v>
          </cell>
          <cell r="B227" t="str">
            <v>GENNEVILLIERS</v>
          </cell>
          <cell r="C227" t="str">
            <v>TOILES DE MAYENNE</v>
          </cell>
          <cell r="D227" t="str">
            <v>A551Groupage nationa</v>
          </cell>
        </row>
        <row r="228">
          <cell r="A228">
            <v>381110</v>
          </cell>
          <cell r="B228" t="str">
            <v>ORLEANS / ST JEAN DE</v>
          </cell>
          <cell r="C228" t="str">
            <v>TOILES DE MAYENNE</v>
          </cell>
          <cell r="D228" t="str">
            <v>A551Groupage nationa</v>
          </cell>
        </row>
        <row r="229">
          <cell r="A229">
            <v>381110</v>
          </cell>
          <cell r="B229" t="str">
            <v>DRANCY</v>
          </cell>
          <cell r="C229" t="str">
            <v>TOILES DE MAYENNE</v>
          </cell>
          <cell r="D229" t="str">
            <v>A553Groupage interna</v>
          </cell>
        </row>
        <row r="230">
          <cell r="A230">
            <v>381465</v>
          </cell>
          <cell r="B230" t="str">
            <v>GENNEVILLIERS</v>
          </cell>
          <cell r="C230" t="str">
            <v>FRAUENTHAL AUTOMOTIVE FRANCE S.A.S</v>
          </cell>
          <cell r="D230" t="str">
            <v>A551Groupage nationa</v>
          </cell>
        </row>
        <row r="231">
          <cell r="A231">
            <v>381465</v>
          </cell>
          <cell r="B231" t="str">
            <v>MOISSY CRAMAYEL</v>
          </cell>
          <cell r="C231" t="str">
            <v>FRAUENTHAL AUTOMOTIVE FRANCE S.A.S</v>
          </cell>
          <cell r="D231" t="str">
            <v>A551Groupage nationa</v>
          </cell>
        </row>
        <row r="232">
          <cell r="A232">
            <v>381751</v>
          </cell>
          <cell r="B232" t="str">
            <v>MOISSY CRAMAYEL</v>
          </cell>
          <cell r="C232" t="str">
            <v>SCC</v>
          </cell>
          <cell r="D232" t="str">
            <v>A551Groupage nationa</v>
          </cell>
          <cell r="E232">
            <v>4.4549999999999999E-2</v>
          </cell>
        </row>
        <row r="233">
          <cell r="A233">
            <v>381751</v>
          </cell>
          <cell r="B233" t="str">
            <v>GENNEVILLIERS</v>
          </cell>
          <cell r="C233" t="str">
            <v>SCC</v>
          </cell>
          <cell r="D233" t="str">
            <v>A501Lot Divers -501-</v>
          </cell>
        </row>
        <row r="234">
          <cell r="A234">
            <v>381751</v>
          </cell>
          <cell r="B234" t="str">
            <v>MOISSY CRAMAYEL</v>
          </cell>
          <cell r="C234" t="str">
            <v>SCC</v>
          </cell>
          <cell r="D234" t="str">
            <v>A501Lot Divers -501-</v>
          </cell>
        </row>
        <row r="235">
          <cell r="A235">
            <v>385477</v>
          </cell>
          <cell r="B235" t="str">
            <v>MOISSY CRAMAYEL</v>
          </cell>
          <cell r="C235" t="str">
            <v>MTK IMPORT EXPORT</v>
          </cell>
          <cell r="D235" t="str">
            <v>A551Groupage nationa</v>
          </cell>
          <cell r="E235">
            <v>141.48362</v>
          </cell>
        </row>
        <row r="236">
          <cell r="A236">
            <v>385477</v>
          </cell>
          <cell r="B236" t="str">
            <v>MOISSY CRAMAYEL</v>
          </cell>
          <cell r="C236" t="str">
            <v>MTK IMPORT EXPORT</v>
          </cell>
          <cell r="D236" t="str">
            <v>A553Groupage interna</v>
          </cell>
          <cell r="E236">
            <v>25.049430000000001</v>
          </cell>
        </row>
        <row r="237">
          <cell r="A237">
            <v>385477</v>
          </cell>
          <cell r="B237" t="str">
            <v>MOISSY CRAMAYEL</v>
          </cell>
          <cell r="C237" t="str">
            <v>MTK IMPORT EXPORT</v>
          </cell>
          <cell r="D237" t="str">
            <v>A501Lot Divers -501-</v>
          </cell>
          <cell r="E237">
            <v>23.219750000000001</v>
          </cell>
        </row>
        <row r="238">
          <cell r="A238">
            <v>385477</v>
          </cell>
          <cell r="B238" t="str">
            <v>GENNEVILLIERS</v>
          </cell>
          <cell r="C238" t="str">
            <v>MTK IMPORT EXPORT</v>
          </cell>
          <cell r="D238" t="str">
            <v>A551Groupage nationa</v>
          </cell>
          <cell r="E238">
            <v>1.4279999999999999E-2</v>
          </cell>
        </row>
        <row r="239">
          <cell r="A239">
            <v>389130</v>
          </cell>
          <cell r="B239" t="str">
            <v>DRANCY</v>
          </cell>
          <cell r="C239" t="str">
            <v>PAPREC ILE DE FRANCE</v>
          </cell>
          <cell r="D239" t="str">
            <v>A551Groupage nationa</v>
          </cell>
          <cell r="E239">
            <v>0.17019999999999999</v>
          </cell>
        </row>
        <row r="240">
          <cell r="A240">
            <v>389130</v>
          </cell>
          <cell r="B240" t="str">
            <v>MOISSY CRAMAYEL</v>
          </cell>
          <cell r="C240" t="str">
            <v>PAPREC ILE DE FRANCE</v>
          </cell>
          <cell r="D240" t="str">
            <v>A551Groupage nationa</v>
          </cell>
          <cell r="E240">
            <v>0.14615</v>
          </cell>
        </row>
        <row r="241">
          <cell r="A241">
            <v>389130</v>
          </cell>
          <cell r="B241" t="str">
            <v>DRANCY</v>
          </cell>
          <cell r="C241" t="str">
            <v>PAPREC ILE DE FRANCE</v>
          </cell>
          <cell r="D241" t="str">
            <v>A553Groupage interna</v>
          </cell>
          <cell r="E241">
            <v>8.3599999999999994E-2</v>
          </cell>
        </row>
        <row r="242">
          <cell r="A242">
            <v>389130</v>
          </cell>
          <cell r="B242" t="str">
            <v>GENNEVILLIERS</v>
          </cell>
          <cell r="C242" t="str">
            <v>PAPREC ILE DE FRANCE</v>
          </cell>
          <cell r="D242" t="str">
            <v>A501Lot Divers -501-</v>
          </cell>
          <cell r="E242">
            <v>0</v>
          </cell>
        </row>
        <row r="243">
          <cell r="A243">
            <v>394810</v>
          </cell>
          <cell r="B243" t="str">
            <v>MOISSY CRAMAYEL</v>
          </cell>
          <cell r="C243" t="str">
            <v>VOKES AIR</v>
          </cell>
          <cell r="D243" t="str">
            <v>A551Groupage nationa</v>
          </cell>
          <cell r="E243">
            <v>91.018439999999998</v>
          </cell>
        </row>
        <row r="244">
          <cell r="A244">
            <v>394810</v>
          </cell>
          <cell r="B244" t="str">
            <v>MOISSY CRAMAYEL</v>
          </cell>
          <cell r="C244" t="str">
            <v>VOKES AIR</v>
          </cell>
          <cell r="D244" t="str">
            <v>A501Lot Divers -501-</v>
          </cell>
          <cell r="E244">
            <v>20.04663</v>
          </cell>
        </row>
        <row r="245">
          <cell r="A245">
            <v>394810</v>
          </cell>
          <cell r="B245" t="str">
            <v>MOISSY CRAMAYEL</v>
          </cell>
          <cell r="C245" t="str">
            <v>VOKES AIR</v>
          </cell>
          <cell r="D245" t="str">
            <v>A553Groupage interna</v>
          </cell>
          <cell r="E245">
            <v>1.3233299999999999</v>
          </cell>
        </row>
        <row r="246">
          <cell r="A246">
            <v>394810</v>
          </cell>
          <cell r="B246" t="str">
            <v>GENNEVILLIERS</v>
          </cell>
          <cell r="C246" t="str">
            <v>VOKES AIR</v>
          </cell>
          <cell r="D246" t="str">
            <v>A551Groupage nationa</v>
          </cell>
        </row>
        <row r="247">
          <cell r="A247">
            <v>398130</v>
          </cell>
          <cell r="B247" t="str">
            <v>GENNEVILLIERS</v>
          </cell>
          <cell r="C247" t="str">
            <v>MGI FRANCE</v>
          </cell>
          <cell r="D247" t="str">
            <v>A551Groupage nationa</v>
          </cell>
          <cell r="E247">
            <v>2.8319299999999998</v>
          </cell>
        </row>
        <row r="248">
          <cell r="A248">
            <v>398130</v>
          </cell>
          <cell r="B248" t="str">
            <v>MOISSY CRAMAYEL</v>
          </cell>
          <cell r="C248" t="str">
            <v>MGI FRANCE</v>
          </cell>
          <cell r="D248" t="str">
            <v>A551Groupage nationa</v>
          </cell>
          <cell r="E248">
            <v>8.2530000000000006E-2</v>
          </cell>
        </row>
        <row r="249">
          <cell r="A249">
            <v>398130</v>
          </cell>
          <cell r="B249" t="str">
            <v>GENNEVILLIERS</v>
          </cell>
          <cell r="C249" t="str">
            <v>MGI FRANCE</v>
          </cell>
          <cell r="D249" t="str">
            <v>A553Groupage interna</v>
          </cell>
        </row>
        <row r="250">
          <cell r="A250">
            <v>398130</v>
          </cell>
          <cell r="B250" t="str">
            <v>MOISSY CRAMAYEL</v>
          </cell>
          <cell r="C250" t="str">
            <v>MGI FRANCE</v>
          </cell>
          <cell r="D250" t="str">
            <v>A501Lot Divers -501-</v>
          </cell>
        </row>
        <row r="251">
          <cell r="A251">
            <v>398130</v>
          </cell>
          <cell r="B251" t="str">
            <v>MOISSY CRAMAYEL</v>
          </cell>
          <cell r="C251" t="str">
            <v>MGI FRANCE</v>
          </cell>
          <cell r="D251" t="str">
            <v>A553Groupage interna</v>
          </cell>
        </row>
        <row r="252">
          <cell r="A252">
            <v>434042</v>
          </cell>
          <cell r="B252" t="str">
            <v>GENNEVILLIERS</v>
          </cell>
          <cell r="C252" t="str">
            <v>ELGIN</v>
          </cell>
          <cell r="D252" t="str">
            <v>A553Groupage interna</v>
          </cell>
          <cell r="E252">
            <v>11.99849</v>
          </cell>
        </row>
        <row r="253">
          <cell r="A253">
            <v>434042</v>
          </cell>
          <cell r="B253" t="str">
            <v>GENNEVILLIERS</v>
          </cell>
          <cell r="C253" t="str">
            <v>ELGIN</v>
          </cell>
          <cell r="D253" t="str">
            <v>A551Groupage nationa</v>
          </cell>
          <cell r="E253">
            <v>3.2912699999999999</v>
          </cell>
        </row>
        <row r="254">
          <cell r="A254">
            <v>434042</v>
          </cell>
          <cell r="B254" t="str">
            <v>GENNEVILLIERS</v>
          </cell>
          <cell r="C254" t="str">
            <v>ELGIN</v>
          </cell>
          <cell r="D254" t="str">
            <v>A501Lot Divers -501-</v>
          </cell>
          <cell r="E254">
            <v>0.34499999999999997</v>
          </cell>
        </row>
        <row r="255">
          <cell r="A255">
            <v>434042</v>
          </cell>
          <cell r="B255" t="str">
            <v>DRANCY</v>
          </cell>
          <cell r="C255" t="str">
            <v>ELGIN</v>
          </cell>
          <cell r="D255" t="str">
            <v>A553Groupage interna</v>
          </cell>
        </row>
        <row r="256">
          <cell r="A256">
            <v>434109</v>
          </cell>
          <cell r="B256" t="str">
            <v>GENNEVILLIERS</v>
          </cell>
          <cell r="C256" t="str">
            <v>K.P  INDUSTRIES</v>
          </cell>
          <cell r="D256" t="str">
            <v>A551Groupage nationa</v>
          </cell>
        </row>
        <row r="257">
          <cell r="A257">
            <v>434109</v>
          </cell>
          <cell r="B257" t="str">
            <v>GENNEVILLIERS</v>
          </cell>
          <cell r="C257" t="str">
            <v>K.P  INDUSTRIES</v>
          </cell>
          <cell r="D257" t="str">
            <v>A553Groupage interna</v>
          </cell>
        </row>
        <row r="258">
          <cell r="A258">
            <v>434109</v>
          </cell>
          <cell r="B258" t="str">
            <v>MOISSY CRAMAYEL</v>
          </cell>
          <cell r="C258" t="str">
            <v>K.P  INDUSTRIES</v>
          </cell>
          <cell r="D258" t="str">
            <v>A501Lot Divers -501-</v>
          </cell>
        </row>
        <row r="259">
          <cell r="A259">
            <v>434109</v>
          </cell>
          <cell r="B259" t="str">
            <v>MOISSY CRAMAYEL</v>
          </cell>
          <cell r="C259" t="str">
            <v>K.P  INDUSTRIES</v>
          </cell>
          <cell r="D259" t="str">
            <v>A551Groupage nationa</v>
          </cell>
        </row>
        <row r="260">
          <cell r="A260">
            <v>434109</v>
          </cell>
          <cell r="B260" t="str">
            <v>MOISSY CRAMAYEL</v>
          </cell>
          <cell r="C260" t="str">
            <v>K.P  INDUSTRIES</v>
          </cell>
          <cell r="D260" t="str">
            <v>A553Groupage interna</v>
          </cell>
        </row>
        <row r="261">
          <cell r="A261">
            <v>434333</v>
          </cell>
          <cell r="B261" t="str">
            <v>ORLEANS / ST JEAN DE</v>
          </cell>
          <cell r="C261" t="str">
            <v>OFF ROAD ATTITUDE</v>
          </cell>
          <cell r="D261" t="str">
            <v>A551Groupage nationa</v>
          </cell>
          <cell r="E261">
            <v>3.74417</v>
          </cell>
        </row>
        <row r="262">
          <cell r="A262">
            <v>434333</v>
          </cell>
          <cell r="B262" t="str">
            <v>ORLEANS / ST JEAN DE</v>
          </cell>
          <cell r="C262" t="str">
            <v>OFF ROAD ATTITUDE</v>
          </cell>
          <cell r="D262" t="str">
            <v>A553Groupage interna</v>
          </cell>
          <cell r="E262">
            <v>2.2395499999999999</v>
          </cell>
        </row>
        <row r="263">
          <cell r="A263">
            <v>434333</v>
          </cell>
          <cell r="B263" t="str">
            <v>MOISSY CRAMAYEL</v>
          </cell>
          <cell r="C263" t="str">
            <v>OFF ROAD ATTITUDE</v>
          </cell>
          <cell r="D263" t="str">
            <v>A551Groupage nationa</v>
          </cell>
        </row>
        <row r="264">
          <cell r="A264">
            <v>434333</v>
          </cell>
          <cell r="B264" t="str">
            <v>MOISSY CRAMAYEL</v>
          </cell>
          <cell r="C264" t="str">
            <v>OFF ROAD ATTITUDE</v>
          </cell>
          <cell r="D264" t="str">
            <v>A553Groupage interna</v>
          </cell>
        </row>
        <row r="265">
          <cell r="A265">
            <v>438557</v>
          </cell>
          <cell r="B265" t="str">
            <v>MOISSY CRAMAYEL</v>
          </cell>
          <cell r="C265" t="str">
            <v>SCHWARTZMANN FISSEAU COCHOT EN ABRE</v>
          </cell>
          <cell r="D265" t="str">
            <v>A551Groupage nationa</v>
          </cell>
          <cell r="E265">
            <v>3.1242399999999999</v>
          </cell>
        </row>
        <row r="266">
          <cell r="A266">
            <v>438557</v>
          </cell>
          <cell r="B266" t="str">
            <v>MOISSY CRAMAYEL</v>
          </cell>
          <cell r="C266" t="str">
            <v>SCHWARTZMANN FISSEAU COCHOT EN ABRE</v>
          </cell>
          <cell r="D266" t="str">
            <v>A553Groupage interna</v>
          </cell>
        </row>
        <row r="267">
          <cell r="A267">
            <v>438557</v>
          </cell>
          <cell r="B267" t="str">
            <v>TROYES / LA CHAPELLE</v>
          </cell>
          <cell r="C267" t="str">
            <v>SCHWARTZMANN FISSEAU COCHOT EN ABRE</v>
          </cell>
          <cell r="D267" t="str">
            <v>A551Groupage nationa</v>
          </cell>
        </row>
        <row r="268">
          <cell r="A268">
            <v>438557</v>
          </cell>
          <cell r="B268" t="str">
            <v>ORLEANS / ST JEAN DE</v>
          </cell>
          <cell r="C268" t="str">
            <v>SCHWARTZMANN FISSEAU COCHOT EN ABRE</v>
          </cell>
          <cell r="D268" t="str">
            <v>A551Groupage nationa</v>
          </cell>
        </row>
        <row r="269">
          <cell r="A269">
            <v>440648</v>
          </cell>
          <cell r="B269" t="str">
            <v>GENNEVILLIERS</v>
          </cell>
          <cell r="C269" t="str">
            <v>TRANSFLEX</v>
          </cell>
          <cell r="D269" t="str">
            <v>A551Groupage nationa</v>
          </cell>
        </row>
        <row r="270">
          <cell r="A270">
            <v>440648</v>
          </cell>
          <cell r="B270" t="str">
            <v>MOISSY CRAMAYEL</v>
          </cell>
          <cell r="C270" t="str">
            <v>TRANSFLEX</v>
          </cell>
          <cell r="D270" t="str">
            <v>A551Groupage nationa</v>
          </cell>
        </row>
        <row r="271">
          <cell r="A271">
            <v>442295</v>
          </cell>
          <cell r="B271" t="str">
            <v>ROUEN / GRAND QUEVIL</v>
          </cell>
          <cell r="C271" t="str">
            <v>MAUROUSSET FRERES</v>
          </cell>
          <cell r="D271" t="str">
            <v>A551Groupage nationa</v>
          </cell>
        </row>
        <row r="272">
          <cell r="A272">
            <v>442295</v>
          </cell>
          <cell r="B272" t="str">
            <v>MOISSY CRAMAYEL</v>
          </cell>
          <cell r="C272" t="str">
            <v>MAUROUSSET FRERES</v>
          </cell>
          <cell r="D272" t="str">
            <v>A551Groupage nationa</v>
          </cell>
        </row>
        <row r="273">
          <cell r="A273">
            <v>442295</v>
          </cell>
          <cell r="B273" t="str">
            <v>ORLEANS / ST JEAN DE</v>
          </cell>
          <cell r="C273" t="str">
            <v>MAUROUSSET FRERES</v>
          </cell>
          <cell r="D273" t="str">
            <v>A551Groupage nationa</v>
          </cell>
        </row>
        <row r="274">
          <cell r="A274">
            <v>444172</v>
          </cell>
          <cell r="B274" t="str">
            <v>GENNEVILLIERS</v>
          </cell>
          <cell r="C274" t="str">
            <v>ORLIS COMMERCE INTERNATIONAL</v>
          </cell>
          <cell r="D274" t="str">
            <v>A501Lot Divers -501-</v>
          </cell>
          <cell r="E274">
            <v>4.5963399999999996</v>
          </cell>
        </row>
        <row r="275">
          <cell r="A275">
            <v>444172</v>
          </cell>
          <cell r="B275" t="str">
            <v>GENNEVILLIERS</v>
          </cell>
          <cell r="C275" t="str">
            <v>ORLIS COMMERCE INTERNATIONAL</v>
          </cell>
          <cell r="D275" t="str">
            <v>A551Groupage nationa</v>
          </cell>
          <cell r="E275">
            <v>9.9080000000000001E-2</v>
          </cell>
        </row>
        <row r="276">
          <cell r="A276">
            <v>444172</v>
          </cell>
          <cell r="B276" t="str">
            <v>GENNEVILLIERS</v>
          </cell>
          <cell r="C276" t="str">
            <v>ORLIS COMMERCE INTERNATIONAL</v>
          </cell>
          <cell r="D276" t="str">
            <v>A553Groupage interna</v>
          </cell>
          <cell r="E276">
            <v>8.949E-2</v>
          </cell>
        </row>
        <row r="277">
          <cell r="A277">
            <v>444172</v>
          </cell>
          <cell r="B277" t="str">
            <v>ROUEN / GRAND QUEVIL</v>
          </cell>
          <cell r="C277" t="str">
            <v>ORLIS COMMERCE INTERNATIONAL</v>
          </cell>
          <cell r="D277" t="str">
            <v>A551Groupage nationa</v>
          </cell>
        </row>
        <row r="278">
          <cell r="A278">
            <v>464901</v>
          </cell>
          <cell r="B278" t="str">
            <v>GENNEVILLIERS</v>
          </cell>
          <cell r="C278" t="str">
            <v>ONE CONCEPT SARL</v>
          </cell>
          <cell r="D278" t="str">
            <v>A551Groupage nationa</v>
          </cell>
        </row>
        <row r="279">
          <cell r="A279">
            <v>464901</v>
          </cell>
          <cell r="B279" t="str">
            <v>DRANCY</v>
          </cell>
          <cell r="C279" t="str">
            <v>ONE CONCEPT SARL</v>
          </cell>
          <cell r="D279" t="str">
            <v>A553Groupage interna</v>
          </cell>
        </row>
        <row r="280">
          <cell r="A280">
            <v>465852</v>
          </cell>
          <cell r="B280" t="str">
            <v>TROYES / LA CHAPELLE</v>
          </cell>
          <cell r="C280" t="str">
            <v>AIR LIQUIDE WELDING FRANCE</v>
          </cell>
          <cell r="D280" t="str">
            <v>A551Groupage nationa</v>
          </cell>
          <cell r="E280">
            <v>499.40291000000002</v>
          </cell>
        </row>
        <row r="281">
          <cell r="A281">
            <v>465852</v>
          </cell>
          <cell r="B281" t="str">
            <v>TROYES / LA CHAPELLE</v>
          </cell>
          <cell r="C281" t="str">
            <v>AIR LIQUIDE WELDING FRANCE</v>
          </cell>
          <cell r="D281" t="str">
            <v>A501Lot Divers -501-</v>
          </cell>
          <cell r="E281">
            <v>414.98754000000002</v>
          </cell>
        </row>
        <row r="282">
          <cell r="A282">
            <v>465852</v>
          </cell>
          <cell r="B282" t="str">
            <v>TROYES / LA CHAPELLE</v>
          </cell>
          <cell r="C282" t="str">
            <v>AIR LIQUIDE WELDING FRANCE</v>
          </cell>
          <cell r="D282" t="str">
            <v>A553Groupage interna</v>
          </cell>
          <cell r="E282">
            <v>138.29284999999999</v>
          </cell>
        </row>
        <row r="283">
          <cell r="A283">
            <v>465852</v>
          </cell>
          <cell r="B283" t="str">
            <v>GENNEVILLIERS</v>
          </cell>
          <cell r="C283" t="str">
            <v>AIR LIQUIDE WELDING FRANCE</v>
          </cell>
          <cell r="D283" t="str">
            <v>A551Groupage nationa</v>
          </cell>
          <cell r="E283">
            <v>0.12894</v>
          </cell>
        </row>
        <row r="284">
          <cell r="A284">
            <v>474091</v>
          </cell>
          <cell r="B284" t="str">
            <v>GENNEVILLIERS</v>
          </cell>
          <cell r="C284" t="str">
            <v>LABORATOIRES HYPERIX</v>
          </cell>
          <cell r="D284" t="str">
            <v>A551Groupage nationa</v>
          </cell>
          <cell r="E284">
            <v>9.1458999999999993</v>
          </cell>
        </row>
        <row r="285">
          <cell r="A285">
            <v>474091</v>
          </cell>
          <cell r="B285" t="str">
            <v>GENNEVILLIERS</v>
          </cell>
          <cell r="C285" t="str">
            <v>LABORATOIRES HYPERIX</v>
          </cell>
          <cell r="D285" t="str">
            <v>A553Groupage interna</v>
          </cell>
          <cell r="E285">
            <v>0.30936999999999998</v>
          </cell>
        </row>
        <row r="286">
          <cell r="A286">
            <v>474091</v>
          </cell>
          <cell r="B286" t="str">
            <v>MOISSY CRAMAYEL</v>
          </cell>
          <cell r="C286" t="str">
            <v>LABORATOIRES HYPERIX</v>
          </cell>
          <cell r="D286" t="str">
            <v>A551Groupage nationa</v>
          </cell>
        </row>
        <row r="287">
          <cell r="A287">
            <v>474343</v>
          </cell>
          <cell r="B287" t="str">
            <v>GENNEVILLIERS</v>
          </cell>
          <cell r="C287" t="str">
            <v>LA HALLE AUX VETEMENTS</v>
          </cell>
          <cell r="D287" t="str">
            <v>A551Groupage nationa</v>
          </cell>
          <cell r="E287">
            <v>142.07194999999999</v>
          </cell>
        </row>
        <row r="288">
          <cell r="A288">
            <v>474343</v>
          </cell>
          <cell r="B288" t="str">
            <v>GENNEVILLIERS</v>
          </cell>
          <cell r="C288" t="str">
            <v>LA HALLE AUX VETEMENTS</v>
          </cell>
          <cell r="D288" t="str">
            <v>A501Lot Divers -501-</v>
          </cell>
          <cell r="E288">
            <v>1.69919</v>
          </cell>
        </row>
        <row r="289">
          <cell r="A289">
            <v>474343</v>
          </cell>
          <cell r="B289" t="str">
            <v>MOISSY CRAMAYEL</v>
          </cell>
          <cell r="C289" t="str">
            <v>LA HALLE AUX VETEMENTS</v>
          </cell>
          <cell r="D289" t="str">
            <v>A551Groupage nationa</v>
          </cell>
        </row>
        <row r="290">
          <cell r="A290">
            <v>474343</v>
          </cell>
          <cell r="B290" t="str">
            <v>DRANCY</v>
          </cell>
          <cell r="C290" t="str">
            <v>LA HALLE AUX VETEMENTS</v>
          </cell>
          <cell r="D290" t="str">
            <v>A553Groupage interna</v>
          </cell>
        </row>
        <row r="291">
          <cell r="A291">
            <v>476404</v>
          </cell>
          <cell r="B291" t="str">
            <v>GENNEVILLIERS</v>
          </cell>
          <cell r="C291" t="str">
            <v>BERNIER ESSONNE SAS</v>
          </cell>
          <cell r="D291" t="str">
            <v>A551Groupage nationa</v>
          </cell>
        </row>
        <row r="292">
          <cell r="A292">
            <v>476404</v>
          </cell>
          <cell r="B292" t="str">
            <v>MOISSY CRAMAYEL</v>
          </cell>
          <cell r="C292" t="str">
            <v>BERNIER ESSONNE SAS</v>
          </cell>
          <cell r="D292" t="str">
            <v>A551Groupage nationa</v>
          </cell>
        </row>
        <row r="293">
          <cell r="A293">
            <v>477539</v>
          </cell>
          <cell r="B293" t="str">
            <v>GENNEVILLIERS</v>
          </cell>
          <cell r="C293" t="str">
            <v>SPARE</v>
          </cell>
          <cell r="D293" t="str">
            <v>A551Groupage nationa</v>
          </cell>
          <cell r="E293">
            <v>31.163879999999999</v>
          </cell>
        </row>
        <row r="294">
          <cell r="A294">
            <v>477539</v>
          </cell>
          <cell r="B294" t="str">
            <v>GENNEVILLIERS</v>
          </cell>
          <cell r="C294" t="str">
            <v>SPARE</v>
          </cell>
          <cell r="D294" t="str">
            <v>A553Groupage interna</v>
          </cell>
          <cell r="E294">
            <v>23.52948</v>
          </cell>
        </row>
        <row r="295">
          <cell r="A295">
            <v>477539</v>
          </cell>
          <cell r="B295" t="str">
            <v>DRANCY</v>
          </cell>
          <cell r="C295" t="str">
            <v>SPARE</v>
          </cell>
          <cell r="D295" t="str">
            <v>A553Groupage interna</v>
          </cell>
          <cell r="E295">
            <v>6.6549999999999998E-2</v>
          </cell>
        </row>
        <row r="296">
          <cell r="A296">
            <v>480836</v>
          </cell>
          <cell r="B296" t="str">
            <v>GENNEVILLIERS</v>
          </cell>
          <cell r="C296" t="str">
            <v>CAMOPLAST SOLIDEAL FRANCE</v>
          </cell>
          <cell r="D296" t="str">
            <v>A551Groupage nationa</v>
          </cell>
          <cell r="E296">
            <v>17.086929999999999</v>
          </cell>
        </row>
        <row r="297">
          <cell r="A297">
            <v>480836</v>
          </cell>
          <cell r="B297" t="str">
            <v>ORLEANS / ST JEAN DE</v>
          </cell>
          <cell r="C297" t="str">
            <v>CAMOPLAST SOLIDEAL FRANCE</v>
          </cell>
          <cell r="D297" t="str">
            <v>A501Lot Divers -501-</v>
          </cell>
        </row>
        <row r="298">
          <cell r="A298">
            <v>481345</v>
          </cell>
          <cell r="B298" t="str">
            <v>TROYES / LA CHAPELLE</v>
          </cell>
          <cell r="C298" t="str">
            <v>ARIANE INTERNATIONAL</v>
          </cell>
          <cell r="D298" t="str">
            <v>A551Groupage nationa</v>
          </cell>
          <cell r="E298">
            <v>126.61326</v>
          </cell>
        </row>
        <row r="299">
          <cell r="A299">
            <v>481345</v>
          </cell>
          <cell r="B299" t="str">
            <v>TROYES / LA CHAPELLE</v>
          </cell>
          <cell r="C299" t="str">
            <v>ARIANE INTERNATIONAL</v>
          </cell>
          <cell r="D299" t="str">
            <v>A553Groupage interna</v>
          </cell>
          <cell r="E299">
            <v>17.25346</v>
          </cell>
        </row>
        <row r="300">
          <cell r="A300">
            <v>481345</v>
          </cell>
          <cell r="B300" t="str">
            <v>TROYES / LA CHAPELLE</v>
          </cell>
          <cell r="C300" t="str">
            <v>ARIANE INTERNATIONAL</v>
          </cell>
          <cell r="D300" t="str">
            <v>A501Lot Divers -501-</v>
          </cell>
          <cell r="E300">
            <v>0.215</v>
          </cell>
        </row>
        <row r="301">
          <cell r="A301">
            <v>481345</v>
          </cell>
          <cell r="B301" t="str">
            <v>GENNEVILLIERS</v>
          </cell>
          <cell r="C301" t="str">
            <v>ARIANE INTERNATIONAL</v>
          </cell>
          <cell r="D301" t="str">
            <v>A551Groupage nationa</v>
          </cell>
        </row>
        <row r="302">
          <cell r="A302">
            <v>483115</v>
          </cell>
          <cell r="B302" t="str">
            <v>GENNEVILLIERS</v>
          </cell>
          <cell r="C302" t="str">
            <v>COMPAGNIE</v>
          </cell>
          <cell r="D302" t="str">
            <v>A551Groupage nationa</v>
          </cell>
          <cell r="E302">
            <v>0.11618000000000001</v>
          </cell>
        </row>
        <row r="303">
          <cell r="A303">
            <v>483115</v>
          </cell>
          <cell r="B303" t="str">
            <v>MOISSY CRAMAYEL</v>
          </cell>
          <cell r="C303" t="str">
            <v>COMPAGNIE</v>
          </cell>
          <cell r="D303" t="str">
            <v>A551Groupage nationa</v>
          </cell>
        </row>
        <row r="304">
          <cell r="A304">
            <v>483946</v>
          </cell>
          <cell r="B304" t="str">
            <v>GENNEVILLIERS</v>
          </cell>
          <cell r="C304" t="str">
            <v>AUX ANYSETIERS DU ROY</v>
          </cell>
          <cell r="D304" t="str">
            <v>A553Groupage interna</v>
          </cell>
        </row>
        <row r="305">
          <cell r="A305">
            <v>483946</v>
          </cell>
          <cell r="B305" t="str">
            <v>MOISSY CRAMAYEL</v>
          </cell>
          <cell r="C305" t="str">
            <v>AUX ANYSETIERS DU ROY</v>
          </cell>
          <cell r="D305" t="str">
            <v>A551Groupage nationa</v>
          </cell>
        </row>
        <row r="306">
          <cell r="A306">
            <v>483946</v>
          </cell>
          <cell r="B306" t="str">
            <v>MOISSY CRAMAYEL</v>
          </cell>
          <cell r="C306" t="str">
            <v>AUX ANYSETIERS DU ROY</v>
          </cell>
          <cell r="D306" t="str">
            <v>A553Groupage interna</v>
          </cell>
        </row>
        <row r="307">
          <cell r="A307">
            <v>486820</v>
          </cell>
          <cell r="B307" t="str">
            <v>ROUEN / GRAND QUEVIL</v>
          </cell>
          <cell r="C307" t="str">
            <v>MUSEE DE L'AVENTURE PEUGEOT</v>
          </cell>
          <cell r="D307" t="str">
            <v>A551Groupage nationa</v>
          </cell>
        </row>
        <row r="308">
          <cell r="A308">
            <v>486820</v>
          </cell>
          <cell r="B308" t="str">
            <v>MOISSY CRAMAYEL</v>
          </cell>
          <cell r="C308" t="str">
            <v>MUSEE DE L'AVENTURE PEUGEOT</v>
          </cell>
          <cell r="D308" t="str">
            <v>A551Groupage nationa</v>
          </cell>
        </row>
        <row r="309">
          <cell r="A309">
            <v>486820</v>
          </cell>
          <cell r="B309" t="str">
            <v>DRANCY</v>
          </cell>
          <cell r="C309" t="str">
            <v>MUSEE DE L'AVENTURE PEUGEOT</v>
          </cell>
          <cell r="D309" t="str">
            <v>A553Groupage interna</v>
          </cell>
        </row>
        <row r="310">
          <cell r="A310">
            <v>487150</v>
          </cell>
          <cell r="B310" t="str">
            <v>GENNEVILLIERS</v>
          </cell>
          <cell r="C310" t="str">
            <v>TI GROUP AUTOMOTIVE SYSTEMS SA</v>
          </cell>
          <cell r="D310" t="str">
            <v>A553Groupage interna</v>
          </cell>
        </row>
        <row r="311">
          <cell r="A311">
            <v>487150</v>
          </cell>
          <cell r="B311" t="str">
            <v>ROUEN / GRAND QUEVIL</v>
          </cell>
          <cell r="C311" t="str">
            <v>TI GROUP AUTOMOTIVE SYSTEMS SA</v>
          </cell>
          <cell r="D311" t="str">
            <v>A553Groupage interna</v>
          </cell>
        </row>
        <row r="312">
          <cell r="A312">
            <v>493006</v>
          </cell>
          <cell r="B312" t="str">
            <v>MOISSY CRAMAYEL</v>
          </cell>
          <cell r="C312" t="str">
            <v>SOFLOG TELIS</v>
          </cell>
          <cell r="D312" t="str">
            <v>A551Groupage nationa</v>
          </cell>
        </row>
        <row r="313">
          <cell r="A313">
            <v>493006</v>
          </cell>
          <cell r="B313" t="str">
            <v>ORLEANS / ST JEAN DE</v>
          </cell>
          <cell r="C313" t="str">
            <v>SOFLOG TELIS</v>
          </cell>
          <cell r="D313" t="str">
            <v>A501Lot Divers -501-</v>
          </cell>
        </row>
        <row r="314">
          <cell r="A314">
            <v>494199</v>
          </cell>
          <cell r="B314" t="str">
            <v>MOISSY CRAMAYEL</v>
          </cell>
          <cell r="C314" t="str">
            <v>IMPRIMERIE R CALINGAERT</v>
          </cell>
          <cell r="D314" t="str">
            <v>A551Groupage nationa</v>
          </cell>
          <cell r="E314">
            <v>0.24840000000000001</v>
          </cell>
        </row>
        <row r="315">
          <cell r="A315">
            <v>494199</v>
          </cell>
          <cell r="B315" t="str">
            <v>ROUEN / GRAND QUEVIL</v>
          </cell>
          <cell r="C315" t="str">
            <v>IMPRIMERIE R CALINGAERT</v>
          </cell>
          <cell r="D315" t="str">
            <v>A551Groupage nationa</v>
          </cell>
          <cell r="E315">
            <v>0.14027000000000001</v>
          </cell>
        </row>
        <row r="316">
          <cell r="A316">
            <v>495666</v>
          </cell>
          <cell r="B316" t="str">
            <v>GENNEVILLIERS</v>
          </cell>
          <cell r="C316" t="str">
            <v>S2MI</v>
          </cell>
          <cell r="D316" t="str">
            <v>A551Groupage nationa</v>
          </cell>
        </row>
        <row r="317">
          <cell r="A317">
            <v>495666</v>
          </cell>
          <cell r="B317" t="str">
            <v>ROUEN / GRAND QUEVIL</v>
          </cell>
          <cell r="C317" t="str">
            <v>S2MI</v>
          </cell>
          <cell r="D317" t="str">
            <v>A551Groupage nationa</v>
          </cell>
        </row>
        <row r="318">
          <cell r="A318">
            <v>495666</v>
          </cell>
          <cell r="B318" t="str">
            <v>MOISSY CRAMAYEL</v>
          </cell>
          <cell r="C318" t="str">
            <v>S2MI</v>
          </cell>
          <cell r="D318" t="str">
            <v>A551Groupage nationa</v>
          </cell>
        </row>
        <row r="319">
          <cell r="A319">
            <v>495666</v>
          </cell>
          <cell r="B319" t="str">
            <v>TROYES / LA CHAPELLE</v>
          </cell>
          <cell r="C319" t="str">
            <v>S2MI</v>
          </cell>
          <cell r="D319" t="str">
            <v>A551Groupage nationa</v>
          </cell>
        </row>
        <row r="320">
          <cell r="A320">
            <v>495666</v>
          </cell>
          <cell r="B320" t="str">
            <v>ORLEANS / ST JEAN DE</v>
          </cell>
          <cell r="C320" t="str">
            <v>S2MI</v>
          </cell>
          <cell r="D320" t="str">
            <v>A551Groupage nationa</v>
          </cell>
        </row>
        <row r="321">
          <cell r="A321">
            <v>495666</v>
          </cell>
          <cell r="B321" t="str">
            <v>DRANCY</v>
          </cell>
          <cell r="C321" t="str">
            <v>S2MI</v>
          </cell>
          <cell r="D321" t="str">
            <v>A553Groupage interna</v>
          </cell>
        </row>
        <row r="322">
          <cell r="A322">
            <v>495783</v>
          </cell>
          <cell r="B322" t="str">
            <v>ORLEANS / ST JEAN DE</v>
          </cell>
          <cell r="C322" t="str">
            <v>THERMOBILE</v>
          </cell>
          <cell r="D322" t="str">
            <v>A501Lot Divers -501-</v>
          </cell>
          <cell r="E322">
            <v>3.3052100000000002</v>
          </cell>
        </row>
        <row r="323">
          <cell r="A323">
            <v>495783</v>
          </cell>
          <cell r="B323" t="str">
            <v>ORLEANS / ST JEAN DE</v>
          </cell>
          <cell r="C323" t="str">
            <v>THERMOBILE</v>
          </cell>
          <cell r="D323" t="str">
            <v>A553Groupage interna</v>
          </cell>
          <cell r="E323">
            <v>0.30158000000000001</v>
          </cell>
        </row>
        <row r="324">
          <cell r="A324">
            <v>495783</v>
          </cell>
          <cell r="B324" t="str">
            <v>GENNEVILLIERS</v>
          </cell>
          <cell r="C324" t="str">
            <v>THERMOBILE</v>
          </cell>
          <cell r="D324" t="str">
            <v>A553Groupage interna</v>
          </cell>
          <cell r="E324">
            <v>0.215</v>
          </cell>
        </row>
        <row r="325">
          <cell r="A325">
            <v>496356</v>
          </cell>
          <cell r="B325" t="str">
            <v>GENNEVILLIERS</v>
          </cell>
          <cell r="C325" t="str">
            <v>MARKS-3ZET GMBH &amp; CO KG</v>
          </cell>
          <cell r="D325" t="str">
            <v>A553Groupage interna</v>
          </cell>
          <cell r="E325">
            <v>-7.6749999999999999E-2</v>
          </cell>
        </row>
        <row r="326">
          <cell r="A326">
            <v>496356</v>
          </cell>
          <cell r="B326" t="str">
            <v>MOISSY CRAMAYEL</v>
          </cell>
          <cell r="C326" t="str">
            <v>MARKS-3ZET GMBH &amp; CO KG</v>
          </cell>
          <cell r="D326" t="str">
            <v>A553Groupage interna</v>
          </cell>
        </row>
        <row r="327">
          <cell r="A327">
            <v>496968</v>
          </cell>
          <cell r="B327" t="str">
            <v>MOISSY CRAMAYEL</v>
          </cell>
          <cell r="C327" t="str">
            <v>LEASECOM</v>
          </cell>
          <cell r="D327" t="str">
            <v>A551Groupage nationa</v>
          </cell>
          <cell r="E327">
            <v>0.95804</v>
          </cell>
        </row>
        <row r="328">
          <cell r="A328">
            <v>496968</v>
          </cell>
          <cell r="B328" t="str">
            <v>MOISSY CRAMAYEL</v>
          </cell>
          <cell r="C328" t="str">
            <v>LEASECOM</v>
          </cell>
          <cell r="D328" t="str">
            <v>A501Lot Divers -501-</v>
          </cell>
          <cell r="E328">
            <v>0.80035999999999996</v>
          </cell>
        </row>
        <row r="329">
          <cell r="A329">
            <v>496968</v>
          </cell>
          <cell r="B329" t="str">
            <v>GENNEVILLIERS</v>
          </cell>
          <cell r="C329" t="str">
            <v>LEASECOM</v>
          </cell>
          <cell r="D329" t="str">
            <v>A501Lot Divers -501-</v>
          </cell>
        </row>
        <row r="330">
          <cell r="A330">
            <v>496968</v>
          </cell>
          <cell r="B330" t="str">
            <v>MOISSY CRAMAYEL</v>
          </cell>
          <cell r="C330" t="str">
            <v>LEASECOM</v>
          </cell>
          <cell r="D330" t="str">
            <v>A553Groupage interna</v>
          </cell>
        </row>
        <row r="331">
          <cell r="A331">
            <v>497202</v>
          </cell>
          <cell r="B331" t="str">
            <v>GENNEVILLIERS</v>
          </cell>
          <cell r="C331" t="str">
            <v>AIR TRADE CENTRE</v>
          </cell>
          <cell r="D331" t="str">
            <v>A551Groupage nationa</v>
          </cell>
        </row>
        <row r="332">
          <cell r="A332">
            <v>497202</v>
          </cell>
          <cell r="B332" t="str">
            <v>MOISSY CRAMAYEL</v>
          </cell>
          <cell r="C332" t="str">
            <v>AIR TRADE CENTRE</v>
          </cell>
          <cell r="D332" t="str">
            <v>A551Groupage nationa</v>
          </cell>
        </row>
        <row r="333">
          <cell r="A333">
            <v>497202</v>
          </cell>
          <cell r="B333" t="str">
            <v>MOISSY CRAMAYEL</v>
          </cell>
          <cell r="C333" t="str">
            <v>AIR TRADE CENTRE</v>
          </cell>
          <cell r="D333" t="str">
            <v>A553Groupage interna</v>
          </cell>
        </row>
        <row r="334">
          <cell r="A334">
            <v>497975</v>
          </cell>
          <cell r="B334" t="str">
            <v>GENNEVILLIERS</v>
          </cell>
          <cell r="C334" t="str">
            <v>PAP STAR FRANCE</v>
          </cell>
          <cell r="D334" t="str">
            <v>A551Groupage nationa</v>
          </cell>
        </row>
        <row r="335">
          <cell r="A335">
            <v>497975</v>
          </cell>
          <cell r="B335" t="str">
            <v>MOISSY CRAMAYEL</v>
          </cell>
          <cell r="C335" t="str">
            <v>PAP STAR FRANCE</v>
          </cell>
          <cell r="D335" t="str">
            <v>A501Lot Divers -501-</v>
          </cell>
        </row>
        <row r="336">
          <cell r="A336">
            <v>497975</v>
          </cell>
          <cell r="B336" t="str">
            <v>MOISSY CRAMAYEL</v>
          </cell>
          <cell r="C336" t="str">
            <v>PAP STAR FRANCE</v>
          </cell>
          <cell r="D336" t="str">
            <v>A551Groupage nationa</v>
          </cell>
        </row>
        <row r="337">
          <cell r="A337">
            <v>497975</v>
          </cell>
          <cell r="B337" t="str">
            <v>MOISSY CRAMAYEL</v>
          </cell>
          <cell r="C337" t="str">
            <v>PAP STAR FRANCE</v>
          </cell>
          <cell r="D337" t="str">
            <v>A553Groupage interna</v>
          </cell>
        </row>
        <row r="338">
          <cell r="A338">
            <v>498303</v>
          </cell>
          <cell r="B338" t="str">
            <v>ROUEN / GRAND QUEVIL</v>
          </cell>
          <cell r="C338" t="str">
            <v>RUBIN &amp; LACAQUE</v>
          </cell>
          <cell r="D338" t="str">
            <v>A551Groupage nationa</v>
          </cell>
        </row>
        <row r="339">
          <cell r="A339">
            <v>498303</v>
          </cell>
          <cell r="B339" t="str">
            <v>MOISSY CRAMAYEL</v>
          </cell>
          <cell r="C339" t="str">
            <v>RUBIN &amp; LACAQUE</v>
          </cell>
          <cell r="D339" t="str">
            <v>A551Groupage nationa</v>
          </cell>
        </row>
        <row r="340">
          <cell r="A340">
            <v>498303</v>
          </cell>
          <cell r="B340" t="str">
            <v>ORLEANS / ST JEAN DE</v>
          </cell>
          <cell r="C340" t="str">
            <v>RUBIN &amp; LACAQUE</v>
          </cell>
          <cell r="D340" t="str">
            <v>A551Groupage nationa</v>
          </cell>
        </row>
        <row r="341">
          <cell r="A341">
            <v>499134</v>
          </cell>
          <cell r="B341" t="str">
            <v>GENNEVILLIERS</v>
          </cell>
          <cell r="C341" t="str">
            <v>EUROSORB</v>
          </cell>
          <cell r="D341" t="str">
            <v>A551Groupage nationa</v>
          </cell>
          <cell r="E341">
            <v>8.2979999999999998E-2</v>
          </cell>
        </row>
        <row r="342">
          <cell r="A342">
            <v>499134</v>
          </cell>
          <cell r="B342" t="str">
            <v>ROUEN / GRAND QUEVIL</v>
          </cell>
          <cell r="C342" t="str">
            <v>EUROSORB</v>
          </cell>
          <cell r="D342" t="str">
            <v>A551Groupage nationa</v>
          </cell>
        </row>
        <row r="343">
          <cell r="A343">
            <v>499134</v>
          </cell>
          <cell r="B343" t="str">
            <v>MOISSY CRAMAYEL</v>
          </cell>
          <cell r="C343" t="str">
            <v>EUROSORB</v>
          </cell>
          <cell r="D343" t="str">
            <v>A551Groupage nationa</v>
          </cell>
        </row>
        <row r="344">
          <cell r="A344">
            <v>499134</v>
          </cell>
          <cell r="B344" t="str">
            <v>TROYES / LA CHAPELLE</v>
          </cell>
          <cell r="C344" t="str">
            <v>EUROSORB</v>
          </cell>
          <cell r="D344" t="str">
            <v>A551Groupage nationa</v>
          </cell>
        </row>
        <row r="345">
          <cell r="A345">
            <v>499134</v>
          </cell>
          <cell r="B345" t="str">
            <v>DRANCY</v>
          </cell>
          <cell r="C345" t="str">
            <v>EUROSORB</v>
          </cell>
          <cell r="D345" t="str">
            <v>A553Groupage interna</v>
          </cell>
        </row>
        <row r="346">
          <cell r="A346">
            <v>500582</v>
          </cell>
          <cell r="B346" t="str">
            <v>GENNEVILLIERS</v>
          </cell>
          <cell r="C346" t="str">
            <v>BOUTIQUE DE L'ENCADREMENT</v>
          </cell>
          <cell r="D346" t="str">
            <v>A553Groupage interna</v>
          </cell>
          <cell r="E346">
            <v>0.65639000000000003</v>
          </cell>
        </row>
        <row r="347">
          <cell r="A347">
            <v>500582</v>
          </cell>
          <cell r="B347" t="str">
            <v>DRANCY</v>
          </cell>
          <cell r="C347" t="str">
            <v>BOUTIQUE DE L'ENCADREMENT</v>
          </cell>
          <cell r="D347" t="str">
            <v>A553Groupage interna</v>
          </cell>
          <cell r="E347">
            <v>0.23709</v>
          </cell>
        </row>
        <row r="348">
          <cell r="A348">
            <v>507523</v>
          </cell>
          <cell r="B348" t="str">
            <v>ROUEN / GRAND QUEVIL</v>
          </cell>
          <cell r="C348" t="str">
            <v>BSH ELECTROMENAGER</v>
          </cell>
          <cell r="D348" t="str">
            <v>A551Groupage nationa</v>
          </cell>
          <cell r="E348">
            <v>154.82885999999999</v>
          </cell>
        </row>
        <row r="349">
          <cell r="A349">
            <v>507523</v>
          </cell>
          <cell r="B349" t="str">
            <v>TROYES / LA CHAPELLE</v>
          </cell>
          <cell r="C349" t="str">
            <v>BSH ELECTROMENAGER</v>
          </cell>
          <cell r="D349" t="str">
            <v>A551Groupage nationa</v>
          </cell>
          <cell r="E349">
            <v>18.242609999999999</v>
          </cell>
        </row>
        <row r="350">
          <cell r="A350">
            <v>507523</v>
          </cell>
          <cell r="B350" t="str">
            <v>ROUEN / GRAND QUEVIL</v>
          </cell>
          <cell r="C350" t="str">
            <v>BSH ELECTROMENAGER</v>
          </cell>
          <cell r="D350" t="str">
            <v>A501Lot Divers -501-</v>
          </cell>
        </row>
        <row r="351">
          <cell r="A351">
            <v>508913</v>
          </cell>
          <cell r="B351" t="str">
            <v>GENNEVILLIERS</v>
          </cell>
          <cell r="C351" t="str">
            <v>LE GUIPAGE MODERNE</v>
          </cell>
          <cell r="D351" t="str">
            <v>A551Groupage nationa</v>
          </cell>
          <cell r="E351">
            <v>12.65748</v>
          </cell>
        </row>
        <row r="352">
          <cell r="A352">
            <v>508913</v>
          </cell>
          <cell r="B352" t="str">
            <v>GENNEVILLIERS</v>
          </cell>
          <cell r="C352" t="str">
            <v>LE GUIPAGE MODERNE</v>
          </cell>
          <cell r="D352" t="str">
            <v>A553Groupage interna</v>
          </cell>
          <cell r="E352">
            <v>4.4561700000000002</v>
          </cell>
        </row>
        <row r="353">
          <cell r="A353">
            <v>508913</v>
          </cell>
          <cell r="B353" t="str">
            <v>GENNEVILLIERS</v>
          </cell>
          <cell r="C353" t="str">
            <v>LE GUIPAGE MODERNE</v>
          </cell>
          <cell r="D353" t="str">
            <v>A501Lot Divers -501-</v>
          </cell>
          <cell r="E353">
            <v>0.87975000000000003</v>
          </cell>
        </row>
        <row r="354">
          <cell r="A354">
            <v>508913</v>
          </cell>
          <cell r="B354" t="str">
            <v>MOISSY CRAMAYEL</v>
          </cell>
          <cell r="C354" t="str">
            <v>LE GUIPAGE MODERNE</v>
          </cell>
          <cell r="D354" t="str">
            <v>A501Lot Divers -501-</v>
          </cell>
        </row>
        <row r="355">
          <cell r="A355">
            <v>508913</v>
          </cell>
          <cell r="B355" t="str">
            <v>MOISSY CRAMAYEL</v>
          </cell>
          <cell r="C355" t="str">
            <v>LE GUIPAGE MODERNE</v>
          </cell>
          <cell r="D355" t="str">
            <v>A551Groupage nationa</v>
          </cell>
        </row>
        <row r="356">
          <cell r="A356">
            <v>508913</v>
          </cell>
          <cell r="B356" t="str">
            <v>MOISSY CRAMAYEL</v>
          </cell>
          <cell r="C356" t="str">
            <v>LE GUIPAGE MODERNE</v>
          </cell>
          <cell r="D356" t="str">
            <v>A553Groupage interna</v>
          </cell>
        </row>
        <row r="357">
          <cell r="A357">
            <v>510094</v>
          </cell>
          <cell r="B357" t="str">
            <v>GENNEVILLIERS</v>
          </cell>
          <cell r="C357" t="str">
            <v>SEPHAT</v>
          </cell>
          <cell r="D357" t="str">
            <v>A551Groupage nationa</v>
          </cell>
          <cell r="E357">
            <v>10.02244</v>
          </cell>
        </row>
        <row r="358">
          <cell r="A358">
            <v>510094</v>
          </cell>
          <cell r="B358" t="str">
            <v>GENNEVILLIERS</v>
          </cell>
          <cell r="C358" t="str">
            <v>SEPHAT</v>
          </cell>
          <cell r="D358" t="str">
            <v>A553Groupage interna</v>
          </cell>
          <cell r="E358">
            <v>7.0877800000000004</v>
          </cell>
        </row>
        <row r="359">
          <cell r="A359">
            <v>510094</v>
          </cell>
          <cell r="B359" t="str">
            <v>MOISSY CRAMAYEL</v>
          </cell>
          <cell r="C359" t="str">
            <v>SEPHAT</v>
          </cell>
          <cell r="D359" t="str">
            <v>A551Groupage nationa</v>
          </cell>
          <cell r="E359">
            <v>0.15304000000000001</v>
          </cell>
        </row>
        <row r="360">
          <cell r="A360">
            <v>510094</v>
          </cell>
          <cell r="B360" t="str">
            <v>MOISSY CRAMAYEL</v>
          </cell>
          <cell r="C360" t="str">
            <v>SEPHAT</v>
          </cell>
          <cell r="D360" t="str">
            <v>A553Groupage interna</v>
          </cell>
          <cell r="E360">
            <v>0.12655</v>
          </cell>
        </row>
        <row r="361">
          <cell r="A361">
            <v>515786</v>
          </cell>
          <cell r="B361" t="str">
            <v>MOISSY CRAMAYEL</v>
          </cell>
          <cell r="C361" t="str">
            <v>OUEST ISOL</v>
          </cell>
          <cell r="D361" t="str">
            <v>A551Groupage nationa</v>
          </cell>
          <cell r="E361">
            <v>14.781090000000001</v>
          </cell>
        </row>
        <row r="362">
          <cell r="A362">
            <v>515786</v>
          </cell>
          <cell r="B362" t="str">
            <v>MOISSY CRAMAYEL</v>
          </cell>
          <cell r="C362" t="str">
            <v>OUEST ISOL</v>
          </cell>
          <cell r="D362" t="str">
            <v>A553Groupage interna</v>
          </cell>
          <cell r="E362">
            <v>0.48846000000000001</v>
          </cell>
        </row>
        <row r="363">
          <cell r="A363">
            <v>515786</v>
          </cell>
          <cell r="B363" t="str">
            <v>GENNEVILLIERS</v>
          </cell>
          <cell r="C363" t="str">
            <v>OUEST ISOL</v>
          </cell>
          <cell r="D363" t="str">
            <v>A551Groupage nationa</v>
          </cell>
          <cell r="E363">
            <v>6.164E-2</v>
          </cell>
        </row>
        <row r="364">
          <cell r="A364">
            <v>516279</v>
          </cell>
          <cell r="B364" t="str">
            <v>GENNEVILLIERS</v>
          </cell>
          <cell r="C364" t="str">
            <v>NOVETUD DISTRIBUTION</v>
          </cell>
          <cell r="D364" t="str">
            <v>A551Groupage nationa</v>
          </cell>
          <cell r="E364">
            <v>0</v>
          </cell>
        </row>
        <row r="365">
          <cell r="A365">
            <v>516279</v>
          </cell>
          <cell r="B365" t="str">
            <v>MOISSY CRAMAYEL</v>
          </cell>
          <cell r="C365" t="str">
            <v>NOVETUD DISTRIBUTION</v>
          </cell>
          <cell r="D365" t="str">
            <v>A551Groupage nationa</v>
          </cell>
        </row>
        <row r="366">
          <cell r="A366">
            <v>516279</v>
          </cell>
          <cell r="B366" t="str">
            <v>ORLEANS / ST JEAN DE</v>
          </cell>
          <cell r="C366" t="str">
            <v>NOVETUD DISTRIBUTION</v>
          </cell>
          <cell r="D366" t="str">
            <v>A551Groupage nationa</v>
          </cell>
        </row>
        <row r="367">
          <cell r="A367">
            <v>519974</v>
          </cell>
          <cell r="B367" t="str">
            <v>DRANCY</v>
          </cell>
          <cell r="C367" t="str">
            <v>CL INDUSTRIE</v>
          </cell>
          <cell r="D367" t="str">
            <v>A551Groupage nationa</v>
          </cell>
          <cell r="E367">
            <v>7.3069999999999996E-2</v>
          </cell>
        </row>
        <row r="368">
          <cell r="A368">
            <v>519974</v>
          </cell>
          <cell r="B368" t="str">
            <v>ROUEN / GRAND QUEVIL</v>
          </cell>
          <cell r="C368" t="str">
            <v>CL INDUSTRIE</v>
          </cell>
          <cell r="D368" t="str">
            <v>A551Groupage nationa</v>
          </cell>
          <cell r="E368">
            <v>6.4159999999999995E-2</v>
          </cell>
        </row>
        <row r="369">
          <cell r="A369">
            <v>519974</v>
          </cell>
          <cell r="B369" t="str">
            <v>GENNEVILLIERS</v>
          </cell>
          <cell r="C369" t="str">
            <v>CL INDUSTRIE</v>
          </cell>
          <cell r="D369" t="str">
            <v>A551Groupage nationa</v>
          </cell>
        </row>
        <row r="370">
          <cell r="A370">
            <v>522136</v>
          </cell>
          <cell r="B370" t="str">
            <v>MOISSY CRAMAYEL</v>
          </cell>
          <cell r="C370" t="str">
            <v>PARTENAIR SA</v>
          </cell>
          <cell r="D370" t="str">
            <v>A501Lot Divers -501-</v>
          </cell>
          <cell r="E370">
            <v>15.71059</v>
          </cell>
        </row>
        <row r="371">
          <cell r="A371">
            <v>522136</v>
          </cell>
          <cell r="B371" t="str">
            <v>MOISSY CRAMAYEL</v>
          </cell>
          <cell r="C371" t="str">
            <v>PARTENAIR SA</v>
          </cell>
          <cell r="D371" t="str">
            <v>A553Groupage interna</v>
          </cell>
          <cell r="E371">
            <v>4.7982100000000001</v>
          </cell>
        </row>
        <row r="372">
          <cell r="A372">
            <v>522136</v>
          </cell>
          <cell r="B372" t="str">
            <v>GENNEVILLIERS</v>
          </cell>
          <cell r="C372" t="str">
            <v>PARTENAIR SA</v>
          </cell>
          <cell r="D372" t="str">
            <v>A553Groupage interna</v>
          </cell>
        </row>
        <row r="373">
          <cell r="A373">
            <v>522306</v>
          </cell>
          <cell r="B373" t="str">
            <v>GENNEVILLIERS</v>
          </cell>
          <cell r="C373" t="str">
            <v>DELTA EQUIPEMENT SAS</v>
          </cell>
          <cell r="D373" t="str">
            <v>A551Groupage nationa</v>
          </cell>
          <cell r="E373">
            <v>7.7578699999999996</v>
          </cell>
        </row>
        <row r="374">
          <cell r="A374">
            <v>522306</v>
          </cell>
          <cell r="B374" t="str">
            <v>GENNEVILLIERS</v>
          </cell>
          <cell r="C374" t="str">
            <v>DELTA EQUIPEMENT SAS</v>
          </cell>
          <cell r="D374" t="str">
            <v>A553Groupage interna</v>
          </cell>
          <cell r="E374">
            <v>4.6222200000000004</v>
          </cell>
        </row>
        <row r="375">
          <cell r="A375">
            <v>522306</v>
          </cell>
          <cell r="B375" t="str">
            <v>ROUEN / GRAND QUEVIL</v>
          </cell>
          <cell r="C375" t="str">
            <v>DELTA EQUIPEMENT SAS</v>
          </cell>
          <cell r="D375" t="str">
            <v>A551Groupage nationa</v>
          </cell>
        </row>
        <row r="376">
          <cell r="A376">
            <v>523746</v>
          </cell>
          <cell r="B376" t="str">
            <v>DRANCY</v>
          </cell>
          <cell r="C376" t="str">
            <v>SANIAL MESSAGERIES</v>
          </cell>
          <cell r="D376" t="str">
            <v>A551Groupage nationa</v>
          </cell>
          <cell r="E376">
            <v>1.4999999999999999E-2</v>
          </cell>
        </row>
        <row r="377">
          <cell r="A377">
            <v>523746</v>
          </cell>
          <cell r="B377" t="str">
            <v>MOISSY CRAMAYEL</v>
          </cell>
          <cell r="C377" t="str">
            <v>SANIAL MESSAGERIES</v>
          </cell>
          <cell r="D377" t="str">
            <v>A551Groupage nationa</v>
          </cell>
        </row>
        <row r="378">
          <cell r="A378">
            <v>523746</v>
          </cell>
          <cell r="B378" t="str">
            <v>DRANCY</v>
          </cell>
          <cell r="C378" t="str">
            <v>SANIAL MESSAGERIES</v>
          </cell>
          <cell r="D378" t="str">
            <v>A553Groupage interna</v>
          </cell>
        </row>
        <row r="379">
          <cell r="A379">
            <v>525155</v>
          </cell>
          <cell r="B379" t="str">
            <v>GENNEVILLIERS</v>
          </cell>
          <cell r="C379" t="str">
            <v>NUTRITION ET SANTE</v>
          </cell>
          <cell r="D379" t="str">
            <v>A551Groupage nationa</v>
          </cell>
        </row>
        <row r="380">
          <cell r="A380">
            <v>525155</v>
          </cell>
          <cell r="B380" t="str">
            <v>ORLEANS / ST JEAN DE</v>
          </cell>
          <cell r="C380" t="str">
            <v>NUTRITION ET SANTE</v>
          </cell>
          <cell r="D380" t="str">
            <v>A551Groupage nationa</v>
          </cell>
        </row>
        <row r="381">
          <cell r="A381">
            <v>525367</v>
          </cell>
          <cell r="B381" t="str">
            <v>ROUEN / GRAND QUEVIL</v>
          </cell>
          <cell r="C381" t="str">
            <v>OI  DIFFUSION</v>
          </cell>
          <cell r="D381" t="str">
            <v>A553Groupage interna</v>
          </cell>
          <cell r="E381">
            <v>37.694040000000001</v>
          </cell>
        </row>
        <row r="382">
          <cell r="A382">
            <v>525367</v>
          </cell>
          <cell r="B382" t="str">
            <v>ROUEN / GRAND QUEVIL</v>
          </cell>
          <cell r="C382" t="str">
            <v>OI  DIFFUSION</v>
          </cell>
          <cell r="D382" t="str">
            <v>A551Groupage nationa</v>
          </cell>
          <cell r="E382">
            <v>9.2926500000000001</v>
          </cell>
        </row>
        <row r="383">
          <cell r="A383">
            <v>525367</v>
          </cell>
          <cell r="B383" t="str">
            <v>GENNEVILLIERS</v>
          </cell>
          <cell r="C383" t="str">
            <v>OI  DIFFUSION</v>
          </cell>
          <cell r="D383" t="str">
            <v>A553Groupage interna</v>
          </cell>
          <cell r="E383">
            <v>3.7999999999999999E-2</v>
          </cell>
        </row>
        <row r="384">
          <cell r="A384">
            <v>525367</v>
          </cell>
          <cell r="B384" t="str">
            <v>ROUEN / GRAND QUEVIL</v>
          </cell>
          <cell r="C384" t="str">
            <v>OI  DIFFUSION</v>
          </cell>
          <cell r="D384" t="str">
            <v>A501Lot Divers -501-</v>
          </cell>
        </row>
        <row r="385">
          <cell r="A385">
            <v>527874</v>
          </cell>
          <cell r="B385" t="str">
            <v>GENNEVILLIERS</v>
          </cell>
          <cell r="C385" t="str">
            <v>TSE &amp; TSE ASSOCIES</v>
          </cell>
          <cell r="D385" t="str">
            <v>A553Groupage interna</v>
          </cell>
          <cell r="E385">
            <v>1.6217900000000001</v>
          </cell>
        </row>
        <row r="386">
          <cell r="A386">
            <v>527874</v>
          </cell>
          <cell r="B386" t="str">
            <v>GENNEVILLIERS</v>
          </cell>
          <cell r="C386" t="str">
            <v>TSE &amp; TSE ASSOCIES</v>
          </cell>
          <cell r="D386" t="str">
            <v>A551Groupage nationa</v>
          </cell>
          <cell r="E386">
            <v>9.9070000000000005E-2</v>
          </cell>
        </row>
        <row r="387">
          <cell r="A387">
            <v>527874</v>
          </cell>
          <cell r="B387" t="str">
            <v>MOISSY CRAMAYEL</v>
          </cell>
          <cell r="C387" t="str">
            <v>TSE &amp; TSE ASSOCIES</v>
          </cell>
          <cell r="D387" t="str">
            <v>A551Groupage nationa</v>
          </cell>
        </row>
        <row r="388">
          <cell r="A388">
            <v>527874</v>
          </cell>
          <cell r="B388" t="str">
            <v>MOISSY CRAMAYEL</v>
          </cell>
          <cell r="C388" t="str">
            <v>TSE &amp; TSE ASSOCIES</v>
          </cell>
          <cell r="D388" t="str">
            <v>A553Groupage interna</v>
          </cell>
        </row>
        <row r="389">
          <cell r="A389">
            <v>529657</v>
          </cell>
          <cell r="B389" t="str">
            <v>ORLEANS / ST JEAN DE</v>
          </cell>
          <cell r="C389" t="str">
            <v>DES LIS CHOCOLAT</v>
          </cell>
          <cell r="D389" t="str">
            <v>A551Groupage nationa</v>
          </cell>
          <cell r="E389">
            <v>7.38544</v>
          </cell>
        </row>
        <row r="390">
          <cell r="A390">
            <v>529657</v>
          </cell>
          <cell r="B390" t="str">
            <v>ORLEANS / ST JEAN DE</v>
          </cell>
          <cell r="C390" t="str">
            <v>DES LIS CHOCOLAT</v>
          </cell>
          <cell r="D390" t="str">
            <v>A501Lot Divers -501-</v>
          </cell>
          <cell r="E390">
            <v>0.30665999999999999</v>
          </cell>
        </row>
        <row r="391">
          <cell r="A391">
            <v>529657</v>
          </cell>
          <cell r="B391" t="str">
            <v>MOISSY CRAMAYEL</v>
          </cell>
          <cell r="C391" t="str">
            <v>DES LIS CHOCOLAT</v>
          </cell>
          <cell r="D391" t="str">
            <v>A501Lot Divers -501-</v>
          </cell>
        </row>
        <row r="392">
          <cell r="A392">
            <v>529657</v>
          </cell>
          <cell r="B392" t="str">
            <v>MOISSY CRAMAYEL</v>
          </cell>
          <cell r="C392" t="str">
            <v>DES LIS CHOCOLAT</v>
          </cell>
          <cell r="D392" t="str">
            <v>A551Groupage nationa</v>
          </cell>
        </row>
        <row r="393">
          <cell r="A393">
            <v>529657</v>
          </cell>
          <cell r="B393" t="str">
            <v>MOISSY CRAMAYEL</v>
          </cell>
          <cell r="C393" t="str">
            <v>DES LIS CHOCOLAT</v>
          </cell>
          <cell r="D393" t="str">
            <v>A553Groupage interna</v>
          </cell>
        </row>
        <row r="394">
          <cell r="A394">
            <v>529657</v>
          </cell>
          <cell r="B394" t="str">
            <v>ORLEANS / ST JEAN DE</v>
          </cell>
          <cell r="C394" t="str">
            <v>DES LIS CHOCOLAT</v>
          </cell>
          <cell r="D394" t="str">
            <v>A553Groupage interna</v>
          </cell>
        </row>
        <row r="395">
          <cell r="A395">
            <v>530441</v>
          </cell>
          <cell r="B395" t="str">
            <v>GENNEVILLIERS</v>
          </cell>
          <cell r="C395" t="str">
            <v>GIE  G L M 1</v>
          </cell>
          <cell r="D395" t="str">
            <v>A551Groupage nationa</v>
          </cell>
          <cell r="E395">
            <v>2.2352599999999998</v>
          </cell>
        </row>
        <row r="396">
          <cell r="A396">
            <v>530441</v>
          </cell>
          <cell r="B396" t="str">
            <v>GENNEVILLIERS</v>
          </cell>
          <cell r="C396" t="str">
            <v>GIE  G L M 1</v>
          </cell>
          <cell r="D396" t="str">
            <v>A501Lot Divers -501-</v>
          </cell>
          <cell r="E396">
            <v>1.837</v>
          </cell>
        </row>
        <row r="397">
          <cell r="A397">
            <v>530441</v>
          </cell>
          <cell r="B397" t="str">
            <v>MOISSY CRAMAYEL</v>
          </cell>
          <cell r="C397" t="str">
            <v>GIE  G L M 1</v>
          </cell>
          <cell r="D397" t="str">
            <v>A551Groupage nationa</v>
          </cell>
          <cell r="E397">
            <v>0.3745</v>
          </cell>
        </row>
        <row r="398">
          <cell r="A398">
            <v>530441</v>
          </cell>
          <cell r="B398" t="str">
            <v>ROUEN / GRAND QUEVIL</v>
          </cell>
          <cell r="C398" t="str">
            <v>GIE  G L M 1</v>
          </cell>
          <cell r="D398" t="str">
            <v>A551Groupage nationa</v>
          </cell>
          <cell r="E398">
            <v>0.24410000000000001</v>
          </cell>
        </row>
        <row r="399">
          <cell r="A399">
            <v>530441</v>
          </cell>
          <cell r="B399" t="str">
            <v>DRANCY</v>
          </cell>
          <cell r="C399" t="str">
            <v>GIE  G L M 1</v>
          </cell>
          <cell r="D399" t="str">
            <v>A553Groupage interna</v>
          </cell>
          <cell r="E399">
            <v>8.5489999999999997E-2</v>
          </cell>
        </row>
        <row r="400">
          <cell r="A400">
            <v>530441</v>
          </cell>
          <cell r="B400" t="str">
            <v>ORLEANS / ST JEAN DE</v>
          </cell>
          <cell r="C400" t="str">
            <v>GIE  G L M 1</v>
          </cell>
          <cell r="D400" t="str">
            <v>A551Groupage nationa</v>
          </cell>
          <cell r="E400">
            <v>4.3990000000000001E-2</v>
          </cell>
        </row>
        <row r="401">
          <cell r="A401">
            <v>530441</v>
          </cell>
          <cell r="B401" t="str">
            <v>TROYES / LA CHAPELLE</v>
          </cell>
          <cell r="C401" t="str">
            <v>GIE  G L M 1</v>
          </cell>
          <cell r="D401" t="str">
            <v>A551Groupage nationa</v>
          </cell>
          <cell r="E401">
            <v>3.5810000000000002E-2</v>
          </cell>
        </row>
        <row r="402">
          <cell r="A402">
            <v>530535</v>
          </cell>
          <cell r="B402" t="str">
            <v>ORLEANS / ST JEAN DE</v>
          </cell>
          <cell r="C402" t="str">
            <v>ST GOBAIN CRISTAUX ET DETECT</v>
          </cell>
          <cell r="D402" t="str">
            <v>A551Groupage nationa</v>
          </cell>
          <cell r="E402">
            <v>1.36592</v>
          </cell>
        </row>
        <row r="403">
          <cell r="A403">
            <v>530535</v>
          </cell>
          <cell r="B403" t="str">
            <v>ORLEANS / ST JEAN DE</v>
          </cell>
          <cell r="C403" t="str">
            <v>ST GOBAIN CRISTAUX ET DETECT</v>
          </cell>
          <cell r="D403" t="str">
            <v>A553Groupage interna</v>
          </cell>
          <cell r="E403">
            <v>1.1854800000000001</v>
          </cell>
        </row>
        <row r="404">
          <cell r="A404">
            <v>530535</v>
          </cell>
          <cell r="B404" t="str">
            <v>ORLEANS / ST JEAN DE</v>
          </cell>
          <cell r="C404" t="str">
            <v>ST GOBAIN CRISTAUX ET DETECT</v>
          </cell>
          <cell r="D404" t="str">
            <v>A501Lot Divers -501-</v>
          </cell>
          <cell r="E404">
            <v>-0.59</v>
          </cell>
        </row>
        <row r="405">
          <cell r="A405">
            <v>530535</v>
          </cell>
          <cell r="B405" t="str">
            <v>MOISSY CRAMAYEL</v>
          </cell>
          <cell r="C405" t="str">
            <v>ST GOBAIN CRISTAUX ET DETECT</v>
          </cell>
          <cell r="D405" t="str">
            <v>A501Lot Divers -501-</v>
          </cell>
        </row>
        <row r="406">
          <cell r="A406">
            <v>530535</v>
          </cell>
          <cell r="B406" t="str">
            <v>MOISSY CRAMAYEL</v>
          </cell>
          <cell r="C406" t="str">
            <v>ST GOBAIN CRISTAUX ET DETECT</v>
          </cell>
          <cell r="D406" t="str">
            <v>A551Groupage nationa</v>
          </cell>
        </row>
        <row r="407">
          <cell r="A407">
            <v>530535</v>
          </cell>
          <cell r="B407" t="str">
            <v>MOISSY CRAMAYEL</v>
          </cell>
          <cell r="C407" t="str">
            <v>ST GOBAIN CRISTAUX ET DETECT</v>
          </cell>
          <cell r="D407" t="str">
            <v>A553Groupage interna</v>
          </cell>
        </row>
        <row r="408">
          <cell r="A408">
            <v>531948</v>
          </cell>
          <cell r="B408" t="str">
            <v>GENNEVILLIERS</v>
          </cell>
          <cell r="C408" t="str">
            <v>MGTI SNEV</v>
          </cell>
          <cell r="D408" t="str">
            <v>A551Groupage nationa</v>
          </cell>
        </row>
        <row r="409">
          <cell r="A409">
            <v>531948</v>
          </cell>
          <cell r="B409" t="str">
            <v>GENNEVILLIERS</v>
          </cell>
          <cell r="C409" t="str">
            <v>MGTI SNEV</v>
          </cell>
          <cell r="D409" t="str">
            <v>A553Groupage interna</v>
          </cell>
        </row>
        <row r="410">
          <cell r="A410">
            <v>531948</v>
          </cell>
          <cell r="B410" t="str">
            <v>MOISSY CRAMAYEL</v>
          </cell>
          <cell r="C410" t="str">
            <v>MGTI SNEV</v>
          </cell>
          <cell r="D410" t="str">
            <v>A501Lot Divers -501-</v>
          </cell>
        </row>
        <row r="411">
          <cell r="A411">
            <v>531948</v>
          </cell>
          <cell r="B411" t="str">
            <v>MOISSY CRAMAYEL</v>
          </cell>
          <cell r="C411" t="str">
            <v>MGTI SNEV</v>
          </cell>
          <cell r="D411" t="str">
            <v>A553Groupage interna</v>
          </cell>
        </row>
        <row r="412">
          <cell r="A412">
            <v>531948</v>
          </cell>
          <cell r="B412" t="str">
            <v>DRANCY</v>
          </cell>
          <cell r="C412" t="str">
            <v>MGTI SNEV</v>
          </cell>
          <cell r="D412" t="str">
            <v>A553Groupage interna</v>
          </cell>
        </row>
        <row r="413">
          <cell r="A413">
            <v>536655</v>
          </cell>
          <cell r="B413" t="str">
            <v>DRANCY</v>
          </cell>
          <cell r="C413" t="str">
            <v>BLACHERE ILLUMINATIONS</v>
          </cell>
          <cell r="D413" t="str">
            <v>A551Groupage nationa</v>
          </cell>
          <cell r="E413">
            <v>5.3560000000000003E-2</v>
          </cell>
        </row>
        <row r="414">
          <cell r="A414">
            <v>536655</v>
          </cell>
          <cell r="B414" t="str">
            <v>GENNEVILLIERS</v>
          </cell>
          <cell r="C414" t="str">
            <v>BLACHERE ILLUMINATIONS</v>
          </cell>
          <cell r="D414" t="str">
            <v>A551Groupage nationa</v>
          </cell>
        </row>
        <row r="415">
          <cell r="A415">
            <v>536788</v>
          </cell>
          <cell r="B415" t="str">
            <v>GENNEVILLIERS</v>
          </cell>
          <cell r="C415" t="str">
            <v>ASWO FRANCE</v>
          </cell>
          <cell r="D415" t="str">
            <v>A553Groupage interna</v>
          </cell>
          <cell r="E415">
            <v>1.4271799999999999</v>
          </cell>
        </row>
        <row r="416">
          <cell r="A416">
            <v>536788</v>
          </cell>
          <cell r="B416" t="str">
            <v>GENNEVILLIERS</v>
          </cell>
          <cell r="C416" t="str">
            <v>ASWO FRANCE</v>
          </cell>
          <cell r="D416" t="str">
            <v>A551Groupage nationa</v>
          </cell>
          <cell r="E416">
            <v>1.1360699999999999</v>
          </cell>
        </row>
        <row r="417">
          <cell r="A417">
            <v>536788</v>
          </cell>
          <cell r="B417" t="str">
            <v>ROUEN / GRAND QUEVIL</v>
          </cell>
          <cell r="C417" t="str">
            <v>ASWO FRANCE</v>
          </cell>
          <cell r="D417" t="str">
            <v>A551Groupage nationa</v>
          </cell>
        </row>
        <row r="418">
          <cell r="A418">
            <v>536788</v>
          </cell>
          <cell r="B418" t="str">
            <v>TROYES / LA CHAPELLE</v>
          </cell>
          <cell r="C418" t="str">
            <v>ASWO FRANCE</v>
          </cell>
          <cell r="D418" t="str">
            <v>A551Groupage nationa</v>
          </cell>
        </row>
        <row r="419">
          <cell r="A419">
            <v>538548</v>
          </cell>
          <cell r="B419" t="str">
            <v>MOISSY CRAMAYEL</v>
          </cell>
          <cell r="C419" t="str">
            <v>SEEPEX FRANCE</v>
          </cell>
          <cell r="D419" t="str">
            <v>A551Groupage nationa</v>
          </cell>
          <cell r="E419">
            <v>8.2853499999999993</v>
          </cell>
        </row>
        <row r="420">
          <cell r="A420">
            <v>538548</v>
          </cell>
          <cell r="B420" t="str">
            <v>MOISSY CRAMAYEL</v>
          </cell>
          <cell r="C420" t="str">
            <v>SEEPEX FRANCE</v>
          </cell>
          <cell r="D420" t="str">
            <v>A501Lot Divers -501-</v>
          </cell>
          <cell r="E420">
            <v>5.6762300000000003</v>
          </cell>
        </row>
        <row r="421">
          <cell r="A421">
            <v>538548</v>
          </cell>
          <cell r="B421" t="str">
            <v>MOISSY CRAMAYEL</v>
          </cell>
          <cell r="C421" t="str">
            <v>SEEPEX FRANCE</v>
          </cell>
          <cell r="D421" t="str">
            <v>A553Groupage interna</v>
          </cell>
          <cell r="E421">
            <v>0.87841000000000002</v>
          </cell>
        </row>
        <row r="422">
          <cell r="A422">
            <v>538548</v>
          </cell>
          <cell r="B422" t="str">
            <v>GENNEVILLIERS</v>
          </cell>
          <cell r="C422" t="str">
            <v>SEEPEX FRANCE</v>
          </cell>
          <cell r="D422" t="str">
            <v>A551Groupage nationa</v>
          </cell>
          <cell r="E422">
            <v>5.969E-2</v>
          </cell>
        </row>
        <row r="423">
          <cell r="A423">
            <v>544369</v>
          </cell>
          <cell r="B423" t="str">
            <v>MOISSY CRAMAYEL</v>
          </cell>
          <cell r="C423" t="str">
            <v>GLOBAL TRANSPORT LOGISTIC INTERNAT</v>
          </cell>
          <cell r="D423" t="str">
            <v>A551Groupage nationa</v>
          </cell>
          <cell r="E423">
            <v>5.2260000000000001E-2</v>
          </cell>
        </row>
        <row r="424">
          <cell r="A424">
            <v>544369</v>
          </cell>
          <cell r="B424" t="str">
            <v>GENNEVILLIERS</v>
          </cell>
          <cell r="C424" t="str">
            <v>GLOBAL TRANSPORT LOGISTIC INTERNAT</v>
          </cell>
          <cell r="D424" t="str">
            <v>A551Groupage nationa</v>
          </cell>
          <cell r="E424">
            <v>4.2529999999999998E-2</v>
          </cell>
        </row>
        <row r="425">
          <cell r="A425">
            <v>544961</v>
          </cell>
          <cell r="B425" t="str">
            <v>GENNEVILLIERS</v>
          </cell>
          <cell r="C425" t="str">
            <v>I F S</v>
          </cell>
          <cell r="D425" t="str">
            <v>A551Groupage nationa</v>
          </cell>
          <cell r="E425">
            <v>10.47823</v>
          </cell>
        </row>
        <row r="426">
          <cell r="A426">
            <v>544961</v>
          </cell>
          <cell r="B426" t="str">
            <v>GENNEVILLIERS</v>
          </cell>
          <cell r="C426" t="str">
            <v>I F S</v>
          </cell>
          <cell r="D426" t="str">
            <v>A553Groupage interna</v>
          </cell>
          <cell r="E426">
            <v>0.19750999999999999</v>
          </cell>
        </row>
        <row r="427">
          <cell r="A427">
            <v>544961</v>
          </cell>
          <cell r="B427" t="str">
            <v>ROUEN / GRAND QUEVIL</v>
          </cell>
          <cell r="C427" t="str">
            <v>I F S</v>
          </cell>
          <cell r="D427" t="str">
            <v>A551Groupage nationa</v>
          </cell>
        </row>
        <row r="428">
          <cell r="A428">
            <v>544961</v>
          </cell>
          <cell r="B428" t="str">
            <v>MOISSY CRAMAYEL</v>
          </cell>
          <cell r="C428" t="str">
            <v>I F S</v>
          </cell>
          <cell r="D428" t="str">
            <v>A551Groupage nationa</v>
          </cell>
        </row>
        <row r="429">
          <cell r="A429">
            <v>545023</v>
          </cell>
          <cell r="B429" t="str">
            <v>TROYES / LA CHAPELLE</v>
          </cell>
          <cell r="C429" t="str">
            <v>AUTOMOTIVE LIGHTING REAR LAMPS FRAN</v>
          </cell>
          <cell r="D429" t="str">
            <v>A501Lot Divers -501-</v>
          </cell>
          <cell r="E429">
            <v>21.027380000000001</v>
          </cell>
        </row>
        <row r="430">
          <cell r="A430">
            <v>545023</v>
          </cell>
          <cell r="B430" t="str">
            <v>GENNEVILLIERS</v>
          </cell>
          <cell r="C430" t="str">
            <v>AUTOMOTIVE LIGHTING REAR LAMPS FRAN</v>
          </cell>
          <cell r="D430" t="str">
            <v>A553Groupage interna</v>
          </cell>
          <cell r="E430">
            <v>1.05</v>
          </cell>
        </row>
        <row r="431">
          <cell r="A431">
            <v>545023</v>
          </cell>
          <cell r="B431" t="str">
            <v>TROYES / LA CHAPELLE</v>
          </cell>
          <cell r="C431" t="str">
            <v>AUTOMOTIVE LIGHTING REAR LAMPS FRAN</v>
          </cell>
          <cell r="D431" t="str">
            <v>A553Groupage interna</v>
          </cell>
          <cell r="E431">
            <v>0.21873000000000001</v>
          </cell>
        </row>
        <row r="432">
          <cell r="A432">
            <v>545023</v>
          </cell>
          <cell r="B432" t="str">
            <v>TROYES / LA CHAPELLE</v>
          </cell>
          <cell r="C432" t="str">
            <v>AUTOMOTIVE LIGHTING REAR LAMPS FRAN</v>
          </cell>
          <cell r="D432" t="str">
            <v>A551Groupage nationa</v>
          </cell>
        </row>
        <row r="433">
          <cell r="A433">
            <v>545779</v>
          </cell>
          <cell r="B433" t="str">
            <v>GENNEVILLIERS</v>
          </cell>
          <cell r="C433" t="str">
            <v>SCHWARTZMANN  S A S</v>
          </cell>
          <cell r="D433" t="str">
            <v>A551Groupage nationa</v>
          </cell>
        </row>
        <row r="434">
          <cell r="A434">
            <v>545779</v>
          </cell>
          <cell r="B434" t="str">
            <v>MOISSY CRAMAYEL</v>
          </cell>
          <cell r="C434" t="str">
            <v>SCHWARTZMANN  S A S</v>
          </cell>
          <cell r="D434" t="str">
            <v>A551Groupage nationa</v>
          </cell>
        </row>
        <row r="435">
          <cell r="A435">
            <v>545779</v>
          </cell>
          <cell r="B435" t="str">
            <v>TROYES / LA CHAPELLE</v>
          </cell>
          <cell r="C435" t="str">
            <v>SCHWARTZMANN  S A S</v>
          </cell>
          <cell r="D435" t="str">
            <v>A551Groupage nationa</v>
          </cell>
        </row>
        <row r="436">
          <cell r="A436">
            <v>545779</v>
          </cell>
          <cell r="B436" t="str">
            <v>DRANCY</v>
          </cell>
          <cell r="C436" t="str">
            <v>SCHWARTZMANN  S A S</v>
          </cell>
          <cell r="D436" t="str">
            <v>A553Groupage interna</v>
          </cell>
        </row>
        <row r="437">
          <cell r="A437">
            <v>546475</v>
          </cell>
          <cell r="B437" t="str">
            <v>GENNEVILLIERS</v>
          </cell>
          <cell r="C437" t="str">
            <v>SERIPRO</v>
          </cell>
          <cell r="D437" t="str">
            <v>A551Groupage nationa</v>
          </cell>
          <cell r="E437">
            <v>1.6596</v>
          </cell>
        </row>
        <row r="438">
          <cell r="A438">
            <v>546475</v>
          </cell>
          <cell r="B438" t="str">
            <v>MOISSY CRAMAYEL</v>
          </cell>
          <cell r="C438" t="str">
            <v>SERIPRO</v>
          </cell>
          <cell r="D438" t="str">
            <v>A551Groupage nationa</v>
          </cell>
          <cell r="E438">
            <v>0.41643000000000002</v>
          </cell>
        </row>
        <row r="439">
          <cell r="A439">
            <v>547350</v>
          </cell>
          <cell r="B439" t="str">
            <v>MOISSY CRAMAYEL</v>
          </cell>
          <cell r="C439" t="str">
            <v>RIEP</v>
          </cell>
          <cell r="D439" t="str">
            <v>A551Groupage nationa</v>
          </cell>
          <cell r="E439">
            <v>37.295270000000002</v>
          </cell>
        </row>
        <row r="440">
          <cell r="A440">
            <v>547350</v>
          </cell>
          <cell r="B440" t="str">
            <v>TROYES / LA CHAPELLE</v>
          </cell>
          <cell r="C440" t="str">
            <v>RIEP</v>
          </cell>
          <cell r="D440" t="str">
            <v>A551Groupage nationa</v>
          </cell>
          <cell r="E440">
            <v>16.396550000000001</v>
          </cell>
        </row>
        <row r="441">
          <cell r="A441">
            <v>547350</v>
          </cell>
          <cell r="B441" t="str">
            <v>ROUEN / GRAND QUEVIL</v>
          </cell>
          <cell r="C441" t="str">
            <v>RIEP</v>
          </cell>
          <cell r="D441" t="str">
            <v>A551Groupage nationa</v>
          </cell>
          <cell r="E441">
            <v>10.8889</v>
          </cell>
        </row>
        <row r="442">
          <cell r="A442">
            <v>547350</v>
          </cell>
          <cell r="B442" t="str">
            <v>ROUEN / GRAND QUEVIL</v>
          </cell>
          <cell r="C442" t="str">
            <v>RIEP</v>
          </cell>
          <cell r="D442" t="str">
            <v>A501Lot Divers -501-</v>
          </cell>
          <cell r="E442">
            <v>9.1942000000000004</v>
          </cell>
        </row>
        <row r="443">
          <cell r="A443">
            <v>547350</v>
          </cell>
          <cell r="B443" t="str">
            <v>MOISSY CRAMAYEL</v>
          </cell>
          <cell r="C443" t="str">
            <v>RIEP</v>
          </cell>
          <cell r="D443" t="str">
            <v>A501Lot Divers -501-</v>
          </cell>
          <cell r="E443">
            <v>8.7469699999999992</v>
          </cell>
        </row>
        <row r="444">
          <cell r="A444">
            <v>547350</v>
          </cell>
          <cell r="B444" t="str">
            <v>TROYES / LA CHAPELLE</v>
          </cell>
          <cell r="C444" t="str">
            <v>RIEP</v>
          </cell>
          <cell r="D444" t="str">
            <v>A501Lot Divers -501-</v>
          </cell>
          <cell r="E444">
            <v>3.5772200000000001</v>
          </cell>
        </row>
        <row r="445">
          <cell r="A445">
            <v>547350</v>
          </cell>
          <cell r="B445" t="str">
            <v>GENNEVILLIERS</v>
          </cell>
          <cell r="C445" t="str">
            <v>RIEP</v>
          </cell>
          <cell r="D445" t="str">
            <v>A551Groupage nationa</v>
          </cell>
          <cell r="E445">
            <v>0.15789</v>
          </cell>
        </row>
        <row r="446">
          <cell r="A446">
            <v>547350</v>
          </cell>
          <cell r="B446" t="str">
            <v>ORLEANS / ST JEAN DE</v>
          </cell>
          <cell r="C446" t="str">
            <v>RIEP</v>
          </cell>
          <cell r="D446" t="str">
            <v>A551Groupage nationa</v>
          </cell>
          <cell r="E446">
            <v>5.0819999999999997E-2</v>
          </cell>
        </row>
        <row r="447">
          <cell r="A447">
            <v>547350</v>
          </cell>
          <cell r="B447" t="str">
            <v>DRANCY</v>
          </cell>
          <cell r="C447" t="str">
            <v>RIEP</v>
          </cell>
          <cell r="D447" t="str">
            <v>A553Groupage interna</v>
          </cell>
          <cell r="E447">
            <v>3.4200000000000001E-2</v>
          </cell>
        </row>
        <row r="448">
          <cell r="A448">
            <v>547350</v>
          </cell>
          <cell r="B448" t="str">
            <v>DRANCY</v>
          </cell>
          <cell r="C448" t="str">
            <v>RIEP</v>
          </cell>
          <cell r="D448" t="str">
            <v>A551Groupage nationa</v>
          </cell>
          <cell r="E448">
            <v>-3.4200000000000001E-2</v>
          </cell>
        </row>
        <row r="449">
          <cell r="A449">
            <v>547548</v>
          </cell>
          <cell r="B449" t="str">
            <v>GENNEVILLIERS</v>
          </cell>
          <cell r="C449" t="str">
            <v>LEAR CORPORATION SEATING FRANCE SAS</v>
          </cell>
          <cell r="D449" t="str">
            <v>A553Groupage interna</v>
          </cell>
          <cell r="E449">
            <v>2.8974799999999998</v>
          </cell>
        </row>
        <row r="450">
          <cell r="A450">
            <v>547548</v>
          </cell>
          <cell r="B450" t="str">
            <v>GENNEVILLIERS</v>
          </cell>
          <cell r="C450" t="str">
            <v>LEAR CORPORATION SEATING FRANCE SAS</v>
          </cell>
          <cell r="D450" t="str">
            <v>A501Lot Divers -501-</v>
          </cell>
          <cell r="E450">
            <v>0.43398999999999999</v>
          </cell>
        </row>
        <row r="451">
          <cell r="A451">
            <v>547548</v>
          </cell>
          <cell r="B451" t="str">
            <v>GENNEVILLIERS</v>
          </cell>
          <cell r="C451" t="str">
            <v>LEAR CORPORATION SEATING FRANCE SAS</v>
          </cell>
          <cell r="D451" t="str">
            <v>A551Groupage nationa</v>
          </cell>
          <cell r="E451">
            <v>4.2639999999999997E-2</v>
          </cell>
        </row>
        <row r="452">
          <cell r="A452">
            <v>547548</v>
          </cell>
          <cell r="B452" t="str">
            <v>ROUEN / GRAND QUEVIL</v>
          </cell>
          <cell r="C452" t="str">
            <v>LEAR CORPORATION SEATING FRANCE SAS</v>
          </cell>
          <cell r="D452" t="str">
            <v>A551Groupage nationa</v>
          </cell>
        </row>
        <row r="453">
          <cell r="A453">
            <v>548657</v>
          </cell>
          <cell r="B453" t="str">
            <v>GENNEVILLIERS</v>
          </cell>
          <cell r="C453" t="str">
            <v>EPCI SARL</v>
          </cell>
          <cell r="D453" t="str">
            <v>A553Groupage interna</v>
          </cell>
          <cell r="E453">
            <v>19.815650000000002</v>
          </cell>
        </row>
        <row r="454">
          <cell r="A454">
            <v>548657</v>
          </cell>
          <cell r="B454" t="str">
            <v>GENNEVILLIERS</v>
          </cell>
          <cell r="C454" t="str">
            <v>EPCI SARL</v>
          </cell>
          <cell r="D454" t="str">
            <v>A551Groupage nationa</v>
          </cell>
          <cell r="E454">
            <v>8.5260000000000002E-2</v>
          </cell>
        </row>
        <row r="455">
          <cell r="A455">
            <v>548657</v>
          </cell>
          <cell r="B455" t="str">
            <v>GENNEVILLIERS</v>
          </cell>
          <cell r="C455" t="str">
            <v>EPCI SARL</v>
          </cell>
          <cell r="D455" t="str">
            <v>A501Lot Divers -501-</v>
          </cell>
        </row>
        <row r="456">
          <cell r="A456">
            <v>548657</v>
          </cell>
          <cell r="B456" t="str">
            <v>DRANCY</v>
          </cell>
          <cell r="C456" t="str">
            <v>EPCI SARL</v>
          </cell>
          <cell r="D456" t="str">
            <v>A553Groupage interna</v>
          </cell>
        </row>
        <row r="457">
          <cell r="A457">
            <v>550197</v>
          </cell>
          <cell r="B457" t="str">
            <v>MOISSY CRAMAYEL</v>
          </cell>
          <cell r="C457" t="str">
            <v>BRITA FRANCE</v>
          </cell>
          <cell r="D457" t="str">
            <v>A551Groupage nationa</v>
          </cell>
          <cell r="E457">
            <v>218.20150000000001</v>
          </cell>
        </row>
        <row r="458">
          <cell r="A458">
            <v>550197</v>
          </cell>
          <cell r="B458" t="str">
            <v>MOISSY CRAMAYEL</v>
          </cell>
          <cell r="C458" t="str">
            <v>BRITA FRANCE</v>
          </cell>
          <cell r="D458" t="str">
            <v>A553Groupage interna</v>
          </cell>
          <cell r="E458">
            <v>1.14855</v>
          </cell>
        </row>
        <row r="459">
          <cell r="A459">
            <v>550197</v>
          </cell>
          <cell r="B459" t="str">
            <v>GENNEVILLIERS</v>
          </cell>
          <cell r="C459" t="str">
            <v>BRITA FRANCE</v>
          </cell>
          <cell r="D459" t="str">
            <v>A551Groupage nationa</v>
          </cell>
        </row>
        <row r="460">
          <cell r="A460">
            <v>550197</v>
          </cell>
          <cell r="B460" t="str">
            <v>MOISSY CRAMAYEL</v>
          </cell>
          <cell r="C460" t="str">
            <v>BRITA FRANCE</v>
          </cell>
          <cell r="D460" t="str">
            <v>A501Lot Divers -501-</v>
          </cell>
        </row>
        <row r="461">
          <cell r="A461">
            <v>550399</v>
          </cell>
          <cell r="B461" t="str">
            <v>GENNEVILLIERS</v>
          </cell>
          <cell r="C461" t="str">
            <v>PAPREC FRANCE</v>
          </cell>
          <cell r="D461" t="str">
            <v>A501Lot Divers -501-</v>
          </cell>
          <cell r="E461">
            <v>0.45700000000000002</v>
          </cell>
        </row>
        <row r="462">
          <cell r="A462">
            <v>550399</v>
          </cell>
          <cell r="B462" t="str">
            <v>DRANCY</v>
          </cell>
          <cell r="C462" t="str">
            <v>PAPREC FRANCE</v>
          </cell>
          <cell r="D462" t="str">
            <v>A553Groupage interna</v>
          </cell>
        </row>
        <row r="463">
          <cell r="A463">
            <v>552680</v>
          </cell>
          <cell r="B463" t="str">
            <v>GENNEVILLIERS</v>
          </cell>
          <cell r="C463" t="str">
            <v>CLIMENT TRAVAUX PUBLICS</v>
          </cell>
          <cell r="D463" t="str">
            <v>A551Groupage nationa</v>
          </cell>
          <cell r="E463">
            <v>0.11314</v>
          </cell>
        </row>
        <row r="464">
          <cell r="A464">
            <v>552680</v>
          </cell>
          <cell r="B464" t="str">
            <v>MOISSY CRAMAYEL</v>
          </cell>
          <cell r="C464" t="str">
            <v>CLIMENT TRAVAUX PUBLICS</v>
          </cell>
          <cell r="D464" t="str">
            <v>A551Groupage nationa</v>
          </cell>
        </row>
        <row r="465">
          <cell r="A465">
            <v>558298</v>
          </cell>
          <cell r="B465" t="str">
            <v>MOISSY CRAMAYEL</v>
          </cell>
          <cell r="C465" t="str">
            <v>SFL</v>
          </cell>
          <cell r="D465" t="str">
            <v>A551Groupage nationa</v>
          </cell>
          <cell r="E465">
            <v>0.30399999999999999</v>
          </cell>
        </row>
        <row r="466">
          <cell r="A466">
            <v>558298</v>
          </cell>
          <cell r="B466" t="str">
            <v>GENNEVILLIERS</v>
          </cell>
          <cell r="C466" t="str">
            <v>SFL</v>
          </cell>
          <cell r="D466" t="str">
            <v>A551Groupage nationa</v>
          </cell>
          <cell r="E466">
            <v>9.9940000000000001E-2</v>
          </cell>
        </row>
        <row r="467">
          <cell r="A467">
            <v>558298</v>
          </cell>
          <cell r="B467" t="str">
            <v>DRANCY</v>
          </cell>
          <cell r="C467" t="str">
            <v>SFL</v>
          </cell>
          <cell r="D467" t="str">
            <v>A553Groupage interna</v>
          </cell>
          <cell r="E467">
            <v>3.9379999999999998E-2</v>
          </cell>
        </row>
        <row r="468">
          <cell r="A468">
            <v>558889</v>
          </cell>
          <cell r="B468" t="str">
            <v>GENNEVILLIERS</v>
          </cell>
          <cell r="C468" t="str">
            <v>WAGRAM MUSIC S A</v>
          </cell>
          <cell r="D468" t="str">
            <v>A553Groupage interna</v>
          </cell>
          <cell r="E468">
            <v>6.8214699999999997</v>
          </cell>
        </row>
        <row r="469">
          <cell r="A469">
            <v>558889</v>
          </cell>
          <cell r="B469" t="str">
            <v>GENNEVILLIERS</v>
          </cell>
          <cell r="C469" t="str">
            <v>WAGRAM MUSIC S A</v>
          </cell>
          <cell r="D469" t="str">
            <v>A501Lot Divers -501-</v>
          </cell>
          <cell r="E469">
            <v>0.56999999999999995</v>
          </cell>
        </row>
        <row r="470">
          <cell r="A470">
            <v>558889</v>
          </cell>
          <cell r="B470" t="str">
            <v>MOISSY CRAMAYEL</v>
          </cell>
          <cell r="C470" t="str">
            <v>WAGRAM MUSIC S A</v>
          </cell>
          <cell r="D470" t="str">
            <v>A501Lot Divers -501-</v>
          </cell>
        </row>
        <row r="471">
          <cell r="A471">
            <v>558941</v>
          </cell>
          <cell r="B471" t="str">
            <v>DRANCY</v>
          </cell>
          <cell r="C471" t="str">
            <v>MEDISTOCK</v>
          </cell>
          <cell r="D471" t="str">
            <v>A551Groupage nationa</v>
          </cell>
          <cell r="E471">
            <v>0.11648</v>
          </cell>
        </row>
        <row r="472">
          <cell r="A472">
            <v>558941</v>
          </cell>
          <cell r="B472" t="str">
            <v>ROUEN / GRAND QUEVIL</v>
          </cell>
          <cell r="C472" t="str">
            <v>MEDISTOCK</v>
          </cell>
          <cell r="D472" t="str">
            <v>A551Groupage nationa</v>
          </cell>
          <cell r="E472">
            <v>7.2400000000000006E-2</v>
          </cell>
        </row>
        <row r="473">
          <cell r="A473">
            <v>558941</v>
          </cell>
          <cell r="B473" t="str">
            <v>MOISSY CRAMAYEL</v>
          </cell>
          <cell r="C473" t="str">
            <v>MEDISTOCK</v>
          </cell>
          <cell r="D473" t="str">
            <v>A551Groupage nationa</v>
          </cell>
          <cell r="E473">
            <v>3.3610000000000001E-2</v>
          </cell>
        </row>
        <row r="474">
          <cell r="A474">
            <v>562099</v>
          </cell>
          <cell r="B474" t="str">
            <v>MOISSY CRAMAYEL</v>
          </cell>
          <cell r="C474" t="str">
            <v>MAINTENANCE HYDRAULIQUE SYSTEMES</v>
          </cell>
          <cell r="D474" t="str">
            <v>A553Groupage interna</v>
          </cell>
          <cell r="E474">
            <v>2.1604199999999998</v>
          </cell>
        </row>
        <row r="475">
          <cell r="A475">
            <v>562099</v>
          </cell>
          <cell r="B475" t="str">
            <v>GENNEVILLIERS</v>
          </cell>
          <cell r="C475" t="str">
            <v>MAINTENANCE HYDRAULIQUE SYSTEMES</v>
          </cell>
          <cell r="D475" t="str">
            <v>A553Groupage interna</v>
          </cell>
        </row>
        <row r="476">
          <cell r="A476">
            <v>562099</v>
          </cell>
          <cell r="B476" t="str">
            <v>MOISSY CRAMAYEL</v>
          </cell>
          <cell r="C476" t="str">
            <v>MAINTENANCE HYDRAULIQUE SYSTEMES</v>
          </cell>
          <cell r="D476" t="str">
            <v>A551Groupage nationa</v>
          </cell>
        </row>
        <row r="477">
          <cell r="A477">
            <v>563121</v>
          </cell>
          <cell r="B477" t="str">
            <v>GENNEVILLIERS</v>
          </cell>
          <cell r="C477" t="str">
            <v>RADIO RELAIS</v>
          </cell>
          <cell r="D477" t="str">
            <v>A551Groupage nationa</v>
          </cell>
          <cell r="E477">
            <v>7.4338199999999999</v>
          </cell>
        </row>
        <row r="478">
          <cell r="A478">
            <v>563121</v>
          </cell>
          <cell r="B478" t="str">
            <v>GENNEVILLIERS</v>
          </cell>
          <cell r="C478" t="str">
            <v>RADIO RELAIS</v>
          </cell>
          <cell r="D478" t="str">
            <v>A553Groupage interna</v>
          </cell>
          <cell r="E478">
            <v>0.17576</v>
          </cell>
        </row>
        <row r="479">
          <cell r="A479">
            <v>563121</v>
          </cell>
          <cell r="B479" t="str">
            <v>TROYES / LA CHAPELLE</v>
          </cell>
          <cell r="C479" t="str">
            <v>RADIO RELAIS</v>
          </cell>
          <cell r="D479" t="str">
            <v>A551Groupage nationa</v>
          </cell>
        </row>
        <row r="480">
          <cell r="A480">
            <v>563121</v>
          </cell>
          <cell r="B480" t="str">
            <v>DRANCY</v>
          </cell>
          <cell r="C480" t="str">
            <v>RADIO RELAIS</v>
          </cell>
          <cell r="D480" t="str">
            <v>A553Groupage interna</v>
          </cell>
        </row>
        <row r="481">
          <cell r="A481">
            <v>564431</v>
          </cell>
          <cell r="B481" t="str">
            <v>MOISSY CRAMAYEL</v>
          </cell>
          <cell r="C481" t="str">
            <v>OSIATIS FRANCE</v>
          </cell>
          <cell r="D481" t="str">
            <v>A551Groupage nationa</v>
          </cell>
          <cell r="E481">
            <v>16.606850000000001</v>
          </cell>
        </row>
        <row r="482">
          <cell r="A482">
            <v>564431</v>
          </cell>
          <cell r="B482" t="str">
            <v>MOISSY CRAMAYEL</v>
          </cell>
          <cell r="C482" t="str">
            <v>OSIATIS FRANCE</v>
          </cell>
          <cell r="D482" t="str">
            <v>A501Lot Divers -501-</v>
          </cell>
          <cell r="E482">
            <v>6.2080500000000001</v>
          </cell>
        </row>
        <row r="483">
          <cell r="A483">
            <v>564431</v>
          </cell>
          <cell r="B483" t="str">
            <v>ROUEN / GRAND QUEVIL</v>
          </cell>
          <cell r="C483" t="str">
            <v>OSIATIS FRANCE</v>
          </cell>
          <cell r="D483" t="str">
            <v>A551Groupage nationa</v>
          </cell>
          <cell r="E483">
            <v>0.33744000000000002</v>
          </cell>
        </row>
        <row r="484">
          <cell r="A484">
            <v>565741</v>
          </cell>
          <cell r="B484" t="str">
            <v>GENNEVILLIERS</v>
          </cell>
          <cell r="C484" t="str">
            <v>VIS'INOX</v>
          </cell>
          <cell r="D484" t="str">
            <v>A553Groupage interna</v>
          </cell>
          <cell r="E484">
            <v>0.35968</v>
          </cell>
        </row>
        <row r="485">
          <cell r="A485">
            <v>565741</v>
          </cell>
          <cell r="B485" t="str">
            <v>DRANCY</v>
          </cell>
          <cell r="C485" t="str">
            <v>VIS'INOX</v>
          </cell>
          <cell r="D485" t="str">
            <v>A553Groupage interna</v>
          </cell>
        </row>
        <row r="486">
          <cell r="A486">
            <v>572943</v>
          </cell>
          <cell r="B486" t="str">
            <v>ORLEANS / ST JEAN DE</v>
          </cell>
          <cell r="C486" t="str">
            <v>DELPHI DIESEL SYSTEMS SAS</v>
          </cell>
          <cell r="D486" t="str">
            <v>A501Lot Divers -501-</v>
          </cell>
          <cell r="E486">
            <v>21.666840000000001</v>
          </cell>
        </row>
        <row r="487">
          <cell r="A487">
            <v>572943</v>
          </cell>
          <cell r="B487" t="str">
            <v>ORLEANS / ST JEAN DE</v>
          </cell>
          <cell r="C487" t="str">
            <v>DELPHI DIESEL SYSTEMS SAS</v>
          </cell>
          <cell r="D487" t="str">
            <v>A551Groupage nationa</v>
          </cell>
          <cell r="E487">
            <v>16.468630000000001</v>
          </cell>
        </row>
        <row r="488">
          <cell r="A488">
            <v>572943</v>
          </cell>
          <cell r="B488" t="str">
            <v>GENNEVILLIERS</v>
          </cell>
          <cell r="C488" t="str">
            <v>DELPHI DIESEL SYSTEMS SAS</v>
          </cell>
          <cell r="D488" t="str">
            <v>A551Groupage nationa</v>
          </cell>
          <cell r="E488">
            <v>2.3796300000000001</v>
          </cell>
        </row>
        <row r="489">
          <cell r="A489">
            <v>572943</v>
          </cell>
          <cell r="B489" t="str">
            <v>ORLEANS / ST JEAN DE</v>
          </cell>
          <cell r="C489" t="str">
            <v>DELPHI DIESEL SYSTEMS SAS</v>
          </cell>
          <cell r="D489" t="str">
            <v>A553Groupage interna</v>
          </cell>
          <cell r="E489">
            <v>2.13165</v>
          </cell>
        </row>
        <row r="490">
          <cell r="A490">
            <v>572943</v>
          </cell>
          <cell r="B490" t="str">
            <v>MOISSY CRAMAYEL</v>
          </cell>
          <cell r="C490" t="str">
            <v>DELPHI DIESEL SYSTEMS SAS</v>
          </cell>
          <cell r="D490" t="str">
            <v>A553Groupage interna</v>
          </cell>
          <cell r="E490">
            <v>0.36648999999999998</v>
          </cell>
        </row>
        <row r="491">
          <cell r="A491">
            <v>572943</v>
          </cell>
          <cell r="B491" t="str">
            <v>GENNEVILLIERS</v>
          </cell>
          <cell r="C491" t="str">
            <v>DELPHI DIESEL SYSTEMS SAS</v>
          </cell>
          <cell r="D491" t="str">
            <v>A553Groupage interna</v>
          </cell>
        </row>
        <row r="492">
          <cell r="A492">
            <v>573458</v>
          </cell>
          <cell r="B492" t="str">
            <v>GENNEVILLIERS</v>
          </cell>
          <cell r="C492" t="str">
            <v>THE MAGIC TOUCH 123 APPLICAT</v>
          </cell>
          <cell r="D492" t="str">
            <v>A553Groupage interna</v>
          </cell>
        </row>
        <row r="493">
          <cell r="A493">
            <v>573458</v>
          </cell>
          <cell r="B493" t="str">
            <v>DRANCY</v>
          </cell>
          <cell r="C493" t="str">
            <v>THE MAGIC TOUCH 123 APPLICAT</v>
          </cell>
          <cell r="D493" t="str">
            <v>A553Groupage interna</v>
          </cell>
        </row>
        <row r="494">
          <cell r="A494">
            <v>574718</v>
          </cell>
          <cell r="B494" t="str">
            <v>MOISSY CRAMAYEL</v>
          </cell>
          <cell r="C494" t="str">
            <v>EXWOO1FR</v>
          </cell>
          <cell r="D494" t="str">
            <v>A501Lot Divers -501-</v>
          </cell>
          <cell r="E494">
            <v>2.65</v>
          </cell>
        </row>
        <row r="495">
          <cell r="A495">
            <v>574718</v>
          </cell>
          <cell r="B495" t="str">
            <v>GENNEVILLIERS</v>
          </cell>
          <cell r="C495" t="str">
            <v>EXWOO1FR</v>
          </cell>
          <cell r="D495" t="str">
            <v>A501Lot Divers -501-</v>
          </cell>
          <cell r="E495">
            <v>1.98</v>
          </cell>
        </row>
        <row r="496">
          <cell r="A496">
            <v>574718</v>
          </cell>
          <cell r="B496" t="str">
            <v>GENNEVILLIERS</v>
          </cell>
          <cell r="C496" t="str">
            <v>EXWOO1FR</v>
          </cell>
          <cell r="D496" t="str">
            <v>A551Groupage nationa</v>
          </cell>
          <cell r="E496">
            <v>0.57055</v>
          </cell>
        </row>
        <row r="497">
          <cell r="A497">
            <v>574718</v>
          </cell>
          <cell r="B497" t="str">
            <v>GENNEVILLIERS</v>
          </cell>
          <cell r="C497" t="str">
            <v>EXWOO1FR</v>
          </cell>
          <cell r="D497" t="str">
            <v>A553Groupage interna</v>
          </cell>
        </row>
        <row r="498">
          <cell r="A498">
            <v>574718</v>
          </cell>
          <cell r="B498" t="str">
            <v>ORLEANS / ST JEAN DE</v>
          </cell>
          <cell r="C498" t="str">
            <v>EXWOO1FR</v>
          </cell>
          <cell r="D498" t="str">
            <v>A501Lot Divers -501-</v>
          </cell>
        </row>
        <row r="499">
          <cell r="A499">
            <v>574718</v>
          </cell>
          <cell r="B499" t="str">
            <v>ORLEANS / ST JEAN DE</v>
          </cell>
          <cell r="C499" t="str">
            <v>EXWOO1FR</v>
          </cell>
          <cell r="D499" t="str">
            <v>A553Groupage interna</v>
          </cell>
        </row>
        <row r="500">
          <cell r="A500">
            <v>576230</v>
          </cell>
          <cell r="B500" t="str">
            <v>GENNEVILLIERS</v>
          </cell>
          <cell r="C500" t="str">
            <v>JTEKT AUTOMOTIVE DIJON ST ETIENNE</v>
          </cell>
          <cell r="D500" t="str">
            <v>A551Groupage nationa</v>
          </cell>
          <cell r="E500">
            <v>4.6719400000000002</v>
          </cell>
        </row>
        <row r="501">
          <cell r="A501">
            <v>576230</v>
          </cell>
          <cell r="B501" t="str">
            <v>ROUEN / GRAND QUEVIL</v>
          </cell>
          <cell r="C501" t="str">
            <v>JTEKT AUTOMOTIVE DIJON ST ETIENNE</v>
          </cell>
          <cell r="D501" t="str">
            <v>A551Groupage nationa</v>
          </cell>
          <cell r="E501">
            <v>0.97496000000000005</v>
          </cell>
        </row>
        <row r="502">
          <cell r="A502">
            <v>576230</v>
          </cell>
          <cell r="B502" t="str">
            <v>TROYES / LA CHAPELLE</v>
          </cell>
          <cell r="C502" t="str">
            <v>JTEKT AUTOMOTIVE DIJON ST ETIENNE</v>
          </cell>
          <cell r="D502" t="str">
            <v>A551Groupage nationa</v>
          </cell>
          <cell r="E502">
            <v>1.4E-2</v>
          </cell>
        </row>
        <row r="503">
          <cell r="A503">
            <v>576230</v>
          </cell>
          <cell r="B503" t="str">
            <v>TROYES / LA CHAPELLE</v>
          </cell>
          <cell r="C503" t="str">
            <v>JTEKT AUTOMOTIVE DIJON ST ETIENNE</v>
          </cell>
          <cell r="D503" t="str">
            <v>A501Lot Divers -501-</v>
          </cell>
        </row>
        <row r="504">
          <cell r="A504">
            <v>576485</v>
          </cell>
          <cell r="B504" t="str">
            <v>TROYES / LA CHAPELLE</v>
          </cell>
          <cell r="C504" t="str">
            <v>SOTRALINOX</v>
          </cell>
          <cell r="D504" t="str">
            <v>A501Lot Divers -501-</v>
          </cell>
          <cell r="E504">
            <v>36.58</v>
          </cell>
        </row>
        <row r="505">
          <cell r="A505">
            <v>576485</v>
          </cell>
          <cell r="B505" t="str">
            <v>TROYES / LA CHAPELLE</v>
          </cell>
          <cell r="C505" t="str">
            <v>SOTRALINOX</v>
          </cell>
          <cell r="D505" t="str">
            <v>A551Groupage nationa</v>
          </cell>
          <cell r="E505">
            <v>0.40427999999999997</v>
          </cell>
        </row>
        <row r="506">
          <cell r="A506">
            <v>576485</v>
          </cell>
          <cell r="B506" t="str">
            <v>ROUEN / GRAND QUEVIL</v>
          </cell>
          <cell r="C506" t="str">
            <v>SOTRALINOX</v>
          </cell>
          <cell r="D506" t="str">
            <v>A551Groupage nationa</v>
          </cell>
          <cell r="E506">
            <v>4.0660000000000002E-2</v>
          </cell>
        </row>
        <row r="507">
          <cell r="A507">
            <v>578183</v>
          </cell>
          <cell r="B507" t="str">
            <v>GENNEVILLIERS</v>
          </cell>
          <cell r="C507" t="str">
            <v>AUDIO VIDEO COMMUNICATION</v>
          </cell>
          <cell r="D507" t="str">
            <v>A551Groupage nationa</v>
          </cell>
          <cell r="E507">
            <v>0.15790999999999999</v>
          </cell>
        </row>
        <row r="508">
          <cell r="A508">
            <v>578183</v>
          </cell>
          <cell r="B508" t="str">
            <v>MOISSY CRAMAYEL</v>
          </cell>
          <cell r="C508" t="str">
            <v>AUDIO VIDEO COMMUNICATION</v>
          </cell>
          <cell r="D508" t="str">
            <v>A551Groupage nationa</v>
          </cell>
          <cell r="E508">
            <v>9.9809999999999996E-2</v>
          </cell>
        </row>
        <row r="509">
          <cell r="A509">
            <v>578681</v>
          </cell>
          <cell r="B509" t="str">
            <v>MOISSY CRAMAYEL</v>
          </cell>
          <cell r="C509" t="str">
            <v>PALAIS DES THES (LE)</v>
          </cell>
          <cell r="D509" t="str">
            <v>A551Groupage nationa</v>
          </cell>
          <cell r="E509">
            <v>64.400499999999994</v>
          </cell>
        </row>
        <row r="510">
          <cell r="A510">
            <v>578681</v>
          </cell>
          <cell r="B510" t="str">
            <v>MOISSY CRAMAYEL</v>
          </cell>
          <cell r="C510" t="str">
            <v>PALAIS DES THES (LE)</v>
          </cell>
          <cell r="D510" t="str">
            <v>A501Lot Divers -501-</v>
          </cell>
          <cell r="E510">
            <v>19.68329</v>
          </cell>
        </row>
        <row r="511">
          <cell r="A511">
            <v>578681</v>
          </cell>
          <cell r="B511" t="str">
            <v>MOISSY CRAMAYEL</v>
          </cell>
          <cell r="C511" t="str">
            <v>PALAIS DES THES (LE)</v>
          </cell>
          <cell r="D511" t="str">
            <v>A553Groupage interna</v>
          </cell>
          <cell r="E511">
            <v>10.324070000000001</v>
          </cell>
        </row>
        <row r="512">
          <cell r="A512">
            <v>578681</v>
          </cell>
          <cell r="B512" t="str">
            <v>GENNEVILLIERS</v>
          </cell>
          <cell r="C512" t="str">
            <v>PALAIS DES THES (LE)</v>
          </cell>
          <cell r="D512" t="str">
            <v>A553Groupage interna</v>
          </cell>
          <cell r="E512">
            <v>0.12578</v>
          </cell>
        </row>
        <row r="513">
          <cell r="A513">
            <v>578681</v>
          </cell>
          <cell r="B513" t="str">
            <v>DRANCY</v>
          </cell>
          <cell r="C513" t="str">
            <v>PALAIS DES THES (LE)</v>
          </cell>
          <cell r="D513" t="str">
            <v>A551Groupage nationa</v>
          </cell>
          <cell r="E513">
            <v>1.8630000000000001E-2</v>
          </cell>
        </row>
        <row r="514">
          <cell r="A514">
            <v>578681</v>
          </cell>
          <cell r="B514" t="str">
            <v>GENNEVILLIERS</v>
          </cell>
          <cell r="C514" t="str">
            <v>PALAIS DES THES (LE)</v>
          </cell>
          <cell r="D514" t="str">
            <v>A501Lot Divers -501-</v>
          </cell>
        </row>
        <row r="515">
          <cell r="A515">
            <v>578681</v>
          </cell>
          <cell r="B515" t="str">
            <v>GENNEVILLIERS</v>
          </cell>
          <cell r="C515" t="str">
            <v>PALAIS DES THES (LE)</v>
          </cell>
          <cell r="D515" t="str">
            <v>A551Groupage nationa</v>
          </cell>
        </row>
        <row r="516">
          <cell r="A516">
            <v>578681</v>
          </cell>
          <cell r="B516" t="str">
            <v>DRANCY</v>
          </cell>
          <cell r="C516" t="str">
            <v>PALAIS DES THES (LE)</v>
          </cell>
          <cell r="D516" t="str">
            <v>A553Groupage interna</v>
          </cell>
        </row>
        <row r="517">
          <cell r="A517">
            <v>581747</v>
          </cell>
          <cell r="B517" t="str">
            <v>DRANCY</v>
          </cell>
          <cell r="C517" t="str">
            <v>MGTI SNEV</v>
          </cell>
          <cell r="D517" t="str">
            <v>A553Groupage interna</v>
          </cell>
          <cell r="E517">
            <v>0.77005000000000001</v>
          </cell>
        </row>
        <row r="518">
          <cell r="A518">
            <v>581747</v>
          </cell>
          <cell r="B518" t="str">
            <v>GENNEVILLIERS</v>
          </cell>
          <cell r="C518" t="str">
            <v>MGTI SNEV</v>
          </cell>
          <cell r="D518" t="str">
            <v>A553Groupage interna</v>
          </cell>
          <cell r="E518">
            <v>0.23171</v>
          </cell>
        </row>
        <row r="519">
          <cell r="A519">
            <v>581747</v>
          </cell>
          <cell r="B519" t="str">
            <v>MOISSY CRAMAYEL</v>
          </cell>
          <cell r="C519" t="str">
            <v>MGTI SNEV</v>
          </cell>
          <cell r="D519" t="str">
            <v>A553Groupage interna</v>
          </cell>
          <cell r="E519">
            <v>9.4759999999999997E-2</v>
          </cell>
        </row>
        <row r="520">
          <cell r="A520">
            <v>581747</v>
          </cell>
          <cell r="B520" t="str">
            <v>MOISSY CRAMAYEL</v>
          </cell>
          <cell r="C520" t="str">
            <v>MGTI SNEV</v>
          </cell>
          <cell r="D520" t="str">
            <v>A501Lot Divers -501-</v>
          </cell>
        </row>
        <row r="521">
          <cell r="A521">
            <v>582241</v>
          </cell>
          <cell r="B521" t="str">
            <v>GENNEVILLIERS</v>
          </cell>
          <cell r="C521" t="str">
            <v>CENTREAL LOREAL COIFFURE</v>
          </cell>
          <cell r="D521" t="str">
            <v>A551Groupage nationa</v>
          </cell>
          <cell r="E521">
            <v>304.84978999999998</v>
          </cell>
        </row>
        <row r="522">
          <cell r="A522">
            <v>582241</v>
          </cell>
          <cell r="B522" t="str">
            <v>DRANCY</v>
          </cell>
          <cell r="C522" t="str">
            <v>CENTREAL LOREAL COIFFURE</v>
          </cell>
          <cell r="D522" t="str">
            <v>A551Groupage nationa</v>
          </cell>
          <cell r="E522">
            <v>157.61036999999999</v>
          </cell>
        </row>
        <row r="523">
          <cell r="A523">
            <v>582241</v>
          </cell>
          <cell r="B523" t="str">
            <v>MOISSY CRAMAYEL</v>
          </cell>
          <cell r="C523" t="str">
            <v>CENTREAL LOREAL COIFFURE</v>
          </cell>
          <cell r="D523" t="str">
            <v>A551Groupage nationa</v>
          </cell>
          <cell r="E523">
            <v>53.291400000000003</v>
          </cell>
        </row>
        <row r="524">
          <cell r="A524">
            <v>582241</v>
          </cell>
          <cell r="B524" t="str">
            <v>GENNEVILLIERS</v>
          </cell>
          <cell r="C524" t="str">
            <v>CENTREAL LOREAL COIFFURE</v>
          </cell>
          <cell r="D524" t="str">
            <v>A501Lot Divers -501-</v>
          </cell>
          <cell r="E524">
            <v>19.15061</v>
          </cell>
        </row>
        <row r="525">
          <cell r="A525">
            <v>582241</v>
          </cell>
          <cell r="B525" t="str">
            <v>GENNEVILLIERS</v>
          </cell>
          <cell r="C525" t="str">
            <v>CENTREAL LOREAL COIFFURE</v>
          </cell>
          <cell r="D525" t="str">
            <v>A553Groupage interna</v>
          </cell>
          <cell r="E525">
            <v>1.8068900000000001</v>
          </cell>
        </row>
        <row r="526">
          <cell r="A526">
            <v>582241</v>
          </cell>
          <cell r="B526" t="str">
            <v>MOISSY CRAMAYEL</v>
          </cell>
          <cell r="C526" t="str">
            <v>CENTREAL LOREAL COIFFURE</v>
          </cell>
          <cell r="D526" t="str">
            <v>A501Lot Divers -501-</v>
          </cell>
          <cell r="E526">
            <v>7.0000000000000007E-2</v>
          </cell>
        </row>
        <row r="527">
          <cell r="A527">
            <v>582241</v>
          </cell>
          <cell r="B527" t="str">
            <v>DRANCY</v>
          </cell>
          <cell r="C527" t="str">
            <v>CENTREAL LOREAL COIFFURE</v>
          </cell>
          <cell r="D527" t="str">
            <v>A553Groupage interna</v>
          </cell>
          <cell r="E527">
            <v>1.6160000000000001E-2</v>
          </cell>
        </row>
        <row r="528">
          <cell r="A528">
            <v>582656</v>
          </cell>
          <cell r="B528" t="str">
            <v>GENNEVILLIERS</v>
          </cell>
          <cell r="C528" t="str">
            <v>SUMITOMO ELECTRIC WIRING</v>
          </cell>
          <cell r="D528" t="str">
            <v>A551Groupage nationa</v>
          </cell>
          <cell r="E528">
            <v>3.9779100000000001</v>
          </cell>
        </row>
        <row r="529">
          <cell r="A529">
            <v>582656</v>
          </cell>
          <cell r="B529" t="str">
            <v>GENNEVILLIERS</v>
          </cell>
          <cell r="C529" t="str">
            <v>SUMITOMO ELECTRIC WIRING</v>
          </cell>
          <cell r="D529" t="str">
            <v>A501Lot Divers -501-</v>
          </cell>
          <cell r="E529">
            <v>2.1509999999999998</v>
          </cell>
        </row>
        <row r="530">
          <cell r="A530">
            <v>582656</v>
          </cell>
          <cell r="B530" t="str">
            <v>ROUEN / GRAND QUEVIL</v>
          </cell>
          <cell r="C530" t="str">
            <v>SUMITOMO ELECTRIC WIRING</v>
          </cell>
          <cell r="D530" t="str">
            <v>A551Groupage nationa</v>
          </cell>
        </row>
        <row r="531">
          <cell r="A531">
            <v>588162</v>
          </cell>
          <cell r="B531" t="str">
            <v>GENNEVILLIERS</v>
          </cell>
          <cell r="C531" t="str">
            <v>DELPHI FRANCE SAS</v>
          </cell>
          <cell r="D531" t="str">
            <v>A501Lot Divers -501-</v>
          </cell>
          <cell r="E531">
            <v>161.85571999999999</v>
          </cell>
        </row>
        <row r="532">
          <cell r="A532">
            <v>588162</v>
          </cell>
          <cell r="B532" t="str">
            <v>GENNEVILLIERS</v>
          </cell>
          <cell r="C532" t="str">
            <v>DELPHI FRANCE SAS</v>
          </cell>
          <cell r="D532" t="str">
            <v>A553Groupage interna</v>
          </cell>
          <cell r="E532">
            <v>89.105069999999998</v>
          </cell>
        </row>
        <row r="533">
          <cell r="A533">
            <v>588162</v>
          </cell>
          <cell r="B533" t="str">
            <v>GENNEVILLIERS</v>
          </cell>
          <cell r="C533" t="str">
            <v>DELPHI FRANCE SAS</v>
          </cell>
          <cell r="D533" t="str">
            <v>A551Groupage nationa</v>
          </cell>
          <cell r="E533">
            <v>52.618479999999998</v>
          </cell>
        </row>
        <row r="534">
          <cell r="A534">
            <v>588162</v>
          </cell>
          <cell r="B534" t="str">
            <v>GENNEVILLIERS</v>
          </cell>
          <cell r="C534" t="str">
            <v>DELPHI FRANCE SAS</v>
          </cell>
          <cell r="D534" t="str">
            <v>A582Activites Annexe</v>
          </cell>
          <cell r="E534">
            <v>0.54</v>
          </cell>
        </row>
        <row r="535">
          <cell r="A535">
            <v>588162</v>
          </cell>
          <cell r="B535" t="str">
            <v>DRANCY</v>
          </cell>
          <cell r="C535" t="str">
            <v>DELPHI FRANCE SAS</v>
          </cell>
          <cell r="D535" t="str">
            <v>A553Groupage interna</v>
          </cell>
        </row>
        <row r="536">
          <cell r="A536">
            <v>589251</v>
          </cell>
          <cell r="B536" t="str">
            <v>GENNEVILLIERS</v>
          </cell>
          <cell r="C536" t="str">
            <v>IKEA FREIGHT SERVICE AKTIEBOLAG</v>
          </cell>
          <cell r="D536" t="str">
            <v>A501Lot Divers -501-</v>
          </cell>
        </row>
        <row r="537">
          <cell r="A537">
            <v>589251</v>
          </cell>
          <cell r="B537" t="str">
            <v>MOISSY CRAMAYEL</v>
          </cell>
          <cell r="C537" t="str">
            <v>IKEA FREIGHT SERVICE AKTIEBOLAG</v>
          </cell>
          <cell r="D537" t="str">
            <v>A501Lot Divers -501-</v>
          </cell>
        </row>
        <row r="538">
          <cell r="A538">
            <v>592295</v>
          </cell>
          <cell r="B538" t="str">
            <v>ROUEN / GRAND QUEVIL</v>
          </cell>
          <cell r="C538" t="str">
            <v>AUCLAIR MOUTON MARIE CHRISTINE</v>
          </cell>
          <cell r="D538" t="str">
            <v>A553Groupage interna</v>
          </cell>
          <cell r="E538">
            <v>4.6075600000000003</v>
          </cell>
        </row>
        <row r="539">
          <cell r="A539">
            <v>592295</v>
          </cell>
          <cell r="B539" t="str">
            <v>ROUEN / GRAND QUEVIL</v>
          </cell>
          <cell r="C539" t="str">
            <v>AUCLAIR MOUTON MARIE CHRISTINE</v>
          </cell>
          <cell r="D539" t="str">
            <v>A551Groupage nationa</v>
          </cell>
          <cell r="E539">
            <v>8.7609999999999993E-2</v>
          </cell>
        </row>
        <row r="540">
          <cell r="A540">
            <v>592295</v>
          </cell>
          <cell r="B540" t="str">
            <v>GENNEVILLIERS</v>
          </cell>
          <cell r="C540" t="str">
            <v>AUCLAIR MOUTON MARIE CHRISTINE</v>
          </cell>
          <cell r="D540" t="str">
            <v>A553Groupage interna</v>
          </cell>
          <cell r="E540">
            <v>7.5999999999999998E-2</v>
          </cell>
        </row>
        <row r="541">
          <cell r="A541">
            <v>596289</v>
          </cell>
          <cell r="B541" t="str">
            <v>MOISSY CRAMAYEL</v>
          </cell>
          <cell r="C541" t="str">
            <v>CORDIA</v>
          </cell>
          <cell r="D541" t="str">
            <v>A551Groupage nationa</v>
          </cell>
          <cell r="E541">
            <v>95.299390000000002</v>
          </cell>
        </row>
        <row r="542">
          <cell r="A542">
            <v>596289</v>
          </cell>
          <cell r="B542" t="str">
            <v>MOISSY CRAMAYEL</v>
          </cell>
          <cell r="C542" t="str">
            <v>CORDIA</v>
          </cell>
          <cell r="D542" t="str">
            <v>A501Lot Divers -501-</v>
          </cell>
          <cell r="E542">
            <v>8.16967</v>
          </cell>
        </row>
        <row r="543">
          <cell r="A543">
            <v>596289</v>
          </cell>
          <cell r="B543" t="str">
            <v>MOISSY CRAMAYEL</v>
          </cell>
          <cell r="C543" t="str">
            <v>CORDIA</v>
          </cell>
          <cell r="D543" t="str">
            <v>A553Groupage interna</v>
          </cell>
          <cell r="E543">
            <v>4.2458299999999998</v>
          </cell>
        </row>
        <row r="544">
          <cell r="A544">
            <v>596289</v>
          </cell>
          <cell r="B544" t="str">
            <v>GENNEVILLIERS</v>
          </cell>
          <cell r="C544" t="str">
            <v>CORDIA</v>
          </cell>
          <cell r="D544" t="str">
            <v>A551Groupage nationa</v>
          </cell>
          <cell r="E544">
            <v>0.13211999999999999</v>
          </cell>
        </row>
        <row r="545">
          <cell r="A545">
            <v>597449</v>
          </cell>
          <cell r="B545" t="str">
            <v>GENNEVILLIERS</v>
          </cell>
          <cell r="C545" t="str">
            <v>PRESSE CITRON</v>
          </cell>
          <cell r="D545" t="str">
            <v>A551Groupage nationa</v>
          </cell>
          <cell r="E545">
            <v>11.306800000000001</v>
          </cell>
        </row>
        <row r="546">
          <cell r="A546">
            <v>597449</v>
          </cell>
          <cell r="B546" t="str">
            <v>GENNEVILLIERS</v>
          </cell>
          <cell r="C546" t="str">
            <v>PRESSE CITRON</v>
          </cell>
          <cell r="D546" t="str">
            <v>A553Groupage interna</v>
          </cell>
          <cell r="E546">
            <v>4.7897999999999996</v>
          </cell>
        </row>
        <row r="547">
          <cell r="A547">
            <v>597449</v>
          </cell>
          <cell r="B547" t="str">
            <v>DRANCY</v>
          </cell>
          <cell r="C547" t="str">
            <v>PRESSE CITRON</v>
          </cell>
          <cell r="D547" t="str">
            <v>A553Groupage interna</v>
          </cell>
        </row>
        <row r="548">
          <cell r="A548">
            <v>598783</v>
          </cell>
          <cell r="B548" t="str">
            <v>DRANCY</v>
          </cell>
          <cell r="C548" t="str">
            <v>HDE TRANSIT</v>
          </cell>
          <cell r="D548" t="str">
            <v>A551Groupage nationa</v>
          </cell>
          <cell r="E548">
            <v>8.3949999999999997E-2</v>
          </cell>
        </row>
        <row r="549">
          <cell r="A549">
            <v>598783</v>
          </cell>
          <cell r="B549" t="str">
            <v>GENNEVILLIERS</v>
          </cell>
          <cell r="C549" t="str">
            <v>HDE TRANSIT</v>
          </cell>
          <cell r="D549" t="str">
            <v>A551Groupage nationa</v>
          </cell>
        </row>
        <row r="550">
          <cell r="A550">
            <v>598783</v>
          </cell>
          <cell r="B550" t="str">
            <v>MOISSY CRAMAYEL</v>
          </cell>
          <cell r="C550" t="str">
            <v>HDE TRANSIT</v>
          </cell>
          <cell r="D550" t="str">
            <v>A551Groupage nationa</v>
          </cell>
        </row>
        <row r="551">
          <cell r="A551">
            <v>600532</v>
          </cell>
          <cell r="B551" t="str">
            <v>MOISSY CRAMAYEL</v>
          </cell>
          <cell r="C551" t="str">
            <v>TNT SERGE BLANCO</v>
          </cell>
          <cell r="D551" t="str">
            <v>A551Groupage nationa</v>
          </cell>
        </row>
        <row r="552">
          <cell r="A552">
            <v>600532</v>
          </cell>
          <cell r="B552" t="str">
            <v>TROYES / LA CHAPELLE</v>
          </cell>
          <cell r="C552" t="str">
            <v>TNT SERGE BLANCO</v>
          </cell>
          <cell r="D552" t="str">
            <v>A551Groupage nationa</v>
          </cell>
        </row>
        <row r="553">
          <cell r="A553">
            <v>600921</v>
          </cell>
          <cell r="B553" t="str">
            <v>MOISSY CRAMAYEL</v>
          </cell>
          <cell r="C553" t="str">
            <v>ALUMINOR SAS</v>
          </cell>
          <cell r="D553" t="str">
            <v>A551Groupage nationa</v>
          </cell>
        </row>
        <row r="554">
          <cell r="A554">
            <v>600921</v>
          </cell>
          <cell r="B554" t="str">
            <v>DRANCY</v>
          </cell>
          <cell r="C554" t="str">
            <v>ALUMINOR SAS</v>
          </cell>
          <cell r="D554" t="str">
            <v>A553Groupage interna</v>
          </cell>
        </row>
        <row r="555">
          <cell r="A555">
            <v>607814</v>
          </cell>
          <cell r="B555" t="str">
            <v>GENNEVILLIERS</v>
          </cell>
          <cell r="C555" t="str">
            <v>INEO INFRACOM</v>
          </cell>
          <cell r="D555" t="str">
            <v>A551Groupage nationa</v>
          </cell>
          <cell r="E555">
            <v>50.355690000000003</v>
          </cell>
        </row>
        <row r="556">
          <cell r="A556">
            <v>607814</v>
          </cell>
          <cell r="B556" t="str">
            <v>MOISSY CRAMAYEL</v>
          </cell>
          <cell r="C556" t="str">
            <v>INEO INFRACOM</v>
          </cell>
          <cell r="D556" t="str">
            <v>A551Groupage nationa</v>
          </cell>
          <cell r="E556">
            <v>1.8270000000000002E-2</v>
          </cell>
        </row>
        <row r="557">
          <cell r="A557">
            <v>608857</v>
          </cell>
          <cell r="B557" t="str">
            <v>GENNEVILLIERS</v>
          </cell>
          <cell r="C557" t="str">
            <v>AFIMES MCT</v>
          </cell>
          <cell r="D557" t="str">
            <v>A551Groupage nationa</v>
          </cell>
          <cell r="E557">
            <v>22.850560000000002</v>
          </cell>
        </row>
        <row r="558">
          <cell r="A558">
            <v>608857</v>
          </cell>
          <cell r="B558" t="str">
            <v>GENNEVILLIERS</v>
          </cell>
          <cell r="C558" t="str">
            <v>AFIMES MCT</v>
          </cell>
          <cell r="D558" t="str">
            <v>A501Lot Divers -501-</v>
          </cell>
          <cell r="E558">
            <v>2.9313099999999999</v>
          </cell>
        </row>
        <row r="559">
          <cell r="A559">
            <v>608857</v>
          </cell>
          <cell r="B559" t="str">
            <v>GENNEVILLIERS</v>
          </cell>
          <cell r="C559" t="str">
            <v>AFIMES MCT</v>
          </cell>
          <cell r="D559" t="str">
            <v>A553Groupage interna</v>
          </cell>
          <cell r="E559">
            <v>0.39096999999999998</v>
          </cell>
        </row>
        <row r="560">
          <cell r="A560">
            <v>608857</v>
          </cell>
          <cell r="B560" t="str">
            <v>MOISSY CRAMAYEL</v>
          </cell>
          <cell r="C560" t="str">
            <v>AFIMES MCT</v>
          </cell>
          <cell r="D560" t="str">
            <v>A501Lot Divers -501-</v>
          </cell>
          <cell r="E560">
            <v>0.374</v>
          </cell>
        </row>
        <row r="561">
          <cell r="A561">
            <v>608857</v>
          </cell>
          <cell r="B561" t="str">
            <v>MOISSY CRAMAYEL</v>
          </cell>
          <cell r="C561" t="str">
            <v>AFIMES MCT</v>
          </cell>
          <cell r="D561" t="str">
            <v>A551Groupage nationa</v>
          </cell>
          <cell r="E561">
            <v>8.8959999999999997E-2</v>
          </cell>
        </row>
        <row r="562">
          <cell r="A562">
            <v>608857</v>
          </cell>
          <cell r="B562" t="str">
            <v>ROUEN / GRAND QUEVIL</v>
          </cell>
          <cell r="C562" t="str">
            <v>AFIMES MCT</v>
          </cell>
          <cell r="D562" t="str">
            <v>A551Groupage nationa</v>
          </cell>
        </row>
        <row r="563">
          <cell r="A563">
            <v>608857</v>
          </cell>
          <cell r="B563" t="str">
            <v>MOISSY CRAMAYEL</v>
          </cell>
          <cell r="C563" t="str">
            <v>AFIMES MCT</v>
          </cell>
          <cell r="D563" t="str">
            <v>A553Groupage interna</v>
          </cell>
        </row>
        <row r="564">
          <cell r="A564">
            <v>608857</v>
          </cell>
          <cell r="B564" t="str">
            <v>ORLEANS / ST JEAN DE</v>
          </cell>
          <cell r="C564" t="str">
            <v>AFIMES MCT</v>
          </cell>
          <cell r="D564" t="str">
            <v>A551Groupage nationa</v>
          </cell>
        </row>
        <row r="565">
          <cell r="A565">
            <v>608857</v>
          </cell>
          <cell r="B565" t="str">
            <v>DRANCY</v>
          </cell>
          <cell r="C565" t="str">
            <v>AFIMES MCT</v>
          </cell>
          <cell r="D565" t="str">
            <v>A553Groupage interna</v>
          </cell>
        </row>
        <row r="566">
          <cell r="A566">
            <v>610167</v>
          </cell>
          <cell r="B566" t="str">
            <v>TROYES / LA CHAPELLE</v>
          </cell>
          <cell r="C566" t="str">
            <v>PPP SITE 2 (PRODUITS</v>
          </cell>
          <cell r="D566" t="str">
            <v>A553Groupage interna</v>
          </cell>
          <cell r="E566">
            <v>159.62890999999999</v>
          </cell>
        </row>
        <row r="567">
          <cell r="A567">
            <v>610167</v>
          </cell>
          <cell r="B567" t="str">
            <v>TROYES / LA CHAPELLE</v>
          </cell>
          <cell r="C567" t="str">
            <v>PPP SITE 2 (PRODUITS</v>
          </cell>
          <cell r="D567" t="str">
            <v>A551Groupage nationa</v>
          </cell>
          <cell r="E567">
            <v>131.37106</v>
          </cell>
        </row>
        <row r="568">
          <cell r="A568">
            <v>610167</v>
          </cell>
          <cell r="B568" t="str">
            <v>TROYES / LA CHAPELLE</v>
          </cell>
          <cell r="C568" t="str">
            <v>PPP SITE 2 (PRODUITS</v>
          </cell>
          <cell r="D568" t="str">
            <v>A501Lot Divers -501-</v>
          </cell>
          <cell r="E568">
            <v>22.483920000000001</v>
          </cell>
        </row>
        <row r="569">
          <cell r="A569">
            <v>610167</v>
          </cell>
          <cell r="B569" t="str">
            <v>GENNEVILLIERS</v>
          </cell>
          <cell r="C569" t="str">
            <v>PPP SITE 2 (PRODUITS</v>
          </cell>
          <cell r="D569" t="str">
            <v>A551Groupage nationa</v>
          </cell>
          <cell r="E569">
            <v>3.2570000000000002E-2</v>
          </cell>
        </row>
        <row r="570">
          <cell r="A570">
            <v>612130</v>
          </cell>
          <cell r="B570" t="str">
            <v>MOISSY CRAMAYEL</v>
          </cell>
          <cell r="C570" t="str">
            <v>COMESTEROGROUP FRANCE</v>
          </cell>
          <cell r="D570" t="str">
            <v>A551Groupage nationa</v>
          </cell>
          <cell r="E570">
            <v>30.38147</v>
          </cell>
        </row>
        <row r="571">
          <cell r="A571">
            <v>612130</v>
          </cell>
          <cell r="B571" t="str">
            <v>MOISSY CRAMAYEL</v>
          </cell>
          <cell r="C571" t="str">
            <v>COMESTEROGROUP FRANCE</v>
          </cell>
          <cell r="D571" t="str">
            <v>A553Groupage interna</v>
          </cell>
          <cell r="E571">
            <v>7.93764</v>
          </cell>
        </row>
        <row r="572">
          <cell r="A572">
            <v>612130</v>
          </cell>
          <cell r="B572" t="str">
            <v>GENNEVILLIERS</v>
          </cell>
          <cell r="C572" t="str">
            <v>COMESTEROGROUP FRANCE</v>
          </cell>
          <cell r="D572" t="str">
            <v>A553Groupage interna</v>
          </cell>
          <cell r="E572">
            <v>6.4939999999999998E-2</v>
          </cell>
        </row>
        <row r="573">
          <cell r="A573">
            <v>612130</v>
          </cell>
          <cell r="B573" t="str">
            <v>MOISSY CRAMAYEL</v>
          </cell>
          <cell r="C573" t="str">
            <v>COMESTEROGROUP FRANCE</v>
          </cell>
          <cell r="D573" t="str">
            <v>A501Lot Divers -501-</v>
          </cell>
        </row>
        <row r="574">
          <cell r="A574">
            <v>613225</v>
          </cell>
          <cell r="B574" t="str">
            <v>TROYES / LA CHAPELLE</v>
          </cell>
          <cell r="C574" t="str">
            <v>BONNA SABLA SNC</v>
          </cell>
          <cell r="D574" t="str">
            <v>A501Lot Divers -501-</v>
          </cell>
          <cell r="E574">
            <v>62.193150000000003</v>
          </cell>
        </row>
        <row r="575">
          <cell r="A575">
            <v>613225</v>
          </cell>
          <cell r="B575" t="str">
            <v>ROUEN / GRAND QUEVIL</v>
          </cell>
          <cell r="C575" t="str">
            <v>BONNA SABLA SNC</v>
          </cell>
          <cell r="D575" t="str">
            <v>A501Lot Divers -501-</v>
          </cell>
          <cell r="E575">
            <v>3.5666799999999999</v>
          </cell>
        </row>
        <row r="576">
          <cell r="A576">
            <v>613225</v>
          </cell>
          <cell r="B576" t="str">
            <v>ROUEN / GRAND QUEVIL</v>
          </cell>
          <cell r="C576" t="str">
            <v>BONNA SABLA SNC</v>
          </cell>
          <cell r="D576" t="str">
            <v>A551Groupage nationa</v>
          </cell>
          <cell r="E576">
            <v>8.3260000000000001E-2</v>
          </cell>
        </row>
        <row r="577">
          <cell r="A577">
            <v>613225</v>
          </cell>
          <cell r="B577" t="str">
            <v>GENNEVILLIERS</v>
          </cell>
          <cell r="C577" t="str">
            <v>BONNA SABLA SNC</v>
          </cell>
          <cell r="D577" t="str">
            <v>A501Lot Divers -501-</v>
          </cell>
        </row>
        <row r="578">
          <cell r="A578">
            <v>613225</v>
          </cell>
          <cell r="B578" t="str">
            <v>MOISSY CRAMAYEL</v>
          </cell>
          <cell r="C578" t="str">
            <v>BONNA SABLA SNC</v>
          </cell>
          <cell r="D578" t="str">
            <v>A501Lot Divers -501-</v>
          </cell>
        </row>
        <row r="579">
          <cell r="A579">
            <v>614960</v>
          </cell>
          <cell r="B579" t="str">
            <v>GENNEVILLIERS</v>
          </cell>
          <cell r="C579" t="str">
            <v>FLORCZAK TRANSPORTS</v>
          </cell>
          <cell r="D579" t="str">
            <v>A551Groupage nationa</v>
          </cell>
        </row>
        <row r="580">
          <cell r="A580">
            <v>614960</v>
          </cell>
          <cell r="B580" t="str">
            <v>ROUEN / GRAND QUEVIL</v>
          </cell>
          <cell r="C580" t="str">
            <v>FLORCZAK TRANSPORTS</v>
          </cell>
          <cell r="D580" t="str">
            <v>A551Groupage nationa</v>
          </cell>
        </row>
        <row r="581">
          <cell r="A581">
            <v>614960</v>
          </cell>
          <cell r="B581" t="str">
            <v>MOISSY CRAMAYEL</v>
          </cell>
          <cell r="C581" t="str">
            <v>FLORCZAK TRANSPORTS</v>
          </cell>
          <cell r="D581" t="str">
            <v>A551Groupage nationa</v>
          </cell>
        </row>
        <row r="582">
          <cell r="A582">
            <v>615777</v>
          </cell>
          <cell r="B582" t="str">
            <v>GENNEVILLIERS</v>
          </cell>
          <cell r="C582" t="str">
            <v>BARON PHILIPPE DE ROTSCHILD</v>
          </cell>
          <cell r="D582" t="str">
            <v>A551Groupage nationa</v>
          </cell>
          <cell r="E582">
            <v>0</v>
          </cell>
        </row>
        <row r="583">
          <cell r="A583">
            <v>615777</v>
          </cell>
          <cell r="B583" t="str">
            <v>DRANCY</v>
          </cell>
          <cell r="C583" t="str">
            <v>BARON PHILIPPE DE ROTSCHILD</v>
          </cell>
          <cell r="D583" t="str">
            <v>A553Groupage interna</v>
          </cell>
          <cell r="E583">
            <v>-1.423E-2</v>
          </cell>
        </row>
        <row r="584">
          <cell r="A584">
            <v>616122</v>
          </cell>
          <cell r="B584" t="str">
            <v>MOISSY CRAMAYEL</v>
          </cell>
          <cell r="C584" t="str">
            <v>TECHNIX</v>
          </cell>
          <cell r="D584" t="str">
            <v>A551Groupage nationa</v>
          </cell>
          <cell r="E584">
            <v>5.2094199999999997</v>
          </cell>
        </row>
        <row r="585">
          <cell r="A585">
            <v>616122</v>
          </cell>
          <cell r="B585" t="str">
            <v>MOISSY CRAMAYEL</v>
          </cell>
          <cell r="C585" t="str">
            <v>TECHNIX</v>
          </cell>
          <cell r="D585" t="str">
            <v>A553Groupage interna</v>
          </cell>
          <cell r="E585">
            <v>1.95505</v>
          </cell>
        </row>
        <row r="586">
          <cell r="A586">
            <v>616122</v>
          </cell>
          <cell r="B586" t="str">
            <v>GENNEVILLIERS</v>
          </cell>
          <cell r="C586" t="str">
            <v>TECHNIX</v>
          </cell>
          <cell r="D586" t="str">
            <v>A553Groupage interna</v>
          </cell>
          <cell r="E586">
            <v>9.6629999999999994E-2</v>
          </cell>
        </row>
        <row r="587">
          <cell r="A587">
            <v>617126</v>
          </cell>
          <cell r="B587" t="str">
            <v>MOISSY CRAMAYEL</v>
          </cell>
          <cell r="C587" t="str">
            <v>APPLICATIONS GENERALES DES POLYESTE</v>
          </cell>
          <cell r="D587" t="str">
            <v>A551Groupage nationa</v>
          </cell>
        </row>
        <row r="588">
          <cell r="A588">
            <v>617126</v>
          </cell>
          <cell r="B588" t="str">
            <v>DRANCY</v>
          </cell>
          <cell r="C588" t="str">
            <v>APPLICATIONS GENERALES DES POLYESTE</v>
          </cell>
          <cell r="D588" t="str">
            <v>A553Groupage interna</v>
          </cell>
        </row>
        <row r="589">
          <cell r="A589">
            <v>622738</v>
          </cell>
          <cell r="B589" t="str">
            <v>GENNEVILLIERS</v>
          </cell>
          <cell r="C589" t="str">
            <v>PACIFIC TECHNOLOGY</v>
          </cell>
          <cell r="D589" t="str">
            <v>A551Groupage nationa</v>
          </cell>
          <cell r="E589">
            <v>5.4113100000000003</v>
          </cell>
        </row>
        <row r="590">
          <cell r="A590">
            <v>622738</v>
          </cell>
          <cell r="B590" t="str">
            <v>TROYES / LA CHAPELLE</v>
          </cell>
          <cell r="C590" t="str">
            <v>PACIFIC TECHNOLOGY</v>
          </cell>
          <cell r="D590" t="str">
            <v>A551Groupage nationa</v>
          </cell>
        </row>
        <row r="591">
          <cell r="A591">
            <v>622738</v>
          </cell>
          <cell r="B591" t="str">
            <v>DRANCY</v>
          </cell>
          <cell r="C591" t="str">
            <v>PACIFIC TECHNOLOGY</v>
          </cell>
          <cell r="D591" t="str">
            <v>A553Groupage interna</v>
          </cell>
        </row>
        <row r="592">
          <cell r="A592">
            <v>623307</v>
          </cell>
          <cell r="B592" t="str">
            <v>MOISSY CRAMAYEL</v>
          </cell>
          <cell r="C592" t="str">
            <v>LINDAB FRANCE</v>
          </cell>
          <cell r="D592" t="str">
            <v>A551Groupage nationa</v>
          </cell>
          <cell r="E592">
            <v>4.9408399999999997</v>
          </cell>
        </row>
        <row r="593">
          <cell r="A593">
            <v>623307</v>
          </cell>
          <cell r="B593" t="str">
            <v>GENNEVILLIERS</v>
          </cell>
          <cell r="C593" t="str">
            <v>LINDAB FRANCE</v>
          </cell>
          <cell r="D593" t="str">
            <v>A501Lot Divers -501-</v>
          </cell>
          <cell r="E593">
            <v>2.5008400000000002</v>
          </cell>
        </row>
        <row r="594">
          <cell r="A594">
            <v>626264</v>
          </cell>
          <cell r="B594" t="str">
            <v>MOISSY CRAMAYEL</v>
          </cell>
          <cell r="C594" t="str">
            <v>F DGSI</v>
          </cell>
          <cell r="D594" t="str">
            <v>A551Groupage nationa</v>
          </cell>
          <cell r="E594">
            <v>2.3238699999999999</v>
          </cell>
        </row>
        <row r="595">
          <cell r="A595">
            <v>626264</v>
          </cell>
          <cell r="B595" t="str">
            <v>MOISSY CRAMAYEL</v>
          </cell>
          <cell r="C595" t="str">
            <v>F DGSI</v>
          </cell>
          <cell r="D595" t="str">
            <v>A553Groupage interna</v>
          </cell>
          <cell r="E595">
            <v>1.5407900000000001</v>
          </cell>
        </row>
        <row r="596">
          <cell r="A596">
            <v>626264</v>
          </cell>
          <cell r="B596" t="str">
            <v>MOISSY CRAMAYEL</v>
          </cell>
          <cell r="C596" t="str">
            <v>F DGSI</v>
          </cell>
          <cell r="D596" t="str">
            <v>A501Lot Divers -501-</v>
          </cell>
          <cell r="E596">
            <v>0.46500000000000002</v>
          </cell>
        </row>
        <row r="597">
          <cell r="A597">
            <v>626264</v>
          </cell>
          <cell r="B597" t="str">
            <v>GENNEVILLIERS</v>
          </cell>
          <cell r="C597" t="str">
            <v>F DGSI</v>
          </cell>
          <cell r="D597" t="str">
            <v>A553Groupage interna</v>
          </cell>
          <cell r="E597">
            <v>0.25380000000000003</v>
          </cell>
        </row>
        <row r="598">
          <cell r="A598">
            <v>626392</v>
          </cell>
          <cell r="B598" t="str">
            <v>MOISSY CRAMAYEL</v>
          </cell>
          <cell r="C598" t="str">
            <v>SARYA PARIS INSTITUT DU KARITE</v>
          </cell>
          <cell r="D598" t="str">
            <v>A501Lot Divers -501-</v>
          </cell>
          <cell r="E598">
            <v>13.334160000000001</v>
          </cell>
        </row>
        <row r="599">
          <cell r="A599">
            <v>626392</v>
          </cell>
          <cell r="B599" t="str">
            <v>MOISSY CRAMAYEL</v>
          </cell>
          <cell r="C599" t="str">
            <v>SARYA PARIS INSTITUT DU KARITE</v>
          </cell>
          <cell r="D599" t="str">
            <v>A551Groupage nationa</v>
          </cell>
          <cell r="E599">
            <v>1.3905000000000001</v>
          </cell>
        </row>
        <row r="600">
          <cell r="A600">
            <v>626392</v>
          </cell>
          <cell r="B600" t="str">
            <v>GENNEVILLIERS</v>
          </cell>
          <cell r="C600" t="str">
            <v>SARYA PARIS INSTITUT DU KARITE</v>
          </cell>
          <cell r="D600" t="str">
            <v>A553Groupage interna</v>
          </cell>
          <cell r="E600">
            <v>0.24504000000000001</v>
          </cell>
        </row>
        <row r="601">
          <cell r="A601">
            <v>626392</v>
          </cell>
          <cell r="B601" t="str">
            <v>MOISSY CRAMAYEL</v>
          </cell>
          <cell r="C601" t="str">
            <v>SARYA PARIS INSTITUT DU KARITE</v>
          </cell>
          <cell r="D601" t="str">
            <v>A553Groupage interna</v>
          </cell>
          <cell r="E601">
            <v>0.11251</v>
          </cell>
        </row>
        <row r="602">
          <cell r="A602">
            <v>626392</v>
          </cell>
          <cell r="B602" t="str">
            <v>GENNEVILLIERS</v>
          </cell>
          <cell r="C602" t="str">
            <v>SARYA PARIS INSTITUT DU KARITE</v>
          </cell>
          <cell r="D602" t="str">
            <v>A551Groupage nationa</v>
          </cell>
          <cell r="E602">
            <v>7.8070000000000001E-2</v>
          </cell>
        </row>
        <row r="603">
          <cell r="A603">
            <v>626392</v>
          </cell>
          <cell r="B603" t="str">
            <v>GENNEVILLIERS</v>
          </cell>
          <cell r="C603" t="str">
            <v>SARYA PARIS INSTITUT DU KARITE</v>
          </cell>
          <cell r="D603" t="str">
            <v>A501Lot Divers -501-</v>
          </cell>
        </row>
        <row r="604">
          <cell r="A604">
            <v>627777</v>
          </cell>
          <cell r="B604" t="str">
            <v>GENNEVILLIERS</v>
          </cell>
          <cell r="C604" t="str">
            <v>AGRATI VIEUX CONDÉ S A S</v>
          </cell>
          <cell r="D604" t="str">
            <v>A551Groupage nationa</v>
          </cell>
          <cell r="E604">
            <v>0.12609999999999999</v>
          </cell>
        </row>
        <row r="605">
          <cell r="A605">
            <v>627777</v>
          </cell>
          <cell r="B605" t="str">
            <v>ROUEN / GRAND QUEVIL</v>
          </cell>
          <cell r="C605" t="str">
            <v>AGRATI VIEUX CONDÉ S A S</v>
          </cell>
          <cell r="D605" t="str">
            <v>A551Groupage nationa</v>
          </cell>
        </row>
        <row r="606">
          <cell r="A606">
            <v>629323</v>
          </cell>
          <cell r="B606" t="str">
            <v>GENNEVILLIERS</v>
          </cell>
          <cell r="C606" t="str">
            <v>PLASTIQUE FORME INTERNATIONAL</v>
          </cell>
          <cell r="D606" t="str">
            <v>A553Groupage interna</v>
          </cell>
          <cell r="E606">
            <v>2.9775399999999999</v>
          </cell>
        </row>
        <row r="607">
          <cell r="A607">
            <v>629323</v>
          </cell>
          <cell r="B607" t="str">
            <v>MOISSY CRAMAYEL</v>
          </cell>
          <cell r="C607" t="str">
            <v>PLASTIQUE FORME INTERNATIONAL</v>
          </cell>
          <cell r="D607" t="str">
            <v>A551Groupage nationa</v>
          </cell>
          <cell r="E607">
            <v>0.87417999999999996</v>
          </cell>
        </row>
        <row r="608">
          <cell r="A608">
            <v>629323</v>
          </cell>
          <cell r="B608" t="str">
            <v>GENNEVILLIERS</v>
          </cell>
          <cell r="C608" t="str">
            <v>PLASTIQUE FORME INTERNATIONAL</v>
          </cell>
          <cell r="D608" t="str">
            <v>A551Groupage nationa</v>
          </cell>
          <cell r="E608">
            <v>0.15742999999999999</v>
          </cell>
        </row>
        <row r="609">
          <cell r="A609">
            <v>629323</v>
          </cell>
          <cell r="B609" t="str">
            <v>GENNEVILLIERS</v>
          </cell>
          <cell r="C609" t="str">
            <v>PLASTIQUE FORME INTERNATIONAL</v>
          </cell>
          <cell r="D609" t="str">
            <v>A501Lot Divers -501-</v>
          </cell>
        </row>
        <row r="610">
          <cell r="A610">
            <v>629323</v>
          </cell>
          <cell r="B610" t="str">
            <v>MOISSY CRAMAYEL</v>
          </cell>
          <cell r="C610" t="str">
            <v>PLASTIQUE FORME INTERNATIONAL</v>
          </cell>
          <cell r="D610" t="str">
            <v>A553Groupage interna</v>
          </cell>
        </row>
        <row r="611">
          <cell r="A611">
            <v>630653</v>
          </cell>
          <cell r="B611" t="str">
            <v>MOISSY CRAMAYEL</v>
          </cell>
          <cell r="C611" t="str">
            <v>SAIR INTERNATIONAL</v>
          </cell>
          <cell r="D611" t="str">
            <v>A501Lot Divers -501-</v>
          </cell>
          <cell r="E611">
            <v>2.25176</v>
          </cell>
        </row>
        <row r="612">
          <cell r="A612">
            <v>630653</v>
          </cell>
          <cell r="B612" t="str">
            <v>GENNEVILLIERS</v>
          </cell>
          <cell r="C612" t="str">
            <v>SAIR INTERNATIONAL</v>
          </cell>
          <cell r="D612" t="str">
            <v>A551Groupage nationa</v>
          </cell>
          <cell r="E612">
            <v>0.12234</v>
          </cell>
        </row>
        <row r="613">
          <cell r="A613">
            <v>630653</v>
          </cell>
          <cell r="B613" t="str">
            <v>MOISSY CRAMAYEL</v>
          </cell>
          <cell r="C613" t="str">
            <v>SAIR INTERNATIONAL</v>
          </cell>
          <cell r="D613" t="str">
            <v>A553Groupage interna</v>
          </cell>
          <cell r="E613">
            <v>0.10242</v>
          </cell>
        </row>
        <row r="614">
          <cell r="A614">
            <v>630653</v>
          </cell>
          <cell r="B614" t="str">
            <v>MOISSY CRAMAYEL</v>
          </cell>
          <cell r="C614" t="str">
            <v>SAIR INTERNATIONAL</v>
          </cell>
          <cell r="D614" t="str">
            <v>A551Groupage nationa</v>
          </cell>
        </row>
        <row r="615">
          <cell r="A615">
            <v>638126</v>
          </cell>
          <cell r="B615" t="str">
            <v>GENNEVILLIERS</v>
          </cell>
          <cell r="C615" t="str">
            <v>SARL LA BERGERE</v>
          </cell>
          <cell r="D615" t="str">
            <v>A551Groupage nationa</v>
          </cell>
        </row>
        <row r="616">
          <cell r="A616">
            <v>638126</v>
          </cell>
          <cell r="B616" t="str">
            <v>GENNEVILLIERS</v>
          </cell>
          <cell r="C616" t="str">
            <v>SARL LA BERGERE</v>
          </cell>
          <cell r="D616" t="str">
            <v>A553Groupage interna</v>
          </cell>
        </row>
        <row r="617">
          <cell r="A617">
            <v>638126</v>
          </cell>
          <cell r="B617" t="str">
            <v>DRANCY</v>
          </cell>
          <cell r="C617" t="str">
            <v>SARL LA BERGERE</v>
          </cell>
          <cell r="D617" t="str">
            <v>A553Groupage interna</v>
          </cell>
        </row>
        <row r="618">
          <cell r="A618">
            <v>648246</v>
          </cell>
          <cell r="B618" t="str">
            <v>GENNEVILLIERS</v>
          </cell>
          <cell r="C618" t="str">
            <v>ALLIANCE LOGISTICS</v>
          </cell>
          <cell r="D618" t="str">
            <v>A551Groupage nationa</v>
          </cell>
          <cell r="E618">
            <v>29.50891</v>
          </cell>
        </row>
        <row r="619">
          <cell r="A619">
            <v>648246</v>
          </cell>
          <cell r="B619" t="str">
            <v>GENNEVILLIERS</v>
          </cell>
          <cell r="C619" t="str">
            <v>ALLIANCE LOGISTICS</v>
          </cell>
          <cell r="D619" t="str">
            <v>A553Groupage interna</v>
          </cell>
          <cell r="E619">
            <v>16.670400000000001</v>
          </cell>
        </row>
        <row r="620">
          <cell r="A620">
            <v>648246</v>
          </cell>
          <cell r="B620" t="str">
            <v>ORLEANS / ST JEAN DE</v>
          </cell>
          <cell r="C620" t="str">
            <v>ALLIANCE LOGISTICS</v>
          </cell>
          <cell r="D620" t="str">
            <v>A551Groupage nationa</v>
          </cell>
          <cell r="E620">
            <v>3.1099999999999999E-2</v>
          </cell>
        </row>
        <row r="621">
          <cell r="A621">
            <v>648246</v>
          </cell>
          <cell r="B621" t="str">
            <v>ROUEN / GRAND QUEVIL</v>
          </cell>
          <cell r="C621" t="str">
            <v>ALLIANCE LOGISTICS</v>
          </cell>
          <cell r="D621" t="str">
            <v>A551Groupage nationa</v>
          </cell>
          <cell r="E621">
            <v>1.9699999999999999E-2</v>
          </cell>
        </row>
        <row r="622">
          <cell r="A622">
            <v>648246</v>
          </cell>
          <cell r="B622" t="str">
            <v>MOISSY CRAMAYEL</v>
          </cell>
          <cell r="C622" t="str">
            <v>ALLIANCE LOGISTICS</v>
          </cell>
          <cell r="D622" t="str">
            <v>A551Groupage nationa</v>
          </cell>
        </row>
        <row r="623">
          <cell r="A623">
            <v>676758</v>
          </cell>
          <cell r="B623" t="str">
            <v>MOISSY CRAMAYEL</v>
          </cell>
          <cell r="C623" t="str">
            <v>SOCIETE SAN MARINA</v>
          </cell>
          <cell r="D623" t="str">
            <v>A551Groupage nationa</v>
          </cell>
          <cell r="E623">
            <v>0.70450999999999997</v>
          </cell>
        </row>
        <row r="624">
          <cell r="A624">
            <v>676758</v>
          </cell>
          <cell r="B624" t="str">
            <v>DRANCY</v>
          </cell>
          <cell r="C624" t="str">
            <v>SOCIETE SAN MARINA</v>
          </cell>
          <cell r="D624" t="str">
            <v>A551Groupage nationa</v>
          </cell>
          <cell r="E624">
            <v>8.8410000000000002E-2</v>
          </cell>
        </row>
        <row r="625">
          <cell r="A625">
            <v>676758</v>
          </cell>
          <cell r="B625" t="str">
            <v>GENNEVILLIERS</v>
          </cell>
          <cell r="C625" t="str">
            <v>SOCIETE SAN MARINA</v>
          </cell>
          <cell r="D625" t="str">
            <v>A551Groupage nationa</v>
          </cell>
          <cell r="E625">
            <v>4.7579999999999997E-2</v>
          </cell>
        </row>
        <row r="626">
          <cell r="A626">
            <v>678197</v>
          </cell>
          <cell r="B626" t="str">
            <v>GENNEVILLIERS</v>
          </cell>
          <cell r="C626" t="str">
            <v>CABINES SILVIA TAVARES</v>
          </cell>
          <cell r="D626" t="str">
            <v>A553Groupage interna</v>
          </cell>
          <cell r="E626">
            <v>1.3594299999999999</v>
          </cell>
        </row>
        <row r="627">
          <cell r="A627">
            <v>678197</v>
          </cell>
          <cell r="B627" t="str">
            <v>GENNEVILLIERS</v>
          </cell>
          <cell r="C627" t="str">
            <v>CABINES SILVIA TAVARES</v>
          </cell>
          <cell r="D627" t="str">
            <v>A551Groupage nationa</v>
          </cell>
          <cell r="E627">
            <v>1.15998</v>
          </cell>
        </row>
        <row r="628">
          <cell r="A628">
            <v>678197</v>
          </cell>
          <cell r="B628" t="str">
            <v>GENNEVILLIERS</v>
          </cell>
          <cell r="C628" t="str">
            <v>CABINES SILVIA TAVARES</v>
          </cell>
          <cell r="D628" t="str">
            <v>A501Lot Divers -501-</v>
          </cell>
          <cell r="E628">
            <v>1.069</v>
          </cell>
        </row>
        <row r="629">
          <cell r="A629">
            <v>678197</v>
          </cell>
          <cell r="B629" t="str">
            <v>ROUEN / GRAND QUEVIL</v>
          </cell>
          <cell r="C629" t="str">
            <v>CABINES SILVIA TAVARES</v>
          </cell>
          <cell r="D629" t="str">
            <v>A551Groupage nationa</v>
          </cell>
        </row>
        <row r="630">
          <cell r="A630">
            <v>678302</v>
          </cell>
          <cell r="B630" t="str">
            <v>ROUEN / GRAND QUEVIL</v>
          </cell>
          <cell r="C630" t="str">
            <v>BEKO FRANCE</v>
          </cell>
          <cell r="D630" t="str">
            <v>A551Groupage nationa</v>
          </cell>
          <cell r="E630">
            <v>31.350850000000001</v>
          </cell>
        </row>
        <row r="631">
          <cell r="A631">
            <v>678302</v>
          </cell>
          <cell r="B631" t="str">
            <v>GENNEVILLIERS</v>
          </cell>
          <cell r="C631" t="str">
            <v>BEKO FRANCE</v>
          </cell>
          <cell r="D631" t="str">
            <v>A553Groupage interna</v>
          </cell>
          <cell r="E631">
            <v>1.89</v>
          </cell>
        </row>
        <row r="632">
          <cell r="A632">
            <v>678302</v>
          </cell>
          <cell r="B632" t="str">
            <v>ROUEN / GRAND QUEVIL</v>
          </cell>
          <cell r="C632" t="str">
            <v>BEKO FRANCE</v>
          </cell>
          <cell r="D632" t="str">
            <v>A501Lot Divers -501-</v>
          </cell>
          <cell r="E632">
            <v>1.8048599999999999</v>
          </cell>
        </row>
        <row r="633">
          <cell r="A633">
            <v>678302</v>
          </cell>
          <cell r="B633" t="str">
            <v>ROUEN / GRAND QUEVIL</v>
          </cell>
          <cell r="C633" t="str">
            <v>BEKO FRANCE</v>
          </cell>
          <cell r="D633" t="str">
            <v>A553Groupage interna</v>
          </cell>
        </row>
        <row r="634">
          <cell r="A634">
            <v>684535</v>
          </cell>
          <cell r="B634" t="str">
            <v>MOISSY CRAMAYEL</v>
          </cell>
          <cell r="C634" t="str">
            <v>BONI.COM</v>
          </cell>
          <cell r="D634" t="str">
            <v>A551Groupage nationa</v>
          </cell>
          <cell r="E634">
            <v>2.7355100000000001</v>
          </cell>
        </row>
        <row r="635">
          <cell r="A635">
            <v>684535</v>
          </cell>
          <cell r="B635" t="str">
            <v>MOISSY CRAMAYEL</v>
          </cell>
          <cell r="C635" t="str">
            <v>BONI.COM</v>
          </cell>
          <cell r="D635" t="str">
            <v>A553Groupage interna</v>
          </cell>
          <cell r="E635">
            <v>1.81671</v>
          </cell>
        </row>
        <row r="636">
          <cell r="A636">
            <v>684535</v>
          </cell>
          <cell r="B636" t="str">
            <v>GENNEVILLIERS</v>
          </cell>
          <cell r="C636" t="str">
            <v>BONI.COM</v>
          </cell>
          <cell r="D636" t="str">
            <v>A551Groupage nationa</v>
          </cell>
        </row>
        <row r="637">
          <cell r="A637">
            <v>685586</v>
          </cell>
          <cell r="B637" t="str">
            <v>MOISSY CRAMAYEL</v>
          </cell>
          <cell r="C637" t="str">
            <v>CARREFOUR HYPERMARCHES FRANCE</v>
          </cell>
          <cell r="D637" t="str">
            <v>A551Groupage nationa</v>
          </cell>
          <cell r="E637">
            <v>2.21401</v>
          </cell>
        </row>
        <row r="638">
          <cell r="A638">
            <v>685586</v>
          </cell>
          <cell r="B638" t="str">
            <v>ORLEANS / ST JEAN DE</v>
          </cell>
          <cell r="C638" t="str">
            <v>CARREFOUR HYPERMARCHES FRANCE</v>
          </cell>
          <cell r="D638" t="str">
            <v>A551Groupage nationa</v>
          </cell>
        </row>
        <row r="639">
          <cell r="A639">
            <v>685609</v>
          </cell>
          <cell r="B639" t="str">
            <v>TROYES / LA CHAPELLE</v>
          </cell>
          <cell r="C639" t="str">
            <v>AUBE DELTA SERVICES</v>
          </cell>
          <cell r="D639" t="str">
            <v>A551Groupage nationa</v>
          </cell>
          <cell r="E639">
            <v>0.37944</v>
          </cell>
        </row>
        <row r="640">
          <cell r="A640">
            <v>685609</v>
          </cell>
          <cell r="B640" t="str">
            <v>MOISSY CRAMAYEL</v>
          </cell>
          <cell r="C640" t="str">
            <v>AUBE DELTA SERVICES</v>
          </cell>
          <cell r="D640" t="str">
            <v>A551Groupage nationa</v>
          </cell>
        </row>
        <row r="641">
          <cell r="A641">
            <v>686118</v>
          </cell>
          <cell r="B641" t="str">
            <v>ORLEANS / ST JEAN DE</v>
          </cell>
          <cell r="C641" t="str">
            <v>NATIONAL ELECTRONIQUE SERVICE</v>
          </cell>
          <cell r="D641" t="str">
            <v>A551Groupage nationa</v>
          </cell>
          <cell r="E641">
            <v>8.5491299999999999</v>
          </cell>
        </row>
        <row r="642">
          <cell r="A642">
            <v>686118</v>
          </cell>
          <cell r="B642" t="str">
            <v>ORLEANS / ST JEAN DE</v>
          </cell>
          <cell r="C642" t="str">
            <v>NATIONAL ELECTRONIQUE SERVICE</v>
          </cell>
          <cell r="D642" t="str">
            <v>A553Groupage interna</v>
          </cell>
          <cell r="E642">
            <v>0.84991000000000005</v>
          </cell>
        </row>
        <row r="643">
          <cell r="A643">
            <v>686118</v>
          </cell>
          <cell r="B643" t="str">
            <v>ROUEN / GRAND QUEVIL</v>
          </cell>
          <cell r="C643" t="str">
            <v>NATIONAL ELECTRONIQUE SERVICE</v>
          </cell>
          <cell r="D643" t="str">
            <v>A551Groupage nationa</v>
          </cell>
          <cell r="E643">
            <v>2.7560000000000001E-2</v>
          </cell>
        </row>
        <row r="644">
          <cell r="A644">
            <v>686118</v>
          </cell>
          <cell r="B644" t="str">
            <v>DRANCY</v>
          </cell>
          <cell r="C644" t="str">
            <v>NATIONAL ELECTRONIQUE SERVICE</v>
          </cell>
          <cell r="D644" t="str">
            <v>A551Groupage nationa</v>
          </cell>
          <cell r="E644">
            <v>2.7380000000000002E-2</v>
          </cell>
        </row>
        <row r="645">
          <cell r="A645">
            <v>686118</v>
          </cell>
          <cell r="B645" t="str">
            <v>ORLEANS / ST JEAN DE</v>
          </cell>
          <cell r="C645" t="str">
            <v>NATIONAL ELECTRONIQUE SERVICE</v>
          </cell>
          <cell r="D645" t="str">
            <v>A501Lot Divers -501-</v>
          </cell>
        </row>
        <row r="646">
          <cell r="A646">
            <v>686118</v>
          </cell>
          <cell r="B646" t="str">
            <v>DRANCY</v>
          </cell>
          <cell r="C646" t="str">
            <v>NATIONAL ELECTRONIQUE SERVICE</v>
          </cell>
          <cell r="D646" t="str">
            <v>A553Groupage interna</v>
          </cell>
        </row>
        <row r="647">
          <cell r="A647">
            <v>695231</v>
          </cell>
          <cell r="B647" t="str">
            <v>TROYES / LA CHAPELLE</v>
          </cell>
          <cell r="C647" t="str">
            <v>CORANIA DISTRIBUTION</v>
          </cell>
          <cell r="D647" t="str">
            <v>A551Groupage nationa</v>
          </cell>
          <cell r="E647">
            <v>0.22611000000000001</v>
          </cell>
        </row>
        <row r="648">
          <cell r="A648">
            <v>695231</v>
          </cell>
          <cell r="B648" t="str">
            <v>ROUEN / GRAND QUEVIL</v>
          </cell>
          <cell r="C648" t="str">
            <v>CORANIA DISTRIBUTION</v>
          </cell>
          <cell r="D648" t="str">
            <v>A551Groupage nationa</v>
          </cell>
          <cell r="E648">
            <v>0.10833</v>
          </cell>
        </row>
        <row r="649">
          <cell r="A649">
            <v>698524</v>
          </cell>
          <cell r="B649" t="str">
            <v>GENNEVILLIERS</v>
          </cell>
          <cell r="C649" t="str">
            <v>EARL LE  BOIRON</v>
          </cell>
          <cell r="D649" t="str">
            <v>A551Groupage nationa</v>
          </cell>
        </row>
        <row r="650">
          <cell r="A650">
            <v>698524</v>
          </cell>
          <cell r="B650" t="str">
            <v>DRANCY</v>
          </cell>
          <cell r="C650" t="str">
            <v>EARL LE  BOIRON</v>
          </cell>
          <cell r="D650" t="str">
            <v>A553Groupage interna</v>
          </cell>
        </row>
        <row r="651">
          <cell r="A651">
            <v>700232</v>
          </cell>
          <cell r="B651" t="str">
            <v>GENNEVILLIERS</v>
          </cell>
          <cell r="C651" t="str">
            <v>TECHNOLOGIE MEDICALE</v>
          </cell>
          <cell r="D651" t="str">
            <v>A553Groupage interna</v>
          </cell>
          <cell r="E651">
            <v>6.7183099999999998</v>
          </cell>
        </row>
        <row r="652">
          <cell r="A652">
            <v>700232</v>
          </cell>
          <cell r="B652" t="str">
            <v>DRANCY</v>
          </cell>
          <cell r="C652" t="str">
            <v>TECHNOLOGIE MEDICALE</v>
          </cell>
          <cell r="D652" t="str">
            <v>A553Groupage interna</v>
          </cell>
        </row>
        <row r="653">
          <cell r="A653">
            <v>700235</v>
          </cell>
          <cell r="B653" t="str">
            <v>GENNEVILLIERS</v>
          </cell>
          <cell r="C653" t="str">
            <v>LABO MODERNE SARL</v>
          </cell>
          <cell r="D653" t="str">
            <v>A553Groupage interna</v>
          </cell>
          <cell r="E653">
            <v>21.716799999999999</v>
          </cell>
        </row>
        <row r="654">
          <cell r="A654">
            <v>700235</v>
          </cell>
          <cell r="B654" t="str">
            <v>GENNEVILLIERS</v>
          </cell>
          <cell r="C654" t="str">
            <v>LABO MODERNE SARL</v>
          </cell>
          <cell r="D654" t="str">
            <v>A551Groupage nationa</v>
          </cell>
          <cell r="E654">
            <v>20.455030000000001</v>
          </cell>
        </row>
        <row r="655">
          <cell r="A655">
            <v>700235</v>
          </cell>
          <cell r="B655" t="str">
            <v>GENNEVILLIERS</v>
          </cell>
          <cell r="C655" t="str">
            <v>LABO MODERNE SARL</v>
          </cell>
          <cell r="D655" t="str">
            <v>A501Lot Divers -501-</v>
          </cell>
          <cell r="E655">
            <v>6.6658099999999996</v>
          </cell>
        </row>
        <row r="656">
          <cell r="A656">
            <v>700235</v>
          </cell>
          <cell r="B656" t="str">
            <v>DRANCY</v>
          </cell>
          <cell r="C656" t="str">
            <v>LABO MODERNE SARL</v>
          </cell>
          <cell r="D656" t="str">
            <v>A553Groupage interna</v>
          </cell>
          <cell r="E656">
            <v>1.45411</v>
          </cell>
        </row>
        <row r="657">
          <cell r="A657">
            <v>700235</v>
          </cell>
          <cell r="B657" t="str">
            <v>DRANCY</v>
          </cell>
          <cell r="C657" t="str">
            <v>LABO MODERNE SARL</v>
          </cell>
          <cell r="D657" t="str">
            <v>A551Groupage nationa</v>
          </cell>
          <cell r="E657">
            <v>0.28522999999999998</v>
          </cell>
        </row>
        <row r="658">
          <cell r="A658">
            <v>700235</v>
          </cell>
          <cell r="B658" t="str">
            <v>ROUEN / GRAND QUEVIL</v>
          </cell>
          <cell r="C658" t="str">
            <v>LABO MODERNE SARL</v>
          </cell>
          <cell r="D658" t="str">
            <v>A551Groupage nationa</v>
          </cell>
        </row>
        <row r="659">
          <cell r="A659">
            <v>700235</v>
          </cell>
          <cell r="B659" t="str">
            <v>ORLEANS / ST JEAN DE</v>
          </cell>
          <cell r="C659" t="str">
            <v>LABO MODERNE SARL</v>
          </cell>
          <cell r="D659" t="str">
            <v>A551Groupage nationa</v>
          </cell>
        </row>
        <row r="660">
          <cell r="A660">
            <v>800295</v>
          </cell>
          <cell r="B660" t="str">
            <v>ROUEN / GRAND QUEVIL</v>
          </cell>
          <cell r="C660" t="str">
            <v>SCHNEIDER ELECTRIC MANUFAC BOURGEBU</v>
          </cell>
          <cell r="D660" t="str">
            <v>A553Groupage interna</v>
          </cell>
          <cell r="E660">
            <v>0.70343</v>
          </cell>
        </row>
        <row r="661">
          <cell r="A661">
            <v>800295</v>
          </cell>
          <cell r="B661" t="str">
            <v>GENNEVILLIERS</v>
          </cell>
          <cell r="C661" t="str">
            <v>SCHNEIDER ELECTRIC MANUFAC BOURGEBU</v>
          </cell>
          <cell r="D661" t="str">
            <v>A553Groupage interna</v>
          </cell>
        </row>
        <row r="662">
          <cell r="A662">
            <v>800336</v>
          </cell>
          <cell r="B662" t="str">
            <v>DRANCY</v>
          </cell>
          <cell r="C662" t="str">
            <v>NGL NAXOS GLOBAL LOGISTICS GMBH</v>
          </cell>
          <cell r="D662" t="str">
            <v>A553Groupage interna</v>
          </cell>
          <cell r="E662">
            <v>0.42563000000000001</v>
          </cell>
        </row>
        <row r="663">
          <cell r="A663">
            <v>800336</v>
          </cell>
          <cell r="B663" t="str">
            <v>MOISSY CRAMAYEL</v>
          </cell>
          <cell r="C663" t="str">
            <v>NGL NAXOS GLOBAL LOGISTICS GMBH</v>
          </cell>
          <cell r="D663" t="str">
            <v>A553Groupage interna</v>
          </cell>
        </row>
        <row r="664">
          <cell r="A664">
            <v>803169</v>
          </cell>
          <cell r="B664" t="str">
            <v>GENNEVILLIERS</v>
          </cell>
          <cell r="C664" t="str">
            <v>DAG IMPORT</v>
          </cell>
          <cell r="D664" t="str">
            <v>A551Groupage nationa</v>
          </cell>
          <cell r="E664">
            <v>0.42285</v>
          </cell>
        </row>
        <row r="665">
          <cell r="A665">
            <v>803169</v>
          </cell>
          <cell r="B665" t="str">
            <v>ROUEN / GRAND QUEVIL</v>
          </cell>
          <cell r="C665" t="str">
            <v>DAG IMPORT</v>
          </cell>
          <cell r="D665" t="str">
            <v>A551Groupage nationa</v>
          </cell>
          <cell r="E665">
            <v>0.32113999999999998</v>
          </cell>
        </row>
        <row r="666">
          <cell r="A666">
            <v>803169</v>
          </cell>
          <cell r="B666" t="str">
            <v>DRANCY</v>
          </cell>
          <cell r="C666" t="str">
            <v>DAG IMPORT</v>
          </cell>
          <cell r="D666" t="str">
            <v>A551Groupage nationa</v>
          </cell>
          <cell r="E666">
            <v>6.88E-2</v>
          </cell>
        </row>
        <row r="667">
          <cell r="A667">
            <v>803169</v>
          </cell>
          <cell r="B667" t="str">
            <v>MOISSY CRAMAYEL</v>
          </cell>
          <cell r="C667" t="str">
            <v>DAG IMPORT</v>
          </cell>
          <cell r="D667" t="str">
            <v>A551Groupage nationa</v>
          </cell>
          <cell r="E667">
            <v>5.0250000000000003E-2</v>
          </cell>
        </row>
        <row r="668">
          <cell r="A668">
            <v>803169</v>
          </cell>
          <cell r="B668" t="str">
            <v>ORLEANS / ST JEAN DE</v>
          </cell>
          <cell r="C668" t="str">
            <v>DAG IMPORT</v>
          </cell>
          <cell r="D668" t="str">
            <v>A551Groupage nationa</v>
          </cell>
        </row>
        <row r="669">
          <cell r="A669">
            <v>803169</v>
          </cell>
          <cell r="B669" t="str">
            <v>DRANCY</v>
          </cell>
          <cell r="C669" t="str">
            <v>DAG IMPORT</v>
          </cell>
          <cell r="D669" t="str">
            <v>A553Groupage interna</v>
          </cell>
        </row>
        <row r="670">
          <cell r="A670">
            <v>810967</v>
          </cell>
          <cell r="B670" t="str">
            <v>ORLEANS / ST JEAN DE</v>
          </cell>
          <cell r="C670" t="str">
            <v>DL IMPRESSION SARL</v>
          </cell>
          <cell r="D670" t="str">
            <v>A551Groupage nationa</v>
          </cell>
          <cell r="E670">
            <v>0.77597000000000005</v>
          </cell>
        </row>
        <row r="671">
          <cell r="A671">
            <v>810967</v>
          </cell>
          <cell r="B671" t="str">
            <v>MOISSY CRAMAYEL</v>
          </cell>
          <cell r="C671" t="str">
            <v>DL IMPRESSION SARL</v>
          </cell>
          <cell r="D671" t="str">
            <v>A551Groupage nationa</v>
          </cell>
        </row>
        <row r="672">
          <cell r="A672">
            <v>815096</v>
          </cell>
          <cell r="B672" t="str">
            <v>GENNEVILLIERS</v>
          </cell>
          <cell r="C672" t="str">
            <v>ID COM</v>
          </cell>
          <cell r="D672" t="str">
            <v>A551Groupage nationa</v>
          </cell>
          <cell r="E672">
            <v>2.836E-2</v>
          </cell>
        </row>
        <row r="673">
          <cell r="A673">
            <v>815096</v>
          </cell>
          <cell r="B673" t="str">
            <v>ORLEANS / ST JEAN DE</v>
          </cell>
          <cell r="C673" t="str">
            <v>ID COM</v>
          </cell>
          <cell r="D673" t="str">
            <v>A551Groupage nationa</v>
          </cell>
          <cell r="E673">
            <v>2.1270000000000001E-2</v>
          </cell>
        </row>
        <row r="674">
          <cell r="A674">
            <v>818156</v>
          </cell>
          <cell r="B674" t="str">
            <v>GENNEVILLIERS</v>
          </cell>
          <cell r="C674" t="str">
            <v>TECHNILUM</v>
          </cell>
          <cell r="D674" t="str">
            <v>A551Groupage nationa</v>
          </cell>
        </row>
        <row r="675">
          <cell r="A675">
            <v>818156</v>
          </cell>
          <cell r="B675" t="str">
            <v>MOISSY CRAMAYEL</v>
          </cell>
          <cell r="C675" t="str">
            <v>TECHNILUM</v>
          </cell>
          <cell r="D675" t="str">
            <v>A551Groupage nationa</v>
          </cell>
        </row>
        <row r="676">
          <cell r="A676">
            <v>818156</v>
          </cell>
          <cell r="B676" t="str">
            <v>DRANCY</v>
          </cell>
          <cell r="C676" t="str">
            <v>TECHNILUM</v>
          </cell>
          <cell r="D676" t="str">
            <v>A553Groupage interna</v>
          </cell>
        </row>
        <row r="677">
          <cell r="A677">
            <v>823751</v>
          </cell>
          <cell r="B677" t="str">
            <v>GENNEVILLIERS</v>
          </cell>
          <cell r="C677" t="str">
            <v>SOA LOGISTICS SAS</v>
          </cell>
          <cell r="D677" t="str">
            <v>A501Lot Divers -501-</v>
          </cell>
          <cell r="E677">
            <v>14.75337</v>
          </cell>
        </row>
        <row r="678">
          <cell r="A678">
            <v>823751</v>
          </cell>
          <cell r="B678" t="str">
            <v>GENNEVILLIERS</v>
          </cell>
          <cell r="C678" t="str">
            <v>SOA LOGISTICS SAS</v>
          </cell>
          <cell r="D678" t="str">
            <v>A551Groupage nationa</v>
          </cell>
          <cell r="E678">
            <v>13.571680000000001</v>
          </cell>
        </row>
        <row r="679">
          <cell r="A679">
            <v>823751</v>
          </cell>
          <cell r="B679" t="str">
            <v>GENNEVILLIERS</v>
          </cell>
          <cell r="C679" t="str">
            <v>SOA LOGISTICS SAS</v>
          </cell>
          <cell r="D679" t="str">
            <v>A507Lot Appro PSA -5</v>
          </cell>
          <cell r="E679">
            <v>13.017519999999999</v>
          </cell>
        </row>
        <row r="680">
          <cell r="A680">
            <v>823751</v>
          </cell>
          <cell r="B680" t="str">
            <v>MOISSY CRAMAYEL</v>
          </cell>
          <cell r="C680" t="str">
            <v>SOA LOGISTICS SAS</v>
          </cell>
          <cell r="D680" t="str">
            <v>A501Lot Divers -501-</v>
          </cell>
          <cell r="E680">
            <v>10.66</v>
          </cell>
        </row>
        <row r="681">
          <cell r="A681">
            <v>823751</v>
          </cell>
          <cell r="B681" t="str">
            <v>GENNEVILLIERS</v>
          </cell>
          <cell r="C681" t="str">
            <v>SOA LOGISTICS SAS</v>
          </cell>
          <cell r="D681" t="str">
            <v>A553Groupage interna</v>
          </cell>
          <cell r="E681">
            <v>0.28739999999999999</v>
          </cell>
        </row>
        <row r="682">
          <cell r="A682">
            <v>825135</v>
          </cell>
          <cell r="B682" t="str">
            <v>GENNEVILLIERS</v>
          </cell>
          <cell r="C682" t="str">
            <v>SAVIPLAST</v>
          </cell>
          <cell r="D682" t="str">
            <v>A551Groupage nationa</v>
          </cell>
          <cell r="E682">
            <v>5.1819999999999998E-2</v>
          </cell>
        </row>
        <row r="683">
          <cell r="A683">
            <v>825135</v>
          </cell>
          <cell r="B683" t="str">
            <v>TROYES / LA CHAPELLE</v>
          </cell>
          <cell r="C683" t="str">
            <v>SAVIPLAST</v>
          </cell>
          <cell r="D683" t="str">
            <v>A501Lot Divers -501-</v>
          </cell>
        </row>
        <row r="684">
          <cell r="A684">
            <v>825135</v>
          </cell>
          <cell r="B684" t="str">
            <v>TROYES / LA CHAPELLE</v>
          </cell>
          <cell r="C684" t="str">
            <v>SAVIPLAST</v>
          </cell>
          <cell r="D684" t="str">
            <v>A551Groupage nationa</v>
          </cell>
        </row>
        <row r="685">
          <cell r="A685">
            <v>827154</v>
          </cell>
          <cell r="B685" t="str">
            <v>GENNEVILLIERS</v>
          </cell>
          <cell r="C685" t="str">
            <v>SAS ALPA</v>
          </cell>
          <cell r="D685" t="str">
            <v>A501Lot Divers -501-</v>
          </cell>
          <cell r="E685">
            <v>215.16175000000001</v>
          </cell>
        </row>
        <row r="686">
          <cell r="A686">
            <v>827154</v>
          </cell>
          <cell r="B686" t="str">
            <v>GENNEVILLIERS</v>
          </cell>
          <cell r="C686" t="str">
            <v>SAS ALPA</v>
          </cell>
          <cell r="D686" t="str">
            <v>A551Groupage nationa</v>
          </cell>
          <cell r="E686">
            <v>69.746970000000005</v>
          </cell>
        </row>
        <row r="687">
          <cell r="A687">
            <v>827154</v>
          </cell>
          <cell r="B687" t="str">
            <v>GENNEVILLIERS</v>
          </cell>
          <cell r="C687" t="str">
            <v>SAS ALPA</v>
          </cell>
          <cell r="D687" t="str">
            <v>A553Groupage interna</v>
          </cell>
          <cell r="E687">
            <v>14.34479</v>
          </cell>
        </row>
        <row r="688">
          <cell r="A688">
            <v>827154</v>
          </cell>
          <cell r="B688" t="str">
            <v>DRANCY</v>
          </cell>
          <cell r="C688" t="str">
            <v>SAS ALPA</v>
          </cell>
          <cell r="D688" t="str">
            <v>A553Groupage interna</v>
          </cell>
        </row>
        <row r="689">
          <cell r="A689">
            <v>827647</v>
          </cell>
          <cell r="B689" t="str">
            <v>ORLEANS / ST JEAN DE</v>
          </cell>
          <cell r="C689" t="str">
            <v>ALLIANCES COMMUNICATION</v>
          </cell>
          <cell r="D689" t="str">
            <v>A551Groupage nationa</v>
          </cell>
          <cell r="E689">
            <v>2.6700000000000002E-2</v>
          </cell>
        </row>
        <row r="690">
          <cell r="A690">
            <v>827647</v>
          </cell>
          <cell r="B690" t="str">
            <v>GENNEVILLIERS</v>
          </cell>
          <cell r="C690" t="str">
            <v>ALLIANCES COMMUNICATION</v>
          </cell>
          <cell r="D690" t="str">
            <v>A551Groupage nationa</v>
          </cell>
        </row>
        <row r="691">
          <cell r="A691">
            <v>827647</v>
          </cell>
          <cell r="B691" t="str">
            <v>MOISSY CRAMAYEL</v>
          </cell>
          <cell r="C691" t="str">
            <v>ALLIANCES COMMUNICATION</v>
          </cell>
          <cell r="D691" t="str">
            <v>A551Groupage nationa</v>
          </cell>
        </row>
        <row r="692">
          <cell r="A692">
            <v>832391</v>
          </cell>
          <cell r="B692" t="str">
            <v>GENNEVILLIERS</v>
          </cell>
          <cell r="C692" t="str">
            <v>STLB PHM GROUP</v>
          </cell>
          <cell r="D692" t="str">
            <v>A551Groupage nationa</v>
          </cell>
        </row>
        <row r="693">
          <cell r="A693">
            <v>832391</v>
          </cell>
          <cell r="B693" t="str">
            <v>MOISSY CRAMAYEL</v>
          </cell>
          <cell r="C693" t="str">
            <v>STLB PHM GROUP</v>
          </cell>
          <cell r="D693" t="str">
            <v>A551Groupage nationa</v>
          </cell>
        </row>
        <row r="694">
          <cell r="A694">
            <v>832391</v>
          </cell>
          <cell r="B694" t="str">
            <v>ORLEANS / ST JEAN DE</v>
          </cell>
          <cell r="C694" t="str">
            <v>STLB PHM GROUP</v>
          </cell>
          <cell r="D694" t="str">
            <v>A551Groupage nationa</v>
          </cell>
        </row>
        <row r="695">
          <cell r="A695">
            <v>832391</v>
          </cell>
          <cell r="B695" t="str">
            <v>DRANCY</v>
          </cell>
          <cell r="C695" t="str">
            <v>STLB PHM GROUP</v>
          </cell>
          <cell r="D695" t="str">
            <v>A553Groupage interna</v>
          </cell>
        </row>
        <row r="696">
          <cell r="A696">
            <v>835707</v>
          </cell>
          <cell r="B696" t="str">
            <v>GENNEVILLIERS</v>
          </cell>
          <cell r="C696" t="str">
            <v>AFCM DIFFUSION</v>
          </cell>
          <cell r="D696" t="str">
            <v>A501Lot Divers -501-</v>
          </cell>
          <cell r="E696">
            <v>2.351</v>
          </cell>
        </row>
        <row r="697">
          <cell r="A697">
            <v>835707</v>
          </cell>
          <cell r="B697" t="str">
            <v>GENNEVILLIERS</v>
          </cell>
          <cell r="C697" t="str">
            <v>AFCM DIFFUSION</v>
          </cell>
          <cell r="D697" t="str">
            <v>A551Groupage nationa</v>
          </cell>
          <cell r="E697">
            <v>1.38876</v>
          </cell>
        </row>
        <row r="698">
          <cell r="A698">
            <v>835707</v>
          </cell>
          <cell r="B698" t="str">
            <v>GENNEVILLIERS</v>
          </cell>
          <cell r="C698" t="str">
            <v>AFCM DIFFUSION</v>
          </cell>
          <cell r="D698" t="str">
            <v>A553Groupage interna</v>
          </cell>
          <cell r="E698">
            <v>0.25911000000000001</v>
          </cell>
        </row>
        <row r="699">
          <cell r="A699">
            <v>835707</v>
          </cell>
          <cell r="B699" t="str">
            <v>ORLEANS / ST JEAN DE</v>
          </cell>
          <cell r="C699" t="str">
            <v>AFCM DIFFUSION</v>
          </cell>
          <cell r="D699" t="str">
            <v>A551Groupage nationa</v>
          </cell>
        </row>
        <row r="700">
          <cell r="A700">
            <v>839751</v>
          </cell>
          <cell r="B700" t="str">
            <v>GENNEVILLIERS</v>
          </cell>
          <cell r="C700" t="str">
            <v>MAVIP</v>
          </cell>
          <cell r="D700" t="str">
            <v>A501Lot Divers -501-</v>
          </cell>
          <cell r="E700">
            <v>0.88900000000000001</v>
          </cell>
        </row>
        <row r="701">
          <cell r="A701">
            <v>839751</v>
          </cell>
          <cell r="B701" t="str">
            <v>GENNEVILLIERS</v>
          </cell>
          <cell r="C701" t="str">
            <v>MAVIP</v>
          </cell>
          <cell r="D701" t="str">
            <v>A551Groupage nationa</v>
          </cell>
          <cell r="E701">
            <v>0.83508000000000004</v>
          </cell>
        </row>
        <row r="702">
          <cell r="A702">
            <v>839751</v>
          </cell>
          <cell r="B702" t="str">
            <v>GENNEVILLIERS</v>
          </cell>
          <cell r="C702" t="str">
            <v>MAVIP</v>
          </cell>
          <cell r="D702" t="str">
            <v>A553Groupage interna</v>
          </cell>
          <cell r="E702">
            <v>0.64342999999999995</v>
          </cell>
        </row>
        <row r="703">
          <cell r="A703">
            <v>839751</v>
          </cell>
          <cell r="B703" t="str">
            <v>MOISSY CRAMAYEL</v>
          </cell>
          <cell r="C703" t="str">
            <v>MAVIP</v>
          </cell>
          <cell r="D703" t="str">
            <v>A551Groupage nationa</v>
          </cell>
        </row>
        <row r="704">
          <cell r="A704">
            <v>839751</v>
          </cell>
          <cell r="B704" t="str">
            <v>TROYES / LA CHAPELLE</v>
          </cell>
          <cell r="C704" t="str">
            <v>MAVIP</v>
          </cell>
          <cell r="D704" t="str">
            <v>A551Groupage nationa</v>
          </cell>
        </row>
        <row r="705">
          <cell r="A705">
            <v>841684</v>
          </cell>
          <cell r="B705" t="str">
            <v>ROUEN / GRAND QUEVIL</v>
          </cell>
          <cell r="C705" t="str">
            <v>parcome</v>
          </cell>
          <cell r="D705" t="str">
            <v>A551Groupage nationa</v>
          </cell>
          <cell r="E705">
            <v>28.642520000000001</v>
          </cell>
        </row>
        <row r="706">
          <cell r="A706">
            <v>841684</v>
          </cell>
          <cell r="B706" t="str">
            <v>ROUEN / GRAND QUEVIL</v>
          </cell>
          <cell r="C706" t="str">
            <v>parcome</v>
          </cell>
          <cell r="D706" t="str">
            <v>A553Groupage interna</v>
          </cell>
          <cell r="E706">
            <v>8.0855200000000007</v>
          </cell>
        </row>
        <row r="707">
          <cell r="A707">
            <v>841684</v>
          </cell>
          <cell r="B707" t="str">
            <v>ROUEN / GRAND QUEVIL</v>
          </cell>
          <cell r="C707" t="str">
            <v>parcome</v>
          </cell>
          <cell r="D707" t="str">
            <v>A501Lot Divers -501-</v>
          </cell>
          <cell r="E707">
            <v>4.3758900000000001</v>
          </cell>
        </row>
        <row r="708">
          <cell r="A708">
            <v>841684</v>
          </cell>
          <cell r="B708" t="str">
            <v>GENNEVILLIERS</v>
          </cell>
          <cell r="C708" t="str">
            <v>parcome</v>
          </cell>
          <cell r="D708" t="str">
            <v>A551Groupage nationa</v>
          </cell>
        </row>
        <row r="709">
          <cell r="A709">
            <v>843450</v>
          </cell>
          <cell r="B709" t="str">
            <v>MOISSY CRAMAYEL</v>
          </cell>
          <cell r="C709" t="str">
            <v>OPALIUM</v>
          </cell>
          <cell r="D709" t="str">
            <v>A501Lot Divers -501-</v>
          </cell>
          <cell r="E709">
            <v>10.678000000000001</v>
          </cell>
        </row>
        <row r="710">
          <cell r="A710">
            <v>843450</v>
          </cell>
          <cell r="B710" t="str">
            <v>MOISSY CRAMAYEL</v>
          </cell>
          <cell r="C710" t="str">
            <v>OPALIUM</v>
          </cell>
          <cell r="D710" t="str">
            <v>A551Groupage nationa</v>
          </cell>
          <cell r="E710">
            <v>3.6434700000000002</v>
          </cell>
        </row>
        <row r="711">
          <cell r="A711">
            <v>843450</v>
          </cell>
          <cell r="B711" t="str">
            <v>MOISSY CRAMAYEL</v>
          </cell>
          <cell r="C711" t="str">
            <v>OPALIUM</v>
          </cell>
          <cell r="D711" t="str">
            <v>A553Groupage interna</v>
          </cell>
          <cell r="E711">
            <v>0.24190999999999999</v>
          </cell>
        </row>
        <row r="712">
          <cell r="A712">
            <v>843450</v>
          </cell>
          <cell r="B712" t="str">
            <v>TROYES / LA CHAPELLE</v>
          </cell>
          <cell r="C712" t="str">
            <v>OPALIUM</v>
          </cell>
          <cell r="D712" t="str">
            <v>A551Groupage nationa</v>
          </cell>
          <cell r="E712">
            <v>5.7630000000000001E-2</v>
          </cell>
        </row>
        <row r="713">
          <cell r="A713">
            <v>845418</v>
          </cell>
          <cell r="B713" t="str">
            <v>MOISSY CRAMAYEL</v>
          </cell>
          <cell r="C713" t="str">
            <v>LOXAM</v>
          </cell>
          <cell r="D713" t="str">
            <v>A551Groupage nationa</v>
          </cell>
        </row>
        <row r="714">
          <cell r="A714">
            <v>845418</v>
          </cell>
          <cell r="B714" t="str">
            <v>ORLEANS / ST JEAN DE</v>
          </cell>
          <cell r="C714" t="str">
            <v>LOXAM</v>
          </cell>
          <cell r="D714" t="str">
            <v>A551Groupage nationa</v>
          </cell>
        </row>
        <row r="715">
          <cell r="A715">
            <v>849124</v>
          </cell>
          <cell r="B715" t="str">
            <v>GENNEVILLIERS</v>
          </cell>
          <cell r="C715" t="str">
            <v>BONKENBURG FRANCE</v>
          </cell>
          <cell r="D715" t="str">
            <v>A501Lot Divers -501-</v>
          </cell>
          <cell r="E715">
            <v>72.307590000000005</v>
          </cell>
        </row>
        <row r="716">
          <cell r="A716">
            <v>849124</v>
          </cell>
          <cell r="B716" t="str">
            <v>GENNEVILLIERS</v>
          </cell>
          <cell r="C716" t="str">
            <v>BONKENBURG FRANCE</v>
          </cell>
          <cell r="D716" t="str">
            <v>A551Groupage nationa</v>
          </cell>
          <cell r="E716">
            <v>1.07558</v>
          </cell>
        </row>
        <row r="717">
          <cell r="A717">
            <v>849124</v>
          </cell>
          <cell r="B717" t="str">
            <v>ORLEANS / ST JEAN DE</v>
          </cell>
          <cell r="C717" t="str">
            <v>BONKENBURG FRANCE</v>
          </cell>
          <cell r="D717" t="str">
            <v>A551Groupage nationa</v>
          </cell>
          <cell r="E717">
            <v>-0.21790999999999999</v>
          </cell>
        </row>
        <row r="718">
          <cell r="A718">
            <v>851439</v>
          </cell>
          <cell r="B718" t="str">
            <v>GENNEVILLIERS</v>
          </cell>
          <cell r="C718" t="str">
            <v>CGE DISTRIBUTION</v>
          </cell>
          <cell r="D718" t="str">
            <v>A551Groupage nationa</v>
          </cell>
        </row>
        <row r="719">
          <cell r="A719">
            <v>851439</v>
          </cell>
          <cell r="B719" t="str">
            <v>DRANCY</v>
          </cell>
          <cell r="C719" t="str">
            <v>CGE DISTRIBUTION</v>
          </cell>
          <cell r="D719" t="str">
            <v>A553Groupage interna</v>
          </cell>
        </row>
        <row r="720">
          <cell r="A720">
            <v>853791</v>
          </cell>
          <cell r="B720" t="str">
            <v>GENNEVILLIERS</v>
          </cell>
          <cell r="C720" t="str">
            <v>SUSHI SHOP DEVELOPPEMENT</v>
          </cell>
          <cell r="D720" t="str">
            <v>A501Lot Divers -501-</v>
          </cell>
        </row>
        <row r="721">
          <cell r="A721">
            <v>853791</v>
          </cell>
          <cell r="B721" t="str">
            <v>GENNEVILLIERS</v>
          </cell>
          <cell r="C721" t="str">
            <v>SUSHI SHOP DEVELOPPEMENT</v>
          </cell>
          <cell r="D721" t="str">
            <v>A551Groupage nationa</v>
          </cell>
        </row>
        <row r="722">
          <cell r="A722">
            <v>853791</v>
          </cell>
          <cell r="B722" t="str">
            <v>GENNEVILLIERS</v>
          </cell>
          <cell r="C722" t="str">
            <v>SUSHI SHOP DEVELOPPEMENT</v>
          </cell>
          <cell r="D722" t="str">
            <v>A553Groupage interna</v>
          </cell>
        </row>
        <row r="723">
          <cell r="A723">
            <v>853791</v>
          </cell>
          <cell r="B723" t="str">
            <v>ORLEANS / ST JEAN DE</v>
          </cell>
          <cell r="C723" t="str">
            <v>SUSHI SHOP DEVELOPPEMENT</v>
          </cell>
          <cell r="D723" t="str">
            <v>A551Groupage nationa</v>
          </cell>
        </row>
        <row r="724">
          <cell r="A724">
            <v>856879</v>
          </cell>
          <cell r="B724" t="str">
            <v>GENNEVILLIERS</v>
          </cell>
          <cell r="C724" t="str">
            <v>ALCOA FIXATIONS SIMMONDS SAS</v>
          </cell>
          <cell r="D724" t="str">
            <v>A553Groupage interna</v>
          </cell>
          <cell r="E724">
            <v>4.1950200000000004</v>
          </cell>
        </row>
        <row r="725">
          <cell r="A725">
            <v>856879</v>
          </cell>
          <cell r="B725" t="str">
            <v>GENNEVILLIERS</v>
          </cell>
          <cell r="C725" t="str">
            <v>ALCOA FIXATIONS SIMMONDS SAS</v>
          </cell>
          <cell r="D725" t="str">
            <v>A551Groupage nationa</v>
          </cell>
          <cell r="E725">
            <v>3.69801</v>
          </cell>
        </row>
        <row r="726">
          <cell r="A726">
            <v>856879</v>
          </cell>
          <cell r="B726" t="str">
            <v>ROUEN / GRAND QUEVIL</v>
          </cell>
          <cell r="C726" t="str">
            <v>ALCOA FIXATIONS SIMMONDS SAS</v>
          </cell>
          <cell r="D726" t="str">
            <v>A551Groupage nationa</v>
          </cell>
        </row>
        <row r="727">
          <cell r="A727">
            <v>858964</v>
          </cell>
          <cell r="B727" t="str">
            <v>GENNEVILLIERS</v>
          </cell>
          <cell r="C727" t="str">
            <v>3M FRANCE</v>
          </cell>
          <cell r="D727" t="str">
            <v>A551Groupage nationa</v>
          </cell>
          <cell r="E727">
            <v>0.53168000000000004</v>
          </cell>
        </row>
        <row r="728">
          <cell r="A728">
            <v>858964</v>
          </cell>
          <cell r="B728" t="str">
            <v>GENNEVILLIERS</v>
          </cell>
          <cell r="C728" t="str">
            <v>3M FRANCE</v>
          </cell>
          <cell r="D728" t="str">
            <v>A553Groupage interna</v>
          </cell>
          <cell r="E728">
            <v>0.11376</v>
          </cell>
        </row>
        <row r="729">
          <cell r="A729">
            <v>858964</v>
          </cell>
          <cell r="B729" t="str">
            <v>GENNEVILLIERS</v>
          </cell>
          <cell r="C729" t="str">
            <v>3M FRANCE</v>
          </cell>
          <cell r="D729" t="str">
            <v>A501Lot Divers -501-</v>
          </cell>
        </row>
        <row r="730">
          <cell r="A730">
            <v>858964</v>
          </cell>
          <cell r="B730" t="str">
            <v>MOISSY CRAMAYEL</v>
          </cell>
          <cell r="C730" t="str">
            <v>3M FRANCE</v>
          </cell>
          <cell r="D730" t="str">
            <v>A501Lot Divers -501-</v>
          </cell>
        </row>
        <row r="731">
          <cell r="A731">
            <v>861585</v>
          </cell>
          <cell r="B731" t="str">
            <v>TROYES / LA CHAPELLE</v>
          </cell>
          <cell r="C731" t="str">
            <v>HOVERALL</v>
          </cell>
          <cell r="D731" t="str">
            <v>A501Lot Divers -501-</v>
          </cell>
          <cell r="E731">
            <v>0.92200000000000004</v>
          </cell>
        </row>
        <row r="732">
          <cell r="A732">
            <v>861585</v>
          </cell>
          <cell r="B732" t="str">
            <v>MOISSY CRAMAYEL</v>
          </cell>
          <cell r="C732" t="str">
            <v>HOVERALL</v>
          </cell>
          <cell r="D732" t="str">
            <v>A551Groupage nationa</v>
          </cell>
        </row>
        <row r="733">
          <cell r="A733">
            <v>861585</v>
          </cell>
          <cell r="B733" t="str">
            <v>TROYES / LA CHAPELLE</v>
          </cell>
          <cell r="C733" t="str">
            <v>HOVERALL</v>
          </cell>
          <cell r="D733" t="str">
            <v>A551Groupage nationa</v>
          </cell>
        </row>
        <row r="734">
          <cell r="A734">
            <v>862975</v>
          </cell>
          <cell r="B734" t="str">
            <v>TROYES / LA CHAPELLE</v>
          </cell>
          <cell r="C734" t="str">
            <v>SARL  J L C 10</v>
          </cell>
          <cell r="D734" t="str">
            <v>A551Groupage nationa</v>
          </cell>
          <cell r="E734">
            <v>0.54344999999999999</v>
          </cell>
        </row>
        <row r="735">
          <cell r="A735">
            <v>862975</v>
          </cell>
          <cell r="B735" t="str">
            <v>ROUEN / GRAND QUEVIL</v>
          </cell>
          <cell r="C735" t="str">
            <v>SARL  J L C 10</v>
          </cell>
          <cell r="D735" t="str">
            <v>A551Groupage nationa</v>
          </cell>
          <cell r="E735">
            <v>0.40548000000000001</v>
          </cell>
        </row>
        <row r="736">
          <cell r="A736">
            <v>863766</v>
          </cell>
          <cell r="B736" t="str">
            <v>MOISSY CRAMAYEL</v>
          </cell>
          <cell r="C736" t="str">
            <v>TRANSPORTS SIMONNET</v>
          </cell>
          <cell r="D736" t="str">
            <v>A551Groupage nationa</v>
          </cell>
          <cell r="E736">
            <v>12.375360000000001</v>
          </cell>
        </row>
        <row r="737">
          <cell r="A737">
            <v>863766</v>
          </cell>
          <cell r="B737" t="str">
            <v>MOISSY CRAMAYEL</v>
          </cell>
          <cell r="C737" t="str">
            <v>TRANSPORTS SIMONNET</v>
          </cell>
          <cell r="D737" t="str">
            <v>A553Groupage interna</v>
          </cell>
          <cell r="E737">
            <v>4.2871800000000002</v>
          </cell>
        </row>
        <row r="738">
          <cell r="A738">
            <v>863766</v>
          </cell>
          <cell r="B738" t="str">
            <v>ORLEANS / ST JEAN DE</v>
          </cell>
          <cell r="C738" t="str">
            <v>TRANSPORTS SIMONNET</v>
          </cell>
          <cell r="D738" t="str">
            <v>A551Groupage nationa</v>
          </cell>
          <cell r="E738">
            <v>9.8000000000000004E-2</v>
          </cell>
        </row>
        <row r="739">
          <cell r="A739">
            <v>863766</v>
          </cell>
          <cell r="B739" t="str">
            <v>GENNEVILLIERS</v>
          </cell>
          <cell r="C739" t="str">
            <v>TRANSPORTS SIMONNET</v>
          </cell>
          <cell r="D739" t="str">
            <v>A553Groupage interna</v>
          </cell>
          <cell r="E739">
            <v>1.1769999999999999E-2</v>
          </cell>
        </row>
        <row r="740">
          <cell r="A740">
            <v>864008</v>
          </cell>
          <cell r="B740" t="str">
            <v>DRANCY</v>
          </cell>
          <cell r="C740" t="str">
            <v>MINELLI</v>
          </cell>
          <cell r="D740" t="str">
            <v>A551Groupage nationa</v>
          </cell>
          <cell r="E740">
            <v>0.50075000000000003</v>
          </cell>
        </row>
        <row r="741">
          <cell r="A741">
            <v>864008</v>
          </cell>
          <cell r="B741" t="str">
            <v>MOISSY CRAMAYEL</v>
          </cell>
          <cell r="C741" t="str">
            <v>MINELLI</v>
          </cell>
          <cell r="D741" t="str">
            <v>A551Groupage nationa</v>
          </cell>
          <cell r="E741">
            <v>0.43862000000000001</v>
          </cell>
        </row>
        <row r="742">
          <cell r="A742">
            <v>864008</v>
          </cell>
          <cell r="B742" t="str">
            <v>GENNEVILLIERS</v>
          </cell>
          <cell r="C742" t="str">
            <v>MINELLI</v>
          </cell>
          <cell r="D742" t="str">
            <v>A551Groupage nationa</v>
          </cell>
          <cell r="E742">
            <v>9.7570000000000004E-2</v>
          </cell>
        </row>
        <row r="743">
          <cell r="A743">
            <v>866844</v>
          </cell>
          <cell r="B743" t="str">
            <v>MOISSY CRAMAYEL</v>
          </cell>
          <cell r="C743" t="str">
            <v>COSMO PARIS</v>
          </cell>
          <cell r="D743" t="str">
            <v>A551Groupage nationa</v>
          </cell>
          <cell r="E743">
            <v>0.32232</v>
          </cell>
        </row>
        <row r="744">
          <cell r="A744">
            <v>866844</v>
          </cell>
          <cell r="B744" t="str">
            <v>DRANCY</v>
          </cell>
          <cell r="C744" t="str">
            <v>COSMO PARIS</v>
          </cell>
          <cell r="D744" t="str">
            <v>A551Groupage nationa</v>
          </cell>
          <cell r="E744">
            <v>2.3630000000000002E-2</v>
          </cell>
        </row>
        <row r="745">
          <cell r="A745">
            <v>871470</v>
          </cell>
          <cell r="B745" t="str">
            <v>MOISSY CRAMAYEL</v>
          </cell>
          <cell r="C745" t="str">
            <v>KIP EUROPE</v>
          </cell>
          <cell r="D745" t="str">
            <v>A551Groupage nationa</v>
          </cell>
          <cell r="E745">
            <v>26.161210000000001</v>
          </cell>
        </row>
        <row r="746">
          <cell r="A746">
            <v>871470</v>
          </cell>
          <cell r="B746" t="str">
            <v>GENNEVILLIERS</v>
          </cell>
          <cell r="C746" t="str">
            <v>KIP EUROPE</v>
          </cell>
          <cell r="D746" t="str">
            <v>A551Groupage nationa</v>
          </cell>
          <cell r="E746">
            <v>0.78691</v>
          </cell>
        </row>
        <row r="747">
          <cell r="A747">
            <v>871470</v>
          </cell>
          <cell r="B747" t="str">
            <v>MOISSY CRAMAYEL</v>
          </cell>
          <cell r="C747" t="str">
            <v>KIP EUROPE</v>
          </cell>
          <cell r="D747" t="str">
            <v>A501Lot Divers -501-</v>
          </cell>
          <cell r="E747">
            <v>0.15</v>
          </cell>
        </row>
        <row r="748">
          <cell r="A748">
            <v>871470</v>
          </cell>
          <cell r="B748" t="str">
            <v>MOISSY CRAMAYEL</v>
          </cell>
          <cell r="C748" t="str">
            <v>KIP EUROPE</v>
          </cell>
          <cell r="D748" t="str">
            <v>A553Groupage interna</v>
          </cell>
        </row>
        <row r="749">
          <cell r="A749">
            <v>871759</v>
          </cell>
          <cell r="B749" t="str">
            <v>ORLEANS / ST JEAN DE</v>
          </cell>
          <cell r="C749" t="str">
            <v>NOUVELLES IMAGES SA</v>
          </cell>
          <cell r="D749" t="str">
            <v>A551Groupage nationa</v>
          </cell>
          <cell r="E749">
            <v>10.364409999999999</v>
          </cell>
        </row>
        <row r="750">
          <cell r="A750">
            <v>871759</v>
          </cell>
          <cell r="B750" t="str">
            <v>ORLEANS / ST JEAN DE</v>
          </cell>
          <cell r="C750" t="str">
            <v>NOUVELLES IMAGES SA</v>
          </cell>
          <cell r="D750" t="str">
            <v>A501Lot Divers -501-</v>
          </cell>
          <cell r="E750">
            <v>1.9736899999999999</v>
          </cell>
        </row>
        <row r="751">
          <cell r="A751">
            <v>871759</v>
          </cell>
          <cell r="B751" t="str">
            <v>ORLEANS / ST JEAN DE</v>
          </cell>
          <cell r="C751" t="str">
            <v>NOUVELLES IMAGES SA</v>
          </cell>
          <cell r="D751" t="str">
            <v>A553Groupage interna</v>
          </cell>
          <cell r="E751">
            <v>0.48177999999999999</v>
          </cell>
        </row>
        <row r="752">
          <cell r="A752">
            <v>871759</v>
          </cell>
          <cell r="B752" t="str">
            <v>ROUEN / GRAND QUEVIL</v>
          </cell>
          <cell r="C752" t="str">
            <v>NOUVELLES IMAGES SA</v>
          </cell>
          <cell r="D752" t="str">
            <v>A501Lot Divers -501-</v>
          </cell>
        </row>
        <row r="753">
          <cell r="A753">
            <v>871759</v>
          </cell>
          <cell r="B753" t="str">
            <v>ROUEN / GRAND QUEVIL</v>
          </cell>
          <cell r="C753" t="str">
            <v>NOUVELLES IMAGES SA</v>
          </cell>
          <cell r="D753" t="str">
            <v>A551Groupage nationa</v>
          </cell>
        </row>
        <row r="754">
          <cell r="A754">
            <v>871759</v>
          </cell>
          <cell r="B754" t="str">
            <v>ROUEN / GRAND QUEVIL</v>
          </cell>
          <cell r="C754" t="str">
            <v>NOUVELLES IMAGES SA</v>
          </cell>
          <cell r="D754" t="str">
            <v>A553Groupage interna</v>
          </cell>
        </row>
        <row r="755">
          <cell r="A755">
            <v>872036</v>
          </cell>
          <cell r="B755" t="str">
            <v>MOISSY CRAMAYEL</v>
          </cell>
          <cell r="C755" t="str">
            <v>TOULEMONDE BOCHART</v>
          </cell>
          <cell r="D755" t="str">
            <v>A553Groupage interna</v>
          </cell>
          <cell r="E755">
            <v>28.046900000000001</v>
          </cell>
        </row>
        <row r="756">
          <cell r="A756">
            <v>872036</v>
          </cell>
          <cell r="B756" t="str">
            <v>MOISSY CRAMAYEL</v>
          </cell>
          <cell r="C756" t="str">
            <v>TOULEMONDE BOCHART</v>
          </cell>
          <cell r="D756" t="str">
            <v>A501Lot Divers -501-</v>
          </cell>
          <cell r="E756">
            <v>12.106999999999999</v>
          </cell>
        </row>
        <row r="757">
          <cell r="A757">
            <v>872036</v>
          </cell>
          <cell r="B757" t="str">
            <v>MOISSY CRAMAYEL</v>
          </cell>
          <cell r="C757" t="str">
            <v>TOULEMONDE BOCHART</v>
          </cell>
          <cell r="D757" t="str">
            <v>A551Groupage nationa</v>
          </cell>
          <cell r="E757">
            <v>0.26064999999999999</v>
          </cell>
        </row>
        <row r="758">
          <cell r="A758">
            <v>872036</v>
          </cell>
          <cell r="B758" t="str">
            <v>GENNEVILLIERS</v>
          </cell>
          <cell r="C758" t="str">
            <v>TOULEMONDE BOCHART</v>
          </cell>
          <cell r="D758" t="str">
            <v>A553Groupage interna</v>
          </cell>
          <cell r="E758">
            <v>0.20032</v>
          </cell>
        </row>
        <row r="759">
          <cell r="A759">
            <v>876099</v>
          </cell>
          <cell r="B759" t="str">
            <v>GENNEVILLIERS</v>
          </cell>
          <cell r="C759" t="str">
            <v>SUPPLY CHAIN PERFORMANCES</v>
          </cell>
          <cell r="D759" t="str">
            <v>A501Lot Divers -501-</v>
          </cell>
          <cell r="E759">
            <v>97.753140000000002</v>
          </cell>
        </row>
        <row r="760">
          <cell r="A760">
            <v>876099</v>
          </cell>
          <cell r="B760" t="str">
            <v>MOISSY CRAMAYEL</v>
          </cell>
          <cell r="C760" t="str">
            <v>SUPPLY CHAIN PERFORMANCES</v>
          </cell>
          <cell r="D760" t="str">
            <v>A501Lot Divers -501-</v>
          </cell>
          <cell r="E760">
            <v>11.44322</v>
          </cell>
        </row>
        <row r="761">
          <cell r="A761">
            <v>876099</v>
          </cell>
          <cell r="B761" t="str">
            <v>GENNEVILLIERS</v>
          </cell>
          <cell r="C761" t="str">
            <v>SUPPLY CHAIN PERFORMANCES</v>
          </cell>
          <cell r="D761" t="str">
            <v>A553Groupage interna</v>
          </cell>
          <cell r="E761">
            <v>0.16020000000000001</v>
          </cell>
        </row>
        <row r="762">
          <cell r="A762">
            <v>876099</v>
          </cell>
          <cell r="B762" t="str">
            <v>GENNEVILLIERS</v>
          </cell>
          <cell r="C762" t="str">
            <v>SUPPLY CHAIN PERFORMANCES</v>
          </cell>
          <cell r="D762" t="str">
            <v>A551Groupage nationa</v>
          </cell>
          <cell r="E762">
            <v>2.3560000000000001E-2</v>
          </cell>
        </row>
        <row r="763">
          <cell r="A763">
            <v>878639</v>
          </cell>
          <cell r="B763" t="str">
            <v>ROUEN / GRAND QUEVIL</v>
          </cell>
          <cell r="C763" t="str">
            <v>HOWA TRAMICO SAS</v>
          </cell>
          <cell r="D763" t="str">
            <v>A551Groupage nationa</v>
          </cell>
          <cell r="E763">
            <v>1.9212499999999999</v>
          </cell>
        </row>
        <row r="764">
          <cell r="A764">
            <v>878639</v>
          </cell>
          <cell r="B764" t="str">
            <v>GENNEVILLIERS</v>
          </cell>
          <cell r="C764" t="str">
            <v>HOWA TRAMICO SAS</v>
          </cell>
          <cell r="D764" t="str">
            <v>A553Groupage interna</v>
          </cell>
          <cell r="E764">
            <v>1.10388</v>
          </cell>
        </row>
        <row r="765">
          <cell r="A765">
            <v>878639</v>
          </cell>
          <cell r="B765" t="str">
            <v>ROUEN / GRAND QUEVIL</v>
          </cell>
          <cell r="C765" t="str">
            <v>HOWA TRAMICO SAS</v>
          </cell>
          <cell r="D765" t="str">
            <v>A501Lot Divers -501-</v>
          </cell>
          <cell r="E765">
            <v>0.14146</v>
          </cell>
        </row>
        <row r="766">
          <cell r="A766">
            <v>878944</v>
          </cell>
          <cell r="B766" t="str">
            <v>GENNEVILLIERS</v>
          </cell>
          <cell r="C766" t="str">
            <v>GSAA</v>
          </cell>
          <cell r="D766" t="str">
            <v>A553Groupage interna</v>
          </cell>
          <cell r="E766">
            <v>6.1429999999999998E-2</v>
          </cell>
        </row>
        <row r="767">
          <cell r="A767">
            <v>878944</v>
          </cell>
          <cell r="B767" t="str">
            <v>MOISSY CRAMAYEL</v>
          </cell>
          <cell r="C767" t="str">
            <v>GSAA</v>
          </cell>
          <cell r="D767" t="str">
            <v>A551Groupage nationa</v>
          </cell>
        </row>
        <row r="768">
          <cell r="A768">
            <v>878944</v>
          </cell>
          <cell r="B768" t="str">
            <v>MOISSY CRAMAYEL</v>
          </cell>
          <cell r="C768" t="str">
            <v>GSAA</v>
          </cell>
          <cell r="D768" t="str">
            <v>A553Groupage interna</v>
          </cell>
        </row>
        <row r="769">
          <cell r="A769">
            <v>880266</v>
          </cell>
          <cell r="B769" t="str">
            <v>GENNEVILLIERS</v>
          </cell>
          <cell r="C769" t="str">
            <v>LC TRADE FRANCE</v>
          </cell>
          <cell r="D769" t="str">
            <v>A551Groupage nationa</v>
          </cell>
          <cell r="E769">
            <v>58.639229999999998</v>
          </cell>
        </row>
        <row r="770">
          <cell r="A770">
            <v>880266</v>
          </cell>
          <cell r="B770" t="str">
            <v>GENNEVILLIERS</v>
          </cell>
          <cell r="C770" t="str">
            <v>LC TRADE FRANCE</v>
          </cell>
          <cell r="D770" t="str">
            <v>A501Lot Divers -501-</v>
          </cell>
          <cell r="E770">
            <v>5.0125599999999997</v>
          </cell>
        </row>
        <row r="771">
          <cell r="A771">
            <v>880266</v>
          </cell>
          <cell r="B771" t="str">
            <v>GENNEVILLIERS</v>
          </cell>
          <cell r="C771" t="str">
            <v>LC TRADE FRANCE</v>
          </cell>
          <cell r="D771" t="str">
            <v>A553Groupage interna</v>
          </cell>
          <cell r="E771">
            <v>3.2042999999999999</v>
          </cell>
        </row>
        <row r="772">
          <cell r="A772">
            <v>880266</v>
          </cell>
          <cell r="B772" t="str">
            <v>MOISSY CRAMAYEL</v>
          </cell>
          <cell r="C772" t="str">
            <v>LC TRADE FRANCE</v>
          </cell>
          <cell r="D772" t="str">
            <v>A501Lot Divers -501-</v>
          </cell>
          <cell r="E772">
            <v>0.95679999999999998</v>
          </cell>
        </row>
        <row r="773">
          <cell r="A773">
            <v>880266</v>
          </cell>
          <cell r="B773" t="str">
            <v>MOISSY CRAMAYEL</v>
          </cell>
          <cell r="C773" t="str">
            <v>LC TRADE FRANCE</v>
          </cell>
          <cell r="D773" t="str">
            <v>A553Groupage interna</v>
          </cell>
          <cell r="E773">
            <v>0.60157000000000005</v>
          </cell>
        </row>
        <row r="774">
          <cell r="A774">
            <v>880266</v>
          </cell>
          <cell r="B774" t="str">
            <v>DRANCY</v>
          </cell>
          <cell r="C774" t="str">
            <v>LC TRADE FRANCE</v>
          </cell>
          <cell r="D774" t="str">
            <v>A553Groupage interna</v>
          </cell>
          <cell r="E774">
            <v>0.23088</v>
          </cell>
        </row>
        <row r="775">
          <cell r="A775">
            <v>881539</v>
          </cell>
          <cell r="B775" t="str">
            <v>GENNEVILLIERS</v>
          </cell>
          <cell r="C775" t="str">
            <v>CRYONIC MEDICAL</v>
          </cell>
          <cell r="D775" t="str">
            <v>A551Groupage nationa</v>
          </cell>
        </row>
        <row r="776">
          <cell r="A776">
            <v>881539</v>
          </cell>
          <cell r="B776" t="str">
            <v>MOISSY CRAMAYEL</v>
          </cell>
          <cell r="C776" t="str">
            <v>CRYONIC MEDICAL</v>
          </cell>
          <cell r="D776" t="str">
            <v>A551Groupage nationa</v>
          </cell>
        </row>
        <row r="777">
          <cell r="A777">
            <v>883199</v>
          </cell>
          <cell r="B777" t="str">
            <v>ORLEANS / ST JEAN DE</v>
          </cell>
          <cell r="C777" t="str">
            <v>NOUVELLES IMAGES INTERNATIONAL</v>
          </cell>
          <cell r="D777" t="str">
            <v>A551Groupage nationa</v>
          </cell>
          <cell r="E777">
            <v>128.13478000000001</v>
          </cell>
        </row>
        <row r="778">
          <cell r="A778">
            <v>883199</v>
          </cell>
          <cell r="B778" t="str">
            <v>ORLEANS / ST JEAN DE</v>
          </cell>
          <cell r="C778" t="str">
            <v>NOUVELLES IMAGES INTERNATIONAL</v>
          </cell>
          <cell r="D778" t="str">
            <v>A553Groupage interna</v>
          </cell>
          <cell r="E778">
            <v>68.276009999999999</v>
          </cell>
        </row>
        <row r="779">
          <cell r="A779">
            <v>883199</v>
          </cell>
          <cell r="B779" t="str">
            <v>ORLEANS / ST JEAN DE</v>
          </cell>
          <cell r="C779" t="str">
            <v>NOUVELLES IMAGES INTERNATIONAL</v>
          </cell>
          <cell r="D779" t="str">
            <v>A501Lot Divers -501-</v>
          </cell>
          <cell r="E779">
            <v>16.865639999999999</v>
          </cell>
        </row>
        <row r="780">
          <cell r="A780">
            <v>883199</v>
          </cell>
          <cell r="B780" t="str">
            <v>ROUEN / GRAND QUEVIL</v>
          </cell>
          <cell r="C780" t="str">
            <v>NOUVELLES IMAGES INTERNATIONAL</v>
          </cell>
          <cell r="D780" t="str">
            <v>A551Groupage nationa</v>
          </cell>
        </row>
        <row r="781">
          <cell r="A781">
            <v>883199</v>
          </cell>
          <cell r="B781" t="str">
            <v>ROUEN / GRAND QUEVIL</v>
          </cell>
          <cell r="C781" t="str">
            <v>NOUVELLES IMAGES INTERNATIONAL</v>
          </cell>
          <cell r="D781" t="str">
            <v>A553Groupage interna</v>
          </cell>
        </row>
        <row r="782">
          <cell r="A782">
            <v>883957</v>
          </cell>
          <cell r="B782" t="str">
            <v>MOISSY CRAMAYEL</v>
          </cell>
          <cell r="C782" t="str">
            <v>SOTECO INDUSTRIE</v>
          </cell>
          <cell r="D782" t="str">
            <v>A551Groupage nationa</v>
          </cell>
          <cell r="E782">
            <v>12.520440000000001</v>
          </cell>
        </row>
        <row r="783">
          <cell r="A783">
            <v>883957</v>
          </cell>
          <cell r="B783" t="str">
            <v>MOISSY CRAMAYEL</v>
          </cell>
          <cell r="C783" t="str">
            <v>SOTECO INDUSTRIE</v>
          </cell>
          <cell r="D783" t="str">
            <v>A553Groupage interna</v>
          </cell>
          <cell r="E783">
            <v>0.40350000000000003</v>
          </cell>
        </row>
        <row r="784">
          <cell r="A784">
            <v>883957</v>
          </cell>
          <cell r="B784" t="str">
            <v>GENNEVILLIERS</v>
          </cell>
          <cell r="C784" t="str">
            <v>SOTECO INDUSTRIE</v>
          </cell>
          <cell r="D784" t="str">
            <v>A551Groupage nationa</v>
          </cell>
          <cell r="E784">
            <v>2.282E-2</v>
          </cell>
        </row>
        <row r="785">
          <cell r="A785">
            <v>909855</v>
          </cell>
          <cell r="B785" t="str">
            <v>ROUEN / GRAND QUEVIL</v>
          </cell>
          <cell r="C785" t="str">
            <v>FRANCAISE DE MECANIQUE</v>
          </cell>
          <cell r="D785" t="str">
            <v>A551Groupage nationa</v>
          </cell>
          <cell r="E785">
            <v>14.48475</v>
          </cell>
        </row>
        <row r="786">
          <cell r="A786">
            <v>909855</v>
          </cell>
          <cell r="B786" t="str">
            <v>TROYES / LA CHAPELLE</v>
          </cell>
          <cell r="C786" t="str">
            <v>FRANCAISE DE MECANIQUE</v>
          </cell>
          <cell r="D786" t="str">
            <v>A507Lot Appro PSA -5</v>
          </cell>
          <cell r="E786">
            <v>12.371040000000001</v>
          </cell>
        </row>
        <row r="787">
          <cell r="A787">
            <v>909855</v>
          </cell>
          <cell r="B787" t="str">
            <v>TROYES / LA CHAPELLE</v>
          </cell>
          <cell r="C787" t="str">
            <v>FRANCAISE DE MECANIQUE</v>
          </cell>
          <cell r="D787" t="str">
            <v>A551Groupage nationa</v>
          </cell>
          <cell r="E787">
            <v>4.9329700000000001</v>
          </cell>
        </row>
        <row r="788">
          <cell r="A788">
            <v>909855</v>
          </cell>
          <cell r="B788" t="str">
            <v>ORLEANS / ST JEAN DE</v>
          </cell>
          <cell r="C788" t="str">
            <v>FRANCAISE DE MECANIQUE</v>
          </cell>
          <cell r="D788" t="str">
            <v>A551Groupage nationa</v>
          </cell>
          <cell r="E788">
            <v>0.78873000000000004</v>
          </cell>
        </row>
        <row r="789">
          <cell r="A789">
            <v>909855</v>
          </cell>
          <cell r="B789" t="str">
            <v>GENNEVILLIERS</v>
          </cell>
          <cell r="C789" t="str">
            <v>FRANCAISE DE MECANIQUE</v>
          </cell>
          <cell r="D789" t="str">
            <v>A551Groupage nationa</v>
          </cell>
          <cell r="E789">
            <v>4.5429999999999998E-2</v>
          </cell>
        </row>
        <row r="790">
          <cell r="A790">
            <v>909855</v>
          </cell>
          <cell r="B790" t="str">
            <v>GENNEVILLIERS</v>
          </cell>
          <cell r="C790" t="str">
            <v>FRANCAISE DE MECANIQUE</v>
          </cell>
          <cell r="D790" t="str">
            <v>A553Groupage interna</v>
          </cell>
          <cell r="E790">
            <v>0</v>
          </cell>
        </row>
        <row r="791">
          <cell r="A791">
            <v>909855</v>
          </cell>
          <cell r="B791" t="str">
            <v>ROUEN / GRAND QUEVIL</v>
          </cell>
          <cell r="C791" t="str">
            <v>FRANCAISE DE MECANIQUE</v>
          </cell>
          <cell r="D791" t="str">
            <v>A501Lot Divers -501-</v>
          </cell>
        </row>
        <row r="792">
          <cell r="A792">
            <v>909855</v>
          </cell>
          <cell r="B792" t="str">
            <v>ROUEN / GRAND QUEVIL</v>
          </cell>
          <cell r="C792" t="str">
            <v>FRANCAISE DE MECANIQUE</v>
          </cell>
          <cell r="D792" t="str">
            <v>A507Lot Appro PSA -5</v>
          </cell>
        </row>
        <row r="793">
          <cell r="A793" t="str">
            <v>GENERIQ01</v>
          </cell>
          <cell r="B793" t="str">
            <v>GENNEVILLIERS</v>
          </cell>
          <cell r="C793" t="str">
            <v>CO-Générique Hors PSA</v>
          </cell>
          <cell r="D793" t="str">
            <v>A553Groupage interna</v>
          </cell>
          <cell r="E793">
            <v>4.2645799999999996</v>
          </cell>
        </row>
        <row r="794">
          <cell r="A794" t="str">
            <v>GENERIQ01</v>
          </cell>
          <cell r="B794" t="str">
            <v>ORLEANS / ST JEAN DE</v>
          </cell>
          <cell r="C794" t="str">
            <v>CO-Générique Hors PSA</v>
          </cell>
          <cell r="D794" t="str">
            <v>A551Groupage nationa</v>
          </cell>
          <cell r="E794">
            <v>3.4056600000000001</v>
          </cell>
        </row>
        <row r="795">
          <cell r="A795" t="str">
            <v>GENERIQ01</v>
          </cell>
          <cell r="B795" t="str">
            <v>ROUEN / GRAND QUEVIL</v>
          </cell>
          <cell r="C795" t="str">
            <v>CO-Générique Hors PSA</v>
          </cell>
          <cell r="D795" t="str">
            <v>A553Groupage interna</v>
          </cell>
          <cell r="E795">
            <v>3.3115700000000001</v>
          </cell>
        </row>
        <row r="796">
          <cell r="A796" t="str">
            <v>GENERIQ01</v>
          </cell>
          <cell r="B796" t="str">
            <v>DRANCY</v>
          </cell>
          <cell r="C796" t="str">
            <v>CO-Générique Hors PSA</v>
          </cell>
          <cell r="D796" t="str">
            <v>A553Groupage interna</v>
          </cell>
          <cell r="E796">
            <v>3.2504599999999999</v>
          </cell>
        </row>
        <row r="797">
          <cell r="A797" t="str">
            <v>GENERIQ01</v>
          </cell>
          <cell r="B797" t="str">
            <v>MOISSY CRAMAYEL</v>
          </cell>
          <cell r="C797" t="str">
            <v>CO-Générique Hors PSA</v>
          </cell>
          <cell r="D797" t="str">
            <v>A501Lot Divers -501-</v>
          </cell>
          <cell r="E797">
            <v>2.97</v>
          </cell>
        </row>
        <row r="798">
          <cell r="A798" t="str">
            <v>GENERIQ01</v>
          </cell>
          <cell r="B798" t="str">
            <v>ROUEN / GRAND QUEVIL</v>
          </cell>
          <cell r="C798" t="str">
            <v>CO-Générique Hors PSA</v>
          </cell>
          <cell r="D798" t="str">
            <v>A501Lot Divers -501-</v>
          </cell>
          <cell r="E798">
            <v>2.7125699999999999</v>
          </cell>
        </row>
        <row r="799">
          <cell r="A799" t="str">
            <v>GENERIQ01</v>
          </cell>
          <cell r="B799" t="str">
            <v>MOISSY CRAMAYEL</v>
          </cell>
          <cell r="C799" t="str">
            <v>CO-Générique Hors PSA</v>
          </cell>
          <cell r="D799" t="str">
            <v>A551Groupage nationa</v>
          </cell>
          <cell r="E799">
            <v>2.1812999999999998</v>
          </cell>
        </row>
        <row r="800">
          <cell r="A800" t="str">
            <v>GENERIQ01</v>
          </cell>
          <cell r="B800" t="str">
            <v>TROYES / LA CHAPELLE</v>
          </cell>
          <cell r="C800" t="str">
            <v>CO-Générique Hors PSA</v>
          </cell>
          <cell r="D800" t="str">
            <v>A553Groupage interna</v>
          </cell>
          <cell r="E800">
            <v>1.7913600000000001</v>
          </cell>
        </row>
        <row r="801">
          <cell r="A801" t="str">
            <v>GENERIQ01</v>
          </cell>
          <cell r="B801" t="str">
            <v>ROUEN / GRAND QUEVIL</v>
          </cell>
          <cell r="C801" t="str">
            <v>CO-Générique Hors PSA</v>
          </cell>
          <cell r="D801" t="str">
            <v>A551Groupage nationa</v>
          </cell>
          <cell r="E801">
            <v>1.20794</v>
          </cell>
        </row>
        <row r="802">
          <cell r="A802" t="str">
            <v>GENERIQ01</v>
          </cell>
          <cell r="B802" t="str">
            <v>GENNEVILLIERS</v>
          </cell>
          <cell r="C802" t="str">
            <v>CO-Générique Hors PSA</v>
          </cell>
          <cell r="D802" t="str">
            <v>A551Groupage nationa</v>
          </cell>
          <cell r="E802">
            <v>1.15042</v>
          </cell>
        </row>
        <row r="803">
          <cell r="A803" t="str">
            <v>GENERIQ01</v>
          </cell>
          <cell r="B803" t="str">
            <v>MOISSY CRAMAYEL</v>
          </cell>
          <cell r="C803" t="str">
            <v>CO-Générique Hors PSA</v>
          </cell>
          <cell r="D803" t="str">
            <v>A553Groupage interna</v>
          </cell>
          <cell r="E803">
            <v>0.80191999999999997</v>
          </cell>
        </row>
        <row r="804">
          <cell r="A804" t="str">
            <v>GENERIQ01</v>
          </cell>
          <cell r="B804" t="str">
            <v>TROYES / LA CHAPELLE</v>
          </cell>
          <cell r="C804" t="str">
            <v>CO-Générique Hors PSA</v>
          </cell>
          <cell r="D804" t="str">
            <v>A551Groupage nationa</v>
          </cell>
          <cell r="E804">
            <v>0.32558999999999999</v>
          </cell>
        </row>
        <row r="805">
          <cell r="A805" t="str">
            <v>GENERIQ01</v>
          </cell>
          <cell r="B805" t="str">
            <v>ORLEANS / ST JEAN DE</v>
          </cell>
          <cell r="C805" t="str">
            <v>CO-Générique Hors PSA</v>
          </cell>
          <cell r="D805" t="str">
            <v>A553Groupage interna</v>
          </cell>
          <cell r="E805">
            <v>8.0649999999999999E-2</v>
          </cell>
        </row>
        <row r="806">
          <cell r="A806" t="str">
            <v>GENERIQ01</v>
          </cell>
          <cell r="B806" t="str">
            <v>DRANCY</v>
          </cell>
          <cell r="C806" t="str">
            <v>CO-Générique Hors PSA</v>
          </cell>
          <cell r="D806" t="str">
            <v>A551Groupage nationa</v>
          </cell>
          <cell r="E806">
            <v>-1.7932600000000001</v>
          </cell>
        </row>
      </sheetData>
      <sheetData sheetId="2"/>
      <sheetData sheetId="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TATIONS"/>
      <sheetName val="Template"/>
      <sheetName val="email"/>
      <sheetName val="Suivi"/>
      <sheetName val="stats"/>
      <sheetName val="Rappels aux tarifs"/>
      <sheetName val="Actions"/>
      <sheetName val="INFOS &amp; CAS PARTICULIERS"/>
      <sheetName val="ANOMALIES TAXATIONS"/>
      <sheetName val="LISTES"/>
      <sheetName val="CC100"/>
      <sheetName val="CC150"/>
      <sheetName val="CGV"/>
    </sheetNames>
    <sheetDataSet>
      <sheetData sheetId="0">
        <row r="1">
          <cell r="A1" t="str">
            <v>Assistant</v>
          </cell>
          <cell r="B1" t="str">
            <v>Date
cotation</v>
          </cell>
          <cell r="C1" t="str">
            <v xml:space="preserve">
Client</v>
          </cell>
          <cell r="D1" t="str">
            <v>Contact email</v>
          </cell>
          <cell r="E1" t="str">
            <v>Agence</v>
          </cell>
          <cell r="F1" t="str">
            <v>Type CC</v>
          </cell>
          <cell r="G1" t="str">
            <v>Réf cotation client</v>
          </cell>
          <cell r="H1" t="str">
            <v>Départ Pays</v>
          </cell>
          <cell r="I1" t="str">
            <v>Départ
Dpt</v>
          </cell>
          <cell r="J1" t="str">
            <v>Arrivée Pays</v>
          </cell>
          <cell r="K1" t="str">
            <v>Arrivée Dpt</v>
          </cell>
          <cell r="L1" t="str">
            <v>Flux</v>
          </cell>
          <cell r="M1" t="str">
            <v>UM</v>
          </cell>
          <cell r="N1" t="str">
            <v>Poids
(kg)</v>
          </cell>
          <cell r="O1" t="str">
            <v>Volume
(m3)</v>
          </cell>
          <cell r="P1" t="str">
            <v>Poids taxable
(kg)</v>
          </cell>
          <cell r="Q1" t="str">
            <v>Valeur Declarée</v>
          </cell>
          <cell r="R1" t="str">
            <v>Base de Calcul</v>
          </cell>
          <cell r="S1" t="str">
            <v>Tarif existant</v>
          </cell>
          <cell r="T1" t="str">
            <v>Marge V5</v>
          </cell>
          <cell r="U1" t="str">
            <v>RPV V5</v>
          </cell>
          <cell r="V1" t="str">
            <v>Incoterm</v>
          </cell>
          <cell r="W1" t="str">
            <v>401
Transport</v>
          </cell>
          <cell r="X1" t="str">
            <v>955
Sureté</v>
          </cell>
          <cell r="Y1" t="str">
            <v>912
Gasoil</v>
          </cell>
          <cell r="Z1" t="str">
            <v>909
Retour</v>
          </cell>
          <cell r="AA1" t="str">
            <v>420 IDF + Zone diff</v>
          </cell>
          <cell r="AB1" t="str">
            <v>994
RDV</v>
          </cell>
          <cell r="AC1" t="str">
            <v>995
Dynamic</v>
          </cell>
          <cell r="AD1" t="str">
            <v>993
Technic</v>
          </cell>
          <cell r="AE1" t="str">
            <v>905
Douane export</v>
          </cell>
          <cell r="AF1" t="str">
            <v>906
Douane import</v>
          </cell>
          <cell r="AG1" t="str">
            <v>903
Assurances</v>
          </cell>
          <cell r="AH1" t="str">
            <v>400
ADR</v>
          </cell>
          <cell r="AI1" t="str">
            <v>429
Ecotaxe BEL</v>
          </cell>
          <cell r="AJ1" t="str">
            <v>941
COD</v>
          </cell>
          <cell r="AK1" t="str">
            <v>997
Saisie manuelle</v>
          </cell>
          <cell r="AL1" t="str">
            <v>998
Etiquetage</v>
          </cell>
          <cell r="AM1" t="str">
            <v>Frais additionnels</v>
          </cell>
          <cell r="AN1" t="str">
            <v>Gefco special (coût d'achat GS + 30%)</v>
          </cell>
          <cell r="AO1" t="str">
            <v>TOTAL
DEVIS</v>
          </cell>
          <cell r="AP1" t="str">
            <v>Commentaires
Devis</v>
          </cell>
          <cell r="AQ1" t="str">
            <v>Commentaire
Interne</v>
          </cell>
          <cell r="AR1" t="str">
            <v>Date de
validité</v>
          </cell>
          <cell r="AS1" t="str">
            <v>Validation</v>
          </cell>
          <cell r="AT1" t="str">
            <v>Date validation</v>
          </cell>
          <cell r="AU1" t="str">
            <v>Chiffre d'Affaires</v>
          </cell>
          <cell r="AV1" t="str">
            <v>Relance faite</v>
          </cell>
          <cell r="AW1" t="str">
            <v>Nb Relances</v>
          </cell>
          <cell r="AX1" t="str">
            <v>Raison de non
validation</v>
          </cell>
          <cell r="AY1" t="str">
            <v>Commentaire</v>
          </cell>
          <cell r="AZ1" t="str">
            <v>Prix concurrent</v>
          </cell>
          <cell r="BA1" t="str">
            <v>Mois</v>
          </cell>
          <cell r="BB1" t="str">
            <v>Demande Binaire</v>
          </cell>
          <cell r="BC1" t="str">
            <v>Validation Binaire</v>
          </cell>
          <cell r="BD1" t="str">
            <v>A ignorer</v>
          </cell>
          <cell r="BE1" t="str">
            <v>Tarif Existant Binaire</v>
          </cell>
          <cell r="BF1" t="str">
            <v>En Cours Binaire</v>
          </cell>
          <cell r="BG1" t="str">
            <v>CA lost</v>
          </cell>
        </row>
        <row r="2">
          <cell r="C2" t="str">
            <v>EURO PROTECTION</v>
          </cell>
        </row>
        <row r="3">
          <cell r="C3" t="str">
            <v>FUTURAPLAY</v>
          </cell>
        </row>
        <row r="4">
          <cell r="C4" t="str">
            <v>TAS</v>
          </cell>
        </row>
        <row r="5">
          <cell r="C5" t="str">
            <v>WALUSA</v>
          </cell>
        </row>
        <row r="6">
          <cell r="C6" t="str">
            <v>PROVETIQ</v>
          </cell>
        </row>
        <row r="7">
          <cell r="C7" t="str">
            <v>AKTID</v>
          </cell>
        </row>
        <row r="8">
          <cell r="C8" t="str">
            <v>COTE D'AZUR ROUTAGE</v>
          </cell>
        </row>
        <row r="9">
          <cell r="C9" t="str">
            <v>ERIKS</v>
          </cell>
        </row>
        <row r="10">
          <cell r="C10" t="str">
            <v>M A INDUSTRIE</v>
          </cell>
        </row>
        <row r="11">
          <cell r="C11" t="str">
            <v>EEPI ROBOTIQUE</v>
          </cell>
        </row>
        <row r="12">
          <cell r="C12" t="str">
            <v>MEDISTOCK</v>
          </cell>
        </row>
        <row r="13">
          <cell r="C13" t="str">
            <v>IDF MOTEURS</v>
          </cell>
        </row>
        <row r="14">
          <cell r="C14" t="str">
            <v>HYS MOULD</v>
          </cell>
        </row>
        <row r="15">
          <cell r="C15" t="str">
            <v>ERIKS</v>
          </cell>
        </row>
        <row r="16">
          <cell r="C16" t="str">
            <v>ALTITUDES 73</v>
          </cell>
        </row>
        <row r="17">
          <cell r="C17" t="str">
            <v>BALL AEROCAN</v>
          </cell>
        </row>
        <row r="18">
          <cell r="C18" t="str">
            <v>DAG IMPORT</v>
          </cell>
        </row>
        <row r="19">
          <cell r="C19" t="str">
            <v>FORGES DE MONTPLAISIR</v>
          </cell>
        </row>
        <row r="20">
          <cell r="C20" t="str">
            <v>CATERPILLAR</v>
          </cell>
        </row>
        <row r="21">
          <cell r="C21" t="str">
            <v>DRIVE DEVILBISS</v>
          </cell>
        </row>
        <row r="22">
          <cell r="C22" t="str">
            <v>AUBRY GASPARD</v>
          </cell>
        </row>
        <row r="23">
          <cell r="C23" t="str">
            <v>QUIVOGNE</v>
          </cell>
        </row>
        <row r="24">
          <cell r="C24" t="str">
            <v>AIRTEC</v>
          </cell>
        </row>
        <row r="25">
          <cell r="C25" t="str">
            <v>UNIVERS EMBALLAGE</v>
          </cell>
        </row>
        <row r="26">
          <cell r="C26" t="str">
            <v>DED PRODUCTION</v>
          </cell>
        </row>
        <row r="27">
          <cell r="C27" t="str">
            <v>ERIKS</v>
          </cell>
        </row>
        <row r="28">
          <cell r="C28" t="str">
            <v>TRANSCAUSSE</v>
          </cell>
        </row>
        <row r="29">
          <cell r="C29" t="str">
            <v>TRANSCAUSSE</v>
          </cell>
        </row>
        <row r="30">
          <cell r="C30" t="str">
            <v>JOHN DEERE</v>
          </cell>
        </row>
        <row r="31">
          <cell r="C31" t="str">
            <v>VERTIV - EMERSON</v>
          </cell>
        </row>
        <row r="32">
          <cell r="C32" t="str">
            <v>LECORVAISIER</v>
          </cell>
        </row>
        <row r="33">
          <cell r="C33" t="str">
            <v>KROELY</v>
          </cell>
        </row>
        <row r="34">
          <cell r="C34" t="str">
            <v>ELLEPI</v>
          </cell>
        </row>
        <row r="35">
          <cell r="C35" t="str">
            <v>ELLEPI</v>
          </cell>
        </row>
        <row r="36">
          <cell r="C36" t="str">
            <v>POLAIRE</v>
          </cell>
        </row>
        <row r="37">
          <cell r="C37" t="str">
            <v>POLAIRE</v>
          </cell>
        </row>
        <row r="38">
          <cell r="C38" t="str">
            <v>GLAMA INTERNATIONAL</v>
          </cell>
        </row>
        <row r="39">
          <cell r="C39" t="str">
            <v>FUTURAPLAY</v>
          </cell>
        </row>
        <row r="40">
          <cell r="C40" t="str">
            <v>MOULIN RICHARD DE BAS</v>
          </cell>
        </row>
        <row r="41">
          <cell r="C41" t="str">
            <v>ERIKS</v>
          </cell>
        </row>
        <row r="42">
          <cell r="C42" t="str">
            <v>COMPOSE</v>
          </cell>
        </row>
        <row r="43">
          <cell r="C43" t="str">
            <v>ERIKS</v>
          </cell>
        </row>
        <row r="44">
          <cell r="C44" t="str">
            <v>BT PACK</v>
          </cell>
        </row>
        <row r="45">
          <cell r="C45" t="str">
            <v>HOME MAISON</v>
          </cell>
        </row>
        <row r="46">
          <cell r="C46" t="str">
            <v>KSB SERVICE COTUMER</v>
          </cell>
        </row>
        <row r="47">
          <cell r="C47" t="str">
            <v>TOP TECH ITALIA</v>
          </cell>
        </row>
        <row r="48">
          <cell r="C48" t="str">
            <v>DED PRODUCTION</v>
          </cell>
        </row>
        <row r="49">
          <cell r="C49" t="str">
            <v>DED PRODUCTION</v>
          </cell>
        </row>
        <row r="50">
          <cell r="C50" t="str">
            <v>BE CONNECTED</v>
          </cell>
        </row>
        <row r="51">
          <cell r="C51" t="str">
            <v>ERIKS</v>
          </cell>
        </row>
        <row r="52">
          <cell r="C52" t="str">
            <v>ERIKS</v>
          </cell>
        </row>
        <row r="53">
          <cell r="C53" t="str">
            <v>ITOH DENKI</v>
          </cell>
        </row>
        <row r="54">
          <cell r="C54" t="str">
            <v>GRT GAZ</v>
          </cell>
        </row>
        <row r="55">
          <cell r="C55" t="str">
            <v>BOS EQUIPEMENT EHG</v>
          </cell>
        </row>
        <row r="56">
          <cell r="C56" t="str">
            <v>CARTAMUNDI</v>
          </cell>
        </row>
        <row r="57">
          <cell r="C57" t="str">
            <v>OUTILACIER</v>
          </cell>
        </row>
        <row r="58">
          <cell r="C58" t="str">
            <v>SFL</v>
          </cell>
        </row>
        <row r="59">
          <cell r="C59" t="str">
            <v>EUROMAIR</v>
          </cell>
        </row>
        <row r="60">
          <cell r="C60" t="str">
            <v>BEDEVILLE</v>
          </cell>
        </row>
        <row r="61">
          <cell r="C61" t="str">
            <v>BEDEVILLE</v>
          </cell>
        </row>
        <row r="62">
          <cell r="C62" t="str">
            <v>GOUVY MULLER</v>
          </cell>
        </row>
        <row r="63">
          <cell r="C63" t="str">
            <v>KIMBERLY CLARK</v>
          </cell>
        </row>
        <row r="64">
          <cell r="C64" t="str">
            <v>HEXIS</v>
          </cell>
        </row>
        <row r="65">
          <cell r="C65" t="str">
            <v>AXE SOLUTIONS</v>
          </cell>
        </row>
        <row r="66">
          <cell r="C66" t="str">
            <v>GEFPLAST</v>
          </cell>
        </row>
        <row r="67">
          <cell r="C67" t="str">
            <v>VIVIRAD</v>
          </cell>
        </row>
        <row r="68">
          <cell r="C68" t="str">
            <v>VIVIRAD</v>
          </cell>
        </row>
        <row r="69">
          <cell r="C69" t="str">
            <v>CRYONIC MEDICAL</v>
          </cell>
        </row>
        <row r="70">
          <cell r="C70" t="str">
            <v xml:space="preserve">LIEBHERR </v>
          </cell>
        </row>
        <row r="71">
          <cell r="C71" t="str">
            <v>TECHNILUM</v>
          </cell>
        </row>
        <row r="72">
          <cell r="C72" t="str">
            <v>ALUMINOR</v>
          </cell>
        </row>
        <row r="73">
          <cell r="C73" t="str">
            <v>CAP ENERGIE</v>
          </cell>
        </row>
        <row r="74">
          <cell r="C74" t="str">
            <v>REXXIA</v>
          </cell>
        </row>
        <row r="75">
          <cell r="C75" t="str">
            <v>ATIKA SYSTEM</v>
          </cell>
        </row>
        <row r="76">
          <cell r="C76" t="str">
            <v>TEL EXPRESS</v>
          </cell>
        </row>
        <row r="77">
          <cell r="C77" t="str">
            <v>HEXIS</v>
          </cell>
        </row>
        <row r="78">
          <cell r="C78" t="str">
            <v>JTEKT</v>
          </cell>
        </row>
        <row r="79">
          <cell r="C79" t="str">
            <v>ERIKS</v>
          </cell>
        </row>
        <row r="80">
          <cell r="C80" t="str">
            <v>NTN TRANSMISSIONS EUROPE</v>
          </cell>
        </row>
        <row r="81">
          <cell r="C81" t="str">
            <v>EUROMAIR</v>
          </cell>
        </row>
        <row r="82">
          <cell r="C82" t="str">
            <v>CMR GROUP</v>
          </cell>
        </row>
        <row r="83">
          <cell r="C83" t="str">
            <v>TONELLI</v>
          </cell>
        </row>
        <row r="84">
          <cell r="C84" t="str">
            <v>KYMCO LUX</v>
          </cell>
        </row>
        <row r="85">
          <cell r="C85" t="str">
            <v>OPTIBELT</v>
          </cell>
        </row>
        <row r="86">
          <cell r="C86" t="str">
            <v>OUTILACIER</v>
          </cell>
        </row>
        <row r="87">
          <cell r="C87" t="str">
            <v>POLYONE</v>
          </cell>
        </row>
        <row r="88">
          <cell r="C88" t="str">
            <v>TRANSCAUSSE</v>
          </cell>
        </row>
        <row r="89">
          <cell r="C89" t="str">
            <v>VALOCHEM</v>
          </cell>
        </row>
        <row r="90">
          <cell r="C90" t="str">
            <v>EUROMAIR</v>
          </cell>
        </row>
        <row r="91">
          <cell r="C91" t="str">
            <v>MAHLE</v>
          </cell>
        </row>
        <row r="92">
          <cell r="C92" t="str">
            <v>TONELLI</v>
          </cell>
        </row>
        <row r="93">
          <cell r="C93" t="str">
            <v>FUTURAPLAY</v>
          </cell>
        </row>
        <row r="94">
          <cell r="C94" t="str">
            <v>DELMON</v>
          </cell>
        </row>
        <row r="95">
          <cell r="C95" t="str">
            <v>OUTILACIER</v>
          </cell>
        </row>
        <row r="96">
          <cell r="C96" t="str">
            <v xml:space="preserve">LEAR CORPORATION JARNY </v>
          </cell>
        </row>
        <row r="97">
          <cell r="C97" t="str">
            <v>MEDISTOCK</v>
          </cell>
        </row>
        <row r="98">
          <cell r="C98" t="str">
            <v>STYLMONDE</v>
          </cell>
        </row>
        <row r="99">
          <cell r="C99" t="str">
            <v>3MA GROUP</v>
          </cell>
        </row>
        <row r="100">
          <cell r="C100" t="str">
            <v>AGRICARB</v>
          </cell>
        </row>
        <row r="101">
          <cell r="C101" t="str">
            <v>EUROMAIR</v>
          </cell>
        </row>
        <row r="102">
          <cell r="C102" t="str">
            <v>BT PACK</v>
          </cell>
        </row>
        <row r="103">
          <cell r="C103" t="str">
            <v>AXE SOLUTIONS</v>
          </cell>
        </row>
        <row r="104">
          <cell r="C104" t="str">
            <v>METALDYNE</v>
          </cell>
        </row>
        <row r="105">
          <cell r="C105" t="str">
            <v>BOURBON</v>
          </cell>
        </row>
        <row r="106">
          <cell r="C106" t="str">
            <v>RSEAT / France SIMULATEUR</v>
          </cell>
        </row>
        <row r="107">
          <cell r="C107" t="str">
            <v>AIXAM</v>
          </cell>
        </row>
        <row r="108">
          <cell r="C108" t="str">
            <v>INDUSTEAM</v>
          </cell>
        </row>
        <row r="109">
          <cell r="C109" t="str">
            <v>LE JACQUARD Français</v>
          </cell>
        </row>
        <row r="110">
          <cell r="C110" t="str">
            <v>LE JACQUARD Français</v>
          </cell>
        </row>
        <row r="111">
          <cell r="C111" t="str">
            <v xml:space="preserve">LEAR CORPORATION JARNY </v>
          </cell>
        </row>
        <row r="112">
          <cell r="C112" t="str">
            <v xml:space="preserve">LEAR CORPORATION JARNY </v>
          </cell>
        </row>
        <row r="113">
          <cell r="C113" t="str">
            <v xml:space="preserve">NOVARES  </v>
          </cell>
        </row>
        <row r="114">
          <cell r="C114" t="str">
            <v>TRIANGLE</v>
          </cell>
        </row>
        <row r="115">
          <cell r="C115" t="str">
            <v>SCHAEFFLER</v>
          </cell>
        </row>
        <row r="116">
          <cell r="C116" t="str">
            <v>BOURGEOIS</v>
          </cell>
        </row>
        <row r="117">
          <cell r="C117" t="str">
            <v>JEAN LAIN AUTOMOBILES</v>
          </cell>
        </row>
        <row r="118">
          <cell r="C118" t="str">
            <v>SOCAH</v>
          </cell>
        </row>
        <row r="119">
          <cell r="C119" t="str">
            <v>LDM EQUIPEMENT</v>
          </cell>
        </row>
        <row r="120">
          <cell r="C120" t="str">
            <v>TRANSPORTS CHARVIN</v>
          </cell>
        </row>
        <row r="121">
          <cell r="C121" t="str">
            <v>TRANSPORTS CHARVIN</v>
          </cell>
        </row>
        <row r="122">
          <cell r="C122" t="str">
            <v>ARCHI TECH LIGHTING</v>
          </cell>
        </row>
        <row r="123">
          <cell r="C123" t="str">
            <v>BRUEGGEN</v>
          </cell>
        </row>
        <row r="124">
          <cell r="C124" t="str">
            <v>EUROMAIR</v>
          </cell>
        </row>
        <row r="125">
          <cell r="C125" t="str">
            <v xml:space="preserve">LEAR CORPORATION JARNY </v>
          </cell>
        </row>
        <row r="126">
          <cell r="C126" t="str">
            <v xml:space="preserve">LEAR CORPORATION JARNY </v>
          </cell>
        </row>
        <row r="127">
          <cell r="C127" t="str">
            <v>ERIKS</v>
          </cell>
        </row>
        <row r="128">
          <cell r="C128" t="str">
            <v>ERIKS</v>
          </cell>
        </row>
        <row r="129">
          <cell r="C129" t="str">
            <v>GLAMA INTERNATIONAL</v>
          </cell>
        </row>
        <row r="130">
          <cell r="C130" t="str">
            <v>PANALPINA</v>
          </cell>
        </row>
        <row r="131">
          <cell r="C131" t="str">
            <v>OUTILACIER</v>
          </cell>
        </row>
        <row r="132">
          <cell r="C132" t="str">
            <v>EUROMAIR</v>
          </cell>
        </row>
        <row r="133">
          <cell r="C133" t="str">
            <v>MECAPLAST</v>
          </cell>
        </row>
        <row r="134">
          <cell r="C134" t="str">
            <v>BT PACK</v>
          </cell>
        </row>
        <row r="135">
          <cell r="C135" t="str">
            <v>DRAGEES ADAM</v>
          </cell>
        </row>
        <row r="136">
          <cell r="C136" t="str">
            <v>VICARI VIOLLAND</v>
          </cell>
        </row>
        <row r="137">
          <cell r="C137" t="str">
            <v>DATA SERV</v>
          </cell>
        </row>
        <row r="138">
          <cell r="C138" t="str">
            <v>SERIMAG</v>
          </cell>
        </row>
        <row r="139">
          <cell r="C139" t="str">
            <v>PSA MULHOUSE</v>
          </cell>
        </row>
        <row r="140">
          <cell r="C140" t="str">
            <v>RED CASTLE</v>
          </cell>
        </row>
        <row r="141">
          <cell r="C141" t="str">
            <v>SITA MOS AUVERGNE</v>
          </cell>
        </row>
        <row r="142">
          <cell r="C142" t="str">
            <v>POLAIRE</v>
          </cell>
        </row>
        <row r="143">
          <cell r="C143" t="str">
            <v>BC GROUPE</v>
          </cell>
        </row>
        <row r="144">
          <cell r="C144" t="str">
            <v>ELECTRICFIL</v>
          </cell>
        </row>
        <row r="145">
          <cell r="C145" t="str">
            <v>ERIKS</v>
          </cell>
        </row>
        <row r="146">
          <cell r="C146" t="str">
            <v>ERIKS</v>
          </cell>
        </row>
        <row r="147">
          <cell r="C147" t="str">
            <v>EUROSTYLE SYSTEMS SENS</v>
          </cell>
        </row>
        <row r="148">
          <cell r="C148" t="str">
            <v>BUSSI MECANIQUE</v>
          </cell>
        </row>
        <row r="149">
          <cell r="C149" t="str">
            <v>GMS</v>
          </cell>
        </row>
        <row r="150">
          <cell r="C150" t="str">
            <v>STYLMONDE</v>
          </cell>
        </row>
        <row r="151">
          <cell r="C151" t="str">
            <v>SABATIER</v>
          </cell>
        </row>
        <row r="152">
          <cell r="C152" t="str">
            <v>PHILIPS LIGHTING</v>
          </cell>
        </row>
        <row r="153">
          <cell r="C153" t="str">
            <v>TECHNO LOGISTIQUE</v>
          </cell>
        </row>
        <row r="154">
          <cell r="C154" t="str">
            <v>ETESIA</v>
          </cell>
        </row>
        <row r="155">
          <cell r="C155" t="str">
            <v>PYXIDIS - MAS</v>
          </cell>
        </row>
        <row r="156">
          <cell r="C156" t="str">
            <v>SUDIMEX</v>
          </cell>
        </row>
        <row r="157">
          <cell r="C157" t="str">
            <v>NEWTECBAG</v>
          </cell>
        </row>
        <row r="158">
          <cell r="C158" t="str">
            <v>LE RESERVOIR</v>
          </cell>
        </row>
        <row r="159">
          <cell r="C159" t="str">
            <v>MODUGAME</v>
          </cell>
        </row>
        <row r="160">
          <cell r="C160" t="str">
            <v>France DETECTION SERVICES</v>
          </cell>
        </row>
        <row r="161">
          <cell r="C161" t="str">
            <v>France DETECTION SERVICES</v>
          </cell>
        </row>
        <row r="162">
          <cell r="C162" t="str">
            <v>KSB SERVICE COTUMER</v>
          </cell>
        </row>
        <row r="163">
          <cell r="C163" t="str">
            <v>KSB SERVICE COTUMER</v>
          </cell>
        </row>
        <row r="164">
          <cell r="C164" t="str">
            <v>BLACHERE ILLUMINATION</v>
          </cell>
        </row>
        <row r="165">
          <cell r="C165" t="str">
            <v>ALTITUDES 73</v>
          </cell>
        </row>
        <row r="166">
          <cell r="C166" t="str">
            <v>FUTURAPLAY</v>
          </cell>
        </row>
        <row r="167">
          <cell r="C167" t="str">
            <v>ALUMINOR</v>
          </cell>
        </row>
        <row r="168">
          <cell r="C168" t="str">
            <v>LUTECIE</v>
          </cell>
        </row>
        <row r="169">
          <cell r="C169" t="str">
            <v>BILLARDY</v>
          </cell>
        </row>
        <row r="170">
          <cell r="C170" t="str">
            <v>MONDRAGON</v>
          </cell>
        </row>
        <row r="171">
          <cell r="C171" t="str">
            <v>EUROMAIR</v>
          </cell>
        </row>
        <row r="172">
          <cell r="C172" t="str">
            <v>ORTH</v>
          </cell>
        </row>
        <row r="173">
          <cell r="C173" t="str">
            <v>BT PACK</v>
          </cell>
        </row>
        <row r="174">
          <cell r="C174" t="str">
            <v>PBI</v>
          </cell>
        </row>
        <row r="175">
          <cell r="C175" t="str">
            <v>ISOVATION</v>
          </cell>
        </row>
        <row r="176">
          <cell r="C176" t="str">
            <v>ISOVATION</v>
          </cell>
        </row>
        <row r="177">
          <cell r="C177" t="str">
            <v>ISOVATION</v>
          </cell>
        </row>
        <row r="178">
          <cell r="C178" t="str">
            <v>SOLVAY</v>
          </cell>
        </row>
        <row r="179">
          <cell r="C179" t="str">
            <v>SOLVAY</v>
          </cell>
        </row>
        <row r="180">
          <cell r="C180" t="str">
            <v>IDEAL STANDARD</v>
          </cell>
        </row>
        <row r="181">
          <cell r="C181" t="str">
            <v>K&amp;K CONCEPT</v>
          </cell>
        </row>
        <row r="182">
          <cell r="C182" t="str">
            <v>K&amp;K CONCEPT</v>
          </cell>
        </row>
        <row r="183">
          <cell r="C183" t="str">
            <v>ORTH</v>
          </cell>
        </row>
        <row r="184">
          <cell r="C184" t="str">
            <v>BEABA</v>
          </cell>
        </row>
        <row r="185">
          <cell r="C185" t="str">
            <v>VIRAX</v>
          </cell>
        </row>
        <row r="186">
          <cell r="C186" t="str">
            <v>FUTURAPLAY</v>
          </cell>
        </row>
        <row r="187">
          <cell r="C187" t="str">
            <v>EUROCOOLER</v>
          </cell>
        </row>
        <row r="188">
          <cell r="C188" t="str">
            <v>SPIE SUD EST</v>
          </cell>
        </row>
        <row r="189">
          <cell r="C189" t="str">
            <v>IMPRIMERIE FUCHEY</v>
          </cell>
        </row>
        <row r="190">
          <cell r="C190" t="str">
            <v>EUROSTYLE SYSTEMS SENS</v>
          </cell>
        </row>
        <row r="191">
          <cell r="C191" t="str">
            <v>ERIKS</v>
          </cell>
        </row>
        <row r="192">
          <cell r="C192" t="str">
            <v>PANALPINA</v>
          </cell>
        </row>
        <row r="193">
          <cell r="C193" t="str">
            <v>EUROMAIR</v>
          </cell>
        </row>
        <row r="194">
          <cell r="C194" t="str">
            <v>SUMIKA</v>
          </cell>
        </row>
        <row r="195">
          <cell r="C195" t="str">
            <v>MEDISTAR</v>
          </cell>
        </row>
        <row r="196">
          <cell r="C196" t="str">
            <v>QUIVOGNE</v>
          </cell>
        </row>
        <row r="197">
          <cell r="C197" t="str">
            <v>GREENWEEZ</v>
          </cell>
        </row>
        <row r="198">
          <cell r="C198" t="str">
            <v>ENEOMEY</v>
          </cell>
        </row>
        <row r="199">
          <cell r="C199" t="str">
            <v>DELICES DES BOIS</v>
          </cell>
        </row>
        <row r="200">
          <cell r="C200" t="str">
            <v>STYLMONDE</v>
          </cell>
        </row>
        <row r="201">
          <cell r="C201" t="str">
            <v>AKTID</v>
          </cell>
        </row>
        <row r="202">
          <cell r="C202" t="str">
            <v>SOCAT</v>
          </cell>
        </row>
        <row r="203">
          <cell r="C203" t="str">
            <v>LOUDET ACCESSOIRES</v>
          </cell>
        </row>
        <row r="204">
          <cell r="C204" t="str">
            <v>VIBRA</v>
          </cell>
        </row>
        <row r="205">
          <cell r="C205" t="str">
            <v>ROUSSELON</v>
          </cell>
        </row>
        <row r="206">
          <cell r="C206" t="str">
            <v>KYMCO LUX</v>
          </cell>
        </row>
        <row r="207">
          <cell r="C207" t="str">
            <v>AUBRY GASPARD</v>
          </cell>
        </row>
        <row r="208">
          <cell r="C208" t="str">
            <v>ARAMINE</v>
          </cell>
        </row>
        <row r="209">
          <cell r="C209" t="str">
            <v>BOIS DU DAUPHINE</v>
          </cell>
        </row>
        <row r="210">
          <cell r="C210" t="str">
            <v>MELICONI</v>
          </cell>
        </row>
        <row r="211">
          <cell r="C211" t="str">
            <v>KYMCO LUX</v>
          </cell>
        </row>
        <row r="212">
          <cell r="C212" t="str">
            <v>CONFISERIE STANISLAS</v>
          </cell>
        </row>
        <row r="213">
          <cell r="C213" t="str">
            <v>CONFISERIE STANISLAS</v>
          </cell>
        </row>
        <row r="214">
          <cell r="C214" t="str">
            <v>ARCHI TECH LIGHTING</v>
          </cell>
        </row>
        <row r="215">
          <cell r="C215" t="str">
            <v>FAURECIA</v>
          </cell>
        </row>
        <row r="216">
          <cell r="C216" t="str">
            <v>FUTURAPLAY</v>
          </cell>
        </row>
        <row r="217">
          <cell r="C217" t="str">
            <v>FOREPLAST</v>
          </cell>
        </row>
        <row r="218">
          <cell r="C218" t="str">
            <v>3MA GROUP</v>
          </cell>
        </row>
        <row r="219">
          <cell r="C219" t="str">
            <v>EIH ISOFROID</v>
          </cell>
        </row>
        <row r="220">
          <cell r="C220" t="str">
            <v>DAFY MOTO</v>
          </cell>
        </row>
        <row r="221">
          <cell r="C221" t="str">
            <v>MECASEM</v>
          </cell>
        </row>
        <row r="222">
          <cell r="C222" t="str">
            <v>AS DE CARREAUX</v>
          </cell>
        </row>
        <row r="223">
          <cell r="C223" t="str">
            <v>WELDING ALLOYS</v>
          </cell>
        </row>
        <row r="224">
          <cell r="C224" t="str">
            <v>FILPACK</v>
          </cell>
        </row>
        <row r="225">
          <cell r="C225" t="str">
            <v>PEBEO</v>
          </cell>
        </row>
        <row r="226">
          <cell r="C226" t="str">
            <v>ARAMINE</v>
          </cell>
        </row>
        <row r="227">
          <cell r="C227" t="str">
            <v>CRYONIC MEDICAL</v>
          </cell>
        </row>
        <row r="228">
          <cell r="C228" t="str">
            <v>MAHLE</v>
          </cell>
        </row>
        <row r="229">
          <cell r="C229" t="str">
            <v>FLEX N GATE</v>
          </cell>
        </row>
        <row r="230">
          <cell r="C230" t="str">
            <v>BOURBON</v>
          </cell>
        </row>
        <row r="231">
          <cell r="C231" t="str">
            <v>AXE SOLUTIONS</v>
          </cell>
        </row>
        <row r="232">
          <cell r="C232" t="str">
            <v>BOS EQUIPEMENT EHG</v>
          </cell>
        </row>
        <row r="233">
          <cell r="C233" t="str">
            <v>3MA GROUP</v>
          </cell>
        </row>
        <row r="234">
          <cell r="C234" t="str">
            <v>EUROSTYLE SYSTEMS SENS</v>
          </cell>
        </row>
        <row r="235">
          <cell r="C235" t="str">
            <v>INTAIRMEDICAL</v>
          </cell>
        </row>
        <row r="236">
          <cell r="C236" t="str">
            <v>NORPROTEX</v>
          </cell>
        </row>
        <row r="237">
          <cell r="C237" t="str">
            <v>KYMCO LUX</v>
          </cell>
        </row>
        <row r="238">
          <cell r="C238" t="str">
            <v>MGM</v>
          </cell>
        </row>
        <row r="239">
          <cell r="C239" t="str">
            <v>HTS DISTRIBUTION</v>
          </cell>
        </row>
        <row r="240">
          <cell r="C240" t="str">
            <v>ROUCHY</v>
          </cell>
        </row>
        <row r="241">
          <cell r="C241" t="str">
            <v>SODEPM</v>
          </cell>
        </row>
        <row r="242">
          <cell r="C242" t="str">
            <v>SOCAT</v>
          </cell>
        </row>
        <row r="243">
          <cell r="C243" t="str">
            <v>DAG IMPORT</v>
          </cell>
        </row>
        <row r="244">
          <cell r="C244" t="str">
            <v>FUTURAPLAY</v>
          </cell>
        </row>
        <row r="245">
          <cell r="C245" t="str">
            <v>WELDING ALLOYS</v>
          </cell>
        </row>
        <row r="246">
          <cell r="C246" t="str">
            <v>TEL EXPRESS</v>
          </cell>
        </row>
        <row r="247">
          <cell r="C247" t="str">
            <v>ROUCHY</v>
          </cell>
        </row>
        <row r="248">
          <cell r="C248" t="str">
            <v>TRESSE INDUSTRIE</v>
          </cell>
        </row>
        <row r="249">
          <cell r="C249" t="str">
            <v>ITOH DENKI</v>
          </cell>
        </row>
        <row r="250">
          <cell r="C250" t="str">
            <v>LNS EUROPE</v>
          </cell>
        </row>
        <row r="251">
          <cell r="C251" t="str">
            <v>CHÂTEAU ST ESTEVE</v>
          </cell>
        </row>
        <row r="252">
          <cell r="C252" t="str">
            <v>CHÂTEAU ST ESTEVE</v>
          </cell>
        </row>
        <row r="253">
          <cell r="C253" t="str">
            <v>DED PRODUCTION</v>
          </cell>
        </row>
        <row r="254">
          <cell r="C254" t="str">
            <v>SABATIER</v>
          </cell>
        </row>
        <row r="255">
          <cell r="C255" t="str">
            <v>PROGARDEN</v>
          </cell>
        </row>
        <row r="256">
          <cell r="C256" t="str">
            <v>MEDISTOCK</v>
          </cell>
        </row>
        <row r="257">
          <cell r="C257" t="str">
            <v>TRESSE INDUSTRIE</v>
          </cell>
        </row>
        <row r="258">
          <cell r="C258" t="str">
            <v>MECASEM</v>
          </cell>
        </row>
        <row r="259">
          <cell r="C259" t="str">
            <v>STYLMONDE</v>
          </cell>
        </row>
        <row r="260">
          <cell r="C260" t="str">
            <v>EUROMAIR</v>
          </cell>
        </row>
        <row r="261">
          <cell r="C261" t="str">
            <v>WESTRAND</v>
          </cell>
        </row>
        <row r="262">
          <cell r="C262" t="str">
            <v>BOS EQUIPEMENT EHG</v>
          </cell>
        </row>
        <row r="263">
          <cell r="C263" t="str">
            <v>POLAIRE</v>
          </cell>
        </row>
        <row r="264">
          <cell r="C264" t="str">
            <v>LC DAUPHIN</v>
          </cell>
        </row>
        <row r="265">
          <cell r="C265" t="str">
            <v>TRESSE INDUSTRIE</v>
          </cell>
        </row>
        <row r="266">
          <cell r="C266" t="str">
            <v>GRT GAZ</v>
          </cell>
        </row>
        <row r="267">
          <cell r="C267" t="str">
            <v>ERIKS</v>
          </cell>
        </row>
        <row r="268">
          <cell r="C268" t="str">
            <v>PHILIPS</v>
          </cell>
        </row>
        <row r="269">
          <cell r="C269" t="str">
            <v>CHÂTEAU ST ESTEVE</v>
          </cell>
        </row>
        <row r="270">
          <cell r="C270" t="str">
            <v>TRESSE INDUSTRIE</v>
          </cell>
        </row>
        <row r="271">
          <cell r="C271" t="str">
            <v>ALTITUDES 73</v>
          </cell>
        </row>
        <row r="272">
          <cell r="C272" t="str">
            <v>MERLETT</v>
          </cell>
        </row>
        <row r="273">
          <cell r="C273" t="str">
            <v>BT PACK</v>
          </cell>
        </row>
        <row r="274">
          <cell r="C274" t="str">
            <v>JST France</v>
          </cell>
        </row>
        <row r="275">
          <cell r="C275" t="str">
            <v>BEABA</v>
          </cell>
        </row>
        <row r="276">
          <cell r="C276" t="str">
            <v>SERINA</v>
          </cell>
        </row>
        <row r="277">
          <cell r="C277" t="str">
            <v>RSEAT / France SIMULATEUR</v>
          </cell>
        </row>
        <row r="278">
          <cell r="C278" t="str">
            <v>FORGE N COMPONENTS</v>
          </cell>
        </row>
        <row r="279">
          <cell r="C279" t="str">
            <v>ALUMINOR</v>
          </cell>
        </row>
        <row r="280">
          <cell r="C280" t="str">
            <v>AKTID</v>
          </cell>
        </row>
        <row r="281">
          <cell r="C281" t="str">
            <v>INTAIRMEDICAL</v>
          </cell>
        </row>
        <row r="282">
          <cell r="C282" t="str">
            <v>PLAXER</v>
          </cell>
        </row>
        <row r="283">
          <cell r="C283" t="str">
            <v>LA RIVIERE</v>
          </cell>
        </row>
        <row r="284">
          <cell r="C284" t="str">
            <v>RED CASTLE</v>
          </cell>
        </row>
        <row r="285">
          <cell r="C285" t="str">
            <v>ERIKS</v>
          </cell>
        </row>
        <row r="286">
          <cell r="C286" t="str">
            <v>TECHNITUBE</v>
          </cell>
        </row>
        <row r="287">
          <cell r="C287" t="str">
            <v>RSEAT / France SIMULATEUR</v>
          </cell>
        </row>
        <row r="288">
          <cell r="C288" t="str">
            <v>LES ADHESIFS DU DRAC</v>
          </cell>
        </row>
        <row r="289">
          <cell r="C289" t="str">
            <v>ZF AFTERMARKET</v>
          </cell>
        </row>
        <row r="290">
          <cell r="C290" t="str">
            <v>SIMP ORTHO SOLUTIONS</v>
          </cell>
        </row>
        <row r="291">
          <cell r="C291" t="str">
            <v>GOUVY MULLER</v>
          </cell>
        </row>
        <row r="292">
          <cell r="C292" t="str">
            <v>GOUVY MULLER</v>
          </cell>
        </row>
        <row r="293">
          <cell r="C293" t="str">
            <v>AXE LOGISTICS</v>
          </cell>
        </row>
        <row r="294">
          <cell r="C294" t="str">
            <v>NOVARES MONACO</v>
          </cell>
        </row>
        <row r="295">
          <cell r="C295" t="str">
            <v>SOPROGA</v>
          </cell>
        </row>
        <row r="296">
          <cell r="C296" t="str">
            <v>CERAMIQUE DE FORBACH</v>
          </cell>
        </row>
        <row r="297">
          <cell r="C297" t="str">
            <v>BT PACK</v>
          </cell>
        </row>
        <row r="298">
          <cell r="C298" t="str">
            <v>NEWTECBAG</v>
          </cell>
        </row>
        <row r="299">
          <cell r="C299" t="str">
            <v>METALDYNE</v>
          </cell>
        </row>
        <row r="300">
          <cell r="C300" t="str">
            <v>NOVARES MONACO</v>
          </cell>
        </row>
        <row r="301">
          <cell r="C301" t="str">
            <v>ALTITUDES 73</v>
          </cell>
        </row>
        <row r="302">
          <cell r="C302" t="str">
            <v>DIBE</v>
          </cell>
        </row>
        <row r="303">
          <cell r="C303" t="str">
            <v>NTN TRANSMISSIONS EUROPE</v>
          </cell>
        </row>
        <row r="304">
          <cell r="C304" t="str">
            <v>MBC GUTTIN</v>
          </cell>
        </row>
        <row r="305">
          <cell r="C305" t="str">
            <v>FUTURAPLAY</v>
          </cell>
        </row>
        <row r="306">
          <cell r="C306" t="str">
            <v>LA PLUME DOREE</v>
          </cell>
        </row>
        <row r="307">
          <cell r="C307" t="str">
            <v>AKTID</v>
          </cell>
        </row>
        <row r="308">
          <cell r="C308" t="str">
            <v>BILLARDY</v>
          </cell>
        </row>
        <row r="309">
          <cell r="C309" t="str">
            <v>STYLMONDE</v>
          </cell>
        </row>
        <row r="310">
          <cell r="C310" t="str">
            <v>WESTRAND</v>
          </cell>
        </row>
        <row r="311">
          <cell r="C311" t="str">
            <v>MECAPLAST</v>
          </cell>
        </row>
        <row r="312">
          <cell r="C312" t="str">
            <v>QUIVOGNE</v>
          </cell>
        </row>
        <row r="313">
          <cell r="C313" t="str">
            <v>CMR GROUP</v>
          </cell>
        </row>
        <row r="314">
          <cell r="C314" t="str">
            <v>TRANSCAUSSE</v>
          </cell>
        </row>
        <row r="315">
          <cell r="C315" t="str">
            <v>KALDEWEI</v>
          </cell>
        </row>
        <row r="316">
          <cell r="C316" t="str">
            <v>SIDEO</v>
          </cell>
        </row>
        <row r="317">
          <cell r="C317" t="str">
            <v>SIDEO</v>
          </cell>
        </row>
        <row r="318">
          <cell r="C318" t="str">
            <v>SIDEO</v>
          </cell>
        </row>
        <row r="319">
          <cell r="C319" t="str">
            <v>SOFEC</v>
          </cell>
        </row>
        <row r="320">
          <cell r="C320" t="str">
            <v>LA PLUME DOREE</v>
          </cell>
        </row>
        <row r="321">
          <cell r="C321" t="str">
            <v>SABATIER</v>
          </cell>
        </row>
        <row r="322">
          <cell r="C322" t="str">
            <v>SARPI</v>
          </cell>
        </row>
        <row r="323">
          <cell r="C323" t="str">
            <v>SOCAH</v>
          </cell>
        </row>
        <row r="324">
          <cell r="C324" t="str">
            <v>WESTRAND</v>
          </cell>
        </row>
        <row r="325">
          <cell r="C325" t="str">
            <v>SOBEM</v>
          </cell>
        </row>
        <row r="326">
          <cell r="C326" t="str">
            <v>BEABA</v>
          </cell>
        </row>
        <row r="327">
          <cell r="C327" t="str">
            <v>VALOCHEM</v>
          </cell>
        </row>
        <row r="328">
          <cell r="C328" t="str">
            <v>ODIL</v>
          </cell>
        </row>
        <row r="329">
          <cell r="C329" t="str">
            <v>DAG IMPORT</v>
          </cell>
        </row>
        <row r="330">
          <cell r="C330" t="str">
            <v>C2P</v>
          </cell>
        </row>
        <row r="331">
          <cell r="C331" t="str">
            <v>ISOVOLTA</v>
          </cell>
        </row>
        <row r="332">
          <cell r="C332" t="str">
            <v>LA PLUME DOREE</v>
          </cell>
        </row>
        <row r="333">
          <cell r="C333" t="str">
            <v>PASS'OISANS</v>
          </cell>
        </row>
        <row r="334">
          <cell r="C334" t="str">
            <v>AQUALUX</v>
          </cell>
        </row>
        <row r="335">
          <cell r="C335" t="str">
            <v>ERIKS</v>
          </cell>
        </row>
        <row r="336">
          <cell r="C336" t="str">
            <v>ERIKS</v>
          </cell>
        </row>
        <row r="337">
          <cell r="C337" t="str">
            <v>VALEO BEN AROUS</v>
          </cell>
        </row>
        <row r="338">
          <cell r="C338" t="str">
            <v>PEUGEOT</v>
          </cell>
        </row>
        <row r="339">
          <cell r="C339" t="str">
            <v>HONEYWELL</v>
          </cell>
        </row>
        <row r="340">
          <cell r="C340" t="str">
            <v>ODEM</v>
          </cell>
        </row>
        <row r="341">
          <cell r="C341" t="str">
            <v>ODEM</v>
          </cell>
        </row>
        <row r="342">
          <cell r="C342" t="str">
            <v>WINBACK</v>
          </cell>
        </row>
        <row r="343">
          <cell r="C343" t="str">
            <v>MB TECH</v>
          </cell>
        </row>
        <row r="344">
          <cell r="C344" t="str">
            <v>ERIKS</v>
          </cell>
        </row>
        <row r="345">
          <cell r="C345" t="str">
            <v>NOVARES MONACO</v>
          </cell>
        </row>
        <row r="346">
          <cell r="C346" t="str">
            <v>RICHTER SYSTEM</v>
          </cell>
        </row>
        <row r="347">
          <cell r="C347" t="str">
            <v>HEXIS</v>
          </cell>
        </row>
        <row r="348">
          <cell r="C348" t="str">
            <v>EUROMAIR</v>
          </cell>
        </row>
        <row r="349">
          <cell r="C349" t="str">
            <v>EUROMAIR</v>
          </cell>
        </row>
        <row r="350">
          <cell r="C350" t="str">
            <v>DOMAINE LEFLAIVE</v>
          </cell>
        </row>
        <row r="351">
          <cell r="C351" t="str">
            <v>MAHLE</v>
          </cell>
        </row>
        <row r="352">
          <cell r="C352" t="str">
            <v>ERIKS</v>
          </cell>
        </row>
        <row r="353">
          <cell r="C353" t="str">
            <v>STYLMONDE</v>
          </cell>
        </row>
        <row r="354">
          <cell r="C354" t="str">
            <v>ATS GROUP</v>
          </cell>
        </row>
        <row r="355">
          <cell r="C355" t="str">
            <v>ERIKS</v>
          </cell>
        </row>
        <row r="356">
          <cell r="C356" t="str">
            <v>BT PACK</v>
          </cell>
        </row>
        <row r="357">
          <cell r="C357" t="str">
            <v>RSEAT / France SIMULATEUR</v>
          </cell>
        </row>
        <row r="358">
          <cell r="C358" t="str">
            <v>WELDING ALLOYS</v>
          </cell>
        </row>
        <row r="359">
          <cell r="C359" t="str">
            <v>TRANSCAUSSE</v>
          </cell>
        </row>
        <row r="360">
          <cell r="C360" t="str">
            <v>EUROCOOLER</v>
          </cell>
        </row>
        <row r="361">
          <cell r="C361" t="str">
            <v>POLYONE</v>
          </cell>
        </row>
        <row r="362">
          <cell r="C362" t="str">
            <v>SCHAEFFLER</v>
          </cell>
        </row>
        <row r="363">
          <cell r="C363" t="str">
            <v>ERIKS</v>
          </cell>
        </row>
        <row r="364">
          <cell r="C364" t="str">
            <v>BRON COUCKE</v>
          </cell>
        </row>
        <row r="365">
          <cell r="C365" t="str">
            <v>PAK EMBALLAGES</v>
          </cell>
        </row>
        <row r="366">
          <cell r="C366" t="str">
            <v>FILPACK</v>
          </cell>
        </row>
        <row r="367">
          <cell r="C367" t="str">
            <v>PENGO</v>
          </cell>
        </row>
        <row r="368">
          <cell r="C368" t="str">
            <v>DPI PLASTUBE</v>
          </cell>
        </row>
        <row r="369">
          <cell r="C369" t="str">
            <v>RSEAT / France SIMULATEUR</v>
          </cell>
        </row>
        <row r="370">
          <cell r="C370" t="str">
            <v>WALUSA</v>
          </cell>
        </row>
        <row r="371">
          <cell r="C371" t="str">
            <v>ZWIEBEL</v>
          </cell>
        </row>
        <row r="372">
          <cell r="C372" t="str">
            <v>ELITECH</v>
          </cell>
        </row>
        <row r="373">
          <cell r="C373" t="str">
            <v>SNWN</v>
          </cell>
        </row>
        <row r="374">
          <cell r="C374" t="str">
            <v>PERRON RIGOT</v>
          </cell>
        </row>
        <row r="375">
          <cell r="C375" t="str">
            <v>RED CASTLE</v>
          </cell>
        </row>
        <row r="376">
          <cell r="C376" t="str">
            <v>PHILIPS</v>
          </cell>
        </row>
        <row r="377">
          <cell r="C377" t="str">
            <v>NOVARES MONACO</v>
          </cell>
        </row>
        <row r="378">
          <cell r="C378" t="str">
            <v>HONEYWELL</v>
          </cell>
        </row>
        <row r="379">
          <cell r="C379" t="str">
            <v>QUIVOGNE</v>
          </cell>
        </row>
        <row r="380">
          <cell r="C380" t="str">
            <v>COPCI</v>
          </cell>
        </row>
        <row r="381">
          <cell r="C381" t="str">
            <v>DAFY MOTO</v>
          </cell>
        </row>
        <row r="382">
          <cell r="C382" t="str">
            <v>COUNTRY FARM</v>
          </cell>
        </row>
        <row r="383">
          <cell r="C383" t="str">
            <v>COUNTRY FARM</v>
          </cell>
        </row>
        <row r="384">
          <cell r="C384" t="str">
            <v>DEMAVIC</v>
          </cell>
        </row>
        <row r="385">
          <cell r="C385" t="str">
            <v>AJ HOME</v>
          </cell>
        </row>
        <row r="386">
          <cell r="C386" t="str">
            <v>BEABA</v>
          </cell>
        </row>
        <row r="387">
          <cell r="C387" t="str">
            <v>COPCI</v>
          </cell>
        </row>
        <row r="388">
          <cell r="C388" t="str">
            <v>QUIVOGNE</v>
          </cell>
        </row>
        <row r="389">
          <cell r="C389" t="str">
            <v>POLYONE</v>
          </cell>
        </row>
        <row r="390">
          <cell r="C390" t="str">
            <v>WESTRAND</v>
          </cell>
        </row>
        <row r="391">
          <cell r="C391" t="str">
            <v>KYMCO LUX</v>
          </cell>
        </row>
        <row r="392">
          <cell r="C392" t="str">
            <v>KYMCO LUX</v>
          </cell>
        </row>
        <row r="393">
          <cell r="C393" t="str">
            <v>KYMCO LUX</v>
          </cell>
        </row>
        <row r="394">
          <cell r="C394" t="str">
            <v>KYMCO LUX</v>
          </cell>
        </row>
        <row r="395">
          <cell r="C395" t="str">
            <v>ISOVATION</v>
          </cell>
        </row>
        <row r="396">
          <cell r="C396" t="str">
            <v>SOCAH</v>
          </cell>
        </row>
        <row r="397">
          <cell r="C397" t="str">
            <v>DRAHTZUG</v>
          </cell>
        </row>
        <row r="398">
          <cell r="C398" t="str">
            <v>WESTRAND</v>
          </cell>
        </row>
        <row r="399">
          <cell r="C399" t="str">
            <v>ELITECH</v>
          </cell>
        </row>
        <row r="400">
          <cell r="C400" t="str">
            <v>FUTURAPLAY</v>
          </cell>
        </row>
        <row r="401">
          <cell r="C401" t="str">
            <v>EUROMAIR</v>
          </cell>
        </row>
        <row r="402">
          <cell r="C402" t="str">
            <v>CRYONIC MEDICAL</v>
          </cell>
        </row>
        <row r="403">
          <cell r="C403" t="str">
            <v>CRYONIC MEDICAL</v>
          </cell>
        </row>
        <row r="404">
          <cell r="C404" t="str">
            <v xml:space="preserve">LEAR CORPORATION JARNY </v>
          </cell>
        </row>
        <row r="405">
          <cell r="C405" t="str">
            <v>PANIER DES SENS</v>
          </cell>
        </row>
        <row r="406">
          <cell r="C406" t="str">
            <v>KYMCO LUX</v>
          </cell>
        </row>
        <row r="407">
          <cell r="C407" t="str">
            <v>PSA MULHOUSE</v>
          </cell>
        </row>
        <row r="408">
          <cell r="C408" t="str">
            <v>AS DE CARREAUX</v>
          </cell>
        </row>
        <row r="409">
          <cell r="C409" t="str">
            <v>COPCI</v>
          </cell>
        </row>
        <row r="410">
          <cell r="C410" t="str">
            <v>COPCI</v>
          </cell>
        </row>
        <row r="411">
          <cell r="C411" t="str">
            <v>COPCI</v>
          </cell>
        </row>
        <row r="412">
          <cell r="C412" t="str">
            <v>COPCI</v>
          </cell>
        </row>
        <row r="413">
          <cell r="C413" t="str">
            <v>SAM ET LUX</v>
          </cell>
        </row>
        <row r="414">
          <cell r="C414" t="str">
            <v>BIO UV</v>
          </cell>
        </row>
        <row r="415">
          <cell r="C415" t="str">
            <v>EUROMAIR</v>
          </cell>
        </row>
        <row r="416">
          <cell r="C416" t="str">
            <v>DAFY MOTO</v>
          </cell>
        </row>
        <row r="417">
          <cell r="C417" t="str">
            <v xml:space="preserve">LEAR CORPORATION JARNY </v>
          </cell>
        </row>
        <row r="418">
          <cell r="C418" t="str">
            <v>SOCAH</v>
          </cell>
        </row>
        <row r="419">
          <cell r="C419" t="str">
            <v>DAG IMPORT</v>
          </cell>
        </row>
        <row r="420">
          <cell r="C420" t="str">
            <v>LUTECIE</v>
          </cell>
        </row>
        <row r="421">
          <cell r="C421" t="str">
            <v>EUROMAIR</v>
          </cell>
        </row>
        <row r="422">
          <cell r="C422" t="str">
            <v>MEDIC CENTRE EQUIPEMENT</v>
          </cell>
        </row>
        <row r="423">
          <cell r="C423" t="str">
            <v>WESTRAND</v>
          </cell>
        </row>
        <row r="424">
          <cell r="C424" t="str">
            <v>KYMCO LUX</v>
          </cell>
        </row>
        <row r="425">
          <cell r="C425" t="str">
            <v>POLAIRE</v>
          </cell>
        </row>
        <row r="426">
          <cell r="C426" t="str">
            <v>CICE</v>
          </cell>
        </row>
        <row r="427">
          <cell r="C427" t="str">
            <v>SFL</v>
          </cell>
        </row>
        <row r="428">
          <cell r="C428" t="str">
            <v>AGRICARB</v>
          </cell>
        </row>
        <row r="429">
          <cell r="C429" t="str">
            <v>TS LUX</v>
          </cell>
        </row>
        <row r="430">
          <cell r="C430" t="str">
            <v>METALDYNE</v>
          </cell>
        </row>
        <row r="431">
          <cell r="C431" t="str">
            <v>TRANSCAUSSE</v>
          </cell>
        </row>
        <row r="432">
          <cell r="C432" t="str">
            <v>DAFY MOTO</v>
          </cell>
        </row>
        <row r="433">
          <cell r="C433" t="str">
            <v>ERIKS</v>
          </cell>
        </row>
        <row r="434">
          <cell r="C434" t="str">
            <v>ERIKS</v>
          </cell>
        </row>
        <row r="435">
          <cell r="C435" t="str">
            <v>EUROSTYLE SYSTEMS SENS</v>
          </cell>
        </row>
        <row r="436">
          <cell r="C436" t="str">
            <v>SOMATEM</v>
          </cell>
        </row>
        <row r="437">
          <cell r="C437" t="str">
            <v>VAUDREY</v>
          </cell>
        </row>
        <row r="438">
          <cell r="C438" t="str">
            <v>CATERPILLAR</v>
          </cell>
        </row>
        <row r="439">
          <cell r="C439" t="str">
            <v>DAFY MOTO</v>
          </cell>
        </row>
        <row r="440">
          <cell r="C440" t="str">
            <v>TRANSCAUSSE</v>
          </cell>
        </row>
        <row r="441">
          <cell r="C441" t="str">
            <v>BEABA</v>
          </cell>
        </row>
        <row r="442">
          <cell r="C442" t="str">
            <v>BEABA</v>
          </cell>
        </row>
        <row r="443">
          <cell r="C443" t="str">
            <v>CAP ENERGIE</v>
          </cell>
        </row>
        <row r="444">
          <cell r="C444" t="str">
            <v>GOUVY MULLER</v>
          </cell>
        </row>
        <row r="445">
          <cell r="C445" t="str">
            <v>STYLMONDE</v>
          </cell>
        </row>
        <row r="446">
          <cell r="C446" t="str">
            <v>ERIKS</v>
          </cell>
        </row>
        <row r="447">
          <cell r="C447" t="str">
            <v>LEBON ET VERNAY</v>
          </cell>
        </row>
        <row r="448">
          <cell r="C448" t="str">
            <v>MB TECH</v>
          </cell>
        </row>
        <row r="449">
          <cell r="C449" t="str">
            <v>EUROMAIR</v>
          </cell>
        </row>
        <row r="450">
          <cell r="C450" t="str">
            <v>RICHTER SYSTEM</v>
          </cell>
        </row>
        <row r="451">
          <cell r="C451" t="str">
            <v>NTN TRANSMISSIONS EUROPE</v>
          </cell>
        </row>
        <row r="452">
          <cell r="C452" t="str">
            <v>FAURECIA SIELEST</v>
          </cell>
        </row>
        <row r="453">
          <cell r="C453" t="str">
            <v>DOMAINE DE LUMIAN</v>
          </cell>
        </row>
        <row r="454">
          <cell r="C454" t="str">
            <v>LUTECIE</v>
          </cell>
        </row>
        <row r="455">
          <cell r="C455" t="str">
            <v>ISOVOLTA</v>
          </cell>
        </row>
        <row r="456">
          <cell r="C456" t="str">
            <v>BEABA</v>
          </cell>
        </row>
        <row r="457">
          <cell r="C457" t="str">
            <v>LUTECIE</v>
          </cell>
        </row>
        <row r="458">
          <cell r="C458" t="str">
            <v>LUTECIE</v>
          </cell>
        </row>
        <row r="459">
          <cell r="C459" t="str">
            <v>SINOTEC</v>
          </cell>
        </row>
        <row r="460">
          <cell r="C460" t="str">
            <v>ERIKS</v>
          </cell>
        </row>
        <row r="461">
          <cell r="C461" t="str">
            <v>DAG IMPORT</v>
          </cell>
        </row>
        <row r="462">
          <cell r="C462" t="str">
            <v>ESPACE LAND</v>
          </cell>
        </row>
        <row r="463">
          <cell r="C463" t="str">
            <v>ESPACE LAND</v>
          </cell>
        </row>
        <row r="464">
          <cell r="C464" t="str">
            <v>RSEAT / France SIMULATEUR</v>
          </cell>
        </row>
        <row r="465">
          <cell r="C465" t="str">
            <v>PRODIF</v>
          </cell>
        </row>
        <row r="466">
          <cell r="C466" t="str">
            <v>TS LUX</v>
          </cell>
        </row>
        <row r="467">
          <cell r="C467" t="str">
            <v>JEAN LAIN AUTOMOBILES</v>
          </cell>
        </row>
        <row r="468">
          <cell r="C468" t="str">
            <v>RICHTER SYSTEM</v>
          </cell>
        </row>
        <row r="469">
          <cell r="C469" t="str">
            <v>C2I COMMERCE</v>
          </cell>
        </row>
        <row r="470">
          <cell r="C470" t="str">
            <v>FUTURAPLAY</v>
          </cell>
        </row>
        <row r="471">
          <cell r="C471" t="str">
            <v>TOP TECH ITALIA</v>
          </cell>
        </row>
        <row r="472">
          <cell r="C472" t="str">
            <v>PHILIPS</v>
          </cell>
        </row>
        <row r="473">
          <cell r="C473" t="str">
            <v>QUIVOGNE</v>
          </cell>
        </row>
        <row r="474">
          <cell r="C474" t="str">
            <v>FUTURAPLAY</v>
          </cell>
        </row>
        <row r="475">
          <cell r="C475" t="str">
            <v>CATERPILLAR</v>
          </cell>
        </row>
        <row r="476">
          <cell r="C476" t="str">
            <v>POLAIRE</v>
          </cell>
        </row>
        <row r="477">
          <cell r="C477" t="str">
            <v>PACK AND CARRY</v>
          </cell>
        </row>
        <row r="478">
          <cell r="C478" t="str">
            <v>SOLVAY</v>
          </cell>
        </row>
        <row r="479">
          <cell r="C479" t="str">
            <v>SOLVAY</v>
          </cell>
        </row>
        <row r="480">
          <cell r="C480" t="str">
            <v>PEUREUX</v>
          </cell>
        </row>
        <row r="481">
          <cell r="C481" t="str">
            <v>TRANSCAUSSE</v>
          </cell>
        </row>
        <row r="482">
          <cell r="C482" t="str">
            <v>GUSTAVE MULLER</v>
          </cell>
        </row>
        <row r="483">
          <cell r="C483" t="str">
            <v>E-TEX</v>
          </cell>
        </row>
        <row r="484">
          <cell r="C484" t="str">
            <v>PACK AND CARRY</v>
          </cell>
        </row>
        <row r="485">
          <cell r="C485" t="str">
            <v>SOCAH</v>
          </cell>
        </row>
        <row r="486">
          <cell r="C486" t="str">
            <v>ERIKS</v>
          </cell>
        </row>
        <row r="487">
          <cell r="C487" t="str">
            <v>KNAUF</v>
          </cell>
        </row>
        <row r="488">
          <cell r="C488" t="str">
            <v>KNAUF</v>
          </cell>
        </row>
        <row r="489">
          <cell r="C489" t="str">
            <v>TRANSCAUSSE</v>
          </cell>
        </row>
        <row r="490">
          <cell r="C490" t="str">
            <v>PACK AND CARRY</v>
          </cell>
        </row>
        <row r="491">
          <cell r="C491" t="str">
            <v>PACK AND CARRY</v>
          </cell>
        </row>
        <row r="492">
          <cell r="C492" t="str">
            <v>TOUL'EMBAL</v>
          </cell>
        </row>
        <row r="493">
          <cell r="C493" t="str">
            <v>TOUL'EMBAL</v>
          </cell>
        </row>
        <row r="494">
          <cell r="C494" t="str">
            <v>FUTURAPLAY</v>
          </cell>
        </row>
        <row r="495">
          <cell r="C495" t="str">
            <v>ARAMINE</v>
          </cell>
        </row>
        <row r="496">
          <cell r="C496" t="str">
            <v xml:space="preserve">LEAR CORPORATION JARNY </v>
          </cell>
        </row>
        <row r="497">
          <cell r="C497" t="str">
            <v>PRASTEL</v>
          </cell>
        </row>
        <row r="498">
          <cell r="C498" t="str">
            <v>ALTITUDES 73</v>
          </cell>
        </row>
        <row r="499">
          <cell r="C499" t="str">
            <v>LE RESERVOIR</v>
          </cell>
        </row>
        <row r="500">
          <cell r="C500" t="str">
            <v>CORNU</v>
          </cell>
        </row>
        <row r="501">
          <cell r="C501" t="str">
            <v>3MA GROUP</v>
          </cell>
        </row>
        <row r="502">
          <cell r="C502" t="str">
            <v>VALEO BEN AROUS</v>
          </cell>
        </row>
        <row r="503">
          <cell r="C503" t="str">
            <v>NOVARES MONACO</v>
          </cell>
        </row>
        <row r="504">
          <cell r="C504" t="str">
            <v>CATERPILLAR</v>
          </cell>
        </row>
        <row r="505">
          <cell r="C505" t="str">
            <v>CATERPILLAR</v>
          </cell>
        </row>
        <row r="506">
          <cell r="C506" t="str">
            <v>NTN TRANSMISSIONS EUROPE</v>
          </cell>
        </row>
        <row r="507">
          <cell r="C507" t="str">
            <v>AGRICARB</v>
          </cell>
        </row>
        <row r="508">
          <cell r="C508" t="str">
            <v>DRAHTZUG</v>
          </cell>
        </row>
        <row r="509">
          <cell r="C509" t="str">
            <v>ALSTOM</v>
          </cell>
        </row>
        <row r="510">
          <cell r="C510" t="str">
            <v>KOEHLER</v>
          </cell>
        </row>
        <row r="511">
          <cell r="C511" t="str">
            <v>FUTURAPLAY</v>
          </cell>
        </row>
        <row r="512">
          <cell r="C512" t="str">
            <v>DAFY MOTO</v>
          </cell>
        </row>
        <row r="513">
          <cell r="C513" t="str">
            <v>SINOTEC</v>
          </cell>
        </row>
        <row r="514">
          <cell r="C514" t="str">
            <v>KNAUF INDUSTRIES</v>
          </cell>
        </row>
        <row r="515">
          <cell r="C515" t="str">
            <v>SITA MOS AUVERGNE</v>
          </cell>
        </row>
        <row r="516">
          <cell r="C516" t="str">
            <v>GEO OCEAN</v>
          </cell>
        </row>
        <row r="517">
          <cell r="C517" t="str">
            <v>MELICONI</v>
          </cell>
        </row>
        <row r="518">
          <cell r="C518" t="str">
            <v>VALOCHEM</v>
          </cell>
        </row>
        <row r="519">
          <cell r="C519" t="str">
            <v>ERIKS</v>
          </cell>
        </row>
        <row r="520">
          <cell r="C520" t="str">
            <v>ERIKS</v>
          </cell>
        </row>
        <row r="521">
          <cell r="C521" t="str">
            <v>RSEAT / France SIMULATEUR</v>
          </cell>
        </row>
        <row r="522">
          <cell r="C522" t="str">
            <v>KNAUF INDUSTRIES</v>
          </cell>
        </row>
        <row r="523">
          <cell r="C523" t="str">
            <v>PACK AND CARRY</v>
          </cell>
        </row>
        <row r="524">
          <cell r="C524" t="str">
            <v>PACK AND CARRY</v>
          </cell>
        </row>
        <row r="525">
          <cell r="C525" t="str">
            <v>PACK AND CARRY</v>
          </cell>
        </row>
        <row r="526">
          <cell r="C526" t="str">
            <v>PACK AND CARRY</v>
          </cell>
        </row>
        <row r="527">
          <cell r="C527" t="str">
            <v>KNAUF INDUSTRIES</v>
          </cell>
        </row>
        <row r="528">
          <cell r="C528" t="str">
            <v>WELDING ALLOYS</v>
          </cell>
        </row>
        <row r="529">
          <cell r="C529" t="str">
            <v>PEUGEOT SCOOTERS</v>
          </cell>
        </row>
        <row r="530">
          <cell r="C530" t="str">
            <v>PROLYMPACK</v>
          </cell>
        </row>
        <row r="531">
          <cell r="C531" t="str">
            <v>FUTURAPLAY</v>
          </cell>
        </row>
        <row r="532">
          <cell r="C532" t="str">
            <v>PHILIPS</v>
          </cell>
        </row>
        <row r="533">
          <cell r="C533" t="str">
            <v>STYLMONDE</v>
          </cell>
        </row>
        <row r="534">
          <cell r="C534" t="str">
            <v>LEHMANN</v>
          </cell>
        </row>
        <row r="535">
          <cell r="C535" t="str">
            <v>ERIKS</v>
          </cell>
        </row>
        <row r="536">
          <cell r="C536" t="str">
            <v>ERIKS</v>
          </cell>
        </row>
        <row r="537">
          <cell r="C537" t="str">
            <v>AIR LIQUIDE WELDING France</v>
          </cell>
        </row>
        <row r="538">
          <cell r="C538" t="str">
            <v>RSEAT / France SIMULATEUR</v>
          </cell>
        </row>
        <row r="539">
          <cell r="C539" t="str">
            <v>FAURECIA SIEDOUBS</v>
          </cell>
        </row>
        <row r="540">
          <cell r="C540" t="str">
            <v>CATERPILLAR</v>
          </cell>
        </row>
        <row r="541">
          <cell r="C541" t="str">
            <v>PANALPINA</v>
          </cell>
        </row>
        <row r="542">
          <cell r="C542" t="str">
            <v>SERIMAG</v>
          </cell>
        </row>
        <row r="543">
          <cell r="C543" t="str">
            <v>SOCAT</v>
          </cell>
        </row>
        <row r="544">
          <cell r="C544" t="str">
            <v>SITA MOS AUVERGNE</v>
          </cell>
        </row>
        <row r="545">
          <cell r="C545" t="str">
            <v>DASIR</v>
          </cell>
        </row>
        <row r="546">
          <cell r="C546" t="str">
            <v>SITA MOS AUVERGNE</v>
          </cell>
        </row>
        <row r="547">
          <cell r="C547" t="str">
            <v>PASS'OISANS</v>
          </cell>
        </row>
        <row r="548">
          <cell r="C548" t="str">
            <v>SERFI</v>
          </cell>
        </row>
        <row r="549">
          <cell r="C549" t="str">
            <v>SOCAT</v>
          </cell>
        </row>
        <row r="550">
          <cell r="C550" t="str">
            <v>TRANSCAUSSE</v>
          </cell>
        </row>
        <row r="551">
          <cell r="C551" t="str">
            <v>TRANSCAUSSE</v>
          </cell>
        </row>
        <row r="552">
          <cell r="C552" t="str">
            <v>TS LUX</v>
          </cell>
        </row>
        <row r="553">
          <cell r="C553" t="str">
            <v>PASS'OISANS</v>
          </cell>
        </row>
        <row r="554">
          <cell r="C554" t="str">
            <v>BUSSI MECANIQUE</v>
          </cell>
        </row>
        <row r="555">
          <cell r="C555" t="str">
            <v>HIGH CO DATA</v>
          </cell>
        </row>
        <row r="556">
          <cell r="C556" t="str">
            <v>TRANSCAUSSE</v>
          </cell>
        </row>
        <row r="557">
          <cell r="C557" t="str">
            <v>BOUCHE</v>
          </cell>
        </row>
        <row r="558">
          <cell r="C558" t="str">
            <v>TS LUX</v>
          </cell>
        </row>
        <row r="559">
          <cell r="C559" t="str">
            <v>MGI COUTIER</v>
          </cell>
        </row>
        <row r="560">
          <cell r="C560" t="str">
            <v>DELMAT</v>
          </cell>
        </row>
        <row r="561">
          <cell r="C561" t="str">
            <v>EIMI</v>
          </cell>
        </row>
        <row r="562">
          <cell r="C562" t="str">
            <v>AXE SOLUTIONS</v>
          </cell>
        </row>
        <row r="563">
          <cell r="C563" t="str">
            <v>ERIKS</v>
          </cell>
        </row>
        <row r="564">
          <cell r="C564" t="str">
            <v>OUTILACIER</v>
          </cell>
        </row>
        <row r="565">
          <cell r="C565" t="str">
            <v>SOCAT</v>
          </cell>
        </row>
        <row r="566">
          <cell r="C566" t="str">
            <v>CPC LOGISTICS</v>
          </cell>
        </row>
        <row r="567">
          <cell r="C567" t="str">
            <v>HALADJIAN</v>
          </cell>
        </row>
        <row r="568">
          <cell r="C568" t="str">
            <v>VALEO</v>
          </cell>
        </row>
        <row r="569">
          <cell r="C569" t="str">
            <v>GASTON MILLE</v>
          </cell>
        </row>
        <row r="570">
          <cell r="C570" t="str">
            <v>OUTILACIER</v>
          </cell>
        </row>
        <row r="571">
          <cell r="C571" t="str">
            <v>DAG IMPORT</v>
          </cell>
        </row>
        <row r="572">
          <cell r="C572" t="str">
            <v>CPL</v>
          </cell>
        </row>
        <row r="573">
          <cell r="C573" t="str">
            <v>CPL</v>
          </cell>
        </row>
        <row r="574">
          <cell r="C574" t="str">
            <v>PACK AND CARRY</v>
          </cell>
        </row>
        <row r="575">
          <cell r="C575" t="str">
            <v>PACK AND CARRY</v>
          </cell>
        </row>
        <row r="576">
          <cell r="C576" t="str">
            <v>PACK AND CARRY</v>
          </cell>
        </row>
        <row r="577">
          <cell r="C577" t="str">
            <v>FILPACK</v>
          </cell>
        </row>
        <row r="578">
          <cell r="C578" t="str">
            <v>GOUVY MULLER</v>
          </cell>
        </row>
        <row r="579">
          <cell r="C579" t="str">
            <v>TOUL'EMBAL</v>
          </cell>
        </row>
        <row r="580">
          <cell r="C580" t="str">
            <v>PHILIPS</v>
          </cell>
        </row>
        <row r="581">
          <cell r="C581" t="str">
            <v>PHILIPS</v>
          </cell>
        </row>
        <row r="582">
          <cell r="C582" t="str">
            <v>NTN TRANSMISSIONS EUROPE</v>
          </cell>
        </row>
        <row r="583">
          <cell r="C583" t="str">
            <v>NTN TRANSMISSIONS EUROPE</v>
          </cell>
        </row>
        <row r="584">
          <cell r="C584" t="str">
            <v>LE CORVAISIER</v>
          </cell>
        </row>
        <row r="585">
          <cell r="C585" t="str">
            <v>EDA</v>
          </cell>
        </row>
        <row r="586">
          <cell r="C586" t="str">
            <v>VALEO BEN AROUS</v>
          </cell>
        </row>
        <row r="587">
          <cell r="C587" t="str">
            <v>OPTIMAS</v>
          </cell>
        </row>
        <row r="588">
          <cell r="C588" t="str">
            <v>KYMCO LUX</v>
          </cell>
        </row>
        <row r="589">
          <cell r="C589" t="str">
            <v>KYMCO LUX</v>
          </cell>
        </row>
        <row r="590">
          <cell r="C590" t="str">
            <v>ESL</v>
          </cell>
        </row>
        <row r="591">
          <cell r="C591" t="str">
            <v>LEBON ET VERNAY</v>
          </cell>
        </row>
        <row r="592">
          <cell r="C592" t="str">
            <v>DOMAINE MORDOREE</v>
          </cell>
        </row>
        <row r="593">
          <cell r="C593" t="str">
            <v>FUTURAPLAY</v>
          </cell>
        </row>
        <row r="594">
          <cell r="C594" t="str">
            <v>KSB SERVICE COTUMER</v>
          </cell>
        </row>
        <row r="595">
          <cell r="C595" t="str">
            <v>POLAIRE</v>
          </cell>
        </row>
        <row r="596">
          <cell r="C596" t="str">
            <v>VALOCHEM</v>
          </cell>
        </row>
        <row r="597">
          <cell r="C597" t="str">
            <v>JML</v>
          </cell>
        </row>
        <row r="598">
          <cell r="C598" t="str">
            <v>S2G</v>
          </cell>
        </row>
        <row r="599">
          <cell r="C599" t="str">
            <v>EUROMAIR</v>
          </cell>
        </row>
        <row r="600">
          <cell r="C600" t="str">
            <v>SEMIN</v>
          </cell>
        </row>
        <row r="601">
          <cell r="C601" t="str">
            <v>KNAUF INDUSTRIES</v>
          </cell>
        </row>
        <row r="602">
          <cell r="C602" t="str">
            <v>TOP TECH ITALIA</v>
          </cell>
        </row>
        <row r="603">
          <cell r="C603" t="str">
            <v>SOCAH</v>
          </cell>
        </row>
        <row r="604">
          <cell r="C604" t="str">
            <v>MANNESMANN</v>
          </cell>
        </row>
        <row r="605">
          <cell r="C605" t="str">
            <v>ERIKS</v>
          </cell>
        </row>
        <row r="606">
          <cell r="C606" t="str">
            <v>LABARONNE CITAF</v>
          </cell>
        </row>
        <row r="607">
          <cell r="C607" t="str">
            <v>PANALPINA</v>
          </cell>
        </row>
        <row r="608">
          <cell r="C608" t="str">
            <v>ERIKS</v>
          </cell>
        </row>
        <row r="609">
          <cell r="C609" t="str">
            <v>ERIKS</v>
          </cell>
        </row>
        <row r="610">
          <cell r="C610" t="str">
            <v>SGD</v>
          </cell>
        </row>
        <row r="611">
          <cell r="C611" t="str">
            <v>FUTURAPLAY</v>
          </cell>
        </row>
        <row r="612">
          <cell r="C612" t="str">
            <v>MECA DIFFUSION</v>
          </cell>
        </row>
        <row r="613">
          <cell r="C613" t="str">
            <v>SAUNIER</v>
          </cell>
        </row>
        <row r="614">
          <cell r="C614" t="str">
            <v>ALX TECHNOLOGIES</v>
          </cell>
        </row>
        <row r="615">
          <cell r="C615" t="str">
            <v>SEPAL</v>
          </cell>
        </row>
        <row r="616">
          <cell r="C616" t="str">
            <v>PEUGEOT SCOOTERS</v>
          </cell>
        </row>
        <row r="617">
          <cell r="C617" t="str">
            <v>LABARONNE CITAF</v>
          </cell>
        </row>
        <row r="618">
          <cell r="C618" t="str">
            <v>ERIKS</v>
          </cell>
        </row>
        <row r="619">
          <cell r="C619" t="str">
            <v>FAURECIA SIEDOUBS</v>
          </cell>
        </row>
        <row r="620">
          <cell r="C620" t="str">
            <v>DISTRIPALET</v>
          </cell>
        </row>
        <row r="621">
          <cell r="C621" t="str">
            <v>KYMCO LUX</v>
          </cell>
        </row>
        <row r="622">
          <cell r="C622" t="str">
            <v>ACT</v>
          </cell>
        </row>
        <row r="623">
          <cell r="C623" t="str">
            <v>CID PLASTIQUES</v>
          </cell>
        </row>
        <row r="624">
          <cell r="C624" t="str">
            <v>DAG IMPORT</v>
          </cell>
        </row>
        <row r="625">
          <cell r="C625" t="str">
            <v>3MA GROUP</v>
          </cell>
        </row>
        <row r="626">
          <cell r="C626" t="str">
            <v>SEMIN</v>
          </cell>
        </row>
        <row r="627">
          <cell r="C627" t="str">
            <v>QUIVOGNE</v>
          </cell>
        </row>
        <row r="628">
          <cell r="C628" t="str">
            <v>WALUSA</v>
          </cell>
        </row>
        <row r="629">
          <cell r="C629" t="str">
            <v>SINOTEC</v>
          </cell>
        </row>
        <row r="630">
          <cell r="C630" t="str">
            <v>EDA</v>
          </cell>
        </row>
        <row r="631">
          <cell r="C631" t="str">
            <v>SIEDOUBS</v>
          </cell>
        </row>
        <row r="632">
          <cell r="C632" t="str">
            <v>DANGEL</v>
          </cell>
        </row>
        <row r="633">
          <cell r="C633" t="str">
            <v>MEDISTOCK</v>
          </cell>
        </row>
        <row r="634">
          <cell r="C634" t="str">
            <v>QUIVOGNE</v>
          </cell>
        </row>
        <row r="635">
          <cell r="C635" t="str">
            <v>PEUGEOT SCOOTERS</v>
          </cell>
        </row>
        <row r="636">
          <cell r="C636" t="str">
            <v>FUTURAPLAY</v>
          </cell>
        </row>
        <row r="637">
          <cell r="C637" t="str">
            <v>EIMI</v>
          </cell>
        </row>
        <row r="638">
          <cell r="C638" t="str">
            <v>DOMAINE MONNIER</v>
          </cell>
        </row>
        <row r="639">
          <cell r="C639" t="str">
            <v>PANALPINA</v>
          </cell>
        </row>
        <row r="640">
          <cell r="C640" t="str">
            <v>PROTECTA</v>
          </cell>
        </row>
        <row r="641">
          <cell r="C641" t="str">
            <v>PANALPINA</v>
          </cell>
        </row>
        <row r="642">
          <cell r="C642" t="str">
            <v>SITA MOS AUVERGNE</v>
          </cell>
        </row>
        <row r="643">
          <cell r="C643" t="str">
            <v>ERIKS</v>
          </cell>
        </row>
        <row r="644">
          <cell r="C644" t="str">
            <v>RENE PIERRE</v>
          </cell>
        </row>
        <row r="645">
          <cell r="C645" t="str">
            <v>FUTURAPLAY</v>
          </cell>
        </row>
        <row r="646">
          <cell r="C646" t="str">
            <v>SAUNIER</v>
          </cell>
        </row>
        <row r="647">
          <cell r="C647" t="str">
            <v>EUROSTYLE SYSTEMS SENS</v>
          </cell>
        </row>
        <row r="648">
          <cell r="C648" t="str">
            <v>PEUGEOT SCOOTERS</v>
          </cell>
        </row>
        <row r="649">
          <cell r="C649" t="str">
            <v>EUROMAIR</v>
          </cell>
        </row>
        <row r="650">
          <cell r="C650" t="str">
            <v>EUROMAIR</v>
          </cell>
        </row>
        <row r="651">
          <cell r="C651" t="str">
            <v>DELMAT</v>
          </cell>
        </row>
        <row r="652">
          <cell r="C652" t="str">
            <v xml:space="preserve">LEAR CORPORATION JARNY </v>
          </cell>
        </row>
        <row r="653">
          <cell r="C653" t="str">
            <v>KYMCO LUX</v>
          </cell>
        </row>
        <row r="654">
          <cell r="C654" t="str">
            <v>CIBOMATE</v>
          </cell>
        </row>
        <row r="655">
          <cell r="C655" t="str">
            <v>BLACHERE ILLUMINATION</v>
          </cell>
        </row>
        <row r="656">
          <cell r="C656" t="str">
            <v>AXE SOLUTIONS</v>
          </cell>
        </row>
        <row r="657">
          <cell r="C657" t="str">
            <v>EISMO</v>
          </cell>
        </row>
        <row r="658">
          <cell r="C658" t="str">
            <v>SIAMP</v>
          </cell>
        </row>
        <row r="659">
          <cell r="C659" t="str">
            <v>SIAMP</v>
          </cell>
        </row>
        <row r="660">
          <cell r="C660" t="str">
            <v>SIAMP</v>
          </cell>
        </row>
        <row r="661">
          <cell r="C661" t="str">
            <v>SIAMP</v>
          </cell>
        </row>
        <row r="662">
          <cell r="C662" t="str">
            <v>SIAMP</v>
          </cell>
        </row>
        <row r="663">
          <cell r="C663" t="str">
            <v>SIAMP</v>
          </cell>
        </row>
        <row r="664">
          <cell r="C664" t="str">
            <v>SIAMP</v>
          </cell>
        </row>
        <row r="665">
          <cell r="C665" t="str">
            <v>SIAMP</v>
          </cell>
        </row>
        <row r="666">
          <cell r="C666" t="str">
            <v>SIAMP</v>
          </cell>
        </row>
        <row r="667">
          <cell r="C667" t="str">
            <v>SIAMP</v>
          </cell>
        </row>
        <row r="668">
          <cell r="C668" t="str">
            <v>SIAMP</v>
          </cell>
        </row>
        <row r="669">
          <cell r="C669" t="str">
            <v>SIAMP</v>
          </cell>
        </row>
        <row r="670">
          <cell r="C670" t="str">
            <v>SIAMP</v>
          </cell>
        </row>
        <row r="671">
          <cell r="C671" t="str">
            <v>SIAMP</v>
          </cell>
        </row>
        <row r="672">
          <cell r="C672" t="str">
            <v>SIAMP</v>
          </cell>
        </row>
        <row r="673">
          <cell r="C673" t="str">
            <v>OUTILACIER</v>
          </cell>
        </row>
        <row r="674">
          <cell r="C674" t="str">
            <v>RSEAT / France SIMULATEUR</v>
          </cell>
        </row>
        <row r="675">
          <cell r="C675" t="str">
            <v>SIAMP</v>
          </cell>
        </row>
        <row r="676">
          <cell r="C676" t="str">
            <v>LES PTITS THEMES</v>
          </cell>
        </row>
        <row r="677">
          <cell r="C677" t="str">
            <v>CMD</v>
          </cell>
        </row>
        <row r="678">
          <cell r="C678" t="str">
            <v>LECORVAISIER</v>
          </cell>
        </row>
        <row r="679">
          <cell r="C679" t="str">
            <v>FOCUS</v>
          </cell>
        </row>
        <row r="680">
          <cell r="C680" t="str">
            <v>TORBEL</v>
          </cell>
        </row>
        <row r="681">
          <cell r="C681" t="str">
            <v>3MA GROUP</v>
          </cell>
        </row>
        <row r="682">
          <cell r="C682" t="str">
            <v>TEL EXPRESS</v>
          </cell>
        </row>
        <row r="683">
          <cell r="C683" t="str">
            <v>ERIKS</v>
          </cell>
        </row>
        <row r="684">
          <cell r="C684" t="str">
            <v>ERIKS</v>
          </cell>
        </row>
        <row r="685">
          <cell r="C685" t="str">
            <v>TRANSPORTS CHARVIN</v>
          </cell>
        </row>
        <row r="686">
          <cell r="C686" t="str">
            <v>VALEO BEN AROUS</v>
          </cell>
        </row>
        <row r="687">
          <cell r="C687" t="str">
            <v>BT PACK</v>
          </cell>
        </row>
        <row r="688">
          <cell r="C688" t="str">
            <v>OUTILACIER</v>
          </cell>
        </row>
        <row r="689">
          <cell r="C689" t="str">
            <v>ERIKS</v>
          </cell>
        </row>
        <row r="690">
          <cell r="C690" t="str">
            <v>COPCI</v>
          </cell>
        </row>
        <row r="691">
          <cell r="C691" t="str">
            <v>COFELY</v>
          </cell>
        </row>
        <row r="692">
          <cell r="C692" t="str">
            <v>COPCI</v>
          </cell>
        </row>
        <row r="693">
          <cell r="C693" t="str">
            <v>TOP TECH ITALIA</v>
          </cell>
        </row>
        <row r="694">
          <cell r="C694" t="str">
            <v>COTTEL RESEAUX</v>
          </cell>
        </row>
        <row r="695">
          <cell r="C695" t="str">
            <v>POLAIRE</v>
          </cell>
        </row>
        <row r="696">
          <cell r="C696" t="str">
            <v>POLAIRE</v>
          </cell>
        </row>
        <row r="697">
          <cell r="C697" t="str">
            <v>TRANSCAUSSE</v>
          </cell>
        </row>
        <row r="698">
          <cell r="C698" t="str">
            <v>ROUSSEY ET FILS</v>
          </cell>
        </row>
        <row r="699">
          <cell r="C699" t="str">
            <v>LABARONNE CITAF</v>
          </cell>
        </row>
        <row r="700">
          <cell r="C700" t="str">
            <v>LABARONNE CITAF</v>
          </cell>
        </row>
        <row r="701">
          <cell r="C701" t="str">
            <v>LABARONNE CITAF</v>
          </cell>
        </row>
        <row r="702">
          <cell r="C702" t="str">
            <v>LABARONNE CITAF</v>
          </cell>
        </row>
        <row r="703">
          <cell r="C703" t="str">
            <v>AS DE CARREAUX</v>
          </cell>
        </row>
        <row r="704">
          <cell r="C704" t="str">
            <v>AXE SOLUTIONS</v>
          </cell>
        </row>
        <row r="705">
          <cell r="C705" t="str">
            <v>PEARL DIFFUSION</v>
          </cell>
        </row>
        <row r="706">
          <cell r="C706" t="str">
            <v>LABARONNE CITAF</v>
          </cell>
        </row>
        <row r="707">
          <cell r="C707" t="str">
            <v>AIRTEC</v>
          </cell>
        </row>
        <row r="708">
          <cell r="C708" t="str">
            <v>CAMI AGRO</v>
          </cell>
        </row>
        <row r="709">
          <cell r="C709" t="str">
            <v>BREA SYSTEM</v>
          </cell>
        </row>
        <row r="710">
          <cell r="C710" t="str">
            <v>BREA SYSTEM</v>
          </cell>
        </row>
        <row r="711">
          <cell r="C711" t="str">
            <v>CLAIR ET NET</v>
          </cell>
        </row>
        <row r="712">
          <cell r="C712" t="str">
            <v>DELTAPLUS</v>
          </cell>
        </row>
        <row r="713">
          <cell r="C713" t="str">
            <v>TS LUX</v>
          </cell>
        </row>
        <row r="714">
          <cell r="C714" t="str">
            <v>PLANCHER</v>
          </cell>
        </row>
        <row r="715">
          <cell r="C715" t="str">
            <v xml:space="preserve">LEAR CORPORATION JARNY </v>
          </cell>
        </row>
        <row r="716">
          <cell r="C716" t="str">
            <v>FITT France</v>
          </cell>
        </row>
        <row r="717">
          <cell r="C717" t="str">
            <v>MASSENEZ</v>
          </cell>
        </row>
        <row r="718">
          <cell r="C718" t="str">
            <v>CHAMPAGNE JANISSON</v>
          </cell>
        </row>
        <row r="719">
          <cell r="C719" t="str">
            <v>DIP</v>
          </cell>
        </row>
        <row r="720">
          <cell r="C720" t="str">
            <v>TRANSCAUSSE</v>
          </cell>
        </row>
        <row r="721">
          <cell r="C721" t="str">
            <v>HYGIAL</v>
          </cell>
        </row>
        <row r="722">
          <cell r="C722" t="str">
            <v>HYGIAL</v>
          </cell>
        </row>
        <row r="723">
          <cell r="C723" t="str">
            <v>HYGIAL</v>
          </cell>
        </row>
        <row r="724">
          <cell r="C724" t="str">
            <v>HYGIAL</v>
          </cell>
        </row>
        <row r="725">
          <cell r="C725" t="str">
            <v>HYGIAL</v>
          </cell>
        </row>
        <row r="726">
          <cell r="C726" t="str">
            <v>HYGIAL</v>
          </cell>
        </row>
        <row r="727">
          <cell r="C727" t="str">
            <v>HYGIAL</v>
          </cell>
        </row>
        <row r="728">
          <cell r="C728" t="str">
            <v>HYGIAL</v>
          </cell>
        </row>
        <row r="729">
          <cell r="C729" t="str">
            <v>HYGIAL</v>
          </cell>
        </row>
        <row r="730">
          <cell r="C730" t="str">
            <v>HYGIAL</v>
          </cell>
        </row>
        <row r="731">
          <cell r="C731" t="str">
            <v>HYGIAL</v>
          </cell>
        </row>
        <row r="732">
          <cell r="C732" t="str">
            <v>HYGIAL</v>
          </cell>
        </row>
        <row r="733">
          <cell r="C733" t="str">
            <v>HYGIAL</v>
          </cell>
        </row>
        <row r="734">
          <cell r="C734" t="str">
            <v>HYGIAL</v>
          </cell>
        </row>
        <row r="735">
          <cell r="C735" t="str">
            <v>HYGIAL</v>
          </cell>
        </row>
        <row r="736">
          <cell r="C736" t="str">
            <v>HYGIAL</v>
          </cell>
        </row>
        <row r="737">
          <cell r="C737" t="str">
            <v>HYGIAL</v>
          </cell>
        </row>
        <row r="738">
          <cell r="C738" t="str">
            <v>HYGIAL</v>
          </cell>
        </row>
        <row r="739">
          <cell r="C739" t="str">
            <v>HYGIAL</v>
          </cell>
        </row>
        <row r="740">
          <cell r="C740" t="str">
            <v>HYGIAL</v>
          </cell>
        </row>
        <row r="741">
          <cell r="C741" t="str">
            <v>HYGIAL</v>
          </cell>
        </row>
        <row r="742">
          <cell r="C742" t="str">
            <v>HYGIAL</v>
          </cell>
        </row>
        <row r="743">
          <cell r="C743" t="str">
            <v>HYGIAL</v>
          </cell>
        </row>
        <row r="744">
          <cell r="C744" t="str">
            <v>HYGIAL</v>
          </cell>
        </row>
        <row r="745">
          <cell r="C745" t="str">
            <v>HYGIAL</v>
          </cell>
        </row>
        <row r="746">
          <cell r="C746" t="str">
            <v>HYGIAL</v>
          </cell>
        </row>
        <row r="747">
          <cell r="C747" t="str">
            <v>HYGIAL</v>
          </cell>
        </row>
        <row r="748">
          <cell r="C748" t="str">
            <v>HYGIAL</v>
          </cell>
        </row>
        <row r="749">
          <cell r="C749" t="str">
            <v>HYGIAL</v>
          </cell>
        </row>
        <row r="750">
          <cell r="C750" t="str">
            <v>HYGIAL</v>
          </cell>
        </row>
        <row r="751">
          <cell r="C751" t="str">
            <v>HYGIAL</v>
          </cell>
        </row>
        <row r="752">
          <cell r="C752" t="str">
            <v>HYGIAL</v>
          </cell>
        </row>
        <row r="753">
          <cell r="C753" t="str">
            <v>HYGIAL</v>
          </cell>
        </row>
        <row r="754">
          <cell r="C754" t="str">
            <v>HYGIAL</v>
          </cell>
        </row>
        <row r="755">
          <cell r="C755" t="str">
            <v>HYGIAL</v>
          </cell>
        </row>
        <row r="756">
          <cell r="C756" t="str">
            <v>HYGIAL</v>
          </cell>
        </row>
        <row r="757">
          <cell r="C757" t="str">
            <v>HYGIAL</v>
          </cell>
        </row>
        <row r="758">
          <cell r="C758" t="str">
            <v>HYGIAL</v>
          </cell>
        </row>
        <row r="759">
          <cell r="C759" t="str">
            <v>HYGIAL</v>
          </cell>
        </row>
        <row r="760">
          <cell r="C760" t="str">
            <v>HYGIAL</v>
          </cell>
        </row>
        <row r="761">
          <cell r="C761" t="str">
            <v>HYGIAL</v>
          </cell>
        </row>
        <row r="762">
          <cell r="C762" t="str">
            <v>HYGIAL</v>
          </cell>
        </row>
        <row r="763">
          <cell r="C763" t="str">
            <v>HYGIAL</v>
          </cell>
        </row>
        <row r="764">
          <cell r="C764" t="str">
            <v>HYGIAL</v>
          </cell>
        </row>
        <row r="765">
          <cell r="C765" t="str">
            <v>HYGIAL</v>
          </cell>
        </row>
        <row r="766">
          <cell r="C766" t="str">
            <v>HYGIAL</v>
          </cell>
        </row>
        <row r="767">
          <cell r="C767" t="str">
            <v>HYGIAL</v>
          </cell>
        </row>
        <row r="768">
          <cell r="C768" t="str">
            <v>HYGIAL</v>
          </cell>
        </row>
        <row r="769">
          <cell r="C769" t="str">
            <v>HYGIAL</v>
          </cell>
        </row>
        <row r="770">
          <cell r="C770" t="str">
            <v>HYGIAL</v>
          </cell>
        </row>
        <row r="771">
          <cell r="C771" t="str">
            <v>HYGIAL</v>
          </cell>
        </row>
        <row r="772">
          <cell r="C772" t="str">
            <v>DELFINGEN</v>
          </cell>
        </row>
        <row r="773">
          <cell r="C773" t="str">
            <v>3MA GROUP</v>
          </cell>
        </row>
        <row r="774">
          <cell r="C774" t="str">
            <v>3MA GROUP</v>
          </cell>
        </row>
        <row r="775">
          <cell r="C775" t="str">
            <v>IPM FRANCE</v>
          </cell>
        </row>
        <row r="776">
          <cell r="C776" t="str">
            <v>SFL</v>
          </cell>
        </row>
        <row r="777">
          <cell r="C777" t="str">
            <v>PHILIPS</v>
          </cell>
        </row>
        <row r="778">
          <cell r="C778" t="str">
            <v>BOS EQUIPEMENT EHG</v>
          </cell>
        </row>
        <row r="779">
          <cell r="C779" t="str">
            <v>BOS EQUIPEMENT EHG</v>
          </cell>
        </row>
        <row r="780">
          <cell r="C780" t="str">
            <v>FUTURAPLAY</v>
          </cell>
        </row>
        <row r="781">
          <cell r="C781" t="str">
            <v xml:space="preserve">LEAR CORPORATION JARNY </v>
          </cell>
        </row>
        <row r="782">
          <cell r="C782" t="str">
            <v>LABARONNE CITAF</v>
          </cell>
        </row>
        <row r="783">
          <cell r="C783" t="str">
            <v>MAHLE</v>
          </cell>
        </row>
        <row r="784">
          <cell r="C784" t="str">
            <v>MAHLE</v>
          </cell>
        </row>
        <row r="785">
          <cell r="C785" t="str">
            <v>TS LUX</v>
          </cell>
        </row>
        <row r="786">
          <cell r="C786" t="str">
            <v>ETIQ ETAL</v>
          </cell>
        </row>
        <row r="787">
          <cell r="C787" t="str">
            <v>BE CONNECTED</v>
          </cell>
        </row>
        <row r="788">
          <cell r="C788" t="str">
            <v>EDA PLASTIQUES</v>
          </cell>
        </row>
        <row r="789">
          <cell r="C789" t="str">
            <v>ERIKS</v>
          </cell>
        </row>
        <row r="790">
          <cell r="C790" t="str">
            <v>3MA GROUP</v>
          </cell>
        </row>
        <row r="791">
          <cell r="C791" t="str">
            <v xml:space="preserve">LEAR CORPORATION JARNY </v>
          </cell>
        </row>
        <row r="792">
          <cell r="C792" t="str">
            <v>KNAUF INDUSTRIES</v>
          </cell>
        </row>
        <row r="793">
          <cell r="C793" t="str">
            <v>VALOREMA</v>
          </cell>
        </row>
        <row r="794">
          <cell r="C794" t="str">
            <v>CAPEST</v>
          </cell>
        </row>
        <row r="795">
          <cell r="C795" t="str">
            <v>MECAPLAST</v>
          </cell>
        </row>
        <row r="796">
          <cell r="C796" t="str">
            <v>FUTURAPLAY</v>
          </cell>
        </row>
        <row r="797">
          <cell r="C797" t="str">
            <v>CAP ENERGIE</v>
          </cell>
        </row>
        <row r="798">
          <cell r="C798" t="str">
            <v>UNIC</v>
          </cell>
        </row>
        <row r="799">
          <cell r="C799" t="str">
            <v>ESTEBAN</v>
          </cell>
        </row>
        <row r="800">
          <cell r="C800" t="str">
            <v>SIEDOUBS</v>
          </cell>
        </row>
        <row r="801">
          <cell r="C801" t="str">
            <v>LNS France</v>
          </cell>
        </row>
        <row r="802">
          <cell r="C802" t="str">
            <v>WESTRAND</v>
          </cell>
        </row>
        <row r="803">
          <cell r="C803" t="str">
            <v>PAPETERIE DES VOSGES</v>
          </cell>
        </row>
        <row r="804">
          <cell r="C804" t="str">
            <v>VIBRA</v>
          </cell>
        </row>
        <row r="805">
          <cell r="C805" t="str">
            <v>AS DE CARREAUX</v>
          </cell>
        </row>
        <row r="806">
          <cell r="C806" t="str">
            <v xml:space="preserve">LEAR CORPORATION JARNY </v>
          </cell>
        </row>
        <row r="807">
          <cell r="C807" t="str">
            <v>RECREA France</v>
          </cell>
        </row>
        <row r="808">
          <cell r="C808" t="str">
            <v>STYLMONDE</v>
          </cell>
        </row>
        <row r="809">
          <cell r="C809" t="str">
            <v>PACK AND CARRY</v>
          </cell>
        </row>
        <row r="810">
          <cell r="C810" t="str">
            <v>DMC</v>
          </cell>
        </row>
        <row r="811">
          <cell r="C811" t="str">
            <v>SEMIN</v>
          </cell>
        </row>
        <row r="812">
          <cell r="C812" t="str">
            <v>STYLMONDE</v>
          </cell>
        </row>
        <row r="813">
          <cell r="C813" t="str">
            <v>QUIVOGNE</v>
          </cell>
        </row>
        <row r="814">
          <cell r="C814" t="str">
            <v>ALPEM</v>
          </cell>
        </row>
        <row r="815">
          <cell r="C815" t="str">
            <v>TEL EXPRESS</v>
          </cell>
        </row>
        <row r="816">
          <cell r="C816" t="str">
            <v>ERIKS</v>
          </cell>
        </row>
        <row r="817">
          <cell r="C817" t="str">
            <v>CID PLASTIQUES</v>
          </cell>
        </row>
        <row r="818">
          <cell r="C818" t="str">
            <v>GENERAL INDUSTRIES</v>
          </cell>
        </row>
        <row r="819">
          <cell r="C819" t="str">
            <v>E-TEX</v>
          </cell>
        </row>
        <row r="820">
          <cell r="C820" t="str">
            <v>ERIKS</v>
          </cell>
        </row>
        <row r="821">
          <cell r="C821" t="str">
            <v>EUROMAIR</v>
          </cell>
        </row>
        <row r="822">
          <cell r="C822" t="str">
            <v>ARCELORMITTAL</v>
          </cell>
        </row>
        <row r="823">
          <cell r="C823" t="str">
            <v>EUROMAIR</v>
          </cell>
        </row>
        <row r="824">
          <cell r="C824" t="str">
            <v>BOS EQUIPEMENT EHG</v>
          </cell>
        </row>
        <row r="825">
          <cell r="C825" t="str">
            <v>SAUNIER</v>
          </cell>
        </row>
        <row r="826">
          <cell r="C826" t="str">
            <v>APLI AGIPA</v>
          </cell>
        </row>
        <row r="827">
          <cell r="C827" t="str">
            <v>OUTILACIER</v>
          </cell>
        </row>
        <row r="828">
          <cell r="C828" t="str">
            <v>DAFY MOTO</v>
          </cell>
        </row>
        <row r="829">
          <cell r="C829" t="str">
            <v>SINOTEC</v>
          </cell>
        </row>
        <row r="830">
          <cell r="C830" t="str">
            <v>ERIKS</v>
          </cell>
        </row>
        <row r="831">
          <cell r="C831" t="str">
            <v>PEUGEOT</v>
          </cell>
        </row>
        <row r="832">
          <cell r="C832" t="str">
            <v>LIEN'K</v>
          </cell>
        </row>
        <row r="833">
          <cell r="C833" t="str">
            <v>FAURECIA AUDINCOURT</v>
          </cell>
        </row>
        <row r="834">
          <cell r="C834" t="str">
            <v>SOCAH</v>
          </cell>
        </row>
        <row r="835">
          <cell r="C835" t="str">
            <v>CID PLASTIQUES</v>
          </cell>
        </row>
        <row r="836">
          <cell r="C836" t="str">
            <v>BE CONNECTED</v>
          </cell>
        </row>
        <row r="837">
          <cell r="C837" t="str">
            <v>DIP</v>
          </cell>
        </row>
        <row r="838">
          <cell r="C838" t="str">
            <v>CRYONIC MEDICAL</v>
          </cell>
        </row>
        <row r="839">
          <cell r="C839" t="str">
            <v>TRANSCAUSSE</v>
          </cell>
        </row>
        <row r="840">
          <cell r="C840" t="str">
            <v>E-TEX</v>
          </cell>
        </row>
        <row r="841">
          <cell r="C841" t="str">
            <v>QUIVOGNE</v>
          </cell>
        </row>
        <row r="842">
          <cell r="C842" t="str">
            <v>TURBOLUB</v>
          </cell>
        </row>
        <row r="843">
          <cell r="C843" t="str">
            <v>ERIKS</v>
          </cell>
        </row>
        <row r="844">
          <cell r="C844" t="str">
            <v>EUROMAIR</v>
          </cell>
        </row>
        <row r="845">
          <cell r="C845" t="str">
            <v>GERGONNE</v>
          </cell>
        </row>
        <row r="846">
          <cell r="C846" t="str">
            <v>DELTA PLUS</v>
          </cell>
        </row>
        <row r="847">
          <cell r="C847" t="str">
            <v>WESTRAND</v>
          </cell>
        </row>
        <row r="848">
          <cell r="C848" t="str">
            <v>BUSSI</v>
          </cell>
        </row>
        <row r="849">
          <cell r="C849" t="str">
            <v>FUTURAPLAY</v>
          </cell>
        </row>
        <row r="850">
          <cell r="C850" t="str">
            <v>KYMCO LUX</v>
          </cell>
        </row>
        <row r="851">
          <cell r="C851" t="str">
            <v>FUTURAPLAY</v>
          </cell>
        </row>
        <row r="852">
          <cell r="C852" t="str">
            <v>E-TEX</v>
          </cell>
        </row>
        <row r="853">
          <cell r="C853" t="str">
            <v>TOUL'EMBAL</v>
          </cell>
        </row>
        <row r="854">
          <cell r="C854" t="str">
            <v>KYMCO LUX</v>
          </cell>
        </row>
        <row r="855">
          <cell r="C855" t="str">
            <v>QUIVOGNE</v>
          </cell>
        </row>
        <row r="856">
          <cell r="C856" t="str">
            <v>WALUSA</v>
          </cell>
        </row>
        <row r="857">
          <cell r="C857" t="str">
            <v>ERIKS</v>
          </cell>
        </row>
        <row r="858">
          <cell r="C858" t="str">
            <v>PANIER DES SENS</v>
          </cell>
        </row>
        <row r="859">
          <cell r="C859" t="str">
            <v>RSEAT / France SIMULATEUR</v>
          </cell>
        </row>
        <row r="860">
          <cell r="C860" t="str">
            <v>BORGWARNER</v>
          </cell>
        </row>
        <row r="861">
          <cell r="C861" t="str">
            <v>LABARONNE CITAF</v>
          </cell>
        </row>
        <row r="862">
          <cell r="C862" t="str">
            <v>ATERNO</v>
          </cell>
        </row>
        <row r="863">
          <cell r="C863" t="str">
            <v>BEWEPLAST</v>
          </cell>
        </row>
        <row r="864">
          <cell r="C864" t="str">
            <v>TRAMECO</v>
          </cell>
        </row>
        <row r="865">
          <cell r="C865" t="str">
            <v>CMR GROUP</v>
          </cell>
        </row>
        <row r="866">
          <cell r="C866" t="str">
            <v>FNAPP</v>
          </cell>
        </row>
        <row r="867">
          <cell r="C867" t="str">
            <v>WALUSA</v>
          </cell>
        </row>
        <row r="868">
          <cell r="C868" t="str">
            <v>SIEDOUBS</v>
          </cell>
        </row>
        <row r="869">
          <cell r="C869" t="str">
            <v>BEDEVILLE</v>
          </cell>
        </row>
        <row r="870">
          <cell r="C870" t="str">
            <v>EASYMASS</v>
          </cell>
        </row>
        <row r="871">
          <cell r="C871" t="str">
            <v>GOUVY MULLER</v>
          </cell>
        </row>
        <row r="872">
          <cell r="C872" t="str">
            <v>VALOCHEM</v>
          </cell>
        </row>
        <row r="873">
          <cell r="C873" t="str">
            <v>STYLMONDE</v>
          </cell>
        </row>
        <row r="874">
          <cell r="C874" t="str">
            <v>ERIKS</v>
          </cell>
        </row>
        <row r="875">
          <cell r="C875" t="str">
            <v>KALI France</v>
          </cell>
        </row>
        <row r="876">
          <cell r="C876" t="str">
            <v>MODUGAME</v>
          </cell>
        </row>
        <row r="877">
          <cell r="C877" t="str">
            <v xml:space="preserve">LEAR CORPORATION JARNY </v>
          </cell>
        </row>
        <row r="878">
          <cell r="C878" t="str">
            <v>ERIKS</v>
          </cell>
        </row>
        <row r="879">
          <cell r="C879" t="str">
            <v>FILPACK</v>
          </cell>
        </row>
        <row r="880">
          <cell r="C880" t="str">
            <v>EUROSTYLE SYSTEMS SENS</v>
          </cell>
        </row>
        <row r="881">
          <cell r="C881" t="str">
            <v>ERIKS</v>
          </cell>
        </row>
        <row r="882">
          <cell r="C882" t="str">
            <v>SABATIER</v>
          </cell>
        </row>
        <row r="883">
          <cell r="C883" t="str">
            <v>FUTURAPLAY</v>
          </cell>
        </row>
        <row r="884">
          <cell r="C884" t="str">
            <v>FUTURAPLAY</v>
          </cell>
        </row>
        <row r="885">
          <cell r="C885" t="str">
            <v>COPCI</v>
          </cell>
        </row>
        <row r="886">
          <cell r="C886" t="str">
            <v>STYLMONDE</v>
          </cell>
        </row>
        <row r="887">
          <cell r="C887" t="str">
            <v>FUTURAPLAY</v>
          </cell>
        </row>
        <row r="888">
          <cell r="C888" t="str">
            <v>AS DE CARREAUX</v>
          </cell>
        </row>
        <row r="889">
          <cell r="C889" t="str">
            <v>ENI France</v>
          </cell>
        </row>
        <row r="890">
          <cell r="C890" t="str">
            <v xml:space="preserve">LEAR CORPORATION JARNY </v>
          </cell>
        </row>
        <row r="891">
          <cell r="C891" t="str">
            <v>VALOCHEM</v>
          </cell>
        </row>
        <row r="892">
          <cell r="C892" t="str">
            <v>QUIVOGNE</v>
          </cell>
        </row>
        <row r="893">
          <cell r="C893" t="str">
            <v>FUTURAPLAY</v>
          </cell>
        </row>
        <row r="894">
          <cell r="C894" t="str">
            <v xml:space="preserve">LEAR CORPORATION JARNY </v>
          </cell>
        </row>
        <row r="895">
          <cell r="C895" t="str">
            <v>KSB SERVICE COTUMER</v>
          </cell>
        </row>
        <row r="896">
          <cell r="C896" t="str">
            <v>PEUGEOT</v>
          </cell>
        </row>
        <row r="897">
          <cell r="C897" t="str">
            <v>POLYONE</v>
          </cell>
        </row>
        <row r="898">
          <cell r="C898" t="str">
            <v>EUROMAIR</v>
          </cell>
        </row>
        <row r="899">
          <cell r="C899" t="str">
            <v>FUTURAPLAY</v>
          </cell>
        </row>
        <row r="900">
          <cell r="C900" t="str">
            <v>FUTURAPLAY</v>
          </cell>
        </row>
        <row r="901">
          <cell r="C901" t="str">
            <v>PESAGE</v>
          </cell>
        </row>
        <row r="902">
          <cell r="C902" t="str">
            <v>PESAGE</v>
          </cell>
        </row>
        <row r="903">
          <cell r="C903" t="str">
            <v>CPC LOGISTICS</v>
          </cell>
        </row>
        <row r="904">
          <cell r="C904" t="str">
            <v>GERGONNE</v>
          </cell>
        </row>
        <row r="905">
          <cell r="C905" t="str">
            <v>METALDYNE</v>
          </cell>
        </row>
        <row r="906">
          <cell r="C906" t="str">
            <v>BT PACK</v>
          </cell>
        </row>
        <row r="907">
          <cell r="C907" t="str">
            <v>PATHEL</v>
          </cell>
        </row>
        <row r="908">
          <cell r="C908" t="str">
            <v>VALOCHEM</v>
          </cell>
        </row>
        <row r="909">
          <cell r="C909" t="str">
            <v>EUROMAIR</v>
          </cell>
        </row>
        <row r="910">
          <cell r="C910" t="str">
            <v>PHILIPS</v>
          </cell>
        </row>
        <row r="911">
          <cell r="C911" t="str">
            <v>METALDYNE</v>
          </cell>
        </row>
        <row r="912">
          <cell r="C912" t="str">
            <v>E-TEX</v>
          </cell>
        </row>
        <row r="913">
          <cell r="C913" t="str">
            <v>TECHMAY LOGETIQ</v>
          </cell>
        </row>
        <row r="914">
          <cell r="C914" t="str">
            <v>MERLETT</v>
          </cell>
        </row>
        <row r="915">
          <cell r="C915" t="str">
            <v>LABARONNE CITAF</v>
          </cell>
        </row>
        <row r="916">
          <cell r="C916" t="str">
            <v>ARLES</v>
          </cell>
        </row>
        <row r="917">
          <cell r="C917" t="str">
            <v>BT PACK</v>
          </cell>
        </row>
        <row r="918">
          <cell r="C918" t="str">
            <v>FLEX N GATE</v>
          </cell>
        </row>
        <row r="919">
          <cell r="C919" t="str">
            <v>LEHMANN</v>
          </cell>
        </row>
        <row r="920">
          <cell r="C920" t="str">
            <v>TECOFI</v>
          </cell>
        </row>
        <row r="921">
          <cell r="C921" t="str">
            <v>ARLES</v>
          </cell>
        </row>
        <row r="922">
          <cell r="C922" t="str">
            <v>STYLMONDE</v>
          </cell>
        </row>
        <row r="923">
          <cell r="C923" t="str">
            <v>SIEDOUBS</v>
          </cell>
        </row>
        <row r="924">
          <cell r="C924" t="str">
            <v>ERIKS</v>
          </cell>
        </row>
        <row r="925">
          <cell r="C925" t="str">
            <v>ERIKS</v>
          </cell>
        </row>
        <row r="926">
          <cell r="C926" t="str">
            <v>NOVARES MONACO</v>
          </cell>
        </row>
        <row r="927">
          <cell r="C927" t="str">
            <v>SITA MOS AUVERGNE</v>
          </cell>
        </row>
        <row r="928">
          <cell r="C928" t="str">
            <v xml:space="preserve">LEAR CORPORATION JARNY </v>
          </cell>
        </row>
        <row r="929">
          <cell r="C929" t="str">
            <v>SOCAH</v>
          </cell>
        </row>
        <row r="930">
          <cell r="C930" t="str">
            <v>ERIKS</v>
          </cell>
        </row>
        <row r="931">
          <cell r="C931" t="str">
            <v>NOVARES MONACO</v>
          </cell>
        </row>
        <row r="932">
          <cell r="C932" t="str">
            <v>NORPROTEX</v>
          </cell>
        </row>
        <row r="933">
          <cell r="C933" t="str">
            <v>FUJI ELECTRIC</v>
          </cell>
        </row>
        <row r="934">
          <cell r="C934" t="str">
            <v>METALDYNE</v>
          </cell>
        </row>
        <row r="935">
          <cell r="C935" t="str">
            <v>EXPLORIMPORT</v>
          </cell>
        </row>
        <row r="936">
          <cell r="C936" t="str">
            <v>PAC LIST</v>
          </cell>
        </row>
        <row r="937">
          <cell r="C937" t="str">
            <v>WALUSA</v>
          </cell>
        </row>
        <row r="938">
          <cell r="C938" t="str">
            <v>FAURECIA SIEDOUBS</v>
          </cell>
        </row>
        <row r="939">
          <cell r="C939" t="str">
            <v>LEHMANN</v>
          </cell>
        </row>
        <row r="940">
          <cell r="C940" t="str">
            <v>LEHMANN</v>
          </cell>
        </row>
        <row r="941">
          <cell r="C941" t="str">
            <v>KALI</v>
          </cell>
        </row>
        <row r="942">
          <cell r="C942" t="str">
            <v>RENE PIERRE</v>
          </cell>
        </row>
        <row r="943">
          <cell r="C943" t="str">
            <v>WALUSA</v>
          </cell>
        </row>
        <row r="944">
          <cell r="C944" t="str">
            <v>STYLMONDE</v>
          </cell>
        </row>
        <row r="945">
          <cell r="C945" t="str">
            <v xml:space="preserve">LEAR CORPORATION JARNY </v>
          </cell>
        </row>
        <row r="946">
          <cell r="C946" t="str">
            <v>JOUBERT</v>
          </cell>
        </row>
        <row r="947">
          <cell r="C947" t="str">
            <v>ERIKS</v>
          </cell>
        </row>
        <row r="948">
          <cell r="C948" t="str">
            <v>FUTURAPLAY</v>
          </cell>
        </row>
        <row r="949">
          <cell r="C949" t="str">
            <v>VALMECA</v>
          </cell>
        </row>
        <row r="950">
          <cell r="C950" t="str">
            <v>NOVARES MONACO</v>
          </cell>
        </row>
        <row r="951">
          <cell r="C951" t="str">
            <v>VALOCHEM</v>
          </cell>
        </row>
        <row r="952">
          <cell r="C952" t="str">
            <v>KYMCO LUX</v>
          </cell>
        </row>
        <row r="953">
          <cell r="C953" t="str">
            <v>VALEO TUNISIE</v>
          </cell>
        </row>
        <row r="954">
          <cell r="C954" t="str">
            <v>KSB SERVICE COTUMER</v>
          </cell>
        </row>
        <row r="955">
          <cell r="C955" t="str">
            <v>ISOVER</v>
          </cell>
        </row>
        <row r="956">
          <cell r="C956" t="str">
            <v>PEUGEOT</v>
          </cell>
        </row>
        <row r="957">
          <cell r="C957" t="str">
            <v>EUROMAIR</v>
          </cell>
        </row>
        <row r="958">
          <cell r="C958" t="str">
            <v>EUROMAIR</v>
          </cell>
        </row>
        <row r="959">
          <cell r="C959" t="str">
            <v>E-TEX</v>
          </cell>
        </row>
        <row r="960">
          <cell r="C960" t="str">
            <v>NATIVES</v>
          </cell>
        </row>
        <row r="961">
          <cell r="C961" t="str">
            <v>NATIVES</v>
          </cell>
        </row>
        <row r="962">
          <cell r="C962" t="str">
            <v>SOBEM</v>
          </cell>
        </row>
        <row r="963">
          <cell r="C963" t="str">
            <v>SOCAH</v>
          </cell>
        </row>
        <row r="964">
          <cell r="C964" t="str">
            <v>BATIMENTSMOINSCHER.COM</v>
          </cell>
        </row>
        <row r="965">
          <cell r="C965" t="str">
            <v>MECASEM</v>
          </cell>
        </row>
        <row r="966">
          <cell r="C966" t="str">
            <v>APLI</v>
          </cell>
        </row>
        <row r="967">
          <cell r="C967" t="str">
            <v>SAUNIER</v>
          </cell>
        </row>
        <row r="968">
          <cell r="C968" t="str">
            <v>CHAMPAGNE SERGE RAFFLIN</v>
          </cell>
        </row>
        <row r="969">
          <cell r="C969" t="str">
            <v>INTAIRMEDICAL</v>
          </cell>
        </row>
        <row r="970">
          <cell r="C970" t="str">
            <v>HOME MAISON</v>
          </cell>
        </row>
        <row r="971">
          <cell r="C971" t="str">
            <v>HOME MAISON</v>
          </cell>
        </row>
        <row r="972">
          <cell r="C972" t="str">
            <v>INTAIRMEDICAL</v>
          </cell>
        </row>
        <row r="973">
          <cell r="C973" t="str">
            <v xml:space="preserve">NOVARES  </v>
          </cell>
        </row>
        <row r="974">
          <cell r="C974" t="str">
            <v>WATERAIR</v>
          </cell>
        </row>
        <row r="975">
          <cell r="C975" t="str">
            <v>SITA MOS AUVERGNE</v>
          </cell>
        </row>
        <row r="976">
          <cell r="C976" t="str">
            <v>ISOVER</v>
          </cell>
        </row>
        <row r="977">
          <cell r="C977" t="str">
            <v xml:space="preserve">NOVARES  </v>
          </cell>
        </row>
        <row r="978">
          <cell r="C978" t="str">
            <v>OUTILACIER</v>
          </cell>
        </row>
        <row r="979">
          <cell r="C979" t="str">
            <v>CERAMIQUE DE FORBACH</v>
          </cell>
        </row>
        <row r="980">
          <cell r="C980" t="str">
            <v>NTN TRANSMISSIONS EUROPE</v>
          </cell>
        </row>
        <row r="981">
          <cell r="C981" t="str">
            <v>NTN TRANSMISSIONS EUROPE</v>
          </cell>
        </row>
        <row r="982">
          <cell r="C982" t="str">
            <v>ERIKS</v>
          </cell>
        </row>
        <row r="983">
          <cell r="C983" t="str">
            <v>ERIKS</v>
          </cell>
        </row>
        <row r="984">
          <cell r="C984" t="str">
            <v>JOUBERT</v>
          </cell>
        </row>
        <row r="985">
          <cell r="C985" t="str">
            <v>KNAUF INDUSTRIES</v>
          </cell>
        </row>
        <row r="986">
          <cell r="C986" t="str">
            <v>PEUGEOT SCOOTERS</v>
          </cell>
        </row>
        <row r="987">
          <cell r="C987" t="str">
            <v>PEUGEOT SCOOTERS</v>
          </cell>
        </row>
        <row r="988">
          <cell r="C988" t="str">
            <v>PEUGEOT SCOOTERS</v>
          </cell>
        </row>
        <row r="989">
          <cell r="C989" t="str">
            <v>PEUGEOT SCOOTERS</v>
          </cell>
        </row>
        <row r="990">
          <cell r="C990" t="str">
            <v>PEUGEOT SCOOTERS</v>
          </cell>
        </row>
        <row r="991">
          <cell r="C991" t="str">
            <v>FORGE N COMPONENTS</v>
          </cell>
        </row>
        <row r="992">
          <cell r="C992" t="str">
            <v>ROCK DECORUM</v>
          </cell>
        </row>
        <row r="993">
          <cell r="C993" t="str">
            <v>ELITECH</v>
          </cell>
        </row>
        <row r="994">
          <cell r="C994" t="str">
            <v>ELITECH</v>
          </cell>
        </row>
        <row r="995">
          <cell r="C995" t="str">
            <v>STYLMONDE</v>
          </cell>
        </row>
        <row r="996">
          <cell r="C996" t="str">
            <v>ERIKS</v>
          </cell>
        </row>
        <row r="997">
          <cell r="C997" t="str">
            <v>ERIKS</v>
          </cell>
        </row>
        <row r="998">
          <cell r="C998" t="str">
            <v>CMR GROUP</v>
          </cell>
        </row>
        <row r="999">
          <cell r="C999" t="str">
            <v>KYMCO LUX</v>
          </cell>
        </row>
        <row r="1000">
          <cell r="C1000" t="str">
            <v>VALOCHEM</v>
          </cell>
        </row>
        <row r="1001">
          <cell r="C1001" t="str">
            <v>EUROMAIR</v>
          </cell>
        </row>
        <row r="1002">
          <cell r="C1002" t="str">
            <v>ROCK DECORUM</v>
          </cell>
        </row>
        <row r="1003">
          <cell r="C1003" t="str">
            <v>OUTILACIER</v>
          </cell>
        </row>
        <row r="1004">
          <cell r="C1004" t="str">
            <v>EUROMAIR</v>
          </cell>
        </row>
        <row r="1005">
          <cell r="C1005" t="str">
            <v>EUROMAIR</v>
          </cell>
        </row>
        <row r="1006">
          <cell r="C1006" t="str">
            <v>STYLMONDE</v>
          </cell>
        </row>
        <row r="1007">
          <cell r="C1007" t="str">
            <v>CASAS DISTRIBUTION</v>
          </cell>
        </row>
        <row r="1008">
          <cell r="C1008" t="str">
            <v>CASAS DISTRIBUTION</v>
          </cell>
        </row>
        <row r="1009">
          <cell r="C1009" t="str">
            <v>CASAS DISTRIBUTION</v>
          </cell>
        </row>
        <row r="1010">
          <cell r="C1010" t="str">
            <v>CASAS DISTRIBUTION</v>
          </cell>
        </row>
        <row r="1011">
          <cell r="C1011" t="str">
            <v>JUSTINESY</v>
          </cell>
        </row>
        <row r="1012">
          <cell r="C1012" t="str">
            <v>ARLES</v>
          </cell>
        </row>
        <row r="1013">
          <cell r="C1013" t="str">
            <v>BOS EQUIPEMENT EHG</v>
          </cell>
        </row>
        <row r="1014">
          <cell r="C1014" t="str">
            <v>POLYONE</v>
          </cell>
        </row>
        <row r="1015">
          <cell r="C1015" t="str">
            <v>TRANSCAUSSE</v>
          </cell>
        </row>
        <row r="1016">
          <cell r="C1016" t="str">
            <v>AEP LOGISTIQUE</v>
          </cell>
        </row>
        <row r="1017">
          <cell r="C1017" t="str">
            <v>ERIKS</v>
          </cell>
        </row>
        <row r="1018">
          <cell r="C1018" t="str">
            <v>HAC</v>
          </cell>
        </row>
        <row r="1019">
          <cell r="C1019" t="str">
            <v>ERIKS</v>
          </cell>
        </row>
        <row r="1020">
          <cell r="C1020" t="str">
            <v>BALL AEROCAN</v>
          </cell>
        </row>
        <row r="1021">
          <cell r="C1021" t="str">
            <v>SAUNIER</v>
          </cell>
        </row>
        <row r="1022">
          <cell r="C1022" t="str">
            <v>PASSOISANS</v>
          </cell>
        </row>
        <row r="1023">
          <cell r="C1023" t="str">
            <v>CGR BEDEVILLE</v>
          </cell>
        </row>
        <row r="1024">
          <cell r="C1024" t="str">
            <v xml:space="preserve">LEAR CORPORATION JARNY </v>
          </cell>
        </row>
        <row r="1025">
          <cell r="C1025" t="str">
            <v>EUROMAIR</v>
          </cell>
        </row>
        <row r="1026">
          <cell r="C1026" t="str">
            <v>ERIKS</v>
          </cell>
        </row>
        <row r="1027">
          <cell r="C1027" t="str">
            <v>DAFY MOTO</v>
          </cell>
        </row>
        <row r="1028">
          <cell r="C1028" t="str">
            <v>MECASEM</v>
          </cell>
        </row>
        <row r="1029">
          <cell r="C1029" t="str">
            <v>DRIVE DEVILBISS</v>
          </cell>
        </row>
        <row r="1030">
          <cell r="C1030" t="str">
            <v>RAOUL LENOIR</v>
          </cell>
        </row>
        <row r="1031">
          <cell r="C1031" t="str">
            <v>ROCK DECORUM</v>
          </cell>
        </row>
        <row r="1032">
          <cell r="C1032" t="str">
            <v>QUIVOGNE</v>
          </cell>
        </row>
        <row r="1033">
          <cell r="C1033" t="str">
            <v>SOUFFLE DU MONDE</v>
          </cell>
        </row>
        <row r="1034">
          <cell r="C1034" t="str">
            <v>RSEAT / France SIMULATEUR</v>
          </cell>
        </row>
        <row r="1035">
          <cell r="C1035" t="str">
            <v>WESTRAND</v>
          </cell>
        </row>
        <row r="1036">
          <cell r="C1036" t="str">
            <v>CATERPILLAR</v>
          </cell>
        </row>
        <row r="1037">
          <cell r="C1037" t="str">
            <v>CRYONIC MEDICAL</v>
          </cell>
        </row>
        <row r="1038">
          <cell r="C1038" t="str">
            <v>FUTURAPLAY</v>
          </cell>
        </row>
        <row r="1039">
          <cell r="C1039" t="str">
            <v>FUTURAPLAY</v>
          </cell>
        </row>
        <row r="1040">
          <cell r="C1040" t="str">
            <v>EUROMAIR</v>
          </cell>
        </row>
        <row r="1041">
          <cell r="C1041" t="str">
            <v>TECOFI</v>
          </cell>
        </row>
        <row r="1042">
          <cell r="C1042" t="str">
            <v>MECASEM</v>
          </cell>
        </row>
        <row r="1043">
          <cell r="C1043" t="str">
            <v>EUROMAIR</v>
          </cell>
        </row>
        <row r="1044">
          <cell r="C1044" t="str">
            <v>RSEAT / France SIMULATEUR</v>
          </cell>
        </row>
        <row r="1045">
          <cell r="C1045" t="str">
            <v>BOS EQUIPEMENT EHG</v>
          </cell>
        </row>
        <row r="1046">
          <cell r="C1046" t="str">
            <v>PEUGEOT</v>
          </cell>
        </row>
        <row r="1047">
          <cell r="C1047" t="str">
            <v>CGR BEDEVILLE</v>
          </cell>
        </row>
        <row r="1048">
          <cell r="C1048" t="str">
            <v>PACK AND CARRY</v>
          </cell>
        </row>
        <row r="1049">
          <cell r="C1049" t="str">
            <v>E-TEX</v>
          </cell>
        </row>
        <row r="1050">
          <cell r="C1050" t="str">
            <v>ELECTROSTEEL</v>
          </cell>
        </row>
        <row r="1051">
          <cell r="C1051" t="str">
            <v>PACK AND CARRY</v>
          </cell>
        </row>
        <row r="1052">
          <cell r="C1052" t="str">
            <v>ERIKS</v>
          </cell>
        </row>
        <row r="1053">
          <cell r="C1053" t="str">
            <v>EUROMAIR</v>
          </cell>
        </row>
        <row r="1054">
          <cell r="C1054" t="str">
            <v>ERIKS</v>
          </cell>
        </row>
        <row r="1055">
          <cell r="C1055" t="str">
            <v>FAURECIA SIEDOUBS</v>
          </cell>
        </row>
        <row r="1056">
          <cell r="C1056" t="str">
            <v>E-TEX</v>
          </cell>
        </row>
        <row r="1057">
          <cell r="C1057" t="str">
            <v>E-TEX</v>
          </cell>
        </row>
        <row r="1058">
          <cell r="C1058" t="str">
            <v>PEUGEOT SCOOTERS</v>
          </cell>
        </row>
        <row r="1059">
          <cell r="C1059" t="str">
            <v>PEUGEOT SCOOTERS</v>
          </cell>
        </row>
        <row r="1060">
          <cell r="C1060" t="str">
            <v>PACK AND CARRY</v>
          </cell>
        </row>
        <row r="1061">
          <cell r="C1061" t="str">
            <v>ENI France</v>
          </cell>
        </row>
        <row r="1062">
          <cell r="C1062" t="str">
            <v>PAKEA</v>
          </cell>
        </row>
        <row r="1063">
          <cell r="C1063" t="str">
            <v>MECAPLAST</v>
          </cell>
        </row>
        <row r="1064">
          <cell r="C1064" t="str">
            <v>SINOTEC</v>
          </cell>
        </row>
        <row r="1065">
          <cell r="C1065" t="str">
            <v>MECASEM</v>
          </cell>
        </row>
        <row r="1066">
          <cell r="C1066" t="str">
            <v>LEBON ET VERNAY</v>
          </cell>
        </row>
        <row r="1067">
          <cell r="C1067" t="str">
            <v>PACK AND CARRY</v>
          </cell>
        </row>
        <row r="1068">
          <cell r="C1068" t="str">
            <v>GASTON MILLE</v>
          </cell>
        </row>
        <row r="1069">
          <cell r="C1069" t="str">
            <v>KIMPLY</v>
          </cell>
        </row>
        <row r="1070">
          <cell r="C1070" t="str">
            <v>LC DAUPHIN</v>
          </cell>
        </row>
        <row r="1071">
          <cell r="C1071" t="str">
            <v>UNIC</v>
          </cell>
        </row>
        <row r="1072">
          <cell r="C1072" t="str">
            <v>DOUPEUX GAUBERT</v>
          </cell>
        </row>
        <row r="1073">
          <cell r="C1073" t="str">
            <v>SACLA INTERNATIONAL</v>
          </cell>
        </row>
        <row r="1074">
          <cell r="C1074" t="str">
            <v>AXE SOLUTIONS</v>
          </cell>
        </row>
        <row r="1075">
          <cell r="C1075" t="str">
            <v>PACK AND CARRY</v>
          </cell>
        </row>
        <row r="1076">
          <cell r="C1076" t="str">
            <v>LC DAUPHIN</v>
          </cell>
        </row>
        <row r="1077">
          <cell r="C1077" t="str">
            <v>SOCAH</v>
          </cell>
        </row>
        <row r="1078">
          <cell r="C1078" t="str">
            <v>DISTILLERIE ET DOMAINE DE PROVENCE</v>
          </cell>
        </row>
        <row r="1079">
          <cell r="C1079" t="str">
            <v xml:space="preserve">LEAR CORPORATION JARNY </v>
          </cell>
        </row>
        <row r="1080">
          <cell r="C1080" t="str">
            <v>KIMPLY</v>
          </cell>
        </row>
        <row r="1081">
          <cell r="C1081" t="str">
            <v>TRANSCAUSSE</v>
          </cell>
        </row>
        <row r="1082">
          <cell r="C1082" t="str">
            <v>ERIKS</v>
          </cell>
        </row>
        <row r="1083">
          <cell r="C1083" t="str">
            <v>SAUNIER</v>
          </cell>
        </row>
        <row r="1084">
          <cell r="C1084" t="str">
            <v>TECOFI</v>
          </cell>
        </row>
        <row r="1085">
          <cell r="C1085" t="str">
            <v>ERIKS</v>
          </cell>
        </row>
        <row r="1086">
          <cell r="C1086" t="str">
            <v>ERIKS</v>
          </cell>
        </row>
        <row r="1087">
          <cell r="C1087" t="str">
            <v>OUTILS WOLFF</v>
          </cell>
        </row>
        <row r="1088">
          <cell r="C1088" t="str">
            <v>MB TECH</v>
          </cell>
        </row>
        <row r="1089">
          <cell r="C1089" t="str">
            <v>PACK AND CARRY</v>
          </cell>
        </row>
        <row r="1090">
          <cell r="C1090" t="str">
            <v>ERIKS</v>
          </cell>
        </row>
        <row r="1091">
          <cell r="C1091" t="str">
            <v>VEGE France</v>
          </cell>
        </row>
        <row r="1092">
          <cell r="C1092" t="str">
            <v>TANNERIE SOVOS</v>
          </cell>
        </row>
        <row r="1093">
          <cell r="C1093" t="str">
            <v>GAUTHIER VINI</v>
          </cell>
        </row>
        <row r="1094">
          <cell r="C1094" t="str">
            <v>PROGRES</v>
          </cell>
        </row>
        <row r="1095">
          <cell r="C1095" t="str">
            <v>SMOOVE</v>
          </cell>
        </row>
        <row r="1096">
          <cell r="C1096" t="str">
            <v>PEUGEOT</v>
          </cell>
        </row>
        <row r="1097">
          <cell r="C1097" t="str">
            <v>GAUTHIER VINI</v>
          </cell>
        </row>
        <row r="1098">
          <cell r="C1098" t="str">
            <v>ALX</v>
          </cell>
        </row>
        <row r="1099">
          <cell r="C1099" t="str">
            <v>ALX</v>
          </cell>
        </row>
        <row r="1100">
          <cell r="C1100" t="str">
            <v>AGRICARB</v>
          </cell>
        </row>
        <row r="1101">
          <cell r="C1101" t="str">
            <v>TECOFI</v>
          </cell>
        </row>
        <row r="1102">
          <cell r="C1102" t="str">
            <v>SFL</v>
          </cell>
        </row>
        <row r="1103">
          <cell r="C1103" t="str">
            <v>FERGAN</v>
          </cell>
        </row>
        <row r="1104">
          <cell r="C1104" t="str">
            <v>EVERBAL</v>
          </cell>
        </row>
        <row r="1105">
          <cell r="C1105" t="str">
            <v>COFELY</v>
          </cell>
        </row>
        <row r="1106">
          <cell r="C1106" t="str">
            <v>ERM</v>
          </cell>
        </row>
        <row r="1107">
          <cell r="C1107" t="str">
            <v>PACK AND CARRY</v>
          </cell>
        </row>
        <row r="1108">
          <cell r="C1108" t="str">
            <v>PACK AND CARRY</v>
          </cell>
        </row>
        <row r="1109">
          <cell r="C1109" t="str">
            <v>PACK AND CARRY</v>
          </cell>
        </row>
        <row r="1110">
          <cell r="C1110" t="str">
            <v>PACK AND CARRY</v>
          </cell>
        </row>
        <row r="1111">
          <cell r="C1111" t="str">
            <v>PACK AND CARRY</v>
          </cell>
        </row>
        <row r="1112">
          <cell r="C1112" t="str">
            <v>BOS EQUIPEMENT EHG</v>
          </cell>
        </row>
        <row r="1113">
          <cell r="C1113" t="str">
            <v xml:space="preserve">BOURBON </v>
          </cell>
        </row>
        <row r="1114">
          <cell r="C1114" t="str">
            <v>ROCK DECORUM</v>
          </cell>
        </row>
        <row r="1115">
          <cell r="C1115" t="str">
            <v>ROCK DECORUM</v>
          </cell>
        </row>
        <row r="1116">
          <cell r="C1116" t="str">
            <v>CARTAMUNDI</v>
          </cell>
        </row>
        <row r="1117">
          <cell r="C1117" t="str">
            <v>KYMCO LUX</v>
          </cell>
        </row>
        <row r="1118">
          <cell r="C1118" t="str">
            <v>KYMCO LUX</v>
          </cell>
        </row>
        <row r="1119">
          <cell r="C1119" t="str">
            <v>RENAULT</v>
          </cell>
        </row>
        <row r="1120">
          <cell r="C1120" t="str">
            <v>PACK AND CARRY</v>
          </cell>
        </row>
        <row r="1121">
          <cell r="C1121" t="str">
            <v>DAG IMPORT</v>
          </cell>
        </row>
        <row r="1122">
          <cell r="C1122" t="str">
            <v>ADM CREATIONS</v>
          </cell>
        </row>
        <row r="1123">
          <cell r="C1123" t="str">
            <v>ERKA</v>
          </cell>
        </row>
        <row r="1124">
          <cell r="C1124" t="str">
            <v>ERKA</v>
          </cell>
        </row>
        <row r="1125">
          <cell r="C1125" t="str">
            <v>ELITECH</v>
          </cell>
        </row>
        <row r="1126">
          <cell r="C1126" t="str">
            <v>PACK AND CARRY</v>
          </cell>
        </row>
        <row r="1127">
          <cell r="C1127" t="str">
            <v>EUROMAIR</v>
          </cell>
        </row>
        <row r="1128">
          <cell r="C1128" t="str">
            <v>3MA GROUP</v>
          </cell>
        </row>
        <row r="1129">
          <cell r="C1129" t="str">
            <v>PACK AND CARRY</v>
          </cell>
        </row>
        <row r="1130">
          <cell r="C1130" t="str">
            <v>PACK AND CARRY</v>
          </cell>
        </row>
        <row r="1131">
          <cell r="C1131" t="str">
            <v>PACK AND CARRY</v>
          </cell>
        </row>
        <row r="1132">
          <cell r="C1132" t="str">
            <v>PACK AND CARRY</v>
          </cell>
        </row>
        <row r="1133">
          <cell r="C1133" t="str">
            <v>CMR GROUP</v>
          </cell>
        </row>
        <row r="1134">
          <cell r="C1134" t="str">
            <v>MOUTARDERIE FALLOT</v>
          </cell>
        </row>
        <row r="1135">
          <cell r="C1135" t="str">
            <v>PACK AND CARRY</v>
          </cell>
        </row>
        <row r="1136">
          <cell r="C1136" t="str">
            <v>BECK TECHNOLOGIE</v>
          </cell>
        </row>
        <row r="1137">
          <cell r="C1137" t="str">
            <v>FAURECIA SIELEST</v>
          </cell>
        </row>
        <row r="1138">
          <cell r="C1138" t="str">
            <v>FAURECIA SIELEST</v>
          </cell>
        </row>
        <row r="1139">
          <cell r="C1139" t="str">
            <v>TECOFI</v>
          </cell>
        </row>
        <row r="1140">
          <cell r="C1140" t="str">
            <v>FAURECIA</v>
          </cell>
        </row>
        <row r="1141">
          <cell r="C1141" t="str">
            <v>PACK AND CARRY</v>
          </cell>
        </row>
        <row r="1142">
          <cell r="C1142" t="str">
            <v>PACK AND CARRY</v>
          </cell>
        </row>
        <row r="1143">
          <cell r="C1143" t="str">
            <v>INJECTION 74</v>
          </cell>
        </row>
        <row r="1144">
          <cell r="C1144" t="str">
            <v>DELFINGEN</v>
          </cell>
        </row>
        <row r="1145">
          <cell r="C1145" t="str">
            <v>GERGONNE</v>
          </cell>
        </row>
        <row r="1146">
          <cell r="C1146" t="str">
            <v>ELITECH</v>
          </cell>
        </row>
        <row r="1147">
          <cell r="C1147" t="str">
            <v>PACK AND CARRY</v>
          </cell>
        </row>
        <row r="1148">
          <cell r="C1148" t="str">
            <v>AAM</v>
          </cell>
        </row>
        <row r="1149">
          <cell r="C1149" t="str">
            <v>DAFY MOTO</v>
          </cell>
        </row>
        <row r="1150">
          <cell r="C1150" t="str">
            <v>PACK AND CARRY</v>
          </cell>
        </row>
        <row r="1151">
          <cell r="C1151" t="str">
            <v>PACK AND CARRY</v>
          </cell>
        </row>
        <row r="1152">
          <cell r="C1152" t="str">
            <v>KYMCO LUX</v>
          </cell>
        </row>
        <row r="1153">
          <cell r="C1153" t="str">
            <v>ELITECH</v>
          </cell>
        </row>
        <row r="1154">
          <cell r="C1154" t="str">
            <v>PACK AND CARRY</v>
          </cell>
        </row>
        <row r="1155">
          <cell r="C1155" t="str">
            <v>VALOCHEM</v>
          </cell>
        </row>
        <row r="1156">
          <cell r="C1156" t="str">
            <v>ERIKS</v>
          </cell>
        </row>
        <row r="1157">
          <cell r="C1157" t="str">
            <v>BATIMENTSMOINSCHER.COM</v>
          </cell>
        </row>
        <row r="1158">
          <cell r="C1158" t="str">
            <v>PACK AND CARRY</v>
          </cell>
        </row>
        <row r="1159">
          <cell r="C1159" t="str">
            <v>PACK AND CARRY</v>
          </cell>
        </row>
        <row r="1160">
          <cell r="C1160" t="str">
            <v>PACK AND CARRY</v>
          </cell>
        </row>
        <row r="1161">
          <cell r="C1161" t="str">
            <v>PACK AND CARRY</v>
          </cell>
        </row>
        <row r="1162">
          <cell r="C1162" t="str">
            <v>PACK AND CARRY</v>
          </cell>
        </row>
        <row r="1163">
          <cell r="C1163" t="str">
            <v>CREA</v>
          </cell>
        </row>
        <row r="1164">
          <cell r="C1164" t="str">
            <v>QUIVOGNE</v>
          </cell>
        </row>
        <row r="1165">
          <cell r="C1165" t="str">
            <v>ELITECH</v>
          </cell>
        </row>
        <row r="1166">
          <cell r="C1166" t="str">
            <v>BOIS DU DAUPHINE</v>
          </cell>
        </row>
        <row r="1167">
          <cell r="C1167" t="str">
            <v>PACK AND CARRY</v>
          </cell>
        </row>
        <row r="1168">
          <cell r="C1168" t="str">
            <v>PEARL DIFFUSION</v>
          </cell>
        </row>
        <row r="1169">
          <cell r="C1169" t="str">
            <v>AT EASY PACK</v>
          </cell>
        </row>
        <row r="1170">
          <cell r="C1170" t="str">
            <v>SAINT ROMAIN</v>
          </cell>
        </row>
        <row r="1171">
          <cell r="C1171" t="str">
            <v>CHAMPAGNES PC CH</v>
          </cell>
        </row>
        <row r="1172">
          <cell r="C1172" t="str">
            <v>WATERAIR</v>
          </cell>
        </row>
        <row r="1173">
          <cell r="C1173" t="str">
            <v>KNAUF INDUSTRIES</v>
          </cell>
        </row>
        <row r="1174">
          <cell r="C1174" t="str">
            <v xml:space="preserve">LEAR CORPORATION JARNY </v>
          </cell>
        </row>
        <row r="1175">
          <cell r="C1175" t="str">
            <v>ERIKS</v>
          </cell>
        </row>
        <row r="1176">
          <cell r="C1176" t="str">
            <v>OOGARDEN</v>
          </cell>
        </row>
        <row r="1177">
          <cell r="C1177" t="str">
            <v>FORPAK</v>
          </cell>
        </row>
        <row r="1178">
          <cell r="C1178" t="str">
            <v>ERIKS</v>
          </cell>
        </row>
        <row r="1179">
          <cell r="C1179" t="str">
            <v>DELFINGEN</v>
          </cell>
        </row>
        <row r="1180">
          <cell r="C1180" t="str">
            <v>PACK AND CARRY</v>
          </cell>
        </row>
        <row r="1181">
          <cell r="C1181" t="str">
            <v>PACK AND CARRY</v>
          </cell>
        </row>
        <row r="1182">
          <cell r="C1182" t="str">
            <v>SABATIER</v>
          </cell>
        </row>
        <row r="1183">
          <cell r="C1183" t="str">
            <v>DAFY MOTO</v>
          </cell>
        </row>
        <row r="1184">
          <cell r="C1184" t="str">
            <v>PRAFER</v>
          </cell>
        </row>
        <row r="1185">
          <cell r="C1185" t="str">
            <v>PACK AND CARRY</v>
          </cell>
        </row>
        <row r="1186">
          <cell r="C1186" t="str">
            <v>LE CORVAISIER</v>
          </cell>
        </row>
        <row r="1187">
          <cell r="C1187" t="str">
            <v>ERIKS</v>
          </cell>
        </row>
        <row r="1188">
          <cell r="C1188" t="str">
            <v>CATERPILLAR</v>
          </cell>
        </row>
        <row r="1189">
          <cell r="C1189" t="str">
            <v>SCHAEFFLER</v>
          </cell>
        </row>
        <row r="1190">
          <cell r="C1190" t="str">
            <v>ERIKS</v>
          </cell>
        </row>
        <row r="1191">
          <cell r="C1191" t="str">
            <v>TURBOLUB</v>
          </cell>
        </row>
        <row r="1192">
          <cell r="C1192" t="str">
            <v>PACK AND CARRY</v>
          </cell>
        </row>
        <row r="1193">
          <cell r="C1193" t="str">
            <v>LORRAINE MESSAGERIE</v>
          </cell>
        </row>
        <row r="1194">
          <cell r="C1194" t="str">
            <v>FORPAK</v>
          </cell>
        </row>
        <row r="1195">
          <cell r="C1195" t="str">
            <v xml:space="preserve">BOURBON </v>
          </cell>
        </row>
        <row r="1196">
          <cell r="C1196" t="str">
            <v>PBI</v>
          </cell>
        </row>
        <row r="1197">
          <cell r="C1197" t="str">
            <v>E-TEX</v>
          </cell>
        </row>
        <row r="1198">
          <cell r="C1198" t="str">
            <v>STYLMONDE</v>
          </cell>
        </row>
        <row r="1199">
          <cell r="C1199" t="str">
            <v>PACK AND CARRY</v>
          </cell>
        </row>
        <row r="1200">
          <cell r="C1200" t="str">
            <v>PACK AND CARRY</v>
          </cell>
        </row>
        <row r="1201">
          <cell r="C1201" t="str">
            <v>PACK AND CARRY</v>
          </cell>
        </row>
        <row r="1202">
          <cell r="C1202" t="str">
            <v>ACIER PLUS</v>
          </cell>
        </row>
        <row r="1203">
          <cell r="C1203" t="str">
            <v>PAKEA</v>
          </cell>
        </row>
        <row r="1204">
          <cell r="C1204" t="str">
            <v>SCHAEFFLER</v>
          </cell>
        </row>
        <row r="1205">
          <cell r="C1205" t="str">
            <v>SCHAEFFLER</v>
          </cell>
        </row>
        <row r="1206">
          <cell r="C1206" t="str">
            <v>SCHAEFFLER</v>
          </cell>
        </row>
        <row r="1207">
          <cell r="C1207" t="str">
            <v>PACK AND CARRY</v>
          </cell>
        </row>
        <row r="1208">
          <cell r="C1208" t="str">
            <v>E-TEX</v>
          </cell>
        </row>
        <row r="1209">
          <cell r="C1209" t="str">
            <v>FORGES DE MONPLAISIR</v>
          </cell>
        </row>
        <row r="1210">
          <cell r="C1210" t="str">
            <v>MECAPLAST</v>
          </cell>
        </row>
        <row r="1211">
          <cell r="C1211" t="str">
            <v>QUIVOGNE</v>
          </cell>
        </row>
        <row r="1212">
          <cell r="C1212" t="str">
            <v>PACK AND CARRY</v>
          </cell>
        </row>
        <row r="1213">
          <cell r="C1213" t="str">
            <v>PACK AND CARRY</v>
          </cell>
        </row>
        <row r="1214">
          <cell r="C1214" t="str">
            <v>PACK AND CARRY</v>
          </cell>
        </row>
        <row r="1215">
          <cell r="C1215" t="str">
            <v>PACK AND CARRY</v>
          </cell>
        </row>
        <row r="1216">
          <cell r="C1216" t="str">
            <v>EUROMAIR</v>
          </cell>
        </row>
        <row r="1217">
          <cell r="C1217" t="str">
            <v>CITEL</v>
          </cell>
        </row>
        <row r="1218">
          <cell r="C1218" t="str">
            <v>MEDISTOCK</v>
          </cell>
        </row>
        <row r="1219">
          <cell r="C1219" t="str">
            <v>EUROMAIR</v>
          </cell>
        </row>
        <row r="1220">
          <cell r="C1220" t="str">
            <v>PACK AND CARRY</v>
          </cell>
        </row>
        <row r="1221">
          <cell r="C1221" t="str">
            <v>PACK AND CARRY</v>
          </cell>
        </row>
        <row r="1222">
          <cell r="C1222" t="str">
            <v>STYLMONDE</v>
          </cell>
        </row>
        <row r="1223">
          <cell r="C1223" t="str">
            <v>PACK AND CARRY</v>
          </cell>
        </row>
        <row r="1224">
          <cell r="C1224" t="str">
            <v>PACK AND CARRY</v>
          </cell>
        </row>
        <row r="1225">
          <cell r="C1225" t="str">
            <v>FRENDO</v>
          </cell>
        </row>
        <row r="1226">
          <cell r="C1226" t="str">
            <v>EURO SARCO</v>
          </cell>
        </row>
        <row r="1227">
          <cell r="C1227" t="str">
            <v xml:space="preserve">AEF PRODUCTION </v>
          </cell>
        </row>
        <row r="1228">
          <cell r="C1228" t="str">
            <v xml:space="preserve">AEF PRODUCTION </v>
          </cell>
        </row>
        <row r="1229">
          <cell r="C1229" t="str">
            <v>BOS EQUIPEMENT EHG</v>
          </cell>
        </row>
        <row r="1230">
          <cell r="C1230" t="str">
            <v>BOS EQUIPEMENT EHG</v>
          </cell>
        </row>
        <row r="1231">
          <cell r="C1231" t="str">
            <v>SABATIER</v>
          </cell>
        </row>
        <row r="1232">
          <cell r="C1232" t="str">
            <v>PACK AND CARRY</v>
          </cell>
        </row>
        <row r="1233">
          <cell r="C1233" t="str">
            <v>DAFY MOTO</v>
          </cell>
        </row>
        <row r="1234">
          <cell r="C1234" t="str">
            <v>SADIPAL - ARCONVERT</v>
          </cell>
        </row>
        <row r="1235">
          <cell r="C1235" t="str">
            <v>WALUSA</v>
          </cell>
        </row>
        <row r="1236">
          <cell r="C1236" t="str">
            <v>MODUGAME</v>
          </cell>
        </row>
        <row r="1237">
          <cell r="C1237" t="str">
            <v>LUMIERES DE France</v>
          </cell>
        </row>
        <row r="1238">
          <cell r="C1238" t="str">
            <v>PACK AND CARRY</v>
          </cell>
        </row>
        <row r="1239">
          <cell r="C1239" t="str">
            <v>PACK AND CARRY</v>
          </cell>
        </row>
        <row r="1240">
          <cell r="C1240" t="str">
            <v>WESTRAND</v>
          </cell>
        </row>
        <row r="1241">
          <cell r="C1241" t="str">
            <v>DAG IMPORT</v>
          </cell>
        </row>
        <row r="1242">
          <cell r="C1242" t="str">
            <v>ROCK DECORUM</v>
          </cell>
        </row>
        <row r="1243">
          <cell r="C1243" t="str">
            <v>ROCK DECORUM</v>
          </cell>
        </row>
        <row r="1244">
          <cell r="C1244" t="str">
            <v>ERIKS</v>
          </cell>
        </row>
        <row r="1245">
          <cell r="C1245" t="str">
            <v>SQP</v>
          </cell>
        </row>
        <row r="1246">
          <cell r="C1246" t="str">
            <v>PACK AND CARRY</v>
          </cell>
        </row>
        <row r="1247">
          <cell r="C1247" t="str">
            <v>SODIMAS</v>
          </cell>
        </row>
        <row r="1248">
          <cell r="C1248" t="str">
            <v>SODIMAS</v>
          </cell>
        </row>
        <row r="1249">
          <cell r="C1249" t="str">
            <v>SODIMAS</v>
          </cell>
        </row>
        <row r="1250">
          <cell r="C1250" t="str">
            <v>MDL RODIS</v>
          </cell>
        </row>
        <row r="1251">
          <cell r="C1251" t="str">
            <v>MAKEEN ENERGY</v>
          </cell>
        </row>
        <row r="1252">
          <cell r="C1252" t="str">
            <v>BOS EQUIPEMENT EHG</v>
          </cell>
        </row>
        <row r="1253">
          <cell r="C1253" t="str">
            <v>KNAUF EST</v>
          </cell>
        </row>
        <row r="1254">
          <cell r="C1254" t="str">
            <v>PACK AND CARRY</v>
          </cell>
        </row>
        <row r="1255">
          <cell r="C1255" t="str">
            <v>PACK AND CARRY</v>
          </cell>
        </row>
        <row r="1256">
          <cell r="C1256" t="str">
            <v>RSEAT / France SIMULATEUR</v>
          </cell>
        </row>
        <row r="1257">
          <cell r="C1257" t="str">
            <v>AXE SOLUTIONS</v>
          </cell>
        </row>
        <row r="1258">
          <cell r="C1258" t="str">
            <v>PACK AND CARRY</v>
          </cell>
        </row>
        <row r="1259">
          <cell r="C1259" t="str">
            <v>PEUREUX</v>
          </cell>
        </row>
        <row r="1260">
          <cell r="C1260" t="str">
            <v>KYMCO LUX</v>
          </cell>
        </row>
        <row r="1261">
          <cell r="C1261" t="str">
            <v>PACK AND CARRY</v>
          </cell>
        </row>
        <row r="1262">
          <cell r="C1262" t="str">
            <v>PACK AND CARRY</v>
          </cell>
        </row>
        <row r="1263">
          <cell r="C1263" t="str">
            <v>KYMCO LUX</v>
          </cell>
        </row>
        <row r="1264">
          <cell r="C1264" t="str">
            <v>DAFY MOTO</v>
          </cell>
        </row>
        <row r="1265">
          <cell r="C1265" t="str">
            <v>PACK AND CARRY</v>
          </cell>
        </row>
        <row r="1266">
          <cell r="C1266" t="str">
            <v>KYMCO LUX</v>
          </cell>
        </row>
        <row r="1267">
          <cell r="C1267" t="str">
            <v>WESTRAND</v>
          </cell>
        </row>
        <row r="1268">
          <cell r="C1268" t="str">
            <v>STYLMONDE</v>
          </cell>
        </row>
        <row r="1269">
          <cell r="C1269" t="str">
            <v>PACK AND CARRY</v>
          </cell>
        </row>
        <row r="1270">
          <cell r="C1270" t="str">
            <v>EUROMAIR</v>
          </cell>
        </row>
        <row r="1271">
          <cell r="C1271" t="str">
            <v>LNS France</v>
          </cell>
        </row>
        <row r="1272">
          <cell r="C1272" t="str">
            <v>UNIC</v>
          </cell>
        </row>
        <row r="1273">
          <cell r="C1273" t="str">
            <v>FROMM</v>
          </cell>
        </row>
        <row r="1274">
          <cell r="C1274" t="str">
            <v>ROCK DECORUM</v>
          </cell>
        </row>
        <row r="1275">
          <cell r="C1275" t="str">
            <v>EUROMAIR</v>
          </cell>
        </row>
        <row r="1276">
          <cell r="C1276" t="str">
            <v>PACK AND CARRY</v>
          </cell>
        </row>
        <row r="1277">
          <cell r="C1277" t="str">
            <v>PACK AND CARRY</v>
          </cell>
        </row>
        <row r="1278">
          <cell r="C1278" t="str">
            <v>PACK AND CARRY</v>
          </cell>
        </row>
        <row r="1279">
          <cell r="C1279" t="str">
            <v>PACK AND CARRY</v>
          </cell>
        </row>
        <row r="1280">
          <cell r="C1280" t="str">
            <v>WATERAIR</v>
          </cell>
        </row>
        <row r="1281">
          <cell r="C1281" t="str">
            <v>LIEBHERR</v>
          </cell>
        </row>
        <row r="1282">
          <cell r="C1282" t="str">
            <v>FLEX N GATE</v>
          </cell>
        </row>
        <row r="1283">
          <cell r="C1283" t="str">
            <v>KNAUF INDUSTRIES</v>
          </cell>
        </row>
        <row r="1284">
          <cell r="C1284" t="str">
            <v>ERIKS</v>
          </cell>
        </row>
        <row r="1285">
          <cell r="C1285" t="str">
            <v>QUIVOGNE</v>
          </cell>
        </row>
        <row r="1286">
          <cell r="C1286" t="str">
            <v>VIRBAC</v>
          </cell>
        </row>
        <row r="1287">
          <cell r="C1287" t="str">
            <v>QUIVOGNE</v>
          </cell>
        </row>
        <row r="1288">
          <cell r="C1288" t="str">
            <v>CMR GROUP</v>
          </cell>
        </row>
        <row r="1289">
          <cell r="C1289" t="str">
            <v>PACK AND CARRY</v>
          </cell>
        </row>
        <row r="1290">
          <cell r="C1290" t="str">
            <v>SFL</v>
          </cell>
        </row>
        <row r="1291">
          <cell r="C1291" t="str">
            <v>PACK AND CARRY</v>
          </cell>
        </row>
        <row r="1292">
          <cell r="C1292" t="str">
            <v>PESAGE MB</v>
          </cell>
        </row>
        <row r="1293">
          <cell r="C1293" t="str">
            <v>ERIKS</v>
          </cell>
        </row>
        <row r="1294">
          <cell r="C1294" t="str">
            <v>DAG IMPORT</v>
          </cell>
        </row>
        <row r="1295">
          <cell r="C1295" t="str">
            <v>STYLMONDE</v>
          </cell>
        </row>
        <row r="1296">
          <cell r="C1296" t="str">
            <v>CATERPILLAR</v>
          </cell>
        </row>
        <row r="1297">
          <cell r="C1297" t="str">
            <v>CLOTURES REMOISES</v>
          </cell>
        </row>
        <row r="1298">
          <cell r="C1298" t="str">
            <v>PACK AND CARRY</v>
          </cell>
        </row>
        <row r="1299">
          <cell r="C1299" t="str">
            <v>ODIL</v>
          </cell>
        </row>
        <row r="1300">
          <cell r="C1300" t="str">
            <v xml:space="preserve">WES </v>
          </cell>
        </row>
        <row r="1301">
          <cell r="C1301" t="str">
            <v xml:space="preserve">BOURBON </v>
          </cell>
        </row>
        <row r="1302">
          <cell r="C1302" t="str">
            <v>BOS EQUIPEMENT EHG</v>
          </cell>
        </row>
        <row r="1303">
          <cell r="C1303" t="str">
            <v>NOVARES</v>
          </cell>
        </row>
        <row r="1304">
          <cell r="C1304" t="str">
            <v>BEABA</v>
          </cell>
        </row>
        <row r="1305">
          <cell r="C1305" t="str">
            <v>SOCAH</v>
          </cell>
        </row>
        <row r="1306">
          <cell r="C1306" t="str">
            <v>GUNNEBO</v>
          </cell>
        </row>
        <row r="1307">
          <cell r="C1307" t="str">
            <v>STYLMONDE</v>
          </cell>
        </row>
        <row r="1308">
          <cell r="C1308" t="str">
            <v>PACK AND CARRY</v>
          </cell>
        </row>
        <row r="1309">
          <cell r="C1309" t="str">
            <v>PACK AND CARRY</v>
          </cell>
        </row>
        <row r="1310">
          <cell r="C1310" t="str">
            <v>PACK AND CARRY</v>
          </cell>
        </row>
        <row r="1311">
          <cell r="C1311" t="str">
            <v>PACK AND CARRY</v>
          </cell>
        </row>
        <row r="1312">
          <cell r="C1312" t="str">
            <v>PACK AND CARRY</v>
          </cell>
        </row>
        <row r="1313">
          <cell r="C1313" t="str">
            <v>PACK AND CARRY</v>
          </cell>
        </row>
        <row r="1314">
          <cell r="C1314" t="str">
            <v>PACK AND CARRY</v>
          </cell>
        </row>
        <row r="1315">
          <cell r="C1315" t="str">
            <v>PACK AND CARRY</v>
          </cell>
        </row>
        <row r="1316">
          <cell r="C1316" t="str">
            <v>ERIKS</v>
          </cell>
        </row>
        <row r="1317">
          <cell r="C1317" t="str">
            <v>PROLYMPACK</v>
          </cell>
        </row>
        <row r="1318">
          <cell r="C1318" t="str">
            <v>AKTID</v>
          </cell>
        </row>
        <row r="1319">
          <cell r="C1319" t="str">
            <v>PACK AND CARRY</v>
          </cell>
        </row>
        <row r="1320">
          <cell r="C1320" t="str">
            <v>PACK AND CARRY</v>
          </cell>
        </row>
        <row r="1321">
          <cell r="C1321" t="str">
            <v>QUIVOGNE</v>
          </cell>
        </row>
        <row r="1322">
          <cell r="C1322" t="str">
            <v>CLOTURES REMOISES</v>
          </cell>
        </row>
        <row r="1323">
          <cell r="C1323" t="str">
            <v>EIMI</v>
          </cell>
        </row>
        <row r="1324">
          <cell r="C1324" t="str">
            <v>EUROSTYLE SYSTEMS SENS</v>
          </cell>
        </row>
        <row r="1325">
          <cell r="C1325" t="str">
            <v>PACK AND CARRY</v>
          </cell>
        </row>
        <row r="1326">
          <cell r="C1326" t="str">
            <v>NOVARES</v>
          </cell>
        </row>
        <row r="1327">
          <cell r="C1327" t="str">
            <v>JARDINS DE GAIA</v>
          </cell>
        </row>
        <row r="1328">
          <cell r="C1328" t="str">
            <v>DUVAL-LEROY</v>
          </cell>
        </row>
        <row r="1329">
          <cell r="C1329" t="str">
            <v>ERKA</v>
          </cell>
        </row>
        <row r="1330">
          <cell r="C1330" t="str">
            <v>DAFY MOTO</v>
          </cell>
        </row>
        <row r="1331">
          <cell r="C1331" t="str">
            <v>CENTRE DU SANITAIRE ET DU CARRELAGE</v>
          </cell>
        </row>
        <row r="1332">
          <cell r="C1332" t="str">
            <v>TOP TECH ITALIA</v>
          </cell>
        </row>
        <row r="1333">
          <cell r="C1333" t="str">
            <v>MEDISTOCK</v>
          </cell>
        </row>
        <row r="1334">
          <cell r="C1334" t="str">
            <v xml:space="preserve">COMPO </v>
          </cell>
        </row>
        <row r="1335">
          <cell r="C1335" t="str">
            <v>DIP</v>
          </cell>
        </row>
        <row r="1336">
          <cell r="C1336" t="str">
            <v>SINOTEC</v>
          </cell>
        </row>
        <row r="1337">
          <cell r="C1337" t="str">
            <v xml:space="preserve">BOURBON </v>
          </cell>
        </row>
        <row r="1338">
          <cell r="C1338" t="str">
            <v>PACK AND CARRY</v>
          </cell>
        </row>
        <row r="1339">
          <cell r="C1339" t="str">
            <v xml:space="preserve">BOURBON </v>
          </cell>
        </row>
        <row r="1340">
          <cell r="C1340" t="str">
            <v>RUCON</v>
          </cell>
        </row>
        <row r="1341">
          <cell r="C1341" t="str">
            <v>PANALPINA</v>
          </cell>
        </row>
        <row r="1342">
          <cell r="C1342" t="str">
            <v>PACK AND CARRY</v>
          </cell>
        </row>
        <row r="1343">
          <cell r="C1343" t="str">
            <v>E-TEX</v>
          </cell>
        </row>
        <row r="1344">
          <cell r="C1344" t="str">
            <v>ODIL</v>
          </cell>
        </row>
        <row r="1345">
          <cell r="C1345" t="str">
            <v>MICHELIN SOLUTIONS</v>
          </cell>
        </row>
        <row r="1346">
          <cell r="C1346" t="str">
            <v>MICHELIN SOLUTIONS</v>
          </cell>
        </row>
        <row r="1347">
          <cell r="C1347" t="str">
            <v>SOCAH</v>
          </cell>
        </row>
        <row r="1348">
          <cell r="C1348" t="str">
            <v>LA PLUME DOREE</v>
          </cell>
        </row>
        <row r="1349">
          <cell r="C1349" t="str">
            <v>PHILIPS LIGHTING</v>
          </cell>
        </row>
        <row r="1350">
          <cell r="C1350" t="str">
            <v xml:space="preserve">LEAR CORPORATION JARNY </v>
          </cell>
        </row>
        <row r="1351">
          <cell r="C1351" t="str">
            <v>TRANSCAUSSE</v>
          </cell>
        </row>
        <row r="1352">
          <cell r="C1352" t="str">
            <v>PACK AND CARRY</v>
          </cell>
        </row>
        <row r="1353">
          <cell r="C1353" t="str">
            <v>PACK AND CARRY</v>
          </cell>
        </row>
        <row r="1354">
          <cell r="C1354" t="str">
            <v>ABC SHOP</v>
          </cell>
        </row>
        <row r="1355">
          <cell r="C1355" t="str">
            <v>PACK AND CARRY</v>
          </cell>
        </row>
        <row r="1356">
          <cell r="C1356" t="str">
            <v>PACK AND CARRY</v>
          </cell>
        </row>
        <row r="1357">
          <cell r="C1357" t="str">
            <v>ERIKS</v>
          </cell>
        </row>
        <row r="1358">
          <cell r="C1358" t="str">
            <v>BEABA</v>
          </cell>
        </row>
        <row r="1359">
          <cell r="C1359" t="str">
            <v>BEABA</v>
          </cell>
        </row>
        <row r="1360">
          <cell r="C1360" t="str">
            <v>SOMATEM</v>
          </cell>
        </row>
        <row r="1361">
          <cell r="C1361" t="str">
            <v>IPM France</v>
          </cell>
        </row>
        <row r="1362">
          <cell r="C1362" t="str">
            <v>PACK AND CARRY</v>
          </cell>
        </row>
        <row r="1363">
          <cell r="C1363" t="str">
            <v>PACK AND CARRY</v>
          </cell>
        </row>
        <row r="1364">
          <cell r="C1364" t="str">
            <v>KYMCO LUX</v>
          </cell>
        </row>
        <row r="1365">
          <cell r="C1365" t="str">
            <v>LEHMANN</v>
          </cell>
        </row>
        <row r="1366">
          <cell r="C1366" t="str">
            <v>DECO RELIEF</v>
          </cell>
        </row>
        <row r="1367">
          <cell r="C1367" t="str">
            <v>WALUSA</v>
          </cell>
        </row>
        <row r="1368">
          <cell r="C1368" t="str">
            <v>WALUSA</v>
          </cell>
        </row>
        <row r="1369">
          <cell r="C1369" t="str">
            <v>WALUSA</v>
          </cell>
        </row>
        <row r="1370">
          <cell r="C1370" t="str">
            <v>PACK AND CARRY</v>
          </cell>
        </row>
        <row r="1371">
          <cell r="C1371" t="str">
            <v>PACK AND CARRY</v>
          </cell>
        </row>
        <row r="1372">
          <cell r="C1372" t="str">
            <v>DAFY MOTO</v>
          </cell>
        </row>
        <row r="1373">
          <cell r="C1373" t="str">
            <v>CMR GROUP</v>
          </cell>
        </row>
        <row r="1374">
          <cell r="C1374" t="str">
            <v>PACK AND CARRY</v>
          </cell>
        </row>
        <row r="1375">
          <cell r="C1375" t="str">
            <v>ERIKS</v>
          </cell>
        </row>
        <row r="1376">
          <cell r="C1376" t="str">
            <v>EUROMAIR</v>
          </cell>
        </row>
        <row r="1377">
          <cell r="C1377" t="str">
            <v>EUROMAIR</v>
          </cell>
        </row>
        <row r="1378">
          <cell r="C1378" t="str">
            <v>DRIVE DEVILBISS</v>
          </cell>
        </row>
        <row r="1379">
          <cell r="C1379" t="str">
            <v>PACK AND CARRY</v>
          </cell>
        </row>
        <row r="1380">
          <cell r="C1380" t="str">
            <v>E-TEX</v>
          </cell>
        </row>
        <row r="1381">
          <cell r="C1381" t="str">
            <v>E-TEX</v>
          </cell>
        </row>
        <row r="1382">
          <cell r="C1382" t="str">
            <v>SAUNIER</v>
          </cell>
        </row>
        <row r="1383">
          <cell r="C1383" t="str">
            <v>E-TEX</v>
          </cell>
        </row>
        <row r="1384">
          <cell r="C1384" t="str">
            <v>PACK AND CARRY</v>
          </cell>
        </row>
        <row r="1385">
          <cell r="C1385" t="str">
            <v>HALO CONCEPT</v>
          </cell>
        </row>
        <row r="1386">
          <cell r="C1386" t="str">
            <v xml:space="preserve">BOURBON </v>
          </cell>
        </row>
        <row r="1387">
          <cell r="C1387" t="str">
            <v>CID PLASTIQUES</v>
          </cell>
        </row>
        <row r="1388">
          <cell r="C1388" t="str">
            <v>CID PLASTIQUES</v>
          </cell>
        </row>
        <row r="1389">
          <cell r="C1389" t="str">
            <v>NOVARES</v>
          </cell>
        </row>
        <row r="1390">
          <cell r="C1390" t="str">
            <v>PACK AND CARRY</v>
          </cell>
        </row>
        <row r="1391">
          <cell r="C1391" t="str">
            <v>LORRAINE MESSAGERIE</v>
          </cell>
        </row>
        <row r="1392">
          <cell r="C1392" t="str">
            <v>SITA MOS AUVERGNE</v>
          </cell>
        </row>
        <row r="1393">
          <cell r="C1393" t="str">
            <v>QUIVOGNE</v>
          </cell>
        </row>
        <row r="1394">
          <cell r="C1394" t="str">
            <v>RSEAT / France SIMULATEUR</v>
          </cell>
        </row>
        <row r="1395">
          <cell r="C1395" t="str">
            <v>LEHMANN</v>
          </cell>
        </row>
        <row r="1396">
          <cell r="C1396" t="str">
            <v>SITA MOS AUVERGNE</v>
          </cell>
        </row>
        <row r="1397">
          <cell r="C1397" t="str">
            <v>IPM France</v>
          </cell>
        </row>
        <row r="1398">
          <cell r="C1398" t="str">
            <v>PACK AND CARRY</v>
          </cell>
        </row>
        <row r="1399">
          <cell r="C1399" t="str">
            <v>PAK EMBALLAGES</v>
          </cell>
        </row>
        <row r="1400">
          <cell r="C1400" t="str">
            <v>PAK EMBALLAGES</v>
          </cell>
        </row>
        <row r="1401">
          <cell r="C1401" t="str">
            <v>PSA VESOUL</v>
          </cell>
        </row>
        <row r="1402">
          <cell r="C1402" t="str">
            <v>PAKEA</v>
          </cell>
        </row>
        <row r="1403">
          <cell r="C1403" t="str">
            <v>OBSTA</v>
          </cell>
        </row>
        <row r="1404">
          <cell r="C1404" t="str">
            <v>SCHAEFFLER</v>
          </cell>
        </row>
        <row r="1405">
          <cell r="C1405" t="str">
            <v>ERIKS</v>
          </cell>
        </row>
        <row r="1406">
          <cell r="C1406" t="str">
            <v>ERIKS</v>
          </cell>
        </row>
        <row r="1407">
          <cell r="C1407" t="str">
            <v>PSA SOCHAUX</v>
          </cell>
        </row>
        <row r="1408">
          <cell r="C1408" t="str">
            <v xml:space="preserve">BOURBON </v>
          </cell>
        </row>
        <row r="1409">
          <cell r="C1409" t="str">
            <v>PACK AND CARRY</v>
          </cell>
        </row>
        <row r="1410">
          <cell r="C1410" t="str">
            <v xml:space="preserve">LEAR CORPORATION JARNY </v>
          </cell>
        </row>
        <row r="1411">
          <cell r="C1411" t="str">
            <v>DAFY MOTO</v>
          </cell>
        </row>
        <row r="1412">
          <cell r="C1412" t="str">
            <v>ACT</v>
          </cell>
        </row>
        <row r="1413">
          <cell r="C1413" t="str">
            <v>RECREA FRANCE</v>
          </cell>
        </row>
        <row r="1414">
          <cell r="C1414" t="str">
            <v>RECREA FRANCE</v>
          </cell>
        </row>
        <row r="1415">
          <cell r="C1415" t="str">
            <v>PACK AND CARRY</v>
          </cell>
        </row>
        <row r="1416">
          <cell r="C1416" t="str">
            <v>POLYONE</v>
          </cell>
        </row>
        <row r="1417">
          <cell r="C1417" t="str">
            <v>E-TEX</v>
          </cell>
        </row>
        <row r="1418">
          <cell r="C1418" t="str">
            <v>GERGONNE</v>
          </cell>
        </row>
        <row r="1419">
          <cell r="C1419" t="str">
            <v>PACK AND CARRY</v>
          </cell>
        </row>
        <row r="1420">
          <cell r="C1420" t="str">
            <v>PACK AND CARRY</v>
          </cell>
        </row>
        <row r="1421">
          <cell r="C1421" t="str">
            <v>RECREA FRANCE</v>
          </cell>
        </row>
        <row r="1422">
          <cell r="C1422" t="str">
            <v>AAM - METALDYNE</v>
          </cell>
        </row>
        <row r="1423">
          <cell r="C1423" t="str">
            <v>UNIC</v>
          </cell>
        </row>
        <row r="1424">
          <cell r="C1424" t="str">
            <v>NOVARES</v>
          </cell>
        </row>
        <row r="1425">
          <cell r="C1425" t="str">
            <v>LES AUTOMATISMES APPLIQUES</v>
          </cell>
        </row>
        <row r="1426">
          <cell r="C1426" t="str">
            <v>STYLMONDE</v>
          </cell>
        </row>
        <row r="1427">
          <cell r="C1427" t="str">
            <v>SACLA</v>
          </cell>
        </row>
        <row r="1428">
          <cell r="C1428" t="str">
            <v>S2G</v>
          </cell>
        </row>
        <row r="1429">
          <cell r="C1429" t="str">
            <v>ACT</v>
          </cell>
        </row>
        <row r="1430">
          <cell r="C1430" t="str">
            <v>LEBON ET VERNAY</v>
          </cell>
        </row>
        <row r="1431">
          <cell r="C1431" t="str">
            <v>POLYONE</v>
          </cell>
        </row>
        <row r="1432">
          <cell r="C1432" t="str">
            <v>SAUNIER</v>
          </cell>
        </row>
        <row r="1433">
          <cell r="C1433" t="str">
            <v>DELMON / SOCAT</v>
          </cell>
        </row>
        <row r="1434">
          <cell r="C1434" t="str">
            <v>BOS EQUIPEMENT EHG</v>
          </cell>
        </row>
        <row r="1435">
          <cell r="C1435" t="str">
            <v>KYMCO LUX</v>
          </cell>
        </row>
        <row r="1436">
          <cell r="C1436" t="str">
            <v>QUIVOGNE</v>
          </cell>
        </row>
        <row r="1437">
          <cell r="C1437" t="str">
            <v>HYS MOULD</v>
          </cell>
        </row>
        <row r="1438">
          <cell r="C1438" t="str">
            <v>HYS MOULD</v>
          </cell>
        </row>
        <row r="1439">
          <cell r="C1439" t="str">
            <v>HYS MOULD</v>
          </cell>
        </row>
        <row r="1440">
          <cell r="C1440" t="str">
            <v>HYS MOULD</v>
          </cell>
        </row>
        <row r="1441">
          <cell r="C1441" t="str">
            <v>CLOTURES REMOISES</v>
          </cell>
        </row>
        <row r="1442">
          <cell r="C1442" t="str">
            <v>CLOTURES REMOISES</v>
          </cell>
        </row>
        <row r="1443">
          <cell r="C1443" t="str">
            <v>QUIVOGNE</v>
          </cell>
        </row>
        <row r="1444">
          <cell r="C1444" t="str">
            <v xml:space="preserve">BOURBON </v>
          </cell>
        </row>
        <row r="1445">
          <cell r="C1445" t="str">
            <v>ARAMINE</v>
          </cell>
        </row>
        <row r="1446">
          <cell r="C1446" t="str">
            <v>QUIVOGNE</v>
          </cell>
        </row>
        <row r="1447">
          <cell r="C1447" t="str">
            <v>CMR GROUP</v>
          </cell>
        </row>
        <row r="1448">
          <cell r="C1448" t="str">
            <v>ITW</v>
          </cell>
        </row>
        <row r="1449">
          <cell r="C1449" t="str">
            <v>SOCAH</v>
          </cell>
        </row>
        <row r="1450">
          <cell r="C1450" t="str">
            <v>SOCAH</v>
          </cell>
        </row>
        <row r="1451">
          <cell r="C1451" t="str">
            <v>MECAPLAST</v>
          </cell>
        </row>
        <row r="1452">
          <cell r="C1452" t="str">
            <v>RUCON</v>
          </cell>
        </row>
        <row r="1453">
          <cell r="C1453" t="str">
            <v>STYLMONDE</v>
          </cell>
        </row>
        <row r="1454">
          <cell r="C1454" t="str">
            <v>NOVARES MONACO</v>
          </cell>
        </row>
        <row r="1455">
          <cell r="C1455" t="str">
            <v>POLYONE</v>
          </cell>
        </row>
        <row r="1456">
          <cell r="C1456" t="str">
            <v>TOP TECH ITALIA</v>
          </cell>
        </row>
        <row r="1457">
          <cell r="C1457" t="str">
            <v>PACK AND CARRY</v>
          </cell>
        </row>
        <row r="1458">
          <cell r="C1458" t="str">
            <v>CHAMPAGEL</v>
          </cell>
        </row>
        <row r="1459">
          <cell r="C1459" t="str">
            <v>ERIKS</v>
          </cell>
        </row>
        <row r="1460">
          <cell r="C1460" t="str">
            <v>ERIKS</v>
          </cell>
        </row>
        <row r="1461">
          <cell r="C1461" t="str">
            <v>PACK AND CARRY</v>
          </cell>
        </row>
        <row r="1462">
          <cell r="C1462" t="str">
            <v>PACK AND CARRY</v>
          </cell>
        </row>
        <row r="1463">
          <cell r="C1463" t="str">
            <v>PACK AND CARRY</v>
          </cell>
        </row>
        <row r="1464">
          <cell r="C1464" t="str">
            <v>PACK AND CARRY</v>
          </cell>
        </row>
        <row r="1465">
          <cell r="C1465" t="str">
            <v>PACK AND CARRY</v>
          </cell>
        </row>
        <row r="1466">
          <cell r="C1466" t="str">
            <v>PACK AND CARRY</v>
          </cell>
        </row>
        <row r="1467">
          <cell r="C1467" t="str">
            <v>DAG IMPORT</v>
          </cell>
        </row>
        <row r="1468">
          <cell r="C1468" t="str">
            <v>KSB COTUMER</v>
          </cell>
        </row>
        <row r="1469">
          <cell r="C1469" t="str">
            <v>PEUGEOT MOTOCYCLES</v>
          </cell>
        </row>
        <row r="1470">
          <cell r="C1470" t="str">
            <v>PANOPACK</v>
          </cell>
        </row>
        <row r="1471">
          <cell r="C1471" t="str">
            <v>SINOTEC</v>
          </cell>
        </row>
        <row r="1472">
          <cell r="C1472" t="str">
            <v>SINOTEC</v>
          </cell>
        </row>
        <row r="1473">
          <cell r="C1473" t="str">
            <v>E-TEX</v>
          </cell>
        </row>
        <row r="1474">
          <cell r="C1474" t="str">
            <v>QUIVOGNE</v>
          </cell>
        </row>
        <row r="1475">
          <cell r="C1475" t="str">
            <v>POLYONE</v>
          </cell>
        </row>
        <row r="1476">
          <cell r="C1476" t="str">
            <v>QUIVOGNE</v>
          </cell>
        </row>
        <row r="1477">
          <cell r="C1477" t="str">
            <v>DAFY MOTO</v>
          </cell>
        </row>
        <row r="1478">
          <cell r="C1478" t="str">
            <v>PEUGEOT MOTOCYCLES</v>
          </cell>
        </row>
        <row r="1479">
          <cell r="C1479" t="str">
            <v>QUIVOGNE</v>
          </cell>
        </row>
        <row r="1480">
          <cell r="C1480" t="str">
            <v>BRUEGGEN</v>
          </cell>
        </row>
        <row r="1481">
          <cell r="C1481" t="str">
            <v>SORI</v>
          </cell>
        </row>
        <row r="1482">
          <cell r="C1482" t="str">
            <v>ERIKS</v>
          </cell>
        </row>
        <row r="1483">
          <cell r="C1483" t="str">
            <v>PACK AND CARRY</v>
          </cell>
        </row>
        <row r="1484">
          <cell r="C1484" t="str">
            <v>QUIVOGNE</v>
          </cell>
        </row>
        <row r="1485">
          <cell r="C1485" t="str">
            <v>ERIKS</v>
          </cell>
        </row>
        <row r="1486">
          <cell r="C1486" t="str">
            <v>ERIKS</v>
          </cell>
        </row>
        <row r="1487">
          <cell r="C1487" t="str">
            <v xml:space="preserve">LEAR CORPORATION JARNY </v>
          </cell>
        </row>
        <row r="1488">
          <cell r="C1488" t="str">
            <v>QUIVOGNE</v>
          </cell>
        </row>
        <row r="1489">
          <cell r="C1489" t="str">
            <v>MGI COUTIER</v>
          </cell>
        </row>
        <row r="1490">
          <cell r="C1490" t="str">
            <v>BIDAL</v>
          </cell>
        </row>
        <row r="1491">
          <cell r="C1491" t="str">
            <v>ERIKS</v>
          </cell>
        </row>
        <row r="1492">
          <cell r="C1492" t="str">
            <v>PACK AND CARRY</v>
          </cell>
        </row>
        <row r="1493">
          <cell r="C1493" t="str">
            <v>SOCAH</v>
          </cell>
        </row>
        <row r="1494">
          <cell r="C1494" t="str">
            <v>DECATHLON</v>
          </cell>
        </row>
        <row r="1495">
          <cell r="C1495" t="str">
            <v>AIRTEC</v>
          </cell>
        </row>
        <row r="1496">
          <cell r="C1496" t="str">
            <v>ADHEX</v>
          </cell>
        </row>
        <row r="1497">
          <cell r="C1497" t="str">
            <v>PACK AND CARRY</v>
          </cell>
        </row>
        <row r="1498">
          <cell r="C1498" t="str">
            <v>PEUGEOT</v>
          </cell>
        </row>
        <row r="1499">
          <cell r="C1499" t="str">
            <v>DAG IMPORT</v>
          </cell>
        </row>
        <row r="1500">
          <cell r="C1500" t="str">
            <v>ESL</v>
          </cell>
        </row>
        <row r="1501">
          <cell r="C1501" t="str">
            <v>DI EGIDIO</v>
          </cell>
        </row>
        <row r="1502">
          <cell r="C1502" t="str">
            <v>BAUGET JOUETTE</v>
          </cell>
        </row>
        <row r="1503">
          <cell r="C1503" t="str">
            <v>PANALPINA</v>
          </cell>
        </row>
        <row r="1504">
          <cell r="C1504" t="str">
            <v xml:space="preserve">LEAR CORPORATION JARNY </v>
          </cell>
        </row>
        <row r="1505">
          <cell r="C1505" t="str">
            <v>JST</v>
          </cell>
        </row>
        <row r="1506">
          <cell r="C1506" t="str">
            <v>PEUGEOT</v>
          </cell>
        </row>
        <row r="1507">
          <cell r="C1507" t="str">
            <v>PEUGEOT</v>
          </cell>
        </row>
        <row r="1508">
          <cell r="C1508" t="str">
            <v>PACK AND CARRY</v>
          </cell>
        </row>
        <row r="1509">
          <cell r="C1509" t="str">
            <v>EVERBAL</v>
          </cell>
        </row>
        <row r="1510">
          <cell r="C1510" t="str">
            <v>LEHMANN</v>
          </cell>
        </row>
        <row r="1511">
          <cell r="C1511" t="str">
            <v>VALOCHEM</v>
          </cell>
        </row>
        <row r="1512">
          <cell r="C1512" t="str">
            <v>GAUTHIER VINI</v>
          </cell>
        </row>
        <row r="1513">
          <cell r="C1513" t="str">
            <v>PACK AND CARRY</v>
          </cell>
        </row>
        <row r="1514">
          <cell r="C1514" t="str">
            <v>PACK AND CARRY</v>
          </cell>
        </row>
        <row r="1515">
          <cell r="C1515" t="str">
            <v>RSEAT / France SIMULATEUR</v>
          </cell>
        </row>
        <row r="1516">
          <cell r="C1516" t="str">
            <v>DAG IMPORT</v>
          </cell>
        </row>
        <row r="1517">
          <cell r="C1517" t="str">
            <v>PACK AND CARRY</v>
          </cell>
        </row>
        <row r="1518">
          <cell r="C1518" t="str">
            <v>FILPACK PROTECTION</v>
          </cell>
        </row>
        <row r="1519">
          <cell r="C1519" t="str">
            <v>PEUGEOT</v>
          </cell>
        </row>
        <row r="1520">
          <cell r="C1520" t="str">
            <v>PAKEA</v>
          </cell>
        </row>
        <row r="1521">
          <cell r="C1521" t="str">
            <v xml:space="preserve">LEAR CORPORATION JARNY </v>
          </cell>
        </row>
        <row r="1522">
          <cell r="C1522" t="str">
            <v>KYMCO LUX</v>
          </cell>
        </row>
        <row r="1523">
          <cell r="C1523" t="str">
            <v>IBD PIERDOR</v>
          </cell>
        </row>
        <row r="1524">
          <cell r="C1524" t="str">
            <v>LABARONNE CITAF</v>
          </cell>
        </row>
        <row r="1525">
          <cell r="C1525" t="str">
            <v>LABARONNE CITAF</v>
          </cell>
        </row>
        <row r="1526">
          <cell r="C1526" t="str">
            <v>IPM France</v>
          </cell>
        </row>
        <row r="1527">
          <cell r="C1527" t="str">
            <v>PACK AND CARRY</v>
          </cell>
        </row>
        <row r="1528">
          <cell r="C1528" t="str">
            <v>CODEFA HUILES</v>
          </cell>
        </row>
        <row r="1529">
          <cell r="C1529" t="str">
            <v>CODEFA HUILES</v>
          </cell>
        </row>
        <row r="1530">
          <cell r="C1530" t="str">
            <v>QUIVOGNE</v>
          </cell>
        </row>
        <row r="1531">
          <cell r="C1531" t="str">
            <v>SOCAH</v>
          </cell>
        </row>
        <row r="1532">
          <cell r="C1532" t="str">
            <v>SORI</v>
          </cell>
        </row>
        <row r="1533">
          <cell r="C1533" t="str">
            <v>ABBYTEX</v>
          </cell>
        </row>
        <row r="1534">
          <cell r="C1534" t="str">
            <v>GAUTHIER VINI</v>
          </cell>
        </row>
        <row r="1535">
          <cell r="C1535" t="str">
            <v>PACK AND CARRY</v>
          </cell>
        </row>
        <row r="1536">
          <cell r="C1536" t="str">
            <v>MEDISTOCK</v>
          </cell>
        </row>
        <row r="1537">
          <cell r="C1537" t="str">
            <v>MEDISTOCK</v>
          </cell>
        </row>
        <row r="1538">
          <cell r="C1538" t="str">
            <v>PACK AND CARRY</v>
          </cell>
        </row>
        <row r="1539">
          <cell r="C1539" t="str">
            <v>ERIKS</v>
          </cell>
        </row>
        <row r="1540">
          <cell r="C1540" t="str">
            <v>PACK AND CARRY</v>
          </cell>
        </row>
        <row r="1541">
          <cell r="C1541" t="str">
            <v>PACK AND CARRY</v>
          </cell>
        </row>
        <row r="1542">
          <cell r="C1542" t="str">
            <v>EUROMAIR</v>
          </cell>
        </row>
        <row r="1543">
          <cell r="C1543" t="str">
            <v>PAKEA</v>
          </cell>
        </row>
        <row r="1544">
          <cell r="C1544" t="str">
            <v>DAG IMPORT</v>
          </cell>
        </row>
        <row r="1545">
          <cell r="C1545" t="str">
            <v>E-TEX</v>
          </cell>
        </row>
        <row r="1546">
          <cell r="C1546" t="str">
            <v>WESTRAND</v>
          </cell>
        </row>
        <row r="1547">
          <cell r="C1547" t="str">
            <v>LEBON ET VERNAY</v>
          </cell>
        </row>
        <row r="1548">
          <cell r="C1548" t="str">
            <v>EUROMAIR</v>
          </cell>
        </row>
        <row r="1549">
          <cell r="C1549" t="str">
            <v>MICHELIN SOLUTIONS</v>
          </cell>
        </row>
        <row r="1550">
          <cell r="C1550" t="str">
            <v>PACK AND CARRY</v>
          </cell>
        </row>
        <row r="1551">
          <cell r="C1551" t="str">
            <v>BUBIMEX</v>
          </cell>
        </row>
        <row r="1552">
          <cell r="C1552" t="str">
            <v>BUBIMEX</v>
          </cell>
        </row>
        <row r="1553">
          <cell r="C1553" t="str">
            <v>SOCAH</v>
          </cell>
        </row>
        <row r="1554">
          <cell r="C1554" t="str">
            <v>SOCAH</v>
          </cell>
        </row>
        <row r="1555">
          <cell r="C1555" t="str">
            <v>CODEFA HUILES</v>
          </cell>
        </row>
        <row r="1556">
          <cell r="C1556" t="str">
            <v>CODEFA HUILES</v>
          </cell>
        </row>
        <row r="1557">
          <cell r="C1557" t="str">
            <v>CMR GROUP</v>
          </cell>
        </row>
        <row r="1558">
          <cell r="C1558" t="str">
            <v>EUROMAIR</v>
          </cell>
        </row>
        <row r="1559">
          <cell r="C1559" t="str">
            <v>POLYONE</v>
          </cell>
        </row>
        <row r="1560">
          <cell r="C1560" t="str">
            <v>LOUDET ACCESSOIRES</v>
          </cell>
        </row>
        <row r="1561">
          <cell r="C1561" t="str">
            <v>SOBEM</v>
          </cell>
        </row>
        <row r="1562">
          <cell r="C1562" t="str">
            <v>ACT MOBILIER</v>
          </cell>
        </row>
        <row r="1563">
          <cell r="C1563" t="str">
            <v>PC SOFT</v>
          </cell>
        </row>
        <row r="1564">
          <cell r="C1564" t="str">
            <v>ADHEX</v>
          </cell>
        </row>
        <row r="1565">
          <cell r="C1565" t="str">
            <v xml:space="preserve">LEAR CORPORATION JARNY </v>
          </cell>
        </row>
        <row r="1566">
          <cell r="C1566" t="str">
            <v>AFT INDUSTRIE</v>
          </cell>
        </row>
        <row r="1567">
          <cell r="C1567" t="str">
            <v>PEBEO</v>
          </cell>
        </row>
        <row r="1568">
          <cell r="C1568" t="str">
            <v>FITT France</v>
          </cell>
        </row>
        <row r="1569">
          <cell r="C1569" t="str">
            <v xml:space="preserve">LEAR CORPORATION JARNY </v>
          </cell>
        </row>
        <row r="1570">
          <cell r="C1570" t="str">
            <v>NTN TRANSMISSIONS EUROPE</v>
          </cell>
        </row>
        <row r="1571">
          <cell r="C1571" t="str">
            <v>MDL RODIS</v>
          </cell>
        </row>
        <row r="1572">
          <cell r="C1572" t="str">
            <v>DOMAINE DE LUMIAN</v>
          </cell>
        </row>
        <row r="1573">
          <cell r="C1573" t="str">
            <v>EUROMAIR</v>
          </cell>
        </row>
        <row r="1574">
          <cell r="C1574" t="str">
            <v>E-TEX</v>
          </cell>
        </row>
        <row r="1575">
          <cell r="C1575" t="str">
            <v>SITA MOS AUVERGNE</v>
          </cell>
        </row>
        <row r="1576">
          <cell r="C1576" t="str">
            <v>COPCI</v>
          </cell>
        </row>
        <row r="1577">
          <cell r="C1577" t="str">
            <v>PEUREUX</v>
          </cell>
        </row>
        <row r="1578">
          <cell r="C1578" t="str">
            <v xml:space="preserve">LEAR CORPORATION JARNY </v>
          </cell>
        </row>
        <row r="1579">
          <cell r="C1579" t="str">
            <v>MASSENEZ</v>
          </cell>
        </row>
        <row r="1580">
          <cell r="C1580" t="str">
            <v>NATIVES</v>
          </cell>
        </row>
        <row r="1581">
          <cell r="C1581" t="str">
            <v>ELECTROSTEEL</v>
          </cell>
        </row>
        <row r="1582">
          <cell r="C1582" t="str">
            <v>KYMCO LUX</v>
          </cell>
        </row>
        <row r="1583">
          <cell r="C1583" t="str">
            <v>SOCAH</v>
          </cell>
        </row>
        <row r="1584">
          <cell r="C1584" t="str">
            <v>SOCAH</v>
          </cell>
        </row>
        <row r="1585">
          <cell r="C1585" t="str">
            <v xml:space="preserve">DAHER </v>
          </cell>
        </row>
        <row r="1586">
          <cell r="C1586" t="str">
            <v>GERGONNE</v>
          </cell>
        </row>
        <row r="1587">
          <cell r="C1587" t="str">
            <v>ELITECH</v>
          </cell>
        </row>
        <row r="1588">
          <cell r="C1588" t="str">
            <v>ERIKS</v>
          </cell>
        </row>
        <row r="1589">
          <cell r="C1589" t="str">
            <v>PACK AND CARRY</v>
          </cell>
        </row>
        <row r="1590">
          <cell r="C1590" t="str">
            <v>PACK AND CARRY</v>
          </cell>
        </row>
        <row r="1591">
          <cell r="C1591" t="str">
            <v>DAG IMPORT</v>
          </cell>
        </row>
        <row r="1592">
          <cell r="C1592" t="str">
            <v>VALOCHEM</v>
          </cell>
        </row>
        <row r="1593">
          <cell r="C1593" t="str">
            <v>E-TEX</v>
          </cell>
        </row>
        <row r="1594">
          <cell r="C1594" t="str">
            <v>CHAMPAGNE JANISSON</v>
          </cell>
        </row>
        <row r="1595">
          <cell r="C1595" t="str">
            <v>CATERPILLAR</v>
          </cell>
        </row>
        <row r="1596">
          <cell r="C1596" t="str">
            <v>PAKEA</v>
          </cell>
        </row>
        <row r="1597">
          <cell r="C1597" t="str">
            <v>BUBIMEX</v>
          </cell>
        </row>
        <row r="1598">
          <cell r="C1598" t="str">
            <v>BUBIMEX</v>
          </cell>
        </row>
        <row r="1599">
          <cell r="C1599" t="str">
            <v>INTAIR MEDICAL</v>
          </cell>
        </row>
        <row r="1600">
          <cell r="C1600" t="str">
            <v>EUROMAIR</v>
          </cell>
        </row>
        <row r="1601">
          <cell r="C1601" t="str">
            <v>SUD ETOFFE LA MAISON DE PROVENCE</v>
          </cell>
        </row>
        <row r="1602">
          <cell r="C1602" t="str">
            <v>EUROMAIR</v>
          </cell>
        </row>
        <row r="1603">
          <cell r="C1603" t="str">
            <v>POLYONE</v>
          </cell>
        </row>
        <row r="1604">
          <cell r="C1604" t="str">
            <v>POLYONE</v>
          </cell>
        </row>
        <row r="1605">
          <cell r="C1605" t="str">
            <v>EUROMAIR</v>
          </cell>
        </row>
        <row r="1606">
          <cell r="C1606" t="str">
            <v>PASS OISANS</v>
          </cell>
        </row>
        <row r="1607">
          <cell r="C1607" t="str">
            <v>DASIR</v>
          </cell>
        </row>
        <row r="1608">
          <cell r="C1608" t="str">
            <v>QUIVOGNE</v>
          </cell>
        </row>
        <row r="1609">
          <cell r="C1609" t="str">
            <v>SINOTEC</v>
          </cell>
        </row>
        <row r="1610">
          <cell r="C1610" t="str">
            <v>ERIKS</v>
          </cell>
        </row>
        <row r="1611">
          <cell r="C1611" t="str">
            <v>DAFY MOTO</v>
          </cell>
        </row>
        <row r="1612">
          <cell r="C1612" t="str">
            <v>DAFY MOTO</v>
          </cell>
        </row>
        <row r="1613">
          <cell r="C1613" t="str">
            <v>KNAUF INDUSTRIES</v>
          </cell>
        </row>
        <row r="1614">
          <cell r="C1614" t="str">
            <v>HOME MAISON</v>
          </cell>
        </row>
        <row r="1615">
          <cell r="C1615" t="str">
            <v>ERIKS</v>
          </cell>
        </row>
        <row r="1616">
          <cell r="C1616" t="str">
            <v>QUIVOGNE</v>
          </cell>
        </row>
        <row r="1617">
          <cell r="C1617" t="str">
            <v>KSB COTUMER</v>
          </cell>
        </row>
        <row r="1618">
          <cell r="C1618" t="str">
            <v>ERIKS</v>
          </cell>
        </row>
        <row r="1619">
          <cell r="C1619" t="str">
            <v>DAFY MOTO</v>
          </cell>
        </row>
        <row r="1620">
          <cell r="C1620" t="str">
            <v>BT PACK</v>
          </cell>
        </row>
        <row r="1621">
          <cell r="C1621" t="str">
            <v>QUIVOGNE</v>
          </cell>
        </row>
        <row r="1622">
          <cell r="C1622" t="str">
            <v>POINT P</v>
          </cell>
        </row>
        <row r="1623">
          <cell r="C1623" t="str">
            <v>QUIVOGNE</v>
          </cell>
        </row>
        <row r="1624">
          <cell r="C1624" t="str">
            <v>ERIKS</v>
          </cell>
        </row>
        <row r="1625">
          <cell r="C1625" t="str">
            <v>STS PLASTICS</v>
          </cell>
        </row>
        <row r="1626">
          <cell r="C1626" t="str">
            <v>SACRED</v>
          </cell>
        </row>
        <row r="1627">
          <cell r="C1627" t="str">
            <v>MECATHERM</v>
          </cell>
        </row>
        <row r="1628">
          <cell r="C1628" t="str">
            <v>UGITECH</v>
          </cell>
        </row>
        <row r="1629">
          <cell r="C1629" t="str">
            <v>KNAUF INDUSTRIES</v>
          </cell>
        </row>
        <row r="1630">
          <cell r="C1630" t="str">
            <v>ESL FRANCE</v>
          </cell>
        </row>
        <row r="1631">
          <cell r="C1631" t="str">
            <v>LC DAUPHIN</v>
          </cell>
        </row>
        <row r="1632">
          <cell r="C1632" t="str">
            <v>LC DAUPHIN</v>
          </cell>
        </row>
        <row r="1633">
          <cell r="C1633" t="str">
            <v>MARBRERIE ARNAUD</v>
          </cell>
        </row>
        <row r="1634">
          <cell r="C1634" t="str">
            <v>DMC</v>
          </cell>
        </row>
        <row r="1635">
          <cell r="C1635" t="str">
            <v>EUROMAIR</v>
          </cell>
        </row>
        <row r="1636">
          <cell r="C1636" t="str">
            <v>OUTILACIER</v>
          </cell>
        </row>
        <row r="1637">
          <cell r="C1637" t="str">
            <v>OUTILACIER</v>
          </cell>
        </row>
        <row r="1638">
          <cell r="C1638" t="str">
            <v xml:space="preserve">LEAR CORPORATION JARNY </v>
          </cell>
        </row>
        <row r="1639">
          <cell r="C1639" t="str">
            <v>CODEFA HUILES</v>
          </cell>
        </row>
        <row r="1640">
          <cell r="C1640" t="str">
            <v>WESTRAND</v>
          </cell>
        </row>
        <row r="1641">
          <cell r="C1641" t="str">
            <v>SPB</v>
          </cell>
        </row>
        <row r="1642">
          <cell r="C1642" t="str">
            <v>ERIKS</v>
          </cell>
        </row>
        <row r="1643">
          <cell r="C1643" t="str">
            <v xml:space="preserve">LEAR CORPORATION JARNY </v>
          </cell>
        </row>
        <row r="1644">
          <cell r="C1644" t="str">
            <v>LIEN'K</v>
          </cell>
        </row>
        <row r="1645">
          <cell r="C1645" t="str">
            <v>ERIKS</v>
          </cell>
        </row>
        <row r="1646">
          <cell r="C1646" t="str">
            <v>NTN TRANSMISSIONS EUROPE</v>
          </cell>
        </row>
        <row r="1647">
          <cell r="C1647" t="str">
            <v>STYLMONDE</v>
          </cell>
        </row>
        <row r="1648">
          <cell r="C1648" t="str">
            <v>CELETTE</v>
          </cell>
        </row>
        <row r="1649">
          <cell r="C1649" t="str">
            <v>CELETTE</v>
          </cell>
        </row>
        <row r="1650">
          <cell r="C1650" t="str">
            <v>CELETTE</v>
          </cell>
        </row>
        <row r="1651">
          <cell r="C1651" t="str">
            <v>CAP ENERGIE</v>
          </cell>
        </row>
        <row r="1652">
          <cell r="C1652" t="str">
            <v>SORI</v>
          </cell>
        </row>
        <row r="1653">
          <cell r="C1653" t="str">
            <v>DISPAR</v>
          </cell>
        </row>
        <row r="1654">
          <cell r="C1654" t="str">
            <v>SNOP</v>
          </cell>
        </row>
        <row r="1655">
          <cell r="C1655" t="str">
            <v>UNIC</v>
          </cell>
        </row>
        <row r="1656">
          <cell r="C1656" t="str">
            <v>CODEFA HUILES</v>
          </cell>
        </row>
        <row r="1657">
          <cell r="C1657" t="str">
            <v>GOSBI</v>
          </cell>
        </row>
        <row r="1658">
          <cell r="C1658" t="str">
            <v>GOSBI</v>
          </cell>
        </row>
        <row r="1659">
          <cell r="C1659" t="str">
            <v>EUROMAIR</v>
          </cell>
        </row>
        <row r="1660">
          <cell r="C1660" t="str">
            <v>EUROMAIR</v>
          </cell>
        </row>
        <row r="1661">
          <cell r="C1661" t="str">
            <v>ORTH</v>
          </cell>
        </row>
        <row r="1662">
          <cell r="C1662" t="str">
            <v>SFL</v>
          </cell>
        </row>
        <row r="1663">
          <cell r="C1663" t="str">
            <v>LC DAUPHIN</v>
          </cell>
        </row>
        <row r="1664">
          <cell r="C1664" t="str">
            <v>LC DAUPHIN</v>
          </cell>
        </row>
        <row r="1665">
          <cell r="C1665" t="str">
            <v>UNIC</v>
          </cell>
        </row>
        <row r="1666">
          <cell r="C1666" t="str">
            <v>APAJH</v>
          </cell>
        </row>
        <row r="1667">
          <cell r="C1667" t="str">
            <v>STYLMONDE</v>
          </cell>
        </row>
        <row r="1668">
          <cell r="C1668" t="str">
            <v>NTN TRANSMISSIONS EUROPE</v>
          </cell>
        </row>
        <row r="1669">
          <cell r="C1669" t="str">
            <v>APAJH</v>
          </cell>
        </row>
        <row r="1670">
          <cell r="C1670" t="str">
            <v>PEUGEOT MTC</v>
          </cell>
        </row>
      </sheetData>
      <sheetData sheetId="1" refreshError="1"/>
      <sheetData sheetId="2" refreshError="1"/>
      <sheetData sheetId="3" refreshError="1"/>
      <sheetData sheetId="4" refreshError="1"/>
      <sheetData sheetId="5">
        <row r="1">
          <cell r="A1" t="str">
            <v>Agence</v>
          </cell>
          <cell r="B1" t="str">
            <v>Client</v>
          </cell>
        </row>
        <row r="2">
          <cell r="B2" t="str">
            <v>3MA GROUP</v>
          </cell>
        </row>
        <row r="3">
          <cell r="B3" t="str">
            <v>ABA INTERNATIONAL</v>
          </cell>
        </row>
        <row r="4">
          <cell r="B4" t="str">
            <v>ABBY TEX</v>
          </cell>
        </row>
        <row r="5">
          <cell r="B5" t="str">
            <v>ADHEX</v>
          </cell>
        </row>
        <row r="6">
          <cell r="B6" t="str">
            <v>ADLER</v>
          </cell>
        </row>
        <row r="7">
          <cell r="B7" t="str">
            <v>AGRI DISTRIBUTION</v>
          </cell>
        </row>
        <row r="8">
          <cell r="B8" t="str">
            <v>AGRICARB</v>
          </cell>
        </row>
        <row r="9">
          <cell r="B9" t="str">
            <v>AGRO NOVAE</v>
          </cell>
        </row>
        <row r="10">
          <cell r="B10" t="str">
            <v>AIRTEC</v>
          </cell>
        </row>
        <row r="11">
          <cell r="B11" t="str">
            <v>AJ HOME</v>
          </cell>
        </row>
        <row r="12">
          <cell r="B12" t="str">
            <v>AKTID</v>
          </cell>
        </row>
        <row r="13">
          <cell r="B13" t="str">
            <v>ALPES INDUSTRIES SERVICES</v>
          </cell>
        </row>
        <row r="14">
          <cell r="B14" t="str">
            <v>ALUMINOR</v>
          </cell>
        </row>
        <row r="15">
          <cell r="B15" t="str">
            <v>ANNECY ELECTRONIQUE</v>
          </cell>
        </row>
        <row r="16">
          <cell r="B16" t="str">
            <v>ANTILOPE</v>
          </cell>
        </row>
        <row r="17">
          <cell r="B17" t="str">
            <v>APAJH</v>
          </cell>
        </row>
        <row r="18">
          <cell r="B18" t="str">
            <v>APERAM</v>
          </cell>
        </row>
        <row r="19">
          <cell r="B19" t="str">
            <v>API SOUDURE</v>
          </cell>
        </row>
        <row r="20">
          <cell r="B20" t="str">
            <v>APTAFETES</v>
          </cell>
        </row>
        <row r="21">
          <cell r="B21" t="str">
            <v>ARAMINE</v>
          </cell>
        </row>
        <row r="22">
          <cell r="B22" t="str">
            <v>ARCHI-TECH-LIGHTING</v>
          </cell>
        </row>
        <row r="23">
          <cell r="B23" t="str">
            <v>ARNO</v>
          </cell>
        </row>
        <row r="24">
          <cell r="B24" t="str">
            <v>ATROW</v>
          </cell>
        </row>
        <row r="25">
          <cell r="B25" t="str">
            <v>AUVERGNE DEGRE SERVICE</v>
          </cell>
        </row>
        <row r="26">
          <cell r="B26" t="str">
            <v>AXE SOLUTIONS</v>
          </cell>
        </row>
        <row r="27">
          <cell r="B27" t="str">
            <v>AYMARD PESAGE</v>
          </cell>
        </row>
        <row r="28">
          <cell r="B28" t="str">
            <v>AZUR CONFORT</v>
          </cell>
        </row>
        <row r="29">
          <cell r="B29" t="str">
            <v>BALL AEROCAN</v>
          </cell>
        </row>
        <row r="30">
          <cell r="B30" t="str">
            <v>BASTIDE</v>
          </cell>
        </row>
        <row r="31">
          <cell r="B31" t="str">
            <v>BAUSCH ET LOMB</v>
          </cell>
        </row>
        <row r="32">
          <cell r="B32" t="str">
            <v>BEABA</v>
          </cell>
        </row>
        <row r="33">
          <cell r="B33" t="str">
            <v>BEWEPLAST</v>
          </cell>
        </row>
        <row r="34">
          <cell r="B34" t="str">
            <v>BIO UV</v>
          </cell>
        </row>
        <row r="35">
          <cell r="B35" t="str">
            <v>BISCUITERIE DE PROVENCE</v>
          </cell>
        </row>
        <row r="36">
          <cell r="B36" t="str">
            <v>BIZERBA</v>
          </cell>
        </row>
        <row r="37">
          <cell r="B37" t="str">
            <v>BLACHERE ILLUMINATION</v>
          </cell>
        </row>
        <row r="38">
          <cell r="B38" t="str">
            <v>BLEU CALADE</v>
          </cell>
        </row>
        <row r="39">
          <cell r="B39" t="str">
            <v>BOLDODUC</v>
          </cell>
        </row>
        <row r="40">
          <cell r="B40" t="str">
            <v>BOS EQUIPEMENT</v>
          </cell>
        </row>
        <row r="41">
          <cell r="B41" t="str">
            <v>BOURBON</v>
          </cell>
        </row>
        <row r="42">
          <cell r="B42" t="str">
            <v>BRUMEST</v>
          </cell>
        </row>
        <row r="43">
          <cell r="B43" t="str">
            <v>BUBIMEX</v>
          </cell>
        </row>
        <row r="44">
          <cell r="B44" t="str">
            <v>BULTRANS / BT PACK</v>
          </cell>
        </row>
        <row r="45">
          <cell r="B45" t="str">
            <v>C2I BATIMENTS MOINS CHERS</v>
          </cell>
        </row>
        <row r="46">
          <cell r="B46" t="str">
            <v>CABLES INDUSTRIELS DE CHAMPAGNE</v>
          </cell>
        </row>
        <row r="47">
          <cell r="B47" t="str">
            <v>CALIBREX</v>
          </cell>
        </row>
        <row r="48">
          <cell r="B48" t="str">
            <v>CAP ENERGIE</v>
          </cell>
        </row>
        <row r="49">
          <cell r="B49" t="str">
            <v>CHÂTEAU DE LA GARDINE</v>
          </cell>
        </row>
        <row r="50">
          <cell r="B50" t="str">
            <v>CHÂTEAU MILLE</v>
          </cell>
        </row>
        <row r="51">
          <cell r="B51" t="str">
            <v>CIC CABLES</v>
          </cell>
        </row>
        <row r="52">
          <cell r="B52" t="str">
            <v>CMR GROUP</v>
          </cell>
        </row>
        <row r="53">
          <cell r="B53" t="str">
            <v>COMPOSE</v>
          </cell>
        </row>
        <row r="54">
          <cell r="B54" t="str">
            <v>CONSERVERIE DAVIN</v>
          </cell>
        </row>
        <row r="55">
          <cell r="B55" t="str">
            <v>COPY SHOP</v>
          </cell>
        </row>
        <row r="56">
          <cell r="B56" t="str">
            <v>COSMEO</v>
          </cell>
        </row>
        <row r="57">
          <cell r="B57" t="str">
            <v>CPC LOGISTICS</v>
          </cell>
        </row>
        <row r="58">
          <cell r="B58" t="str">
            <v>CRD IMPORT</v>
          </cell>
        </row>
        <row r="59">
          <cell r="B59" t="str">
            <v>DAFY MOTO</v>
          </cell>
        </row>
        <row r="60">
          <cell r="B60" t="str">
            <v>DANGEL AUTOMOBILES</v>
          </cell>
        </row>
        <row r="61">
          <cell r="B61" t="str">
            <v>DATA SERVICE - TES AMM</v>
          </cell>
        </row>
        <row r="62">
          <cell r="B62" t="str">
            <v>DED PRODUCTION</v>
          </cell>
        </row>
        <row r="63">
          <cell r="B63" t="str">
            <v>DELMON</v>
          </cell>
        </row>
        <row r="64">
          <cell r="B64" t="str">
            <v>DIBE</v>
          </cell>
        </row>
        <row r="65">
          <cell r="B65" t="str">
            <v>DIMACO</v>
          </cell>
        </row>
        <row r="66">
          <cell r="B66" t="str">
            <v>DIP</v>
          </cell>
        </row>
        <row r="67">
          <cell r="B67" t="str">
            <v>DISTILLERIE MASSENEZ</v>
          </cell>
        </row>
        <row r="68">
          <cell r="B68" t="str">
            <v>DOM COMPOSIT</v>
          </cell>
        </row>
        <row r="69">
          <cell r="B69" t="str">
            <v>DOMAINE DE LA MORDOREE</v>
          </cell>
        </row>
        <row r="70">
          <cell r="B70" t="str">
            <v>DOMAINE DE VALDITION</v>
          </cell>
        </row>
        <row r="71">
          <cell r="B71" t="str">
            <v>DOMAINE MONNIER</v>
          </cell>
        </row>
        <row r="72">
          <cell r="B72" t="str">
            <v>DREAM TEAM CAR</v>
          </cell>
        </row>
        <row r="73">
          <cell r="B73" t="str">
            <v>DUPONT MEDICAL / DRIVE DEVILBISS</v>
          </cell>
        </row>
        <row r="74">
          <cell r="B74" t="str">
            <v>ECA ROBOTICS</v>
          </cell>
        </row>
        <row r="75">
          <cell r="B75" t="str">
            <v>ECOIFFIER</v>
          </cell>
        </row>
        <row r="76">
          <cell r="B76" t="str">
            <v>EDA</v>
          </cell>
        </row>
        <row r="77">
          <cell r="B77" t="str">
            <v>ELITE MOTEURS</v>
          </cell>
        </row>
        <row r="78">
          <cell r="B78" t="str">
            <v>ELITECH</v>
          </cell>
        </row>
        <row r="79">
          <cell r="B79" t="str">
            <v>EMINENCE</v>
          </cell>
        </row>
        <row r="80">
          <cell r="B80" t="str">
            <v>EMIS</v>
          </cell>
        </row>
        <row r="81">
          <cell r="B81" t="str">
            <v>ERDE</v>
          </cell>
        </row>
        <row r="82">
          <cell r="B82" t="str">
            <v>ERIKS</v>
          </cell>
        </row>
        <row r="83">
          <cell r="B83" t="str">
            <v>ERMAX</v>
          </cell>
        </row>
        <row r="84">
          <cell r="B84" t="str">
            <v>EST ARGENT</v>
          </cell>
        </row>
        <row r="85">
          <cell r="B85" t="str">
            <v>ETIPACK IMCARVAU</v>
          </cell>
        </row>
        <row r="86">
          <cell r="B86" t="str">
            <v>EUROFOR</v>
          </cell>
        </row>
        <row r="87">
          <cell r="B87" t="str">
            <v>EUROMAIR</v>
          </cell>
        </row>
        <row r="88">
          <cell r="B88" t="str">
            <v>EUROPROTECTION</v>
          </cell>
        </row>
        <row r="89">
          <cell r="B89" t="str">
            <v>EUROSTYLE SYSTEMS ANCIENNEMENT MBP INDUSTRIE</v>
          </cell>
        </row>
        <row r="90">
          <cell r="B90" t="str">
            <v>EUROSTYLE SYSTEMS SENS</v>
          </cell>
        </row>
        <row r="91">
          <cell r="B91" t="str">
            <v>EYNARD ROBIN</v>
          </cell>
        </row>
        <row r="92">
          <cell r="B92" t="str">
            <v>FALLOT MOUTARDERIE</v>
          </cell>
        </row>
        <row r="93">
          <cell r="B93" t="str">
            <v>FILPACK</v>
          </cell>
        </row>
        <row r="94">
          <cell r="B94" t="str">
            <v>FINAROME</v>
          </cell>
        </row>
        <row r="95">
          <cell r="B95" t="str">
            <v>FORGES DE MONPLAISIR</v>
          </cell>
        </row>
        <row r="96">
          <cell r="B96" t="str">
            <v>FORPAK</v>
          </cell>
        </row>
        <row r="97">
          <cell r="B97" t="str">
            <v>FRANCE CLIM</v>
          </cell>
        </row>
        <row r="98">
          <cell r="B98" t="str">
            <v>France DETECTION SERVICE</v>
          </cell>
        </row>
        <row r="99">
          <cell r="B99" t="str">
            <v>France SIMULATEUR</v>
          </cell>
        </row>
        <row r="100">
          <cell r="B100" t="str">
            <v>FUCHS DISTRIBUTION</v>
          </cell>
        </row>
        <row r="101">
          <cell r="B101" t="str">
            <v>FUJI ELECTRIC</v>
          </cell>
        </row>
        <row r="102">
          <cell r="B102" t="str">
            <v>GARCIA DE POU</v>
          </cell>
        </row>
        <row r="103">
          <cell r="B103" t="str">
            <v>GAUSSIN</v>
          </cell>
        </row>
        <row r="104">
          <cell r="B104" t="str">
            <v>GAUSSIN</v>
          </cell>
        </row>
        <row r="105">
          <cell r="B105" t="str">
            <v>GEDIVEPRO</v>
          </cell>
        </row>
        <row r="106">
          <cell r="B106" t="str">
            <v>GENERAL INDUSTRIES</v>
          </cell>
        </row>
        <row r="107">
          <cell r="B107" t="str">
            <v>GEOCAN</v>
          </cell>
        </row>
        <row r="108">
          <cell r="B108" t="str">
            <v>GERGONNE</v>
          </cell>
        </row>
        <row r="109">
          <cell r="B109" t="str">
            <v>GIVEX</v>
          </cell>
        </row>
        <row r="110">
          <cell r="B110" t="str">
            <v>GMS</v>
          </cell>
        </row>
        <row r="111">
          <cell r="B111" t="str">
            <v xml:space="preserve">GOUVY MULLER </v>
          </cell>
        </row>
        <row r="112">
          <cell r="B112" t="str">
            <v>GROUPE ATLANTIC - CICE</v>
          </cell>
        </row>
        <row r="113">
          <cell r="B113" t="str">
            <v>GUICHON VALVES</v>
          </cell>
        </row>
        <row r="114">
          <cell r="B114" t="str">
            <v>HALADJIAN</v>
          </cell>
        </row>
        <row r="115">
          <cell r="B115" t="str">
            <v>HOME MAISON</v>
          </cell>
        </row>
        <row r="116">
          <cell r="B116" t="str">
            <v>HONEYWELL</v>
          </cell>
        </row>
        <row r="117">
          <cell r="B117" t="str">
            <v>HUTCHINSON</v>
          </cell>
        </row>
        <row r="118">
          <cell r="B118" t="str">
            <v>IDF MOTEURS</v>
          </cell>
        </row>
        <row r="119">
          <cell r="B119" t="str">
            <v>IGEPHARMA</v>
          </cell>
        </row>
        <row r="120">
          <cell r="B120" t="str">
            <v>INA ROULEMENT / SCHAEFFLER</v>
          </cell>
        </row>
        <row r="121">
          <cell r="B121" t="str">
            <v>INTAIR MEDICAL</v>
          </cell>
        </row>
        <row r="122">
          <cell r="B122" t="str">
            <v>IPM FRANCE</v>
          </cell>
        </row>
        <row r="123">
          <cell r="B123" t="str">
            <v>ITOH DENKI</v>
          </cell>
        </row>
        <row r="124">
          <cell r="B124" t="str">
            <v>JEAN LAIN AUTOMOBILES</v>
          </cell>
        </row>
        <row r="125">
          <cell r="B125" t="str">
            <v>KCM</v>
          </cell>
        </row>
        <row r="126">
          <cell r="B126" t="str">
            <v>KERBL</v>
          </cell>
        </row>
        <row r="127">
          <cell r="B127" t="str">
            <v>KLIMA RODACLIM</v>
          </cell>
        </row>
        <row r="128">
          <cell r="B128" t="str">
            <v>KOSAN CRISPLANT</v>
          </cell>
        </row>
        <row r="129">
          <cell r="B129" t="str">
            <v>KRAUTH</v>
          </cell>
        </row>
        <row r="130">
          <cell r="B130" t="str">
            <v>KYMCO</v>
          </cell>
        </row>
        <row r="131">
          <cell r="B131" t="str">
            <v>LA CONCORDE</v>
          </cell>
        </row>
        <row r="132">
          <cell r="B132" t="str">
            <v>LA RIVIERE</v>
          </cell>
        </row>
        <row r="133">
          <cell r="B133" t="str">
            <v>LABARONNE CITAF</v>
          </cell>
        </row>
        <row r="134">
          <cell r="B134" t="str">
            <v>LABORATOIRE GREENVET</v>
          </cell>
        </row>
        <row r="135">
          <cell r="B135" t="str">
            <v>LABORATOIRE ORCAD</v>
          </cell>
        </row>
        <row r="136">
          <cell r="B136" t="str">
            <v>LACONCORDE</v>
          </cell>
        </row>
        <row r="137">
          <cell r="B137" t="str">
            <v>LAMA</v>
          </cell>
        </row>
        <row r="138">
          <cell r="B138" t="str">
            <v>LAMBERT CARROSSERIE</v>
          </cell>
        </row>
        <row r="139">
          <cell r="B139" t="str">
            <v>LE PRESENTOIR SEILLER</v>
          </cell>
        </row>
        <row r="140">
          <cell r="B140" t="str">
            <v>LES JARDINS GAIA</v>
          </cell>
        </row>
        <row r="141">
          <cell r="B141" t="str">
            <v>LES PTITS THEMES</v>
          </cell>
        </row>
        <row r="142">
          <cell r="B142" t="str">
            <v>LIEBHERR</v>
          </cell>
        </row>
        <row r="143">
          <cell r="B143" t="str">
            <v>LISI</v>
          </cell>
        </row>
        <row r="144">
          <cell r="B144" t="str">
            <v>LN INDUSTRIE</v>
          </cell>
        </row>
        <row r="145">
          <cell r="B145" t="str">
            <v>LNS France</v>
          </cell>
        </row>
        <row r="146">
          <cell r="B146" t="str">
            <v>LORMAC</v>
          </cell>
        </row>
        <row r="147">
          <cell r="B147" t="str">
            <v>LPR</v>
          </cell>
        </row>
        <row r="148">
          <cell r="B148" t="str">
            <v>LUTECIE</v>
          </cell>
        </row>
        <row r="149">
          <cell r="B149" t="str">
            <v>MALHE FRANCE</v>
          </cell>
        </row>
        <row r="150">
          <cell r="B150" t="str">
            <v>MALLEVAL</v>
          </cell>
        </row>
        <row r="151">
          <cell r="B151" t="str">
            <v>MALTEP</v>
          </cell>
        </row>
        <row r="152">
          <cell r="B152" t="str">
            <v>MARCON YACHTING</v>
          </cell>
        </row>
        <row r="153">
          <cell r="B153" t="str">
            <v>MAS PYXIDIS</v>
          </cell>
        </row>
        <row r="154">
          <cell r="B154" t="str">
            <v>MAT TECHNOLOGIC</v>
          </cell>
        </row>
        <row r="155">
          <cell r="B155" t="str">
            <v>MB TECH</v>
          </cell>
        </row>
        <row r="156">
          <cell r="B156" t="str">
            <v>MBC GUTTIN</v>
          </cell>
        </row>
        <row r="157">
          <cell r="B157" t="str">
            <v>MBF ALUMINIUM</v>
          </cell>
        </row>
        <row r="158">
          <cell r="B158" t="str">
            <v>MCC FRANCE - PATHEL</v>
          </cell>
        </row>
        <row r="159">
          <cell r="B159" t="str">
            <v>MEDISPRO</v>
          </cell>
        </row>
        <row r="160">
          <cell r="B160" t="str">
            <v>MEDISTAR</v>
          </cell>
        </row>
        <row r="161">
          <cell r="B161" t="str">
            <v>MEDISTOCK</v>
          </cell>
        </row>
        <row r="162">
          <cell r="B162" t="str">
            <v xml:space="preserve">METALDYNE - AAM </v>
          </cell>
        </row>
        <row r="163">
          <cell r="B163" t="str">
            <v>MGM</v>
          </cell>
        </row>
        <row r="164">
          <cell r="B164" t="str">
            <v>MICHAUD EXPORT</v>
          </cell>
        </row>
        <row r="165">
          <cell r="B165" t="str">
            <v>MICHEL SAUNIER</v>
          </cell>
        </row>
        <row r="166">
          <cell r="B166" t="str">
            <v>MILLESIMES</v>
          </cell>
        </row>
        <row r="167">
          <cell r="B167" t="str">
            <v>MONNET DECOLLETAGE</v>
          </cell>
        </row>
        <row r="168">
          <cell r="B168" t="str">
            <v>MW MARVAL WAY</v>
          </cell>
        </row>
        <row r="169">
          <cell r="B169" t="str">
            <v>NORPROTEX</v>
          </cell>
        </row>
        <row r="170">
          <cell r="B170" t="str">
            <v>NUTONIC</v>
          </cell>
        </row>
        <row r="171">
          <cell r="B171" t="str">
            <v>OBSTA</v>
          </cell>
        </row>
        <row r="172">
          <cell r="B172" t="str">
            <v>ODEM</v>
          </cell>
        </row>
        <row r="173">
          <cell r="B173" t="str">
            <v>ODIL</v>
          </cell>
        </row>
        <row r="174">
          <cell r="B174" t="str">
            <v>OMERIN</v>
          </cell>
        </row>
        <row r="175">
          <cell r="B175" t="str">
            <v>ORAPI</v>
          </cell>
        </row>
        <row r="176">
          <cell r="B176" t="str">
            <v>ORTH</v>
          </cell>
        </row>
        <row r="177">
          <cell r="B177" t="str">
            <v>OUTILACIER</v>
          </cell>
        </row>
        <row r="178">
          <cell r="B178" t="str">
            <v>PACK AND CARRY</v>
          </cell>
        </row>
        <row r="179">
          <cell r="B179" t="str">
            <v>PAK EMBALLAGES</v>
          </cell>
        </row>
        <row r="180">
          <cell r="B180" t="str">
            <v>PANIER DES SENS</v>
          </cell>
        </row>
        <row r="181">
          <cell r="B181" t="str">
            <v>PASS OISANS</v>
          </cell>
        </row>
        <row r="182">
          <cell r="B182" t="str">
            <v>PATHEL</v>
          </cell>
        </row>
        <row r="183">
          <cell r="B183" t="str">
            <v>PATISSERIE MUSEUR</v>
          </cell>
        </row>
        <row r="184">
          <cell r="B184" t="str">
            <v>PEPINIERISTES DU COMTAT</v>
          </cell>
        </row>
        <row r="185">
          <cell r="B185" t="str">
            <v>PLYMOUTH</v>
          </cell>
        </row>
        <row r="186">
          <cell r="B186" t="str">
            <v>POCLAIN VEHICULES</v>
          </cell>
        </row>
        <row r="187">
          <cell r="B187" t="str">
            <v>POINT P</v>
          </cell>
        </row>
        <row r="188">
          <cell r="B188" t="str">
            <v>POLAIRE</v>
          </cell>
        </row>
        <row r="189">
          <cell r="B189" t="str">
            <v>POLYONE</v>
          </cell>
        </row>
        <row r="190">
          <cell r="B190" t="str">
            <v>PRASTEL</v>
          </cell>
        </row>
        <row r="191">
          <cell r="B191" t="str">
            <v>PRCI</v>
          </cell>
        </row>
        <row r="192">
          <cell r="B192" t="str">
            <v>PRO LIVING</v>
          </cell>
        </row>
        <row r="193">
          <cell r="B193" t="str">
            <v>PROFORM</v>
          </cell>
        </row>
        <row r="194">
          <cell r="B194" t="str">
            <v>RAOUL LENOIR</v>
          </cell>
        </row>
        <row r="195">
          <cell r="B195" t="str">
            <v>RENE PIERRE</v>
          </cell>
        </row>
        <row r="196">
          <cell r="B196" t="str">
            <v>RESERVOIR</v>
          </cell>
        </row>
        <row r="197">
          <cell r="B197" t="str">
            <v>ROCKWOOL</v>
          </cell>
        </row>
        <row r="198">
          <cell r="B198" t="str">
            <v>ROSTAING</v>
          </cell>
        </row>
        <row r="199">
          <cell r="B199" t="str">
            <v>SACLA</v>
          </cell>
        </row>
        <row r="200">
          <cell r="B200" t="str">
            <v>SAHGEV</v>
          </cell>
        </row>
        <row r="201">
          <cell r="B201" t="str">
            <v>SAINT ROMAIN</v>
          </cell>
        </row>
        <row r="202">
          <cell r="B202" t="str">
            <v>SAM ET LUX</v>
          </cell>
        </row>
        <row r="203">
          <cell r="B203" t="str">
            <v>SAUCAPS</v>
          </cell>
        </row>
        <row r="204">
          <cell r="B204" t="str">
            <v>SEG</v>
          </cell>
        </row>
        <row r="205">
          <cell r="B205" t="str">
            <v>SEPAL</v>
          </cell>
        </row>
        <row r="206">
          <cell r="B206" t="str">
            <v xml:space="preserve">SERFI </v>
          </cell>
        </row>
        <row r="207">
          <cell r="B207" t="str">
            <v>SFL</v>
          </cell>
        </row>
        <row r="208">
          <cell r="B208" t="str">
            <v>SIDEO RDT</v>
          </cell>
        </row>
        <row r="209">
          <cell r="B209" t="str">
            <v>SMG</v>
          </cell>
        </row>
        <row r="210">
          <cell r="B210" t="str">
            <v>SOBEM</v>
          </cell>
        </row>
        <row r="211">
          <cell r="B211" t="str">
            <v>SOCAH</v>
          </cell>
        </row>
        <row r="212">
          <cell r="B212" t="str">
            <v>SOCAH</v>
          </cell>
        </row>
        <row r="213">
          <cell r="B213" t="str">
            <v>SOUFFLE DU MONDE</v>
          </cell>
        </row>
        <row r="214">
          <cell r="B214" t="str">
            <v>SPIE SUD EST</v>
          </cell>
        </row>
        <row r="215">
          <cell r="B215" t="str">
            <v>STS</v>
          </cell>
        </row>
        <row r="216">
          <cell r="B216" t="str">
            <v>STYLMONDE</v>
          </cell>
        </row>
        <row r="217">
          <cell r="B217" t="str">
            <v>SUMIKA</v>
          </cell>
        </row>
        <row r="218">
          <cell r="B218" t="str">
            <v>TAS</v>
          </cell>
        </row>
        <row r="219">
          <cell r="B219" t="str">
            <v>TC INDUSTRIE</v>
          </cell>
        </row>
        <row r="220">
          <cell r="B220" t="str">
            <v>TECHNOLOGISTIQUE</v>
          </cell>
        </row>
        <row r="221">
          <cell r="B221" t="str">
            <v>TOILTECH</v>
          </cell>
        </row>
        <row r="222">
          <cell r="B222" t="str">
            <v>TONELLI</v>
          </cell>
        </row>
        <row r="223">
          <cell r="B223" t="str">
            <v>TOUL'EMBAL</v>
          </cell>
        </row>
        <row r="224">
          <cell r="B224" t="str">
            <v>TRADING SERVICES INTERNATIONAL</v>
          </cell>
        </row>
        <row r="225">
          <cell r="B225" t="str">
            <v>TRANSCAUSSE</v>
          </cell>
        </row>
        <row r="226">
          <cell r="B226" t="str">
            <v>TRANSFLUID</v>
          </cell>
        </row>
        <row r="227">
          <cell r="B227" t="str">
            <v>TSI</v>
          </cell>
        </row>
        <row r="228">
          <cell r="B228" t="str">
            <v>UGITECH</v>
          </cell>
        </row>
        <row r="229">
          <cell r="B229" t="str">
            <v>UNIC</v>
          </cell>
        </row>
        <row r="230">
          <cell r="B230" t="str">
            <v>VEPRO</v>
          </cell>
        </row>
        <row r="231">
          <cell r="B231" t="str">
            <v>VERDOT IPS2</v>
          </cell>
        </row>
        <row r="232">
          <cell r="B232" t="str">
            <v>VIBRA</v>
          </cell>
        </row>
        <row r="233">
          <cell r="B233" t="str">
            <v>VIRAX</v>
          </cell>
        </row>
        <row r="234">
          <cell r="B234" t="str">
            <v>VIVIRAD</v>
          </cell>
        </row>
        <row r="235">
          <cell r="B235" t="str">
            <v>WALOR</v>
          </cell>
        </row>
        <row r="236">
          <cell r="B236" t="str">
            <v>WATERAIR</v>
          </cell>
        </row>
        <row r="237">
          <cell r="B237" t="str">
            <v>WELDING ALLOYS</v>
          </cell>
        </row>
        <row r="238">
          <cell r="B238" t="str">
            <v>WINBACK</v>
          </cell>
        </row>
      </sheetData>
      <sheetData sheetId="6" refreshError="1"/>
      <sheetData sheetId="7" refreshError="1"/>
      <sheetData sheetId="8" refreshError="1"/>
      <sheetData sheetId="9">
        <row r="1">
          <cell r="B1" t="str">
            <v>Agence</v>
          </cell>
          <cell r="C1" t="str">
            <v>Code+agence</v>
          </cell>
          <cell r="E1" t="str">
            <v>ADV</v>
          </cell>
          <cell r="I1" t="str">
            <v>adv-grand-est@gefco.net</v>
          </cell>
          <cell r="K1" t="str">
            <v>Motifs de refus</v>
          </cell>
          <cell r="M1" t="str">
            <v>Flux</v>
          </cell>
        </row>
        <row r="2">
          <cell r="B2" t="str">
            <v>GENNEVILLIERS</v>
          </cell>
          <cell r="C2" t="str">
            <v>001 - GENNEVILLIERS</v>
          </cell>
          <cell r="E2" t="str">
            <v>Audrey</v>
          </cell>
          <cell r="F2" t="str">
            <v>04 72 21 17 32</v>
          </cell>
          <cell r="K2" t="str">
            <v>TARIF PLUS CHER (SANS PRECISION CLENT)</v>
          </cell>
          <cell r="M2" t="str">
            <v>DISTRI NAT</v>
          </cell>
        </row>
        <row r="3">
          <cell r="B3" t="str">
            <v>LYON</v>
          </cell>
          <cell r="C3" t="str">
            <v>003 - LYON</v>
          </cell>
          <cell r="E3" t="str">
            <v>Laureen</v>
          </cell>
          <cell r="K3" t="str">
            <v>TARIF PLUS CHER DE 0 A 5%</v>
          </cell>
          <cell r="M3" t="str">
            <v>DISTRI INTER</v>
          </cell>
        </row>
        <row r="4">
          <cell r="B4" t="str">
            <v>LILLE</v>
          </cell>
          <cell r="C4" t="str">
            <v>004 - LILLE</v>
          </cell>
          <cell r="E4" t="str">
            <v>Pascale</v>
          </cell>
          <cell r="K4" t="str">
            <v>TARIF PLUS CHER DE 5 A 10%</v>
          </cell>
          <cell r="M4" t="str">
            <v>APPRO NAT</v>
          </cell>
        </row>
        <row r="5">
          <cell r="B5" t="str">
            <v>MARSEILLE</v>
          </cell>
          <cell r="C5" t="str">
            <v>005 - MARSEILLE</v>
          </cell>
          <cell r="E5" t="str">
            <v>Sandrine</v>
          </cell>
          <cell r="K5" t="str">
            <v>TARIF PLUS CHER DE 10 A 20%</v>
          </cell>
          <cell r="M5" t="str">
            <v>APPRO INTER</v>
          </cell>
        </row>
        <row r="6">
          <cell r="B6" t="str">
            <v>METZ</v>
          </cell>
          <cell r="C6" t="str">
            <v>006 - METZ</v>
          </cell>
          <cell r="E6" t="str">
            <v>Stéphanie</v>
          </cell>
          <cell r="K6" t="str">
            <v>TARIF PLUS CHER AU DELA DE +20%</v>
          </cell>
          <cell r="M6" t="str">
            <v>TRANSVERSE NAT</v>
          </cell>
        </row>
        <row r="7">
          <cell r="B7" t="str">
            <v>MULHOUSE</v>
          </cell>
          <cell r="C7" t="str">
            <v>009 - MULHOUSE</v>
          </cell>
          <cell r="K7" t="str">
            <v>DELAI D'EXPEDITION TROP LONG</v>
          </cell>
          <cell r="M7" t="str">
            <v>TRANSVERSE INTER</v>
          </cell>
        </row>
        <row r="8">
          <cell r="B8" t="str">
            <v>ST ETIENNE LA TALAUD</v>
          </cell>
          <cell r="C8" t="str">
            <v>010 - ST ETIENNE LA TALAUD</v>
          </cell>
          <cell r="K8" t="str">
            <v>DELAI DE REPONSE TROP LONG</v>
          </cell>
        </row>
        <row r="9">
          <cell r="B9" t="str">
            <v>NICE</v>
          </cell>
          <cell r="C9" t="str">
            <v>011 - NICE</v>
          </cell>
          <cell r="K9" t="str">
            <v>NOUVELLE DEMANDE SUITE MODIFICATION</v>
          </cell>
        </row>
        <row r="10">
          <cell r="B10" t="str">
            <v>BORDEAUX</v>
          </cell>
          <cell r="C10" t="str">
            <v>012 - BORDEAUX</v>
          </cell>
          <cell r="K10" t="str">
            <v>ANNULATION TRANSPORT</v>
          </cell>
        </row>
        <row r="11">
          <cell r="B11" t="str">
            <v>DIJON</v>
          </cell>
          <cell r="C11" t="str">
            <v>013 - DIJON</v>
          </cell>
          <cell r="K11" t="str">
            <v>TRAITE PAR AFFRETEMENT</v>
          </cell>
        </row>
        <row r="12">
          <cell r="B12" t="str">
            <v>CLERMONT FERRAND</v>
          </cell>
          <cell r="C12" t="str">
            <v>015 - CLERMONT FERRAND</v>
          </cell>
          <cell r="K12" t="str">
            <v>CHANGEMENT INCOTERM</v>
          </cell>
        </row>
        <row r="13">
          <cell r="B13" t="str">
            <v>STRASBOURG</v>
          </cell>
          <cell r="C13" t="str">
            <v>016 - STRASBOURG</v>
          </cell>
          <cell r="K13" t="str">
            <v>ETUDE EN COURS</v>
          </cell>
        </row>
        <row r="14">
          <cell r="B14" t="str">
            <v>CHARLEVILLE MEZIERES</v>
          </cell>
          <cell r="C14" t="str">
            <v>017 - CHARLEVILLE MEZIERES</v>
          </cell>
          <cell r="K14" t="str">
            <v>3EME RELANCE SANS SUITE</v>
          </cell>
        </row>
        <row r="15">
          <cell r="B15" t="str">
            <v>AVIGNON</v>
          </cell>
          <cell r="C15" t="str">
            <v>019 - AVIGNON</v>
          </cell>
          <cell r="K15" t="str">
            <v>AUTRES</v>
          </cell>
        </row>
        <row r="16">
          <cell r="B16" t="str">
            <v>RENNES</v>
          </cell>
          <cell r="C16" t="str">
            <v>020 - RENNES</v>
          </cell>
        </row>
        <row r="17">
          <cell r="B17" t="str">
            <v>ROUEN</v>
          </cell>
          <cell r="C17" t="str">
            <v>022 - ROUEN</v>
          </cell>
        </row>
        <row r="18">
          <cell r="B18" t="str">
            <v>MOISSY CRAMAYEL</v>
          </cell>
          <cell r="C18" t="str">
            <v>024 - MOISSY CRAMAYEL</v>
          </cell>
        </row>
        <row r="19">
          <cell r="B19" t="str">
            <v>TARBES</v>
          </cell>
          <cell r="C19" t="str">
            <v>026 - TARBES</v>
          </cell>
        </row>
        <row r="20">
          <cell r="B20" t="str">
            <v>VESOUL</v>
          </cell>
          <cell r="C20" t="str">
            <v>029 - VESOUL</v>
          </cell>
        </row>
        <row r="21">
          <cell r="B21" t="str">
            <v>VALENCIENNES</v>
          </cell>
          <cell r="C21" t="str">
            <v>032 - VALENCIENNES</v>
          </cell>
        </row>
        <row r="22">
          <cell r="B22" t="str">
            <v>TROYES</v>
          </cell>
          <cell r="C22" t="str">
            <v>033 - TROYES</v>
          </cell>
        </row>
        <row r="23">
          <cell r="B23" t="str">
            <v>NANCY</v>
          </cell>
          <cell r="C23" t="str">
            <v>034 - NANCY</v>
          </cell>
        </row>
        <row r="24">
          <cell r="B24" t="str">
            <v>NANTES</v>
          </cell>
          <cell r="C24" t="str">
            <v>035 - NANTES</v>
          </cell>
        </row>
        <row r="25">
          <cell r="B25" t="str">
            <v>AMIENS</v>
          </cell>
          <cell r="C25" t="str">
            <v>042 - AMIENS</v>
          </cell>
        </row>
        <row r="26">
          <cell r="B26" t="str">
            <v>REIMS</v>
          </cell>
          <cell r="C26" t="str">
            <v>050 - REIMS</v>
          </cell>
        </row>
        <row r="27">
          <cell r="B27" t="str">
            <v>TOULOUSE</v>
          </cell>
          <cell r="C27" t="str">
            <v>091 - TOULOUSE</v>
          </cell>
        </row>
        <row r="28">
          <cell r="B28" t="str">
            <v>PERPIGNAN</v>
          </cell>
          <cell r="C28" t="str">
            <v>092 - PERPIGNAN</v>
          </cell>
        </row>
        <row r="29">
          <cell r="B29" t="str">
            <v>ST JEAN DE LUZ</v>
          </cell>
          <cell r="C29" t="str">
            <v>093 - ST JEAN DE LUZ</v>
          </cell>
        </row>
        <row r="30">
          <cell r="B30" t="str">
            <v>MONTPELLIER</v>
          </cell>
          <cell r="C30" t="str">
            <v>095 - MONTPELLIER</v>
          </cell>
        </row>
        <row r="31">
          <cell r="B31" t="str">
            <v>CHATEAUROUX</v>
          </cell>
          <cell r="C31" t="str">
            <v>252 - CHATEAUROUX</v>
          </cell>
        </row>
        <row r="32">
          <cell r="B32" t="str">
            <v>ORLEANs</v>
          </cell>
          <cell r="C32" t="str">
            <v>255 - ORLEANs</v>
          </cell>
        </row>
        <row r="33">
          <cell r="B33" t="str">
            <v>TOURS</v>
          </cell>
          <cell r="C33" t="str">
            <v>257 - TOURS</v>
          </cell>
        </row>
        <row r="34">
          <cell r="B34" t="str">
            <v>CORNIER</v>
          </cell>
          <cell r="C34" t="str">
            <v>290 - CORNIER</v>
          </cell>
        </row>
        <row r="35">
          <cell r="B35" t="str">
            <v>GRENOBLE</v>
          </cell>
          <cell r="C35" t="str">
            <v>294 - GRENOBLE</v>
          </cell>
        </row>
        <row r="36">
          <cell r="B36" t="str">
            <v>OYONNAX</v>
          </cell>
          <cell r="C36" t="str">
            <v>296 - OYONNAX</v>
          </cell>
        </row>
      </sheetData>
      <sheetData sheetId="10" refreshError="1"/>
      <sheetData sheetId="11" refreshError="1"/>
      <sheetData sheetId="1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content"/>
      <sheetName val="Modifications List"/>
      <sheetName val="Partner file"/>
      <sheetName val="Intern.Freight"/>
      <sheetName val="Col_ Cost HWL"/>
      <sheetName val="Del_Cost HWL"/>
      <sheetName val="LKW Maut AT, CH, DE"/>
      <sheetName val="LSVA"/>
      <sheetName val="CAF"/>
      <sheetName val="Areas HWL DE"/>
      <sheetName val="Areas GW AT+CH"/>
      <sheetName val="Col_Del_GW_Graz"/>
      <sheetName val="Col_Del_GW_Innsbruck"/>
      <sheetName val="Col_Del_GW_Lauterach"/>
      <sheetName val="Col_Del_Cost GW_Linz"/>
      <sheetName val="Col_Del_Cost Maria Saal"/>
      <sheetName val="Col_Del_Cost_GW_Salzburg"/>
      <sheetName val="Col_Del_Cost_GW_WIEN"/>
      <sheetName val="Col_Del CH Altenrhein"/>
      <sheetName val="Beiladertarif_Ost_Wien_Zone"/>
      <sheetName val="Zonen_Wien_Osteuropa"/>
      <sheetName val="Beiladertarif_Ost_Linz_Zone"/>
      <sheetName val="Zonen_Linz_Osteuropa"/>
      <sheetName val="Road toll CZ"/>
      <sheetName val="Slovakia Toll"/>
      <sheetName val="Laufzeiten MLD_Wien"/>
      <sheetName val="Organization - Quality Manual"/>
      <sheetName val="Palett Concept"/>
      <sheetName val="special conditions"/>
      <sheetName val="Gateway"/>
      <sheetName val="Freight to German Islands"/>
      <sheetName val="seafreight"/>
      <sheetName val="Star Services"/>
      <sheetName val="Admin.Process"/>
      <sheetName val="Explication"/>
    </sheetNames>
    <sheetDataSet>
      <sheetData sheetId="0">
        <row r="2">
          <cell r="A2" t="str">
            <v>Osnabrueck, 01 / 09 / 2011</v>
          </cell>
        </row>
        <row r="6">
          <cell r="A6" t="str">
            <v>AGREEMENTS  AS  FROM  01 / 09 / 2011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AP"/>
      <sheetName val="Feuil3"/>
      <sheetName val="Hausse 2013-2014"/>
      <sheetName val="PANEL"/>
      <sheetName val="1 - PORTEFEUILLE"/>
      <sheetName val="3 - GLOBAL REGION"/>
      <sheetName val="2 - PETIT CLIENT"/>
      <sheetName val="4 - DCM"/>
      <sheetName val="5 - HORS DCM"/>
      <sheetName val="TRAM"/>
      <sheetName val="6 - DEROG"/>
      <sheetName val="ANNEXE 1"/>
      <sheetName val="Synthese par typo client + date"/>
      <sheetName val="Synthese par typo client Portef"/>
      <sheetName val="SIMULATION GLOBALE"/>
      <sheetName val="CDD"/>
      <sheetName val="Multi"/>
      <sheetName val="Feuil1"/>
      <sheetName val="CARTO"/>
      <sheetName val="Portefeuille IDF 2013 10"/>
      <sheetName val="Feuil2"/>
      <sheetName val="Feuil4"/>
      <sheetName val="Feuil5"/>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
          <cell r="B1" t="str">
            <v>DATE D'APPLICATION EXTRA COST ( IDF / Montagne / Surete / Rdv)</v>
          </cell>
        </row>
        <row r="2">
          <cell r="A2">
            <v>51690</v>
          </cell>
          <cell r="B2">
            <v>41640</v>
          </cell>
        </row>
        <row r="3">
          <cell r="A3">
            <v>51690</v>
          </cell>
          <cell r="B3">
            <v>41640</v>
          </cell>
        </row>
        <row r="4">
          <cell r="A4">
            <v>51690</v>
          </cell>
          <cell r="B4">
            <v>41640</v>
          </cell>
        </row>
        <row r="5">
          <cell r="A5">
            <v>51690</v>
          </cell>
          <cell r="B5">
            <v>41640</v>
          </cell>
        </row>
        <row r="6">
          <cell r="A6">
            <v>51690</v>
          </cell>
          <cell r="B6">
            <v>41640</v>
          </cell>
        </row>
        <row r="7">
          <cell r="A7">
            <v>51690</v>
          </cell>
          <cell r="B7">
            <v>41640</v>
          </cell>
        </row>
        <row r="8">
          <cell r="A8">
            <v>51690</v>
          </cell>
          <cell r="B8">
            <v>41640</v>
          </cell>
        </row>
        <row r="9">
          <cell r="A9">
            <v>15899</v>
          </cell>
          <cell r="B9">
            <v>41640</v>
          </cell>
        </row>
        <row r="10">
          <cell r="A10">
            <v>15899</v>
          </cell>
          <cell r="B10">
            <v>41640</v>
          </cell>
        </row>
        <row r="11">
          <cell r="A11">
            <v>15899</v>
          </cell>
          <cell r="B11">
            <v>41640</v>
          </cell>
        </row>
        <row r="12">
          <cell r="A12">
            <v>15899</v>
          </cell>
          <cell r="B12">
            <v>41640</v>
          </cell>
        </row>
        <row r="13">
          <cell r="A13">
            <v>15899</v>
          </cell>
          <cell r="B13">
            <v>41640</v>
          </cell>
        </row>
        <row r="14">
          <cell r="A14">
            <v>15899</v>
          </cell>
          <cell r="B14">
            <v>41640</v>
          </cell>
        </row>
        <row r="15">
          <cell r="A15">
            <v>465852</v>
          </cell>
          <cell r="B15">
            <v>41640</v>
          </cell>
        </row>
        <row r="16">
          <cell r="A16">
            <v>465852</v>
          </cell>
          <cell r="B16">
            <v>41640</v>
          </cell>
        </row>
        <row r="17">
          <cell r="A17">
            <v>465852</v>
          </cell>
          <cell r="B17">
            <v>41640</v>
          </cell>
        </row>
        <row r="18">
          <cell r="A18">
            <v>465852</v>
          </cell>
          <cell r="B18">
            <v>41640</v>
          </cell>
        </row>
        <row r="19">
          <cell r="A19">
            <v>465852</v>
          </cell>
          <cell r="B19">
            <v>41640</v>
          </cell>
        </row>
        <row r="20">
          <cell r="A20">
            <v>465852</v>
          </cell>
          <cell r="B20">
            <v>41640</v>
          </cell>
        </row>
        <row r="21">
          <cell r="A21">
            <v>465852</v>
          </cell>
          <cell r="B21">
            <v>41640</v>
          </cell>
        </row>
        <row r="22">
          <cell r="A22">
            <v>465852</v>
          </cell>
          <cell r="B22">
            <v>41640</v>
          </cell>
        </row>
        <row r="23">
          <cell r="A23">
            <v>465852</v>
          </cell>
          <cell r="B23">
            <v>41640</v>
          </cell>
        </row>
        <row r="24">
          <cell r="A24">
            <v>465852</v>
          </cell>
          <cell r="B24">
            <v>41640</v>
          </cell>
        </row>
        <row r="25">
          <cell r="A25">
            <v>465852</v>
          </cell>
          <cell r="B25">
            <v>41640</v>
          </cell>
        </row>
        <row r="26">
          <cell r="A26">
            <v>465852</v>
          </cell>
          <cell r="B26">
            <v>41640</v>
          </cell>
        </row>
        <row r="27">
          <cell r="A27">
            <v>465852</v>
          </cell>
          <cell r="B27">
            <v>41640</v>
          </cell>
        </row>
        <row r="28">
          <cell r="A28">
            <v>465852</v>
          </cell>
          <cell r="B28">
            <v>41640</v>
          </cell>
        </row>
        <row r="29">
          <cell r="A29">
            <v>465852</v>
          </cell>
          <cell r="B29">
            <v>41640</v>
          </cell>
        </row>
        <row r="30">
          <cell r="A30">
            <v>465852</v>
          </cell>
          <cell r="B30">
            <v>41640</v>
          </cell>
        </row>
        <row r="31">
          <cell r="A31">
            <v>465852</v>
          </cell>
          <cell r="B31">
            <v>41640</v>
          </cell>
        </row>
        <row r="32">
          <cell r="A32">
            <v>465852</v>
          </cell>
          <cell r="B32">
            <v>41640</v>
          </cell>
        </row>
        <row r="33">
          <cell r="A33">
            <v>465852</v>
          </cell>
          <cell r="B33">
            <v>41640</v>
          </cell>
        </row>
        <row r="34">
          <cell r="A34">
            <v>465852</v>
          </cell>
          <cell r="B34">
            <v>41640</v>
          </cell>
        </row>
        <row r="35">
          <cell r="A35">
            <v>465852</v>
          </cell>
          <cell r="B35">
            <v>41640</v>
          </cell>
        </row>
        <row r="36">
          <cell r="A36">
            <v>465852</v>
          </cell>
          <cell r="B36">
            <v>41640</v>
          </cell>
        </row>
        <row r="37">
          <cell r="A37">
            <v>465852</v>
          </cell>
          <cell r="B37">
            <v>41640</v>
          </cell>
        </row>
        <row r="38">
          <cell r="A38">
            <v>465852</v>
          </cell>
          <cell r="B38">
            <v>41640</v>
          </cell>
        </row>
        <row r="39">
          <cell r="A39">
            <v>465852</v>
          </cell>
          <cell r="B39">
            <v>41640</v>
          </cell>
        </row>
        <row r="40">
          <cell r="A40">
            <v>465852</v>
          </cell>
          <cell r="B40">
            <v>41640</v>
          </cell>
        </row>
        <row r="41">
          <cell r="A41">
            <v>465852</v>
          </cell>
          <cell r="B41">
            <v>41640</v>
          </cell>
        </row>
        <row r="42">
          <cell r="A42">
            <v>465852</v>
          </cell>
          <cell r="B42">
            <v>41640</v>
          </cell>
        </row>
        <row r="43">
          <cell r="A43">
            <v>465852</v>
          </cell>
          <cell r="B43">
            <v>41640</v>
          </cell>
        </row>
        <row r="44">
          <cell r="A44">
            <v>465852</v>
          </cell>
          <cell r="B44">
            <v>41640</v>
          </cell>
        </row>
        <row r="45">
          <cell r="A45">
            <v>684309</v>
          </cell>
          <cell r="B45">
            <v>41640</v>
          </cell>
        </row>
        <row r="46">
          <cell r="A46">
            <v>684309</v>
          </cell>
          <cell r="B46">
            <v>41640</v>
          </cell>
        </row>
        <row r="47">
          <cell r="A47">
            <v>559097</v>
          </cell>
          <cell r="B47">
            <v>41640</v>
          </cell>
        </row>
        <row r="48">
          <cell r="A48">
            <v>868407</v>
          </cell>
          <cell r="B48">
            <v>41640</v>
          </cell>
        </row>
        <row r="49">
          <cell r="A49">
            <v>582241</v>
          </cell>
          <cell r="B49">
            <v>41640</v>
          </cell>
        </row>
        <row r="50">
          <cell r="A50">
            <v>582241</v>
          </cell>
          <cell r="B50">
            <v>41640</v>
          </cell>
        </row>
        <row r="51">
          <cell r="A51">
            <v>582241</v>
          </cell>
          <cell r="B51">
            <v>41640</v>
          </cell>
        </row>
        <row r="52">
          <cell r="A52">
            <v>582241</v>
          </cell>
          <cell r="B52">
            <v>41640</v>
          </cell>
        </row>
        <row r="53">
          <cell r="A53">
            <v>582241</v>
          </cell>
          <cell r="B53">
            <v>41640</v>
          </cell>
        </row>
        <row r="54">
          <cell r="A54">
            <v>582241</v>
          </cell>
          <cell r="B54">
            <v>41640</v>
          </cell>
        </row>
        <row r="55">
          <cell r="A55">
            <v>582241</v>
          </cell>
          <cell r="B55">
            <v>41640</v>
          </cell>
        </row>
        <row r="56">
          <cell r="A56">
            <v>582241</v>
          </cell>
          <cell r="B56">
            <v>41640</v>
          </cell>
        </row>
        <row r="57">
          <cell r="A57">
            <v>51407</v>
          </cell>
          <cell r="B57">
            <v>41640</v>
          </cell>
        </row>
        <row r="58">
          <cell r="A58">
            <v>51407</v>
          </cell>
          <cell r="B58">
            <v>41640</v>
          </cell>
        </row>
        <row r="59">
          <cell r="A59">
            <v>68061</v>
          </cell>
          <cell r="B59">
            <v>41640</v>
          </cell>
        </row>
        <row r="60">
          <cell r="A60">
            <v>68061</v>
          </cell>
          <cell r="B60">
            <v>41640</v>
          </cell>
        </row>
        <row r="61">
          <cell r="A61">
            <v>44931</v>
          </cell>
          <cell r="B61">
            <v>41640</v>
          </cell>
        </row>
        <row r="62">
          <cell r="A62">
            <v>14646</v>
          </cell>
          <cell r="B62">
            <v>41640</v>
          </cell>
        </row>
        <row r="63">
          <cell r="A63">
            <v>23740</v>
          </cell>
          <cell r="B63">
            <v>41640</v>
          </cell>
        </row>
        <row r="64">
          <cell r="A64">
            <v>23740</v>
          </cell>
          <cell r="B64">
            <v>41640</v>
          </cell>
        </row>
        <row r="65">
          <cell r="A65">
            <v>23740</v>
          </cell>
          <cell r="B65">
            <v>41640</v>
          </cell>
        </row>
        <row r="66">
          <cell r="A66">
            <v>23740</v>
          </cell>
          <cell r="B66">
            <v>41640</v>
          </cell>
        </row>
        <row r="67">
          <cell r="A67">
            <v>23740</v>
          </cell>
          <cell r="B67">
            <v>41640</v>
          </cell>
        </row>
        <row r="68">
          <cell r="A68">
            <v>23740</v>
          </cell>
          <cell r="B68">
            <v>41640</v>
          </cell>
        </row>
        <row r="69">
          <cell r="A69">
            <v>816249</v>
          </cell>
          <cell r="B69">
            <v>41640</v>
          </cell>
        </row>
        <row r="70">
          <cell r="A70">
            <v>38476</v>
          </cell>
          <cell r="B70">
            <v>41640</v>
          </cell>
        </row>
        <row r="71">
          <cell r="A71">
            <v>38476</v>
          </cell>
          <cell r="B71">
            <v>41640</v>
          </cell>
        </row>
        <row r="72">
          <cell r="A72">
            <v>828739</v>
          </cell>
          <cell r="B72">
            <v>41640</v>
          </cell>
        </row>
        <row r="73">
          <cell r="A73">
            <v>617094</v>
          </cell>
          <cell r="B73">
            <v>41640</v>
          </cell>
        </row>
        <row r="74">
          <cell r="A74">
            <v>575509</v>
          </cell>
          <cell r="B74" t="str">
            <v>PAS DE COUT ADDITIONNEL</v>
          </cell>
        </row>
        <row r="75">
          <cell r="A75">
            <v>880276</v>
          </cell>
          <cell r="B75">
            <v>41640</v>
          </cell>
        </row>
        <row r="76">
          <cell r="A76">
            <v>54604</v>
          </cell>
          <cell r="B76">
            <v>41640</v>
          </cell>
        </row>
        <row r="77">
          <cell r="A77">
            <v>44802</v>
          </cell>
          <cell r="B77">
            <v>41640</v>
          </cell>
        </row>
        <row r="78">
          <cell r="A78">
            <v>541190</v>
          </cell>
          <cell r="B78">
            <v>41640</v>
          </cell>
        </row>
        <row r="79">
          <cell r="A79">
            <v>541190</v>
          </cell>
          <cell r="B79">
            <v>41640</v>
          </cell>
        </row>
        <row r="80">
          <cell r="A80">
            <v>610167</v>
          </cell>
          <cell r="B80">
            <v>41640</v>
          </cell>
        </row>
        <row r="81">
          <cell r="A81">
            <v>610167</v>
          </cell>
          <cell r="B81">
            <v>41640</v>
          </cell>
        </row>
        <row r="82">
          <cell r="A82">
            <v>610167</v>
          </cell>
          <cell r="B82">
            <v>41640</v>
          </cell>
        </row>
        <row r="83">
          <cell r="A83">
            <v>610167</v>
          </cell>
          <cell r="B83">
            <v>41640</v>
          </cell>
        </row>
        <row r="84">
          <cell r="A84">
            <v>610167</v>
          </cell>
          <cell r="B84">
            <v>41640</v>
          </cell>
        </row>
        <row r="85">
          <cell r="A85">
            <v>610167</v>
          </cell>
          <cell r="B85">
            <v>41640</v>
          </cell>
        </row>
        <row r="86">
          <cell r="A86">
            <v>610167</v>
          </cell>
          <cell r="B86">
            <v>41640</v>
          </cell>
        </row>
        <row r="87">
          <cell r="A87">
            <v>610167</v>
          </cell>
          <cell r="B87">
            <v>41640</v>
          </cell>
        </row>
        <row r="88">
          <cell r="A88">
            <v>610167</v>
          </cell>
          <cell r="B88">
            <v>41640</v>
          </cell>
        </row>
        <row r="89">
          <cell r="A89">
            <v>610167</v>
          </cell>
          <cell r="B89">
            <v>41640</v>
          </cell>
        </row>
        <row r="90">
          <cell r="A90">
            <v>610167</v>
          </cell>
          <cell r="B90">
            <v>41640</v>
          </cell>
        </row>
        <row r="91">
          <cell r="A91">
            <v>610167</v>
          </cell>
          <cell r="B91">
            <v>41640</v>
          </cell>
        </row>
        <row r="92">
          <cell r="A92">
            <v>610167</v>
          </cell>
          <cell r="B92">
            <v>41640</v>
          </cell>
        </row>
        <row r="93">
          <cell r="A93">
            <v>610167</v>
          </cell>
          <cell r="B93">
            <v>41640</v>
          </cell>
        </row>
        <row r="94">
          <cell r="A94">
            <v>610167</v>
          </cell>
          <cell r="B94">
            <v>41640</v>
          </cell>
        </row>
        <row r="95">
          <cell r="A95">
            <v>610167</v>
          </cell>
          <cell r="B95">
            <v>41640</v>
          </cell>
        </row>
        <row r="96">
          <cell r="A96">
            <v>610167</v>
          </cell>
          <cell r="B96">
            <v>41640</v>
          </cell>
        </row>
        <row r="97">
          <cell r="A97">
            <v>610167</v>
          </cell>
          <cell r="B97">
            <v>41640</v>
          </cell>
        </row>
        <row r="98">
          <cell r="A98">
            <v>610167</v>
          </cell>
          <cell r="B98">
            <v>41640</v>
          </cell>
        </row>
        <row r="99">
          <cell r="A99">
            <v>610167</v>
          </cell>
          <cell r="B99">
            <v>41640</v>
          </cell>
        </row>
        <row r="100">
          <cell r="A100">
            <v>610167</v>
          </cell>
          <cell r="B100">
            <v>41640</v>
          </cell>
        </row>
        <row r="101">
          <cell r="A101">
            <v>610167</v>
          </cell>
          <cell r="B101">
            <v>41640</v>
          </cell>
        </row>
        <row r="102">
          <cell r="A102">
            <v>610167</v>
          </cell>
          <cell r="B102">
            <v>41640</v>
          </cell>
        </row>
        <row r="103">
          <cell r="A103">
            <v>610167</v>
          </cell>
          <cell r="B103">
            <v>41640</v>
          </cell>
        </row>
        <row r="104">
          <cell r="A104">
            <v>610167</v>
          </cell>
          <cell r="B104">
            <v>41640</v>
          </cell>
        </row>
        <row r="105">
          <cell r="A105">
            <v>610167</v>
          </cell>
          <cell r="B105">
            <v>41640</v>
          </cell>
        </row>
        <row r="106">
          <cell r="A106">
            <v>610167</v>
          </cell>
          <cell r="B106">
            <v>41640</v>
          </cell>
        </row>
        <row r="107">
          <cell r="A107">
            <v>610167</v>
          </cell>
          <cell r="B107">
            <v>41640</v>
          </cell>
        </row>
        <row r="108">
          <cell r="A108">
            <v>610167</v>
          </cell>
          <cell r="B108">
            <v>41640</v>
          </cell>
        </row>
        <row r="109">
          <cell r="A109">
            <v>610167</v>
          </cell>
          <cell r="B109">
            <v>41640</v>
          </cell>
        </row>
        <row r="110">
          <cell r="A110">
            <v>610167</v>
          </cell>
          <cell r="B110">
            <v>41640</v>
          </cell>
        </row>
        <row r="111">
          <cell r="A111">
            <v>610167</v>
          </cell>
          <cell r="B111">
            <v>41640</v>
          </cell>
        </row>
        <row r="112">
          <cell r="A112">
            <v>610167</v>
          </cell>
          <cell r="B112">
            <v>41640</v>
          </cell>
        </row>
        <row r="113">
          <cell r="A113">
            <v>610167</v>
          </cell>
          <cell r="B113">
            <v>41640</v>
          </cell>
        </row>
        <row r="114">
          <cell r="A114">
            <v>610167</v>
          </cell>
          <cell r="B114">
            <v>41640</v>
          </cell>
        </row>
        <row r="115">
          <cell r="A115">
            <v>77864</v>
          </cell>
          <cell r="B115">
            <v>41640</v>
          </cell>
        </row>
        <row r="116">
          <cell r="A116">
            <v>77864</v>
          </cell>
          <cell r="B116">
            <v>41640</v>
          </cell>
        </row>
        <row r="117">
          <cell r="A117">
            <v>588162</v>
          </cell>
          <cell r="B117">
            <v>41640</v>
          </cell>
        </row>
        <row r="118">
          <cell r="A118">
            <v>588162</v>
          </cell>
          <cell r="B118">
            <v>41640</v>
          </cell>
        </row>
        <row r="119">
          <cell r="A119">
            <v>827154</v>
          </cell>
          <cell r="B119">
            <v>41640</v>
          </cell>
        </row>
        <row r="120">
          <cell r="A120">
            <v>827154</v>
          </cell>
          <cell r="B120">
            <v>41640</v>
          </cell>
        </row>
        <row r="121">
          <cell r="A121">
            <v>517346</v>
          </cell>
          <cell r="B121">
            <v>41640</v>
          </cell>
        </row>
        <row r="122">
          <cell r="A122">
            <v>517346</v>
          </cell>
          <cell r="B122">
            <v>41640</v>
          </cell>
        </row>
        <row r="123">
          <cell r="A123">
            <v>517346</v>
          </cell>
          <cell r="B123">
            <v>41640</v>
          </cell>
        </row>
        <row r="124">
          <cell r="A124">
            <v>559051</v>
          </cell>
          <cell r="B124" t="str">
            <v>PAS DE COUT ADDITIONNEL</v>
          </cell>
        </row>
        <row r="125">
          <cell r="A125">
            <v>396564</v>
          </cell>
          <cell r="B125">
            <v>41640</v>
          </cell>
        </row>
        <row r="126">
          <cell r="A126">
            <v>605275</v>
          </cell>
          <cell r="B126">
            <v>41640</v>
          </cell>
        </row>
        <row r="127">
          <cell r="A127">
            <v>489466</v>
          </cell>
          <cell r="B127">
            <v>41640</v>
          </cell>
        </row>
        <row r="128">
          <cell r="A128">
            <v>576752</v>
          </cell>
          <cell r="B128">
            <v>41640</v>
          </cell>
        </row>
        <row r="129">
          <cell r="A129">
            <v>800666</v>
          </cell>
          <cell r="B129">
            <v>41640</v>
          </cell>
        </row>
        <row r="130">
          <cell r="A130">
            <v>800666</v>
          </cell>
          <cell r="B130">
            <v>41640</v>
          </cell>
        </row>
        <row r="131">
          <cell r="A131">
            <v>24718</v>
          </cell>
          <cell r="B131">
            <v>41640</v>
          </cell>
        </row>
        <row r="132">
          <cell r="A132">
            <v>24718</v>
          </cell>
          <cell r="B132">
            <v>41640</v>
          </cell>
        </row>
        <row r="133">
          <cell r="A133">
            <v>24718</v>
          </cell>
          <cell r="B133">
            <v>41640</v>
          </cell>
        </row>
        <row r="134">
          <cell r="A134">
            <v>24718</v>
          </cell>
          <cell r="B134">
            <v>41640</v>
          </cell>
        </row>
        <row r="135">
          <cell r="A135">
            <v>24718</v>
          </cell>
          <cell r="B135">
            <v>41640</v>
          </cell>
        </row>
        <row r="136">
          <cell r="A136">
            <v>550197</v>
          </cell>
          <cell r="B136">
            <v>41640</v>
          </cell>
        </row>
        <row r="137">
          <cell r="A137">
            <v>550197</v>
          </cell>
          <cell r="B137">
            <v>41640</v>
          </cell>
        </row>
        <row r="138">
          <cell r="A138">
            <v>627289</v>
          </cell>
          <cell r="B138">
            <v>41640</v>
          </cell>
        </row>
        <row r="139">
          <cell r="A139">
            <v>65292</v>
          </cell>
          <cell r="B139">
            <v>41640</v>
          </cell>
        </row>
        <row r="140">
          <cell r="A140">
            <v>54031</v>
          </cell>
          <cell r="B140">
            <v>41640</v>
          </cell>
        </row>
        <row r="141">
          <cell r="A141">
            <v>54031</v>
          </cell>
          <cell r="B141">
            <v>41640</v>
          </cell>
        </row>
        <row r="142">
          <cell r="A142">
            <v>54031</v>
          </cell>
          <cell r="B142">
            <v>41640</v>
          </cell>
        </row>
        <row r="143">
          <cell r="A143">
            <v>54031</v>
          </cell>
          <cell r="B143">
            <v>41640</v>
          </cell>
        </row>
        <row r="144">
          <cell r="A144">
            <v>883199</v>
          </cell>
          <cell r="B144">
            <v>41640</v>
          </cell>
        </row>
        <row r="145">
          <cell r="A145">
            <v>478046</v>
          </cell>
          <cell r="B145">
            <v>41640</v>
          </cell>
        </row>
        <row r="146">
          <cell r="A146">
            <v>478046</v>
          </cell>
          <cell r="B146">
            <v>41640</v>
          </cell>
        </row>
        <row r="147">
          <cell r="A147">
            <v>385477</v>
          </cell>
          <cell r="B147">
            <v>41640</v>
          </cell>
        </row>
        <row r="148">
          <cell r="A148">
            <v>385477</v>
          </cell>
          <cell r="B148">
            <v>41640</v>
          </cell>
        </row>
        <row r="149">
          <cell r="A149">
            <v>385477</v>
          </cell>
          <cell r="B149">
            <v>41640</v>
          </cell>
        </row>
        <row r="150">
          <cell r="A150">
            <v>507523</v>
          </cell>
          <cell r="B150">
            <v>41640</v>
          </cell>
        </row>
        <row r="151">
          <cell r="A151">
            <v>507523</v>
          </cell>
          <cell r="B151">
            <v>41640</v>
          </cell>
        </row>
        <row r="152">
          <cell r="A152">
            <v>507523</v>
          </cell>
          <cell r="B152">
            <v>41640</v>
          </cell>
        </row>
        <row r="153">
          <cell r="A153">
            <v>581663</v>
          </cell>
          <cell r="B153">
            <v>41640</v>
          </cell>
        </row>
        <row r="154">
          <cell r="A154">
            <v>536999</v>
          </cell>
          <cell r="B154" t="str">
            <v>PAS DE COUT ADDITIONNEL</v>
          </cell>
        </row>
        <row r="155">
          <cell r="A155">
            <v>24736</v>
          </cell>
          <cell r="B155">
            <v>41640</v>
          </cell>
        </row>
        <row r="156">
          <cell r="A156">
            <v>24736</v>
          </cell>
          <cell r="B156">
            <v>41640</v>
          </cell>
        </row>
        <row r="157">
          <cell r="A157">
            <v>24736</v>
          </cell>
          <cell r="B157">
            <v>41640</v>
          </cell>
        </row>
        <row r="158">
          <cell r="A158">
            <v>582887</v>
          </cell>
          <cell r="B158">
            <v>41640</v>
          </cell>
        </row>
        <row r="159">
          <cell r="A159">
            <v>574143</v>
          </cell>
          <cell r="B159">
            <v>41640</v>
          </cell>
        </row>
        <row r="160">
          <cell r="A160">
            <v>17868</v>
          </cell>
          <cell r="B160">
            <v>41640</v>
          </cell>
        </row>
        <row r="161">
          <cell r="A161">
            <v>17868</v>
          </cell>
          <cell r="B161">
            <v>41640</v>
          </cell>
        </row>
        <row r="162">
          <cell r="A162">
            <v>17868</v>
          </cell>
          <cell r="B162">
            <v>41640</v>
          </cell>
        </row>
        <row r="163">
          <cell r="A163">
            <v>16301</v>
          </cell>
          <cell r="B163">
            <v>41640</v>
          </cell>
        </row>
        <row r="164">
          <cell r="A164">
            <v>582395</v>
          </cell>
          <cell r="B164">
            <v>41640</v>
          </cell>
        </row>
        <row r="165">
          <cell r="A165">
            <v>582395</v>
          </cell>
          <cell r="B165">
            <v>41640</v>
          </cell>
        </row>
        <row r="166">
          <cell r="A166">
            <v>481345</v>
          </cell>
          <cell r="B166">
            <v>41640</v>
          </cell>
        </row>
        <row r="167">
          <cell r="A167">
            <v>474343</v>
          </cell>
          <cell r="B167">
            <v>41640</v>
          </cell>
        </row>
        <row r="168">
          <cell r="A168">
            <v>57587</v>
          </cell>
          <cell r="B168">
            <v>41640</v>
          </cell>
        </row>
        <row r="169">
          <cell r="A169">
            <v>57587</v>
          </cell>
          <cell r="B169">
            <v>41640</v>
          </cell>
        </row>
        <row r="170">
          <cell r="A170">
            <v>302553</v>
          </cell>
          <cell r="B170">
            <v>41640</v>
          </cell>
        </row>
        <row r="171">
          <cell r="A171">
            <v>606816</v>
          </cell>
          <cell r="B171">
            <v>41640</v>
          </cell>
        </row>
        <row r="172">
          <cell r="A172">
            <v>606816</v>
          </cell>
          <cell r="B172">
            <v>41640</v>
          </cell>
        </row>
        <row r="173">
          <cell r="A173">
            <v>623389</v>
          </cell>
          <cell r="B173">
            <v>41640</v>
          </cell>
        </row>
        <row r="174">
          <cell r="A174">
            <v>48815</v>
          </cell>
          <cell r="B174">
            <v>41640</v>
          </cell>
        </row>
        <row r="175">
          <cell r="A175">
            <v>17324</v>
          </cell>
          <cell r="B175">
            <v>41640</v>
          </cell>
        </row>
        <row r="176">
          <cell r="A176">
            <v>42231</v>
          </cell>
          <cell r="B176">
            <v>41640</v>
          </cell>
        </row>
        <row r="177">
          <cell r="A177">
            <v>812366</v>
          </cell>
          <cell r="B177">
            <v>41640</v>
          </cell>
        </row>
        <row r="178">
          <cell r="A178">
            <v>394810</v>
          </cell>
          <cell r="B178">
            <v>41640</v>
          </cell>
        </row>
        <row r="179">
          <cell r="A179">
            <v>43163</v>
          </cell>
          <cell r="B179" t="str">
            <v>PAS DE COUT ADDITIONNEL</v>
          </cell>
        </row>
        <row r="180">
          <cell r="A180">
            <v>876099</v>
          </cell>
          <cell r="B180">
            <v>41640</v>
          </cell>
        </row>
        <row r="181">
          <cell r="A181">
            <v>596289</v>
          </cell>
          <cell r="B181">
            <v>41640</v>
          </cell>
        </row>
        <row r="182">
          <cell r="A182">
            <v>687269</v>
          </cell>
          <cell r="B182">
            <v>41640</v>
          </cell>
        </row>
        <row r="183">
          <cell r="A183">
            <v>66995</v>
          </cell>
          <cell r="B183">
            <v>41640</v>
          </cell>
        </row>
        <row r="184">
          <cell r="A184">
            <v>571050</v>
          </cell>
          <cell r="B184">
            <v>41609</v>
          </cell>
        </row>
        <row r="185">
          <cell r="A185">
            <v>871284</v>
          </cell>
          <cell r="B185">
            <v>41609</v>
          </cell>
        </row>
        <row r="186">
          <cell r="A186">
            <v>380076</v>
          </cell>
          <cell r="B186">
            <v>41640</v>
          </cell>
        </row>
        <row r="187">
          <cell r="A187">
            <v>68661</v>
          </cell>
          <cell r="B187">
            <v>41640</v>
          </cell>
        </row>
        <row r="188">
          <cell r="A188">
            <v>17192</v>
          </cell>
          <cell r="B188">
            <v>41640</v>
          </cell>
        </row>
        <row r="189">
          <cell r="A189">
            <v>17192</v>
          </cell>
          <cell r="B189">
            <v>41640</v>
          </cell>
        </row>
        <row r="190">
          <cell r="A190">
            <v>17192</v>
          </cell>
          <cell r="B190">
            <v>41640</v>
          </cell>
        </row>
        <row r="191">
          <cell r="A191">
            <v>17192</v>
          </cell>
          <cell r="B191">
            <v>41640</v>
          </cell>
        </row>
        <row r="192">
          <cell r="A192">
            <v>578681</v>
          </cell>
          <cell r="B192">
            <v>41640</v>
          </cell>
        </row>
        <row r="193">
          <cell r="A193">
            <v>578681</v>
          </cell>
          <cell r="B193">
            <v>41640</v>
          </cell>
        </row>
        <row r="194">
          <cell r="A194">
            <v>848283</v>
          </cell>
          <cell r="B194">
            <v>41640</v>
          </cell>
        </row>
        <row r="195">
          <cell r="A195">
            <v>810872</v>
          </cell>
          <cell r="B195">
            <v>41640</v>
          </cell>
        </row>
        <row r="196">
          <cell r="A196">
            <v>1823</v>
          </cell>
          <cell r="B196">
            <v>41609</v>
          </cell>
        </row>
        <row r="197">
          <cell r="A197">
            <v>1823</v>
          </cell>
          <cell r="B197">
            <v>41640</v>
          </cell>
        </row>
        <row r="198">
          <cell r="A198">
            <v>1823</v>
          </cell>
          <cell r="B198">
            <v>41640</v>
          </cell>
        </row>
        <row r="199">
          <cell r="A199">
            <v>823010</v>
          </cell>
          <cell r="B199" t="str">
            <v>PAS DE COUT ADDITIONNEL</v>
          </cell>
        </row>
        <row r="200">
          <cell r="A200">
            <v>547350</v>
          </cell>
          <cell r="B200">
            <v>41640</v>
          </cell>
        </row>
        <row r="201">
          <cell r="A201">
            <v>547350</v>
          </cell>
          <cell r="B201">
            <v>41640</v>
          </cell>
        </row>
        <row r="202">
          <cell r="A202">
            <v>547350</v>
          </cell>
          <cell r="B202">
            <v>41640</v>
          </cell>
        </row>
        <row r="203">
          <cell r="A203">
            <v>547350</v>
          </cell>
          <cell r="B203">
            <v>41640</v>
          </cell>
        </row>
        <row r="204">
          <cell r="A204">
            <v>547350</v>
          </cell>
          <cell r="B204">
            <v>41640</v>
          </cell>
        </row>
        <row r="205">
          <cell r="A205">
            <v>547350</v>
          </cell>
          <cell r="B205">
            <v>41640</v>
          </cell>
        </row>
        <row r="206">
          <cell r="A206">
            <v>543960</v>
          </cell>
          <cell r="B206">
            <v>41640</v>
          </cell>
        </row>
        <row r="207">
          <cell r="A207">
            <v>531606</v>
          </cell>
          <cell r="B207">
            <v>41640</v>
          </cell>
        </row>
        <row r="208">
          <cell r="A208">
            <v>531606</v>
          </cell>
          <cell r="B208">
            <v>41640</v>
          </cell>
        </row>
        <row r="209">
          <cell r="A209">
            <v>483989</v>
          </cell>
          <cell r="B209">
            <v>41640</v>
          </cell>
        </row>
        <row r="210">
          <cell r="A210">
            <v>483989</v>
          </cell>
          <cell r="B210">
            <v>41640</v>
          </cell>
        </row>
        <row r="211">
          <cell r="A211">
            <v>20559</v>
          </cell>
          <cell r="B211">
            <v>41640</v>
          </cell>
        </row>
        <row r="212">
          <cell r="A212">
            <v>378459</v>
          </cell>
          <cell r="B212">
            <v>41640</v>
          </cell>
        </row>
        <row r="213">
          <cell r="A213">
            <v>378459</v>
          </cell>
          <cell r="B213">
            <v>41640</v>
          </cell>
        </row>
        <row r="214">
          <cell r="A214">
            <v>610706</v>
          </cell>
          <cell r="B214">
            <v>41640</v>
          </cell>
        </row>
        <row r="215">
          <cell r="A215">
            <v>682458</v>
          </cell>
          <cell r="B215">
            <v>41640</v>
          </cell>
        </row>
        <row r="216">
          <cell r="A216">
            <v>868141</v>
          </cell>
          <cell r="B216">
            <v>41640</v>
          </cell>
        </row>
        <row r="217">
          <cell r="A217">
            <v>303293</v>
          </cell>
          <cell r="B217">
            <v>41640</v>
          </cell>
        </row>
        <row r="218">
          <cell r="A218">
            <v>303293</v>
          </cell>
          <cell r="B218">
            <v>41640</v>
          </cell>
        </row>
        <row r="219">
          <cell r="A219">
            <v>872532</v>
          </cell>
          <cell r="B219">
            <v>41640</v>
          </cell>
        </row>
        <row r="220">
          <cell r="A220">
            <v>587526</v>
          </cell>
          <cell r="B220">
            <v>41640</v>
          </cell>
        </row>
        <row r="221">
          <cell r="A221">
            <v>41831</v>
          </cell>
          <cell r="B221">
            <v>41640</v>
          </cell>
        </row>
        <row r="222">
          <cell r="A222">
            <v>849124</v>
          </cell>
          <cell r="B222">
            <v>41640</v>
          </cell>
        </row>
        <row r="223">
          <cell r="A223">
            <v>59839</v>
          </cell>
          <cell r="B223">
            <v>41640</v>
          </cell>
        </row>
        <row r="224">
          <cell r="A224">
            <v>880266</v>
          </cell>
          <cell r="B224">
            <v>41640</v>
          </cell>
        </row>
        <row r="225">
          <cell r="A225">
            <v>534520</v>
          </cell>
          <cell r="B225">
            <v>41640</v>
          </cell>
        </row>
        <row r="226">
          <cell r="A226">
            <v>700003</v>
          </cell>
          <cell r="B226">
            <v>41640</v>
          </cell>
        </row>
        <row r="227">
          <cell r="A227">
            <v>700003</v>
          </cell>
          <cell r="B227">
            <v>41640</v>
          </cell>
        </row>
        <row r="228">
          <cell r="A228">
            <v>866843</v>
          </cell>
          <cell r="B228" t="str">
            <v>PAS DE COUT ADDITIONNEL</v>
          </cell>
        </row>
        <row r="229">
          <cell r="A229">
            <v>866843</v>
          </cell>
          <cell r="B229" t="str">
            <v>PAS DE COUT ADDITIONNEL</v>
          </cell>
        </row>
        <row r="230">
          <cell r="A230">
            <v>866843</v>
          </cell>
          <cell r="B230" t="str">
            <v>PAS DE COUT ADDITIONNEL</v>
          </cell>
        </row>
        <row r="231">
          <cell r="A231">
            <v>613225</v>
          </cell>
          <cell r="B231">
            <v>41640</v>
          </cell>
        </row>
        <row r="232">
          <cell r="A232">
            <v>69315</v>
          </cell>
          <cell r="B232">
            <v>41640</v>
          </cell>
        </row>
        <row r="233">
          <cell r="A233">
            <v>559498</v>
          </cell>
          <cell r="B233">
            <v>41640</v>
          </cell>
        </row>
        <row r="234">
          <cell r="A234">
            <v>6451</v>
          </cell>
          <cell r="B234">
            <v>41640</v>
          </cell>
        </row>
        <row r="235">
          <cell r="A235">
            <v>6451</v>
          </cell>
          <cell r="B235">
            <v>41640</v>
          </cell>
        </row>
        <row r="236">
          <cell r="A236">
            <v>6451</v>
          </cell>
          <cell r="B236">
            <v>41640</v>
          </cell>
        </row>
        <row r="237">
          <cell r="A237">
            <v>6451</v>
          </cell>
          <cell r="B237">
            <v>41640</v>
          </cell>
        </row>
        <row r="238">
          <cell r="A238">
            <v>6451</v>
          </cell>
          <cell r="B238">
            <v>41640</v>
          </cell>
        </row>
        <row r="239">
          <cell r="A239">
            <v>6451</v>
          </cell>
          <cell r="B239">
            <v>41640</v>
          </cell>
        </row>
        <row r="240">
          <cell r="A240">
            <v>6451</v>
          </cell>
          <cell r="B240">
            <v>41640</v>
          </cell>
        </row>
        <row r="241">
          <cell r="A241">
            <v>6451</v>
          </cell>
          <cell r="B241">
            <v>41640</v>
          </cell>
        </row>
        <row r="242">
          <cell r="A242">
            <v>6451</v>
          </cell>
          <cell r="B242">
            <v>41640</v>
          </cell>
        </row>
        <row r="243">
          <cell r="A243">
            <v>6451</v>
          </cell>
          <cell r="B243">
            <v>41640</v>
          </cell>
        </row>
        <row r="244">
          <cell r="A244">
            <v>6451</v>
          </cell>
          <cell r="B244">
            <v>41640</v>
          </cell>
        </row>
        <row r="245">
          <cell r="A245">
            <v>6451</v>
          </cell>
          <cell r="B245">
            <v>41640</v>
          </cell>
        </row>
        <row r="246">
          <cell r="A246">
            <v>6451</v>
          </cell>
          <cell r="B246">
            <v>41640</v>
          </cell>
        </row>
        <row r="247">
          <cell r="A247">
            <v>6451</v>
          </cell>
          <cell r="B247">
            <v>41640</v>
          </cell>
        </row>
        <row r="248">
          <cell r="A248">
            <v>438138</v>
          </cell>
          <cell r="B248">
            <v>41640</v>
          </cell>
        </row>
        <row r="249">
          <cell r="A249">
            <v>564008</v>
          </cell>
          <cell r="B249">
            <v>41609</v>
          </cell>
        </row>
        <row r="250">
          <cell r="A250">
            <v>2692</v>
          </cell>
          <cell r="B250">
            <v>41640</v>
          </cell>
        </row>
        <row r="251">
          <cell r="A251">
            <v>380138</v>
          </cell>
          <cell r="B251">
            <v>41640</v>
          </cell>
        </row>
        <row r="252">
          <cell r="A252">
            <v>380138</v>
          </cell>
          <cell r="B252">
            <v>41640</v>
          </cell>
        </row>
        <row r="253">
          <cell r="A253">
            <v>481957</v>
          </cell>
          <cell r="B253">
            <v>41640</v>
          </cell>
        </row>
        <row r="254">
          <cell r="A254">
            <v>5941</v>
          </cell>
          <cell r="B254">
            <v>41640</v>
          </cell>
        </row>
        <row r="255">
          <cell r="A255">
            <v>5941</v>
          </cell>
          <cell r="B255">
            <v>41640</v>
          </cell>
        </row>
        <row r="256">
          <cell r="A256">
            <v>5941</v>
          </cell>
          <cell r="B256">
            <v>41640</v>
          </cell>
        </row>
        <row r="257">
          <cell r="A257">
            <v>5941</v>
          </cell>
          <cell r="B257">
            <v>41640</v>
          </cell>
        </row>
        <row r="258">
          <cell r="A258">
            <v>5941</v>
          </cell>
          <cell r="B258">
            <v>41640</v>
          </cell>
        </row>
        <row r="259">
          <cell r="A259">
            <v>5941</v>
          </cell>
          <cell r="B259">
            <v>41640</v>
          </cell>
        </row>
        <row r="260">
          <cell r="A260">
            <v>5941</v>
          </cell>
          <cell r="B260">
            <v>41640</v>
          </cell>
        </row>
        <row r="261">
          <cell r="A261">
            <v>5941</v>
          </cell>
          <cell r="B261">
            <v>41640</v>
          </cell>
        </row>
        <row r="262">
          <cell r="A262">
            <v>5941</v>
          </cell>
          <cell r="B262">
            <v>41640</v>
          </cell>
        </row>
        <row r="263">
          <cell r="A263">
            <v>692424</v>
          </cell>
          <cell r="B263">
            <v>41640</v>
          </cell>
        </row>
        <row r="264">
          <cell r="A264">
            <v>570361</v>
          </cell>
          <cell r="B264">
            <v>41640</v>
          </cell>
        </row>
        <row r="265">
          <cell r="A265">
            <v>683949</v>
          </cell>
          <cell r="B265">
            <v>41640</v>
          </cell>
        </row>
        <row r="266">
          <cell r="A266">
            <v>360661</v>
          </cell>
          <cell r="B266">
            <v>41640</v>
          </cell>
        </row>
        <row r="267">
          <cell r="A267">
            <v>489638</v>
          </cell>
          <cell r="B267">
            <v>41640</v>
          </cell>
        </row>
        <row r="268">
          <cell r="A268">
            <v>547813</v>
          </cell>
          <cell r="B268">
            <v>41640</v>
          </cell>
        </row>
        <row r="269">
          <cell r="A269">
            <v>12798</v>
          </cell>
          <cell r="B269">
            <v>41640</v>
          </cell>
        </row>
        <row r="270">
          <cell r="A270">
            <v>612515</v>
          </cell>
          <cell r="B270">
            <v>41640</v>
          </cell>
        </row>
        <row r="271">
          <cell r="A271">
            <v>477539</v>
          </cell>
          <cell r="B271">
            <v>41640</v>
          </cell>
        </row>
        <row r="272">
          <cell r="A272">
            <v>549735</v>
          </cell>
          <cell r="B272">
            <v>41640</v>
          </cell>
        </row>
        <row r="273">
          <cell r="A273">
            <v>823751</v>
          </cell>
          <cell r="B273">
            <v>41640</v>
          </cell>
        </row>
        <row r="274">
          <cell r="A274">
            <v>531732</v>
          </cell>
          <cell r="B274">
            <v>41640</v>
          </cell>
        </row>
        <row r="275">
          <cell r="A275">
            <v>531732</v>
          </cell>
          <cell r="B275">
            <v>41640</v>
          </cell>
        </row>
        <row r="276">
          <cell r="A276">
            <v>52118</v>
          </cell>
          <cell r="B276">
            <v>41640</v>
          </cell>
        </row>
        <row r="277">
          <cell r="A277">
            <v>52118</v>
          </cell>
          <cell r="B277">
            <v>41640</v>
          </cell>
        </row>
        <row r="278">
          <cell r="A278">
            <v>700235</v>
          </cell>
          <cell r="B278">
            <v>41640</v>
          </cell>
        </row>
        <row r="279">
          <cell r="A279">
            <v>476272</v>
          </cell>
          <cell r="B279">
            <v>41640</v>
          </cell>
        </row>
        <row r="280">
          <cell r="A280">
            <v>434256</v>
          </cell>
          <cell r="B280">
            <v>41640</v>
          </cell>
        </row>
        <row r="281">
          <cell r="A281">
            <v>32350</v>
          </cell>
          <cell r="B281">
            <v>41640</v>
          </cell>
        </row>
        <row r="282">
          <cell r="A282">
            <v>32726</v>
          </cell>
          <cell r="B282">
            <v>41609</v>
          </cell>
        </row>
        <row r="283">
          <cell r="A283">
            <v>434649</v>
          </cell>
          <cell r="B283">
            <v>41640</v>
          </cell>
        </row>
        <row r="284">
          <cell r="A284">
            <v>63286</v>
          </cell>
          <cell r="B284">
            <v>41640</v>
          </cell>
        </row>
        <row r="285">
          <cell r="A285">
            <v>590906</v>
          </cell>
          <cell r="B285">
            <v>41640</v>
          </cell>
        </row>
        <row r="286">
          <cell r="A286">
            <v>590906</v>
          </cell>
          <cell r="B286">
            <v>41640</v>
          </cell>
        </row>
        <row r="287">
          <cell r="A287">
            <v>549891</v>
          </cell>
          <cell r="B287">
            <v>41640</v>
          </cell>
        </row>
        <row r="288">
          <cell r="A288">
            <v>519860</v>
          </cell>
          <cell r="B288">
            <v>41640</v>
          </cell>
        </row>
        <row r="289">
          <cell r="A289">
            <v>847443</v>
          </cell>
          <cell r="B289">
            <v>41640</v>
          </cell>
        </row>
        <row r="290">
          <cell r="A290">
            <v>525367</v>
          </cell>
          <cell r="B290">
            <v>41640</v>
          </cell>
        </row>
        <row r="291">
          <cell r="A291">
            <v>525367</v>
          </cell>
          <cell r="B291">
            <v>41640</v>
          </cell>
        </row>
        <row r="292">
          <cell r="A292">
            <v>648246</v>
          </cell>
          <cell r="B292">
            <v>41640</v>
          </cell>
        </row>
        <row r="293">
          <cell r="A293">
            <v>536822</v>
          </cell>
          <cell r="B293">
            <v>41640</v>
          </cell>
        </row>
        <row r="294">
          <cell r="A294">
            <v>872591</v>
          </cell>
          <cell r="B294">
            <v>41609</v>
          </cell>
        </row>
        <row r="295">
          <cell r="A295">
            <v>553660</v>
          </cell>
          <cell r="B295">
            <v>41640</v>
          </cell>
        </row>
        <row r="296">
          <cell r="A296">
            <v>626680</v>
          </cell>
          <cell r="B296">
            <v>41640</v>
          </cell>
        </row>
        <row r="297">
          <cell r="A297">
            <v>567317</v>
          </cell>
          <cell r="B297">
            <v>41640</v>
          </cell>
        </row>
        <row r="298">
          <cell r="A298">
            <v>11621</v>
          </cell>
          <cell r="B298">
            <v>41640</v>
          </cell>
        </row>
        <row r="299">
          <cell r="A299">
            <v>11621</v>
          </cell>
          <cell r="B299">
            <v>41640</v>
          </cell>
        </row>
        <row r="300">
          <cell r="A300">
            <v>11621</v>
          </cell>
          <cell r="B300">
            <v>41640</v>
          </cell>
        </row>
        <row r="301">
          <cell r="A301">
            <v>11621</v>
          </cell>
          <cell r="B301">
            <v>41640</v>
          </cell>
        </row>
        <row r="302">
          <cell r="A302">
            <v>499057</v>
          </cell>
          <cell r="B302">
            <v>41640</v>
          </cell>
        </row>
        <row r="303">
          <cell r="A303">
            <v>83084</v>
          </cell>
          <cell r="B303">
            <v>41640</v>
          </cell>
        </row>
        <row r="304">
          <cell r="A304">
            <v>677243</v>
          </cell>
          <cell r="B304">
            <v>41640</v>
          </cell>
        </row>
        <row r="305">
          <cell r="A305">
            <v>677243</v>
          </cell>
          <cell r="B305">
            <v>41640</v>
          </cell>
        </row>
        <row r="306">
          <cell r="A306">
            <v>688029</v>
          </cell>
          <cell r="B306">
            <v>41640</v>
          </cell>
        </row>
        <row r="307">
          <cell r="A307">
            <v>816812</v>
          </cell>
          <cell r="B307">
            <v>41640</v>
          </cell>
        </row>
        <row r="308">
          <cell r="A308">
            <v>841684</v>
          </cell>
          <cell r="B308">
            <v>41640</v>
          </cell>
        </row>
        <row r="309">
          <cell r="A309">
            <v>492857</v>
          </cell>
          <cell r="B309">
            <v>41640</v>
          </cell>
        </row>
        <row r="310">
          <cell r="A310">
            <v>492857</v>
          </cell>
          <cell r="B310">
            <v>41640</v>
          </cell>
        </row>
        <row r="311">
          <cell r="A311">
            <v>872036</v>
          </cell>
          <cell r="B311">
            <v>41640</v>
          </cell>
        </row>
        <row r="312">
          <cell r="A312">
            <v>483044</v>
          </cell>
          <cell r="B312">
            <v>41640</v>
          </cell>
        </row>
        <row r="313">
          <cell r="A313">
            <v>878049</v>
          </cell>
          <cell r="B313">
            <v>41640</v>
          </cell>
        </row>
        <row r="314">
          <cell r="A314">
            <v>700123</v>
          </cell>
          <cell r="B314">
            <v>41640</v>
          </cell>
        </row>
        <row r="315">
          <cell r="A315">
            <v>700123</v>
          </cell>
          <cell r="B315">
            <v>41640</v>
          </cell>
        </row>
        <row r="316">
          <cell r="A316">
            <v>871788</v>
          </cell>
          <cell r="B316">
            <v>41640</v>
          </cell>
        </row>
        <row r="317">
          <cell r="A317">
            <v>576497</v>
          </cell>
          <cell r="B317">
            <v>41640</v>
          </cell>
        </row>
        <row r="318">
          <cell r="A318">
            <v>22569</v>
          </cell>
          <cell r="B318">
            <v>41640</v>
          </cell>
        </row>
        <row r="319">
          <cell r="A319">
            <v>806715</v>
          </cell>
          <cell r="B319">
            <v>41640</v>
          </cell>
        </row>
        <row r="320">
          <cell r="A320">
            <v>612130</v>
          </cell>
          <cell r="B320">
            <v>41640</v>
          </cell>
        </row>
        <row r="321">
          <cell r="A321">
            <v>575958</v>
          </cell>
          <cell r="B321">
            <v>41609</v>
          </cell>
        </row>
        <row r="322">
          <cell r="A322">
            <v>867754</v>
          </cell>
          <cell r="B322">
            <v>41640</v>
          </cell>
        </row>
        <row r="323">
          <cell r="A323">
            <v>576485</v>
          </cell>
          <cell r="B323">
            <v>41609</v>
          </cell>
        </row>
        <row r="324">
          <cell r="A324">
            <v>887013</v>
          </cell>
          <cell r="B324">
            <v>41640</v>
          </cell>
        </row>
        <row r="325">
          <cell r="A325">
            <v>303150</v>
          </cell>
          <cell r="B325">
            <v>41640</v>
          </cell>
        </row>
        <row r="326">
          <cell r="A326">
            <v>624848</v>
          </cell>
          <cell r="B326">
            <v>41640</v>
          </cell>
        </row>
        <row r="327">
          <cell r="A327">
            <v>631133</v>
          </cell>
          <cell r="B327">
            <v>41640</v>
          </cell>
        </row>
        <row r="328">
          <cell r="A328">
            <v>531405</v>
          </cell>
          <cell r="B328">
            <v>41640</v>
          </cell>
        </row>
        <row r="329">
          <cell r="A329">
            <v>678302</v>
          </cell>
          <cell r="B329">
            <v>41640</v>
          </cell>
        </row>
        <row r="330">
          <cell r="A330">
            <v>678302</v>
          </cell>
          <cell r="B330">
            <v>41640</v>
          </cell>
        </row>
        <row r="331">
          <cell r="A331">
            <v>874666</v>
          </cell>
          <cell r="B331">
            <v>41609</v>
          </cell>
        </row>
        <row r="332">
          <cell r="A332">
            <v>72252</v>
          </cell>
          <cell r="B332">
            <v>41640</v>
          </cell>
        </row>
        <row r="333">
          <cell r="A333">
            <v>68870</v>
          </cell>
          <cell r="B333">
            <v>41640</v>
          </cell>
        </row>
        <row r="334">
          <cell r="A334">
            <v>697528</v>
          </cell>
          <cell r="B334">
            <v>41609</v>
          </cell>
        </row>
        <row r="335">
          <cell r="A335">
            <v>623921</v>
          </cell>
          <cell r="B335">
            <v>41640</v>
          </cell>
        </row>
        <row r="336">
          <cell r="A336">
            <v>302933</v>
          </cell>
          <cell r="B336">
            <v>41640</v>
          </cell>
        </row>
        <row r="337">
          <cell r="A337">
            <v>302933</v>
          </cell>
          <cell r="B337">
            <v>41640</v>
          </cell>
        </row>
        <row r="338">
          <cell r="A338">
            <v>582536</v>
          </cell>
          <cell r="B338">
            <v>41640</v>
          </cell>
        </row>
        <row r="339">
          <cell r="A339">
            <v>630833</v>
          </cell>
          <cell r="B339">
            <v>41640</v>
          </cell>
        </row>
        <row r="340">
          <cell r="A340">
            <v>884879</v>
          </cell>
          <cell r="B340">
            <v>41640</v>
          </cell>
        </row>
        <row r="341">
          <cell r="A341">
            <v>69606</v>
          </cell>
          <cell r="B341">
            <v>41640</v>
          </cell>
        </row>
        <row r="342">
          <cell r="A342">
            <v>588228</v>
          </cell>
          <cell r="B342">
            <v>41640</v>
          </cell>
        </row>
        <row r="343">
          <cell r="A343">
            <v>838351</v>
          </cell>
          <cell r="B343">
            <v>41640</v>
          </cell>
        </row>
        <row r="344">
          <cell r="A344">
            <v>384113</v>
          </cell>
          <cell r="B344">
            <v>41640</v>
          </cell>
        </row>
        <row r="345">
          <cell r="A345">
            <v>882987</v>
          </cell>
          <cell r="B345">
            <v>41640</v>
          </cell>
        </row>
        <row r="346">
          <cell r="A346">
            <v>67748</v>
          </cell>
          <cell r="B346">
            <v>41640</v>
          </cell>
        </row>
        <row r="347">
          <cell r="A347">
            <v>548693</v>
          </cell>
          <cell r="B347">
            <v>41640</v>
          </cell>
        </row>
        <row r="348">
          <cell r="A348">
            <v>580921</v>
          </cell>
          <cell r="B348">
            <v>41609</v>
          </cell>
        </row>
        <row r="349">
          <cell r="A349">
            <v>79513</v>
          </cell>
          <cell r="B349">
            <v>41640</v>
          </cell>
        </row>
        <row r="350">
          <cell r="A350">
            <v>552533</v>
          </cell>
          <cell r="B350">
            <v>41640</v>
          </cell>
        </row>
        <row r="351">
          <cell r="A351">
            <v>552533</v>
          </cell>
          <cell r="B351">
            <v>41640</v>
          </cell>
        </row>
        <row r="352">
          <cell r="A352">
            <v>871214</v>
          </cell>
          <cell r="B352">
            <v>41640</v>
          </cell>
        </row>
        <row r="353">
          <cell r="A353">
            <v>535240</v>
          </cell>
          <cell r="B353">
            <v>41640</v>
          </cell>
        </row>
        <row r="354">
          <cell r="A354">
            <v>535240</v>
          </cell>
          <cell r="B354">
            <v>41609</v>
          </cell>
        </row>
        <row r="355">
          <cell r="A355">
            <v>853973</v>
          </cell>
          <cell r="B355">
            <v>41640</v>
          </cell>
        </row>
        <row r="356">
          <cell r="A356">
            <v>519407</v>
          </cell>
          <cell r="B356">
            <v>41640</v>
          </cell>
        </row>
        <row r="357">
          <cell r="A357">
            <v>53505</v>
          </cell>
          <cell r="B357">
            <v>41640</v>
          </cell>
        </row>
        <row r="358">
          <cell r="A358">
            <v>871470</v>
          </cell>
          <cell r="B358">
            <v>41640</v>
          </cell>
        </row>
        <row r="359">
          <cell r="A359">
            <v>842447</v>
          </cell>
          <cell r="B359">
            <v>41640</v>
          </cell>
        </row>
        <row r="360">
          <cell r="A360">
            <v>802905</v>
          </cell>
          <cell r="B360">
            <v>41640</v>
          </cell>
        </row>
        <row r="361">
          <cell r="A361">
            <v>802905</v>
          </cell>
          <cell r="B361">
            <v>41640</v>
          </cell>
        </row>
        <row r="362">
          <cell r="A362">
            <v>33608</v>
          </cell>
          <cell r="B362">
            <v>41640</v>
          </cell>
        </row>
        <row r="363">
          <cell r="A363">
            <v>574670</v>
          </cell>
          <cell r="B363">
            <v>41640</v>
          </cell>
        </row>
        <row r="364">
          <cell r="A364">
            <v>574670</v>
          </cell>
          <cell r="B364">
            <v>41640</v>
          </cell>
        </row>
        <row r="365">
          <cell r="A365">
            <v>608857</v>
          </cell>
          <cell r="B365">
            <v>41640</v>
          </cell>
        </row>
        <row r="366">
          <cell r="A366">
            <v>608857</v>
          </cell>
          <cell r="B366">
            <v>41640</v>
          </cell>
        </row>
        <row r="367">
          <cell r="A367">
            <v>608857</v>
          </cell>
          <cell r="B367">
            <v>41640</v>
          </cell>
        </row>
        <row r="368">
          <cell r="A368">
            <v>674249</v>
          </cell>
          <cell r="B368">
            <v>41640</v>
          </cell>
        </row>
        <row r="369">
          <cell r="A369">
            <v>42542</v>
          </cell>
          <cell r="B369">
            <v>41640</v>
          </cell>
        </row>
        <row r="370">
          <cell r="A370">
            <v>867204</v>
          </cell>
          <cell r="B370">
            <v>41640</v>
          </cell>
        </row>
        <row r="371">
          <cell r="A371">
            <v>827706</v>
          </cell>
          <cell r="B371">
            <v>41640</v>
          </cell>
        </row>
        <row r="372">
          <cell r="A372">
            <v>529991</v>
          </cell>
          <cell r="B372">
            <v>41640</v>
          </cell>
        </row>
        <row r="373">
          <cell r="A373">
            <v>565993</v>
          </cell>
          <cell r="B373">
            <v>41640</v>
          </cell>
        </row>
        <row r="374">
          <cell r="A374">
            <v>909417</v>
          </cell>
          <cell r="B374">
            <v>41640</v>
          </cell>
        </row>
        <row r="375">
          <cell r="A375">
            <v>909417</v>
          </cell>
          <cell r="B375">
            <v>41640</v>
          </cell>
        </row>
        <row r="376">
          <cell r="A376">
            <v>909417</v>
          </cell>
          <cell r="B376">
            <v>41640</v>
          </cell>
        </row>
        <row r="377">
          <cell r="A377">
            <v>545110</v>
          </cell>
          <cell r="B377">
            <v>41640</v>
          </cell>
        </row>
        <row r="378">
          <cell r="A378">
            <v>35826</v>
          </cell>
          <cell r="B378">
            <v>41640</v>
          </cell>
        </row>
        <row r="379">
          <cell r="A379">
            <v>527426</v>
          </cell>
          <cell r="B379">
            <v>41640</v>
          </cell>
        </row>
        <row r="380">
          <cell r="A380">
            <v>527426</v>
          </cell>
          <cell r="B380">
            <v>41640</v>
          </cell>
        </row>
        <row r="381">
          <cell r="A381">
            <v>527426</v>
          </cell>
          <cell r="B381">
            <v>41640</v>
          </cell>
        </row>
        <row r="382">
          <cell r="A382">
            <v>385681</v>
          </cell>
          <cell r="B382">
            <v>41640</v>
          </cell>
        </row>
        <row r="383">
          <cell r="A383">
            <v>204748</v>
          </cell>
          <cell r="B383">
            <v>41640</v>
          </cell>
        </row>
        <row r="384">
          <cell r="A384">
            <v>629280</v>
          </cell>
          <cell r="B384">
            <v>41640</v>
          </cell>
        </row>
        <row r="385">
          <cell r="A385">
            <v>848436</v>
          </cell>
          <cell r="B385">
            <v>41640</v>
          </cell>
        </row>
        <row r="386">
          <cell r="A386">
            <v>396825</v>
          </cell>
          <cell r="B386">
            <v>41640</v>
          </cell>
        </row>
        <row r="387">
          <cell r="A387">
            <v>58</v>
          </cell>
          <cell r="B387">
            <v>41640</v>
          </cell>
        </row>
        <row r="388">
          <cell r="A388">
            <v>583220</v>
          </cell>
          <cell r="B388">
            <v>41640</v>
          </cell>
        </row>
        <row r="389">
          <cell r="A389">
            <v>20743</v>
          </cell>
          <cell r="B389">
            <v>41640</v>
          </cell>
        </row>
        <row r="390">
          <cell r="A390">
            <v>20743</v>
          </cell>
          <cell r="B390">
            <v>41640</v>
          </cell>
        </row>
        <row r="391">
          <cell r="A391">
            <v>564431</v>
          </cell>
          <cell r="B391">
            <v>41640</v>
          </cell>
        </row>
        <row r="392">
          <cell r="A392">
            <v>564431</v>
          </cell>
          <cell r="B392">
            <v>41640</v>
          </cell>
        </row>
        <row r="393">
          <cell r="A393">
            <v>564431</v>
          </cell>
          <cell r="B393">
            <v>41640</v>
          </cell>
        </row>
        <row r="394">
          <cell r="A394">
            <v>398048</v>
          </cell>
          <cell r="B394">
            <v>41640</v>
          </cell>
        </row>
        <row r="395">
          <cell r="A395">
            <v>564478</v>
          </cell>
          <cell r="B395">
            <v>41640</v>
          </cell>
        </row>
        <row r="396">
          <cell r="A396">
            <v>634822</v>
          </cell>
          <cell r="B396">
            <v>41640</v>
          </cell>
        </row>
        <row r="397">
          <cell r="A397">
            <v>545023</v>
          </cell>
          <cell r="B397">
            <v>41609</v>
          </cell>
        </row>
        <row r="398">
          <cell r="A398">
            <v>545023</v>
          </cell>
          <cell r="B398">
            <v>41609</v>
          </cell>
        </row>
        <row r="399">
          <cell r="A399">
            <v>595706</v>
          </cell>
          <cell r="B399">
            <v>41640</v>
          </cell>
        </row>
        <row r="400">
          <cell r="A400">
            <v>821691</v>
          </cell>
          <cell r="B400">
            <v>41640</v>
          </cell>
        </row>
        <row r="401">
          <cell r="A401">
            <v>604643</v>
          </cell>
          <cell r="B401">
            <v>41640</v>
          </cell>
        </row>
        <row r="402">
          <cell r="A402">
            <v>482264</v>
          </cell>
          <cell r="B402">
            <v>41640</v>
          </cell>
        </row>
        <row r="403">
          <cell r="A403">
            <v>802682</v>
          </cell>
          <cell r="B403">
            <v>41640</v>
          </cell>
        </row>
        <row r="404">
          <cell r="A404">
            <v>802682</v>
          </cell>
          <cell r="B404">
            <v>41640</v>
          </cell>
        </row>
        <row r="405">
          <cell r="A405">
            <v>533211</v>
          </cell>
          <cell r="B405">
            <v>41640</v>
          </cell>
        </row>
        <row r="406">
          <cell r="A406">
            <v>1606</v>
          </cell>
          <cell r="B406">
            <v>41640</v>
          </cell>
        </row>
        <row r="407">
          <cell r="A407">
            <v>588305</v>
          </cell>
          <cell r="B407">
            <v>41640</v>
          </cell>
        </row>
        <row r="408">
          <cell r="A408">
            <v>522136</v>
          </cell>
          <cell r="B408">
            <v>41640</v>
          </cell>
        </row>
        <row r="409">
          <cell r="A409">
            <v>572389</v>
          </cell>
          <cell r="B409">
            <v>41640</v>
          </cell>
        </row>
        <row r="410">
          <cell r="A410">
            <v>487504</v>
          </cell>
          <cell r="B410">
            <v>41640</v>
          </cell>
        </row>
        <row r="411">
          <cell r="A411">
            <v>548657</v>
          </cell>
          <cell r="B411">
            <v>41640</v>
          </cell>
        </row>
        <row r="412">
          <cell r="A412">
            <v>562930</v>
          </cell>
          <cell r="B412">
            <v>41640</v>
          </cell>
        </row>
        <row r="413">
          <cell r="A413">
            <v>84030</v>
          </cell>
          <cell r="B413">
            <v>41640</v>
          </cell>
        </row>
        <row r="414">
          <cell r="A414">
            <v>855810</v>
          </cell>
          <cell r="B414">
            <v>41640</v>
          </cell>
        </row>
        <row r="415">
          <cell r="A415">
            <v>480691</v>
          </cell>
          <cell r="B415">
            <v>41640</v>
          </cell>
        </row>
        <row r="416">
          <cell r="A416">
            <v>480691</v>
          </cell>
          <cell r="B416">
            <v>41640</v>
          </cell>
        </row>
        <row r="417">
          <cell r="A417">
            <v>4040</v>
          </cell>
          <cell r="B417">
            <v>41640</v>
          </cell>
        </row>
        <row r="418">
          <cell r="A418">
            <v>582493</v>
          </cell>
          <cell r="B418">
            <v>41640</v>
          </cell>
        </row>
        <row r="419">
          <cell r="A419">
            <v>582493</v>
          </cell>
          <cell r="B419">
            <v>41640</v>
          </cell>
        </row>
        <row r="420">
          <cell r="A420">
            <v>23555</v>
          </cell>
          <cell r="B420">
            <v>41640</v>
          </cell>
        </row>
        <row r="421">
          <cell r="A421">
            <v>23555</v>
          </cell>
          <cell r="B421">
            <v>41640</v>
          </cell>
        </row>
        <row r="422">
          <cell r="A422">
            <v>23555</v>
          </cell>
          <cell r="B422">
            <v>41640</v>
          </cell>
        </row>
        <row r="423">
          <cell r="A423">
            <v>376630</v>
          </cell>
          <cell r="B423">
            <v>41640</v>
          </cell>
        </row>
        <row r="424">
          <cell r="A424">
            <v>824510</v>
          </cell>
          <cell r="B424">
            <v>41640</v>
          </cell>
        </row>
        <row r="425">
          <cell r="A425">
            <v>9708</v>
          </cell>
          <cell r="B425">
            <v>41640</v>
          </cell>
        </row>
        <row r="426">
          <cell r="A426">
            <v>695367</v>
          </cell>
          <cell r="B426">
            <v>41640</v>
          </cell>
        </row>
        <row r="427">
          <cell r="A427">
            <v>500765</v>
          </cell>
          <cell r="B427">
            <v>41640</v>
          </cell>
        </row>
        <row r="428">
          <cell r="A428">
            <v>500765</v>
          </cell>
          <cell r="B428">
            <v>41640</v>
          </cell>
        </row>
        <row r="429">
          <cell r="A429">
            <v>508913</v>
          </cell>
          <cell r="B429">
            <v>41640</v>
          </cell>
        </row>
        <row r="430">
          <cell r="A430">
            <v>14343</v>
          </cell>
          <cell r="B430">
            <v>41640</v>
          </cell>
        </row>
        <row r="431">
          <cell r="A431">
            <v>34294</v>
          </cell>
          <cell r="B431">
            <v>41640</v>
          </cell>
        </row>
        <row r="432">
          <cell r="A432">
            <v>510094</v>
          </cell>
          <cell r="B432">
            <v>41640</v>
          </cell>
        </row>
        <row r="433">
          <cell r="A433">
            <v>630827</v>
          </cell>
          <cell r="B433">
            <v>41640</v>
          </cell>
        </row>
        <row r="434">
          <cell r="A434">
            <v>525252</v>
          </cell>
          <cell r="B434">
            <v>41640</v>
          </cell>
        </row>
        <row r="435">
          <cell r="A435">
            <v>681052</v>
          </cell>
          <cell r="B435">
            <v>41640</v>
          </cell>
        </row>
        <row r="436">
          <cell r="A436">
            <v>480836</v>
          </cell>
          <cell r="B436">
            <v>41640</v>
          </cell>
        </row>
        <row r="437">
          <cell r="A437">
            <v>612509</v>
          </cell>
          <cell r="B437">
            <v>41640</v>
          </cell>
        </row>
        <row r="438">
          <cell r="A438">
            <v>612509</v>
          </cell>
          <cell r="B438">
            <v>41640</v>
          </cell>
        </row>
        <row r="439">
          <cell r="A439">
            <v>517932</v>
          </cell>
          <cell r="B439">
            <v>41640</v>
          </cell>
        </row>
        <row r="440">
          <cell r="A440">
            <v>483045</v>
          </cell>
          <cell r="B440">
            <v>41640</v>
          </cell>
        </row>
        <row r="441">
          <cell r="A441">
            <v>483045</v>
          </cell>
          <cell r="B441">
            <v>41579</v>
          </cell>
        </row>
        <row r="442">
          <cell r="A442">
            <v>379833</v>
          </cell>
          <cell r="B442">
            <v>41640</v>
          </cell>
        </row>
        <row r="443">
          <cell r="A443">
            <v>630830</v>
          </cell>
          <cell r="B443">
            <v>41640</v>
          </cell>
        </row>
        <row r="444">
          <cell r="A444">
            <v>700256</v>
          </cell>
          <cell r="B444">
            <v>41640</v>
          </cell>
        </row>
        <row r="445">
          <cell r="A445">
            <v>674444</v>
          </cell>
          <cell r="B445">
            <v>41640</v>
          </cell>
        </row>
        <row r="446">
          <cell r="A446">
            <v>390052</v>
          </cell>
          <cell r="B446">
            <v>41640</v>
          </cell>
        </row>
        <row r="447">
          <cell r="A447">
            <v>597449</v>
          </cell>
          <cell r="B447">
            <v>41640</v>
          </cell>
        </row>
        <row r="448">
          <cell r="A448">
            <v>499519</v>
          </cell>
          <cell r="B448">
            <v>41640</v>
          </cell>
        </row>
        <row r="449">
          <cell r="A449">
            <v>434042</v>
          </cell>
          <cell r="B449">
            <v>41640</v>
          </cell>
        </row>
        <row r="450">
          <cell r="A450">
            <v>515786</v>
          </cell>
          <cell r="B450">
            <v>41640</v>
          </cell>
        </row>
        <row r="451">
          <cell r="A451">
            <v>558490</v>
          </cell>
          <cell r="B451">
            <v>41640</v>
          </cell>
        </row>
        <row r="452">
          <cell r="A452">
            <v>626392</v>
          </cell>
          <cell r="B452">
            <v>41640</v>
          </cell>
        </row>
        <row r="453">
          <cell r="A453">
            <v>877820</v>
          </cell>
          <cell r="B453">
            <v>41640</v>
          </cell>
        </row>
        <row r="454">
          <cell r="A454">
            <v>634027</v>
          </cell>
          <cell r="B454">
            <v>41640</v>
          </cell>
        </row>
        <row r="455">
          <cell r="A455">
            <v>383790</v>
          </cell>
          <cell r="B455">
            <v>41640</v>
          </cell>
        </row>
        <row r="456">
          <cell r="A456">
            <v>538548</v>
          </cell>
          <cell r="B456">
            <v>41640</v>
          </cell>
        </row>
        <row r="457">
          <cell r="A457">
            <v>74085</v>
          </cell>
          <cell r="B457">
            <v>41640</v>
          </cell>
        </row>
        <row r="458">
          <cell r="A458">
            <v>843450</v>
          </cell>
          <cell r="B458">
            <v>41640</v>
          </cell>
        </row>
        <row r="459">
          <cell r="A459">
            <v>440207</v>
          </cell>
          <cell r="B459">
            <v>41640</v>
          </cell>
        </row>
        <row r="460">
          <cell r="A460">
            <v>449146</v>
          </cell>
          <cell r="B460">
            <v>41640</v>
          </cell>
        </row>
        <row r="461">
          <cell r="A461">
            <v>575371</v>
          </cell>
          <cell r="B461">
            <v>41640</v>
          </cell>
        </row>
        <row r="462">
          <cell r="A462">
            <v>67243</v>
          </cell>
          <cell r="B462">
            <v>41640</v>
          </cell>
        </row>
        <row r="463">
          <cell r="A463">
            <v>510977</v>
          </cell>
          <cell r="B463">
            <v>41640</v>
          </cell>
        </row>
        <row r="464">
          <cell r="A464">
            <v>432168</v>
          </cell>
          <cell r="B464">
            <v>41640</v>
          </cell>
        </row>
        <row r="465">
          <cell r="A465">
            <v>532932</v>
          </cell>
          <cell r="B465">
            <v>41640</v>
          </cell>
        </row>
        <row r="466">
          <cell r="A466">
            <v>802431</v>
          </cell>
          <cell r="B466">
            <v>41640</v>
          </cell>
        </row>
        <row r="467">
          <cell r="A467">
            <v>802431</v>
          </cell>
          <cell r="B467">
            <v>41640</v>
          </cell>
        </row>
        <row r="468">
          <cell r="A468">
            <v>565569</v>
          </cell>
          <cell r="B468">
            <v>41640</v>
          </cell>
        </row>
        <row r="469">
          <cell r="A469">
            <v>524096</v>
          </cell>
          <cell r="B469">
            <v>41640</v>
          </cell>
        </row>
        <row r="470">
          <cell r="A470">
            <v>524096</v>
          </cell>
          <cell r="B470">
            <v>41640</v>
          </cell>
        </row>
        <row r="471">
          <cell r="A471">
            <v>892115</v>
          </cell>
          <cell r="B471">
            <v>41640</v>
          </cell>
        </row>
        <row r="472">
          <cell r="A472">
            <v>528467</v>
          </cell>
          <cell r="B472">
            <v>41640</v>
          </cell>
        </row>
        <row r="473">
          <cell r="A473">
            <v>25035</v>
          </cell>
          <cell r="B473">
            <v>41640</v>
          </cell>
        </row>
        <row r="474">
          <cell r="A474">
            <v>822355</v>
          </cell>
          <cell r="B474">
            <v>41640</v>
          </cell>
        </row>
        <row r="475">
          <cell r="A475">
            <v>565330</v>
          </cell>
          <cell r="B475">
            <v>41640</v>
          </cell>
        </row>
        <row r="476">
          <cell r="A476">
            <v>568369</v>
          </cell>
          <cell r="B476">
            <v>41640</v>
          </cell>
        </row>
        <row r="477">
          <cell r="A477">
            <v>385941</v>
          </cell>
          <cell r="B477">
            <v>41640</v>
          </cell>
        </row>
        <row r="478">
          <cell r="A478">
            <v>499947</v>
          </cell>
          <cell r="B478">
            <v>41640</v>
          </cell>
        </row>
        <row r="479">
          <cell r="A479">
            <v>500877</v>
          </cell>
          <cell r="B479">
            <v>41640</v>
          </cell>
        </row>
        <row r="480">
          <cell r="A480">
            <v>500877</v>
          </cell>
          <cell r="B480">
            <v>41640</v>
          </cell>
        </row>
        <row r="481">
          <cell r="A481">
            <v>500877</v>
          </cell>
          <cell r="B481">
            <v>41640</v>
          </cell>
        </row>
        <row r="482">
          <cell r="A482">
            <v>696004</v>
          </cell>
          <cell r="B482">
            <v>41640</v>
          </cell>
        </row>
        <row r="483">
          <cell r="A483">
            <v>6151</v>
          </cell>
          <cell r="B483">
            <v>41609</v>
          </cell>
        </row>
        <row r="484">
          <cell r="A484">
            <v>508244</v>
          </cell>
          <cell r="B484">
            <v>41640</v>
          </cell>
        </row>
        <row r="485">
          <cell r="A485">
            <v>508244</v>
          </cell>
          <cell r="B485">
            <v>41640</v>
          </cell>
        </row>
        <row r="486">
          <cell r="A486">
            <v>879264</v>
          </cell>
          <cell r="B486">
            <v>41640</v>
          </cell>
        </row>
        <row r="487">
          <cell r="A487">
            <v>885552</v>
          </cell>
          <cell r="B487">
            <v>41640</v>
          </cell>
        </row>
        <row r="488">
          <cell r="A488">
            <v>70968</v>
          </cell>
          <cell r="B488">
            <v>41640</v>
          </cell>
        </row>
        <row r="489">
          <cell r="A489">
            <v>522306</v>
          </cell>
          <cell r="B489">
            <v>41640</v>
          </cell>
        </row>
        <row r="490">
          <cell r="A490">
            <v>843062</v>
          </cell>
          <cell r="B490">
            <v>41640</v>
          </cell>
        </row>
        <row r="491">
          <cell r="A491">
            <v>682143</v>
          </cell>
          <cell r="B491">
            <v>41640</v>
          </cell>
        </row>
        <row r="492">
          <cell r="A492">
            <v>682143</v>
          </cell>
          <cell r="B492">
            <v>41640</v>
          </cell>
        </row>
        <row r="493">
          <cell r="A493">
            <v>544838</v>
          </cell>
          <cell r="B493">
            <v>41640</v>
          </cell>
        </row>
        <row r="494">
          <cell r="A494">
            <v>835830</v>
          </cell>
          <cell r="B494">
            <v>41640</v>
          </cell>
        </row>
        <row r="495">
          <cell r="A495">
            <v>828176</v>
          </cell>
          <cell r="B495">
            <v>41640</v>
          </cell>
        </row>
        <row r="496">
          <cell r="A496">
            <v>548638</v>
          </cell>
          <cell r="B496">
            <v>41640</v>
          </cell>
        </row>
        <row r="497">
          <cell r="A497">
            <v>77136</v>
          </cell>
          <cell r="B497">
            <v>41640</v>
          </cell>
        </row>
        <row r="498">
          <cell r="A498">
            <v>477396</v>
          </cell>
          <cell r="B498">
            <v>41640</v>
          </cell>
        </row>
        <row r="499">
          <cell r="A499">
            <v>582316</v>
          </cell>
          <cell r="B499">
            <v>41640</v>
          </cell>
        </row>
        <row r="500">
          <cell r="A500">
            <v>302697</v>
          </cell>
          <cell r="B500" t="str">
            <v>PAS DE COUT ADDITIONNEL</v>
          </cell>
        </row>
        <row r="501">
          <cell r="A501">
            <v>516854</v>
          </cell>
          <cell r="B501">
            <v>41640</v>
          </cell>
        </row>
        <row r="502">
          <cell r="A502">
            <v>1871</v>
          </cell>
          <cell r="B502">
            <v>41640</v>
          </cell>
        </row>
        <row r="503">
          <cell r="A503">
            <v>875671</v>
          </cell>
          <cell r="B503">
            <v>41640</v>
          </cell>
        </row>
        <row r="504">
          <cell r="A504">
            <v>1799</v>
          </cell>
          <cell r="B504">
            <v>41640</v>
          </cell>
        </row>
        <row r="505">
          <cell r="A505">
            <v>583361</v>
          </cell>
          <cell r="B505" t="str">
            <v>PAS DE COUT ADDITIONNEL</v>
          </cell>
        </row>
        <row r="506">
          <cell r="A506">
            <v>847903</v>
          </cell>
          <cell r="B506">
            <v>41640</v>
          </cell>
        </row>
        <row r="507">
          <cell r="A507">
            <v>604798</v>
          </cell>
          <cell r="B507">
            <v>41640</v>
          </cell>
        </row>
        <row r="508">
          <cell r="A508">
            <v>630832</v>
          </cell>
          <cell r="B508">
            <v>41640</v>
          </cell>
        </row>
        <row r="509">
          <cell r="A509">
            <v>582405</v>
          </cell>
          <cell r="B509">
            <v>41640</v>
          </cell>
        </row>
        <row r="510">
          <cell r="A510">
            <v>848359</v>
          </cell>
          <cell r="B510">
            <v>41640</v>
          </cell>
        </row>
        <row r="511">
          <cell r="A511">
            <v>588090</v>
          </cell>
          <cell r="B511">
            <v>41640</v>
          </cell>
        </row>
        <row r="512">
          <cell r="A512">
            <v>637035</v>
          </cell>
          <cell r="B512" t="str">
            <v>PAS DE COUT ADDITIONNEL</v>
          </cell>
        </row>
        <row r="513">
          <cell r="A513">
            <v>205265</v>
          </cell>
          <cell r="B513">
            <v>41640</v>
          </cell>
        </row>
        <row r="514">
          <cell r="A514">
            <v>514404</v>
          </cell>
          <cell r="B514">
            <v>41640</v>
          </cell>
        </row>
        <row r="515">
          <cell r="A515">
            <v>576822</v>
          </cell>
          <cell r="B515">
            <v>41640</v>
          </cell>
        </row>
        <row r="516">
          <cell r="A516">
            <v>301021</v>
          </cell>
          <cell r="B516">
            <v>41640</v>
          </cell>
        </row>
        <row r="517">
          <cell r="A517">
            <v>302218</v>
          </cell>
          <cell r="B517" t="str">
            <v>PAS DE COUT ADDITIONNEL</v>
          </cell>
        </row>
        <row r="518">
          <cell r="A518">
            <v>3307</v>
          </cell>
          <cell r="B518">
            <v>41640</v>
          </cell>
        </row>
        <row r="519">
          <cell r="A519">
            <v>544961</v>
          </cell>
          <cell r="B519">
            <v>41640</v>
          </cell>
        </row>
        <row r="520">
          <cell r="A520">
            <v>544961</v>
          </cell>
          <cell r="B520">
            <v>41640</v>
          </cell>
        </row>
        <row r="521">
          <cell r="A521">
            <v>691478</v>
          </cell>
          <cell r="B521">
            <v>41640</v>
          </cell>
        </row>
        <row r="522">
          <cell r="A522">
            <v>818445</v>
          </cell>
          <cell r="B522">
            <v>41640</v>
          </cell>
        </row>
        <row r="523">
          <cell r="A523">
            <v>508202</v>
          </cell>
          <cell r="B523">
            <v>41640</v>
          </cell>
        </row>
        <row r="524">
          <cell r="A524">
            <v>878470</v>
          </cell>
          <cell r="B524">
            <v>41640</v>
          </cell>
        </row>
        <row r="525">
          <cell r="A525">
            <v>469591</v>
          </cell>
          <cell r="B525" t="str">
            <v>PAS DE COUT ADDITIONNEL</v>
          </cell>
        </row>
        <row r="526">
          <cell r="A526">
            <v>549490</v>
          </cell>
          <cell r="B526">
            <v>41640</v>
          </cell>
        </row>
        <row r="527">
          <cell r="A527">
            <v>838812</v>
          </cell>
          <cell r="B527">
            <v>41579</v>
          </cell>
        </row>
        <row r="528">
          <cell r="A528">
            <v>18808</v>
          </cell>
          <cell r="B528">
            <v>41579</v>
          </cell>
        </row>
        <row r="529">
          <cell r="A529">
            <v>39126</v>
          </cell>
          <cell r="B529" t="str">
            <v>PAS DE COUT ADDITIONNEL</v>
          </cell>
        </row>
        <row r="530">
          <cell r="A530">
            <v>300424</v>
          </cell>
          <cell r="B530">
            <v>41579</v>
          </cell>
        </row>
        <row r="531">
          <cell r="A531">
            <v>300424</v>
          </cell>
          <cell r="B531">
            <v>41579</v>
          </cell>
        </row>
        <row r="532">
          <cell r="A532">
            <v>520336</v>
          </cell>
          <cell r="B532">
            <v>41579</v>
          </cell>
        </row>
        <row r="533">
          <cell r="A533">
            <v>520336</v>
          </cell>
          <cell r="B533">
            <v>41579</v>
          </cell>
        </row>
        <row r="534">
          <cell r="A534">
            <v>300194</v>
          </cell>
          <cell r="B534">
            <v>41579</v>
          </cell>
        </row>
        <row r="535">
          <cell r="A535">
            <v>556518</v>
          </cell>
          <cell r="B535">
            <v>41579</v>
          </cell>
        </row>
        <row r="536">
          <cell r="A536">
            <v>556518</v>
          </cell>
          <cell r="B536">
            <v>41579</v>
          </cell>
        </row>
        <row r="537">
          <cell r="A537">
            <v>609078</v>
          </cell>
          <cell r="B537">
            <v>41579</v>
          </cell>
        </row>
        <row r="538">
          <cell r="A538">
            <v>386521</v>
          </cell>
          <cell r="B538" t="str">
            <v>PAS DE COUT ADDITIONNEL</v>
          </cell>
        </row>
        <row r="539">
          <cell r="A539">
            <v>386521</v>
          </cell>
          <cell r="B539" t="str">
            <v>PAS DE COUT ADDITIONNEL</v>
          </cell>
        </row>
        <row r="540">
          <cell r="A540">
            <v>62930</v>
          </cell>
          <cell r="B540">
            <v>41579</v>
          </cell>
        </row>
        <row r="541">
          <cell r="A541">
            <v>474091</v>
          </cell>
          <cell r="B541">
            <v>41579</v>
          </cell>
        </row>
        <row r="542">
          <cell r="A542">
            <v>399069</v>
          </cell>
          <cell r="B542">
            <v>41579</v>
          </cell>
        </row>
        <row r="543">
          <cell r="A543">
            <v>616053</v>
          </cell>
          <cell r="B543" t="str">
            <v>PAS DE COUT ADDITIONNEL</v>
          </cell>
        </row>
        <row r="544">
          <cell r="A544">
            <v>434151</v>
          </cell>
          <cell r="B544">
            <v>41579</v>
          </cell>
        </row>
        <row r="545">
          <cell r="A545">
            <v>520804</v>
          </cell>
          <cell r="B545" t="str">
            <v>PAS DE COUT ADDITIONNEL</v>
          </cell>
        </row>
        <row r="546">
          <cell r="A546">
            <v>857702</v>
          </cell>
          <cell r="B546">
            <v>41579</v>
          </cell>
        </row>
        <row r="547">
          <cell r="A547">
            <v>871695</v>
          </cell>
          <cell r="B547">
            <v>41579</v>
          </cell>
        </row>
        <row r="548">
          <cell r="A548">
            <v>36881</v>
          </cell>
          <cell r="B548">
            <v>41579</v>
          </cell>
        </row>
        <row r="549">
          <cell r="A549">
            <v>886921</v>
          </cell>
          <cell r="B549" t="str">
            <v>PAS DE COUT ADDITIONNEL</v>
          </cell>
        </row>
        <row r="550">
          <cell r="A550">
            <v>834957</v>
          </cell>
          <cell r="B550">
            <v>41579</v>
          </cell>
        </row>
        <row r="551">
          <cell r="A551">
            <v>604821</v>
          </cell>
          <cell r="B551">
            <v>41579</v>
          </cell>
        </row>
        <row r="552">
          <cell r="A552">
            <v>679955</v>
          </cell>
          <cell r="B552">
            <v>41579</v>
          </cell>
        </row>
        <row r="553">
          <cell r="A553">
            <v>501876</v>
          </cell>
          <cell r="B553">
            <v>41579</v>
          </cell>
        </row>
        <row r="554">
          <cell r="A554">
            <v>501876</v>
          </cell>
          <cell r="B554">
            <v>41579</v>
          </cell>
        </row>
        <row r="555">
          <cell r="A555">
            <v>812041</v>
          </cell>
          <cell r="B555">
            <v>41579</v>
          </cell>
        </row>
        <row r="556">
          <cell r="A556">
            <v>812041</v>
          </cell>
          <cell r="B556">
            <v>41579</v>
          </cell>
        </row>
        <row r="557">
          <cell r="A557">
            <v>475721</v>
          </cell>
          <cell r="B557">
            <v>41579</v>
          </cell>
        </row>
        <row r="558">
          <cell r="A558">
            <v>67378</v>
          </cell>
          <cell r="B558" t="str">
            <v>PAS DE COUT ADDITIONNEL</v>
          </cell>
        </row>
        <row r="559">
          <cell r="A559">
            <v>302438</v>
          </cell>
          <cell r="B559">
            <v>41579</v>
          </cell>
        </row>
        <row r="560">
          <cell r="A560">
            <v>583739</v>
          </cell>
          <cell r="B560">
            <v>41579</v>
          </cell>
        </row>
        <row r="561">
          <cell r="A561">
            <v>816584</v>
          </cell>
          <cell r="B561">
            <v>41579</v>
          </cell>
        </row>
        <row r="562">
          <cell r="A562">
            <v>576222</v>
          </cell>
          <cell r="B562">
            <v>41579</v>
          </cell>
        </row>
        <row r="563">
          <cell r="A563">
            <v>466662</v>
          </cell>
          <cell r="B563">
            <v>41579</v>
          </cell>
        </row>
        <row r="564">
          <cell r="A564">
            <v>5137</v>
          </cell>
          <cell r="B564">
            <v>41579</v>
          </cell>
        </row>
        <row r="565">
          <cell r="A565">
            <v>563487</v>
          </cell>
          <cell r="B565">
            <v>41579</v>
          </cell>
        </row>
        <row r="566">
          <cell r="A566">
            <v>22641</v>
          </cell>
          <cell r="B566">
            <v>41579</v>
          </cell>
        </row>
        <row r="567">
          <cell r="A567">
            <v>22641</v>
          </cell>
          <cell r="B567">
            <v>41579</v>
          </cell>
        </row>
        <row r="568">
          <cell r="A568">
            <v>22641</v>
          </cell>
          <cell r="B568">
            <v>41579</v>
          </cell>
        </row>
        <row r="569">
          <cell r="A569">
            <v>856879</v>
          </cell>
          <cell r="B569">
            <v>41579</v>
          </cell>
        </row>
        <row r="570">
          <cell r="A570">
            <v>845941</v>
          </cell>
          <cell r="B570">
            <v>41579</v>
          </cell>
        </row>
        <row r="571">
          <cell r="A571">
            <v>609286</v>
          </cell>
          <cell r="B571">
            <v>41579</v>
          </cell>
        </row>
        <row r="572">
          <cell r="A572">
            <v>529657</v>
          </cell>
          <cell r="B572">
            <v>41579</v>
          </cell>
        </row>
        <row r="573">
          <cell r="A573">
            <v>572890</v>
          </cell>
          <cell r="B573">
            <v>41579</v>
          </cell>
        </row>
        <row r="574">
          <cell r="A574">
            <v>563121</v>
          </cell>
          <cell r="B574">
            <v>41579</v>
          </cell>
        </row>
        <row r="575">
          <cell r="A575">
            <v>614232</v>
          </cell>
          <cell r="B575">
            <v>41579</v>
          </cell>
        </row>
        <row r="576">
          <cell r="A576">
            <v>438026</v>
          </cell>
          <cell r="B576">
            <v>41579</v>
          </cell>
        </row>
        <row r="577">
          <cell r="A577">
            <v>85412</v>
          </cell>
          <cell r="B577">
            <v>41579</v>
          </cell>
        </row>
        <row r="578">
          <cell r="A578">
            <v>870192</v>
          </cell>
          <cell r="B578">
            <v>41579</v>
          </cell>
        </row>
        <row r="579">
          <cell r="A579">
            <v>445588</v>
          </cell>
          <cell r="B579">
            <v>41579</v>
          </cell>
        </row>
        <row r="580">
          <cell r="A580">
            <v>350259</v>
          </cell>
          <cell r="B580">
            <v>41579</v>
          </cell>
        </row>
        <row r="581">
          <cell r="A581">
            <v>350259</v>
          </cell>
          <cell r="B581">
            <v>41579</v>
          </cell>
        </row>
        <row r="582">
          <cell r="A582">
            <v>616122</v>
          </cell>
          <cell r="B582">
            <v>41579</v>
          </cell>
        </row>
        <row r="583">
          <cell r="A583">
            <v>571881</v>
          </cell>
          <cell r="B583">
            <v>41579</v>
          </cell>
        </row>
        <row r="584">
          <cell r="A584">
            <v>483240</v>
          </cell>
          <cell r="B584">
            <v>41579</v>
          </cell>
        </row>
        <row r="585">
          <cell r="A585">
            <v>483240</v>
          </cell>
          <cell r="B585">
            <v>41579</v>
          </cell>
        </row>
        <row r="586">
          <cell r="A586">
            <v>54297</v>
          </cell>
          <cell r="B586">
            <v>41579</v>
          </cell>
        </row>
        <row r="587">
          <cell r="A587">
            <v>54297</v>
          </cell>
          <cell r="B587">
            <v>41579</v>
          </cell>
        </row>
        <row r="588">
          <cell r="A588">
            <v>398049</v>
          </cell>
          <cell r="B588">
            <v>41579</v>
          </cell>
        </row>
        <row r="589">
          <cell r="A589">
            <v>302853</v>
          </cell>
          <cell r="B589">
            <v>41579</v>
          </cell>
        </row>
        <row r="590">
          <cell r="A590">
            <v>377499</v>
          </cell>
          <cell r="B590">
            <v>41579</v>
          </cell>
        </row>
        <row r="591">
          <cell r="A591">
            <v>847255</v>
          </cell>
          <cell r="B591">
            <v>41579</v>
          </cell>
        </row>
        <row r="592">
          <cell r="A592">
            <v>477824</v>
          </cell>
          <cell r="B592">
            <v>41579</v>
          </cell>
        </row>
        <row r="593">
          <cell r="A593">
            <v>65013</v>
          </cell>
          <cell r="B593">
            <v>41579</v>
          </cell>
        </row>
        <row r="594">
          <cell r="A594">
            <v>67229</v>
          </cell>
          <cell r="B594">
            <v>41579</v>
          </cell>
        </row>
        <row r="595">
          <cell r="A595">
            <v>546192</v>
          </cell>
          <cell r="B595">
            <v>41640</v>
          </cell>
        </row>
        <row r="596">
          <cell r="A596">
            <v>546192</v>
          </cell>
          <cell r="B596">
            <v>41640</v>
          </cell>
        </row>
        <row r="597">
          <cell r="A597">
            <v>836406</v>
          </cell>
          <cell r="B597">
            <v>41579</v>
          </cell>
        </row>
        <row r="598">
          <cell r="A598">
            <v>685185</v>
          </cell>
          <cell r="B598">
            <v>41579</v>
          </cell>
        </row>
        <row r="599">
          <cell r="A599">
            <v>697546</v>
          </cell>
          <cell r="B599">
            <v>41579</v>
          </cell>
        </row>
        <row r="600">
          <cell r="A600">
            <v>801302</v>
          </cell>
          <cell r="B600">
            <v>41579</v>
          </cell>
        </row>
        <row r="601">
          <cell r="A601">
            <v>56015</v>
          </cell>
          <cell r="B601">
            <v>41579</v>
          </cell>
        </row>
        <row r="602">
          <cell r="A602">
            <v>700232</v>
          </cell>
          <cell r="B602">
            <v>41579</v>
          </cell>
        </row>
        <row r="603">
          <cell r="A603">
            <v>476707</v>
          </cell>
          <cell r="B603">
            <v>41579</v>
          </cell>
        </row>
        <row r="604">
          <cell r="A604">
            <v>598427</v>
          </cell>
          <cell r="B604">
            <v>41579</v>
          </cell>
        </row>
        <row r="605">
          <cell r="A605">
            <v>476267</v>
          </cell>
          <cell r="B605">
            <v>41579</v>
          </cell>
        </row>
        <row r="606">
          <cell r="A606">
            <v>845922</v>
          </cell>
          <cell r="B606">
            <v>41579</v>
          </cell>
        </row>
        <row r="607">
          <cell r="A607">
            <v>631644</v>
          </cell>
          <cell r="B607">
            <v>41579</v>
          </cell>
        </row>
        <row r="608">
          <cell r="A608">
            <v>37374</v>
          </cell>
          <cell r="B608">
            <v>41579</v>
          </cell>
        </row>
        <row r="609">
          <cell r="A609">
            <v>888615</v>
          </cell>
          <cell r="B609">
            <v>41579</v>
          </cell>
        </row>
        <row r="610">
          <cell r="A610">
            <v>675496</v>
          </cell>
          <cell r="B610">
            <v>41579</v>
          </cell>
        </row>
        <row r="611">
          <cell r="A611">
            <v>539603</v>
          </cell>
          <cell r="B611">
            <v>41579</v>
          </cell>
        </row>
        <row r="612">
          <cell r="A612">
            <v>461861</v>
          </cell>
          <cell r="B612">
            <v>41579</v>
          </cell>
        </row>
        <row r="613">
          <cell r="A613">
            <v>62655</v>
          </cell>
          <cell r="B613">
            <v>41579</v>
          </cell>
        </row>
        <row r="614">
          <cell r="A614">
            <v>635138</v>
          </cell>
          <cell r="B614">
            <v>41579</v>
          </cell>
        </row>
        <row r="615">
          <cell r="A615">
            <v>635138</v>
          </cell>
          <cell r="B615">
            <v>41579</v>
          </cell>
        </row>
        <row r="616">
          <cell r="A616">
            <v>688962</v>
          </cell>
          <cell r="B616">
            <v>41579</v>
          </cell>
        </row>
        <row r="617">
          <cell r="A617">
            <v>688962</v>
          </cell>
          <cell r="B617">
            <v>41579</v>
          </cell>
        </row>
        <row r="618">
          <cell r="A618">
            <v>434333</v>
          </cell>
          <cell r="B618">
            <v>41579</v>
          </cell>
        </row>
        <row r="619">
          <cell r="A619">
            <v>888710</v>
          </cell>
          <cell r="B619">
            <v>41579</v>
          </cell>
        </row>
        <row r="620">
          <cell r="A620">
            <v>681980</v>
          </cell>
          <cell r="B620">
            <v>41579</v>
          </cell>
        </row>
        <row r="621">
          <cell r="A621">
            <v>481243</v>
          </cell>
          <cell r="B621">
            <v>41579</v>
          </cell>
        </row>
        <row r="622">
          <cell r="A622">
            <v>495222</v>
          </cell>
          <cell r="B622">
            <v>41579</v>
          </cell>
        </row>
        <row r="623">
          <cell r="A623">
            <v>607029</v>
          </cell>
          <cell r="B623">
            <v>41579</v>
          </cell>
        </row>
        <row r="624">
          <cell r="A624">
            <v>857637</v>
          </cell>
          <cell r="B624">
            <v>41579</v>
          </cell>
        </row>
        <row r="625">
          <cell r="A625">
            <v>84570</v>
          </cell>
          <cell r="B625">
            <v>41579</v>
          </cell>
        </row>
        <row r="626">
          <cell r="A626">
            <v>49214</v>
          </cell>
          <cell r="B626">
            <v>41579</v>
          </cell>
        </row>
        <row r="627">
          <cell r="A627">
            <v>49214</v>
          </cell>
          <cell r="B627">
            <v>41579</v>
          </cell>
        </row>
        <row r="628">
          <cell r="A628">
            <v>42610</v>
          </cell>
          <cell r="B628">
            <v>41579</v>
          </cell>
        </row>
        <row r="629">
          <cell r="A629">
            <v>51668</v>
          </cell>
          <cell r="B629">
            <v>41579</v>
          </cell>
        </row>
        <row r="630">
          <cell r="A630">
            <v>576230</v>
          </cell>
          <cell r="B630">
            <v>41579</v>
          </cell>
        </row>
        <row r="631">
          <cell r="A631">
            <v>614390</v>
          </cell>
          <cell r="B631">
            <v>41579</v>
          </cell>
        </row>
        <row r="632">
          <cell r="A632">
            <v>600542</v>
          </cell>
          <cell r="B632" t="str">
            <v>PAS DE COUT ADDITIONNEL</v>
          </cell>
        </row>
        <row r="633">
          <cell r="A633">
            <v>569982</v>
          </cell>
          <cell r="B633">
            <v>41579</v>
          </cell>
        </row>
        <row r="634">
          <cell r="A634">
            <v>569982</v>
          </cell>
          <cell r="B634">
            <v>41579</v>
          </cell>
        </row>
        <row r="635">
          <cell r="A635">
            <v>483046</v>
          </cell>
          <cell r="B635">
            <v>41579</v>
          </cell>
        </row>
        <row r="636">
          <cell r="A636">
            <v>622738</v>
          </cell>
          <cell r="B636">
            <v>41579</v>
          </cell>
        </row>
        <row r="637">
          <cell r="A637">
            <v>434036</v>
          </cell>
          <cell r="B637">
            <v>41579</v>
          </cell>
        </row>
        <row r="638">
          <cell r="A638">
            <v>561659</v>
          </cell>
          <cell r="B638">
            <v>41579</v>
          </cell>
        </row>
        <row r="639">
          <cell r="A639">
            <v>855600</v>
          </cell>
          <cell r="B639">
            <v>41579</v>
          </cell>
        </row>
        <row r="640">
          <cell r="A640">
            <v>388176</v>
          </cell>
          <cell r="B640">
            <v>41579</v>
          </cell>
        </row>
        <row r="641">
          <cell r="A641">
            <v>388176</v>
          </cell>
          <cell r="B641">
            <v>41579</v>
          </cell>
        </row>
        <row r="642">
          <cell r="A642">
            <v>560808</v>
          </cell>
          <cell r="B642">
            <v>41579</v>
          </cell>
        </row>
        <row r="643">
          <cell r="A643">
            <v>52717</v>
          </cell>
          <cell r="B643">
            <v>41579</v>
          </cell>
        </row>
        <row r="644">
          <cell r="A644">
            <v>681628</v>
          </cell>
          <cell r="B644">
            <v>41579</v>
          </cell>
        </row>
        <row r="645">
          <cell r="A645">
            <v>681628</v>
          </cell>
          <cell r="B645">
            <v>41579</v>
          </cell>
        </row>
        <row r="646">
          <cell r="A646">
            <v>562536</v>
          </cell>
          <cell r="B646">
            <v>41579</v>
          </cell>
        </row>
        <row r="647">
          <cell r="A647">
            <v>594457</v>
          </cell>
          <cell r="B647">
            <v>41579</v>
          </cell>
        </row>
        <row r="648">
          <cell r="A648">
            <v>594457</v>
          </cell>
          <cell r="B648">
            <v>41579</v>
          </cell>
        </row>
        <row r="649">
          <cell r="A649">
            <v>75825</v>
          </cell>
          <cell r="B649">
            <v>41579</v>
          </cell>
        </row>
        <row r="650">
          <cell r="A650">
            <v>75825</v>
          </cell>
          <cell r="B650">
            <v>41579</v>
          </cell>
        </row>
        <row r="651">
          <cell r="A651">
            <v>75825</v>
          </cell>
          <cell r="B651">
            <v>41579</v>
          </cell>
        </row>
        <row r="652">
          <cell r="A652">
            <v>613976</v>
          </cell>
          <cell r="B652">
            <v>41579</v>
          </cell>
        </row>
        <row r="653">
          <cell r="A653">
            <v>568727</v>
          </cell>
          <cell r="B653">
            <v>41579</v>
          </cell>
        </row>
        <row r="654">
          <cell r="A654">
            <v>626516</v>
          </cell>
          <cell r="B654">
            <v>41579</v>
          </cell>
        </row>
        <row r="655">
          <cell r="A655">
            <v>391111</v>
          </cell>
          <cell r="B655">
            <v>41579</v>
          </cell>
        </row>
        <row r="656">
          <cell r="A656">
            <v>391111</v>
          </cell>
          <cell r="B656">
            <v>41579</v>
          </cell>
        </row>
        <row r="657">
          <cell r="A657">
            <v>818447</v>
          </cell>
          <cell r="B657">
            <v>41579</v>
          </cell>
        </row>
        <row r="658">
          <cell r="A658">
            <v>68912</v>
          </cell>
          <cell r="B658">
            <v>41579</v>
          </cell>
        </row>
        <row r="659">
          <cell r="A659">
            <v>444172</v>
          </cell>
          <cell r="B659">
            <v>41579</v>
          </cell>
        </row>
        <row r="660">
          <cell r="A660">
            <v>592295</v>
          </cell>
          <cell r="B660">
            <v>41579</v>
          </cell>
        </row>
        <row r="661">
          <cell r="A661">
            <v>589259</v>
          </cell>
          <cell r="B661">
            <v>41579</v>
          </cell>
        </row>
        <row r="662">
          <cell r="A662">
            <v>584580</v>
          </cell>
          <cell r="B662">
            <v>41579</v>
          </cell>
        </row>
        <row r="663">
          <cell r="A663">
            <v>69868</v>
          </cell>
          <cell r="B663">
            <v>41579</v>
          </cell>
        </row>
        <row r="664">
          <cell r="A664">
            <v>626264</v>
          </cell>
          <cell r="B664">
            <v>41579</v>
          </cell>
        </row>
        <row r="665">
          <cell r="A665">
            <v>626264</v>
          </cell>
          <cell r="B665">
            <v>41579</v>
          </cell>
        </row>
        <row r="666">
          <cell r="A666">
            <v>442010</v>
          </cell>
          <cell r="B666">
            <v>41579</v>
          </cell>
        </row>
        <row r="667">
          <cell r="A667">
            <v>538497</v>
          </cell>
          <cell r="B667">
            <v>41579</v>
          </cell>
        </row>
        <row r="668">
          <cell r="A668">
            <v>684535</v>
          </cell>
          <cell r="B668">
            <v>41579</v>
          </cell>
        </row>
        <row r="669">
          <cell r="A669">
            <v>684535</v>
          </cell>
          <cell r="B669">
            <v>41579</v>
          </cell>
        </row>
        <row r="670">
          <cell r="A670">
            <v>698390</v>
          </cell>
          <cell r="B670">
            <v>41579</v>
          </cell>
        </row>
        <row r="671">
          <cell r="A671">
            <v>484381</v>
          </cell>
          <cell r="B671">
            <v>41579</v>
          </cell>
        </row>
        <row r="672">
          <cell r="A672">
            <v>863032</v>
          </cell>
          <cell r="B672">
            <v>41579</v>
          </cell>
        </row>
        <row r="673">
          <cell r="A673">
            <v>303051</v>
          </cell>
          <cell r="B673">
            <v>41579</v>
          </cell>
        </row>
        <row r="674">
          <cell r="A674">
            <v>588083</v>
          </cell>
          <cell r="B674">
            <v>41579</v>
          </cell>
        </row>
        <row r="675">
          <cell r="A675">
            <v>80251</v>
          </cell>
          <cell r="B675">
            <v>41640</v>
          </cell>
        </row>
        <row r="676">
          <cell r="A676">
            <v>683157</v>
          </cell>
          <cell r="B676">
            <v>41579</v>
          </cell>
        </row>
        <row r="677">
          <cell r="A677">
            <v>482047</v>
          </cell>
          <cell r="B677">
            <v>41579</v>
          </cell>
        </row>
        <row r="678">
          <cell r="A678">
            <v>508333</v>
          </cell>
          <cell r="B678">
            <v>41579</v>
          </cell>
        </row>
        <row r="679">
          <cell r="A679">
            <v>567184</v>
          </cell>
          <cell r="B679">
            <v>41579</v>
          </cell>
        </row>
        <row r="680">
          <cell r="A680">
            <v>612071</v>
          </cell>
          <cell r="B680">
            <v>41579</v>
          </cell>
        </row>
        <row r="681">
          <cell r="A681">
            <v>567186</v>
          </cell>
          <cell r="B681">
            <v>41579</v>
          </cell>
        </row>
        <row r="682">
          <cell r="A682">
            <v>74439</v>
          </cell>
          <cell r="B682">
            <v>41579</v>
          </cell>
        </row>
        <row r="683">
          <cell r="A683">
            <v>574987</v>
          </cell>
          <cell r="B683">
            <v>41579</v>
          </cell>
        </row>
        <row r="684">
          <cell r="A684">
            <v>801320</v>
          </cell>
          <cell r="B684">
            <v>41579</v>
          </cell>
        </row>
        <row r="685">
          <cell r="A685">
            <v>629323</v>
          </cell>
          <cell r="B685">
            <v>41579</v>
          </cell>
        </row>
        <row r="686">
          <cell r="A686">
            <v>629323</v>
          </cell>
          <cell r="B686">
            <v>41579</v>
          </cell>
        </row>
        <row r="687">
          <cell r="A687">
            <v>835707</v>
          </cell>
          <cell r="B687">
            <v>41579</v>
          </cell>
        </row>
        <row r="688">
          <cell r="A688">
            <v>820702</v>
          </cell>
          <cell r="B688">
            <v>41579</v>
          </cell>
        </row>
        <row r="689">
          <cell r="A689">
            <v>820702</v>
          </cell>
          <cell r="B689">
            <v>41579</v>
          </cell>
        </row>
        <row r="690">
          <cell r="A690">
            <v>480086</v>
          </cell>
          <cell r="B690">
            <v>41579</v>
          </cell>
        </row>
        <row r="691">
          <cell r="A691">
            <v>481076</v>
          </cell>
          <cell r="B691" t="str">
            <v>PAS DE COUT ADDITIONNEL</v>
          </cell>
        </row>
        <row r="692">
          <cell r="A692">
            <v>894457</v>
          </cell>
          <cell r="B692">
            <v>41579</v>
          </cell>
        </row>
        <row r="693">
          <cell r="A693">
            <v>66417</v>
          </cell>
          <cell r="B693">
            <v>41579</v>
          </cell>
        </row>
        <row r="694">
          <cell r="A694">
            <v>590751</v>
          </cell>
          <cell r="B694">
            <v>41579</v>
          </cell>
        </row>
        <row r="695">
          <cell r="A695">
            <v>576559</v>
          </cell>
          <cell r="B695">
            <v>41579</v>
          </cell>
        </row>
        <row r="696">
          <cell r="A696">
            <v>845448</v>
          </cell>
          <cell r="B696">
            <v>41579</v>
          </cell>
        </row>
        <row r="697">
          <cell r="A697">
            <v>808869</v>
          </cell>
          <cell r="B697">
            <v>41579</v>
          </cell>
        </row>
        <row r="698">
          <cell r="A698">
            <v>481344</v>
          </cell>
          <cell r="B698">
            <v>41640</v>
          </cell>
        </row>
        <row r="699">
          <cell r="A699">
            <v>818480</v>
          </cell>
          <cell r="B699">
            <v>41579</v>
          </cell>
        </row>
        <row r="700">
          <cell r="A700">
            <v>577464</v>
          </cell>
          <cell r="B700">
            <v>41579</v>
          </cell>
        </row>
        <row r="701">
          <cell r="A701">
            <v>1870</v>
          </cell>
          <cell r="B701">
            <v>41640</v>
          </cell>
        </row>
        <row r="702">
          <cell r="A702">
            <v>531024</v>
          </cell>
          <cell r="B702">
            <v>41579</v>
          </cell>
        </row>
        <row r="703">
          <cell r="A703">
            <v>697217</v>
          </cell>
          <cell r="B703">
            <v>41579</v>
          </cell>
        </row>
        <row r="704">
          <cell r="A704">
            <v>802926</v>
          </cell>
          <cell r="B704">
            <v>41579</v>
          </cell>
        </row>
        <row r="705">
          <cell r="A705">
            <v>802926</v>
          </cell>
          <cell r="B705">
            <v>41579</v>
          </cell>
        </row>
        <row r="706">
          <cell r="A706">
            <v>827740</v>
          </cell>
          <cell r="B706">
            <v>41579</v>
          </cell>
        </row>
        <row r="707">
          <cell r="A707">
            <v>547548</v>
          </cell>
          <cell r="B707">
            <v>41579</v>
          </cell>
        </row>
        <row r="708">
          <cell r="A708">
            <v>547548</v>
          </cell>
          <cell r="B708">
            <v>41579</v>
          </cell>
        </row>
        <row r="709">
          <cell r="A709">
            <v>547548</v>
          </cell>
          <cell r="B709">
            <v>41579</v>
          </cell>
        </row>
        <row r="710">
          <cell r="A710">
            <v>515147</v>
          </cell>
          <cell r="B710">
            <v>41579</v>
          </cell>
        </row>
        <row r="711">
          <cell r="A711">
            <v>831542</v>
          </cell>
          <cell r="B711">
            <v>41579</v>
          </cell>
        </row>
        <row r="712">
          <cell r="A712">
            <v>447865</v>
          </cell>
          <cell r="B712">
            <v>41579</v>
          </cell>
        </row>
        <row r="713">
          <cell r="A713">
            <v>540222</v>
          </cell>
          <cell r="B713">
            <v>41579</v>
          </cell>
        </row>
        <row r="714">
          <cell r="A714">
            <v>1965</v>
          </cell>
          <cell r="B714">
            <v>41579</v>
          </cell>
        </row>
        <row r="715">
          <cell r="A715">
            <v>878639</v>
          </cell>
          <cell r="B715">
            <v>41579</v>
          </cell>
        </row>
        <row r="716">
          <cell r="A716">
            <v>377416</v>
          </cell>
          <cell r="B716">
            <v>41579</v>
          </cell>
        </row>
        <row r="717">
          <cell r="A717">
            <v>438557</v>
          </cell>
          <cell r="B717">
            <v>41579</v>
          </cell>
        </row>
        <row r="718">
          <cell r="A718">
            <v>645369</v>
          </cell>
          <cell r="B718">
            <v>41579</v>
          </cell>
        </row>
        <row r="719">
          <cell r="A719">
            <v>52857</v>
          </cell>
          <cell r="B719">
            <v>41579</v>
          </cell>
        </row>
        <row r="720">
          <cell r="A720">
            <v>700067</v>
          </cell>
          <cell r="B720">
            <v>41579</v>
          </cell>
        </row>
        <row r="721">
          <cell r="A721">
            <v>567866</v>
          </cell>
          <cell r="B721">
            <v>41579</v>
          </cell>
        </row>
        <row r="722">
          <cell r="A722">
            <v>478077</v>
          </cell>
          <cell r="B722">
            <v>41579</v>
          </cell>
        </row>
        <row r="723">
          <cell r="A723">
            <v>398130</v>
          </cell>
          <cell r="B723">
            <v>41579</v>
          </cell>
        </row>
        <row r="724">
          <cell r="A724">
            <v>886096</v>
          </cell>
          <cell r="B724">
            <v>41579</v>
          </cell>
        </row>
        <row r="725">
          <cell r="A725">
            <v>554750</v>
          </cell>
          <cell r="B725">
            <v>41579</v>
          </cell>
        </row>
        <row r="726">
          <cell r="A726">
            <v>533197</v>
          </cell>
          <cell r="B726">
            <v>41579</v>
          </cell>
        </row>
        <row r="727">
          <cell r="A727">
            <v>466749</v>
          </cell>
          <cell r="B727">
            <v>41579</v>
          </cell>
        </row>
        <row r="728">
          <cell r="A728">
            <v>842719</v>
          </cell>
          <cell r="B728">
            <v>41579</v>
          </cell>
        </row>
        <row r="729">
          <cell r="A729">
            <v>578218</v>
          </cell>
          <cell r="B729">
            <v>41579</v>
          </cell>
        </row>
        <row r="730">
          <cell r="A730">
            <v>578218</v>
          </cell>
          <cell r="B730">
            <v>41579</v>
          </cell>
        </row>
        <row r="731">
          <cell r="A731">
            <v>51564</v>
          </cell>
          <cell r="B731">
            <v>41579</v>
          </cell>
        </row>
        <row r="732">
          <cell r="A732">
            <v>204200</v>
          </cell>
          <cell r="B732">
            <v>41579</v>
          </cell>
        </row>
        <row r="733">
          <cell r="A733">
            <v>531227</v>
          </cell>
          <cell r="B733">
            <v>41579</v>
          </cell>
        </row>
        <row r="734">
          <cell r="A734">
            <v>599663</v>
          </cell>
          <cell r="B734" t="str">
            <v>PAS DE COUT ADDITIONNEL</v>
          </cell>
        </row>
        <row r="735">
          <cell r="A735">
            <v>74646</v>
          </cell>
          <cell r="B735">
            <v>41579</v>
          </cell>
        </row>
        <row r="736">
          <cell r="A736">
            <v>509909</v>
          </cell>
          <cell r="B736">
            <v>41579</v>
          </cell>
        </row>
        <row r="737">
          <cell r="A737">
            <v>493501</v>
          </cell>
          <cell r="B737">
            <v>41579</v>
          </cell>
        </row>
        <row r="738">
          <cell r="A738">
            <v>611793</v>
          </cell>
          <cell r="B738">
            <v>41579</v>
          </cell>
        </row>
        <row r="739">
          <cell r="A739">
            <v>825781</v>
          </cell>
          <cell r="B739">
            <v>41579</v>
          </cell>
        </row>
        <row r="740">
          <cell r="A740">
            <v>476529</v>
          </cell>
          <cell r="B740">
            <v>41579</v>
          </cell>
        </row>
        <row r="741">
          <cell r="A741">
            <v>536788</v>
          </cell>
          <cell r="B741">
            <v>41579</v>
          </cell>
        </row>
        <row r="742">
          <cell r="A742">
            <v>612023</v>
          </cell>
          <cell r="B742">
            <v>41579</v>
          </cell>
        </row>
        <row r="743">
          <cell r="A743">
            <v>576146</v>
          </cell>
          <cell r="B743">
            <v>41579</v>
          </cell>
        </row>
        <row r="744">
          <cell r="A744">
            <v>576146</v>
          </cell>
          <cell r="B744">
            <v>41579</v>
          </cell>
        </row>
        <row r="745">
          <cell r="A745">
            <v>630653</v>
          </cell>
          <cell r="B745">
            <v>41579</v>
          </cell>
        </row>
        <row r="746">
          <cell r="A746">
            <v>850625</v>
          </cell>
          <cell r="B746">
            <v>41579</v>
          </cell>
        </row>
        <row r="747">
          <cell r="A747">
            <v>606737</v>
          </cell>
          <cell r="B747">
            <v>41579</v>
          </cell>
        </row>
        <row r="748">
          <cell r="A748">
            <v>524437</v>
          </cell>
          <cell r="B748">
            <v>41579</v>
          </cell>
        </row>
        <row r="749">
          <cell r="A749">
            <v>630626</v>
          </cell>
          <cell r="B749">
            <v>41579</v>
          </cell>
        </row>
        <row r="750">
          <cell r="A750">
            <v>507115</v>
          </cell>
          <cell r="B750">
            <v>41579</v>
          </cell>
        </row>
        <row r="751">
          <cell r="A751">
            <v>839751</v>
          </cell>
          <cell r="B751">
            <v>41579</v>
          </cell>
        </row>
        <row r="752">
          <cell r="A752">
            <v>839751</v>
          </cell>
          <cell r="B752">
            <v>41579</v>
          </cell>
        </row>
        <row r="753">
          <cell r="A753">
            <v>610279</v>
          </cell>
          <cell r="B753">
            <v>41579</v>
          </cell>
        </row>
        <row r="754">
          <cell r="A754">
            <v>478856</v>
          </cell>
          <cell r="B754">
            <v>41579</v>
          </cell>
        </row>
        <row r="755">
          <cell r="A755">
            <v>870408</v>
          </cell>
          <cell r="B755">
            <v>41579</v>
          </cell>
        </row>
        <row r="756">
          <cell r="A756">
            <v>483498</v>
          </cell>
          <cell r="B756">
            <v>41579</v>
          </cell>
        </row>
        <row r="757">
          <cell r="A757">
            <v>483498</v>
          </cell>
          <cell r="B757">
            <v>41579</v>
          </cell>
        </row>
        <row r="758">
          <cell r="A758">
            <v>559547</v>
          </cell>
          <cell r="B758">
            <v>41579</v>
          </cell>
        </row>
        <row r="759">
          <cell r="A759">
            <v>685586</v>
          </cell>
          <cell r="B759">
            <v>41579</v>
          </cell>
        </row>
        <row r="760">
          <cell r="A760">
            <v>473871</v>
          </cell>
          <cell r="B760">
            <v>41579</v>
          </cell>
        </row>
        <row r="761">
          <cell r="A761">
            <v>562099</v>
          </cell>
          <cell r="B761">
            <v>41579</v>
          </cell>
        </row>
        <row r="762">
          <cell r="A762">
            <v>527733</v>
          </cell>
          <cell r="B762">
            <v>41579</v>
          </cell>
        </row>
        <row r="763">
          <cell r="A763">
            <v>585163</v>
          </cell>
          <cell r="B763">
            <v>41579</v>
          </cell>
        </row>
        <row r="764">
          <cell r="A764">
            <v>585163</v>
          </cell>
          <cell r="B764">
            <v>41579</v>
          </cell>
        </row>
        <row r="765">
          <cell r="A765">
            <v>585163</v>
          </cell>
          <cell r="B765">
            <v>41579</v>
          </cell>
        </row>
        <row r="766">
          <cell r="A766">
            <v>585163</v>
          </cell>
          <cell r="B766">
            <v>41579</v>
          </cell>
        </row>
        <row r="767">
          <cell r="A767">
            <v>585163</v>
          </cell>
          <cell r="B767">
            <v>41579</v>
          </cell>
        </row>
        <row r="768">
          <cell r="A768">
            <v>585163</v>
          </cell>
          <cell r="B768">
            <v>41579</v>
          </cell>
        </row>
        <row r="769">
          <cell r="A769">
            <v>585163</v>
          </cell>
          <cell r="B769">
            <v>41579</v>
          </cell>
        </row>
        <row r="770">
          <cell r="A770">
            <v>585163</v>
          </cell>
          <cell r="B770">
            <v>41579</v>
          </cell>
        </row>
        <row r="771">
          <cell r="A771">
            <v>585163</v>
          </cell>
          <cell r="B771">
            <v>41579</v>
          </cell>
        </row>
        <row r="772">
          <cell r="A772">
            <v>585163</v>
          </cell>
          <cell r="B772">
            <v>41579</v>
          </cell>
        </row>
        <row r="773">
          <cell r="A773">
            <v>585163</v>
          </cell>
          <cell r="B773">
            <v>41579</v>
          </cell>
        </row>
        <row r="774">
          <cell r="A774">
            <v>585163</v>
          </cell>
          <cell r="B774">
            <v>41579</v>
          </cell>
        </row>
        <row r="775">
          <cell r="A775">
            <v>585163</v>
          </cell>
          <cell r="B775">
            <v>41579</v>
          </cell>
        </row>
        <row r="776">
          <cell r="A776">
            <v>585163</v>
          </cell>
          <cell r="B776">
            <v>41579</v>
          </cell>
        </row>
        <row r="777">
          <cell r="A777">
            <v>585163</v>
          </cell>
          <cell r="B777">
            <v>41579</v>
          </cell>
        </row>
        <row r="778">
          <cell r="A778">
            <v>585163</v>
          </cell>
          <cell r="B778">
            <v>41579</v>
          </cell>
        </row>
        <row r="779">
          <cell r="A779">
            <v>585163</v>
          </cell>
          <cell r="B779">
            <v>41579</v>
          </cell>
        </row>
        <row r="780">
          <cell r="A780">
            <v>585163</v>
          </cell>
          <cell r="B780">
            <v>41579</v>
          </cell>
        </row>
        <row r="781">
          <cell r="A781">
            <v>585163</v>
          </cell>
          <cell r="B781">
            <v>41579</v>
          </cell>
        </row>
        <row r="782">
          <cell r="A782">
            <v>585163</v>
          </cell>
          <cell r="B782">
            <v>41579</v>
          </cell>
        </row>
        <row r="783">
          <cell r="A783">
            <v>585163</v>
          </cell>
          <cell r="B783">
            <v>41579</v>
          </cell>
        </row>
        <row r="784">
          <cell r="A784">
            <v>552179</v>
          </cell>
          <cell r="B784">
            <v>41579</v>
          </cell>
        </row>
        <row r="785">
          <cell r="A785">
            <v>546475</v>
          </cell>
          <cell r="B785">
            <v>41579</v>
          </cell>
        </row>
        <row r="786">
          <cell r="A786">
            <v>504455</v>
          </cell>
          <cell r="B786">
            <v>41579</v>
          </cell>
        </row>
        <row r="787">
          <cell r="A787">
            <v>504455</v>
          </cell>
          <cell r="B787">
            <v>41579</v>
          </cell>
        </row>
        <row r="788">
          <cell r="A788">
            <v>641165</v>
          </cell>
          <cell r="B788">
            <v>41579</v>
          </cell>
        </row>
        <row r="789">
          <cell r="A789">
            <v>58563</v>
          </cell>
          <cell r="B789">
            <v>41579</v>
          </cell>
        </row>
        <row r="790">
          <cell r="A790">
            <v>646579</v>
          </cell>
          <cell r="B790">
            <v>41579</v>
          </cell>
        </row>
        <row r="791">
          <cell r="A791">
            <v>571615</v>
          </cell>
          <cell r="B791">
            <v>41579</v>
          </cell>
        </row>
        <row r="792">
          <cell r="A792">
            <v>530535</v>
          </cell>
          <cell r="B792">
            <v>41579</v>
          </cell>
        </row>
        <row r="793">
          <cell r="A793">
            <v>99999</v>
          </cell>
          <cell r="B793">
            <v>41579</v>
          </cell>
        </row>
        <row r="794">
          <cell r="A794">
            <v>62625</v>
          </cell>
          <cell r="B794">
            <v>41579</v>
          </cell>
        </row>
        <row r="795">
          <cell r="A795">
            <v>625251</v>
          </cell>
          <cell r="B795">
            <v>41579</v>
          </cell>
        </row>
        <row r="796">
          <cell r="A796">
            <v>563676</v>
          </cell>
          <cell r="B796">
            <v>41579</v>
          </cell>
        </row>
        <row r="797">
          <cell r="A797">
            <v>200939</v>
          </cell>
          <cell r="B797">
            <v>41579</v>
          </cell>
        </row>
        <row r="798">
          <cell r="A798">
            <v>869832</v>
          </cell>
          <cell r="B798">
            <v>41579</v>
          </cell>
        </row>
        <row r="799">
          <cell r="A799">
            <v>686434</v>
          </cell>
          <cell r="B799">
            <v>41579</v>
          </cell>
        </row>
        <row r="800">
          <cell r="A800">
            <v>79869</v>
          </cell>
          <cell r="B800">
            <v>41579</v>
          </cell>
        </row>
        <row r="801">
          <cell r="A801">
            <v>34743</v>
          </cell>
          <cell r="B801" t="str">
            <v>PAS DE COUT ADDITIONNEL</v>
          </cell>
        </row>
        <row r="802">
          <cell r="A802">
            <v>34743</v>
          </cell>
          <cell r="B802">
            <v>41579</v>
          </cell>
        </row>
        <row r="803">
          <cell r="A803">
            <v>205798</v>
          </cell>
          <cell r="B803">
            <v>41579</v>
          </cell>
        </row>
        <row r="804">
          <cell r="A804">
            <v>606747</v>
          </cell>
          <cell r="B804">
            <v>41579</v>
          </cell>
        </row>
        <row r="805">
          <cell r="A805">
            <v>606747</v>
          </cell>
          <cell r="B805" t="str">
            <v>PAS DE COUT ADDITIONNEL</v>
          </cell>
        </row>
        <row r="806">
          <cell r="A806">
            <v>496968</v>
          </cell>
          <cell r="B806">
            <v>41579</v>
          </cell>
        </row>
        <row r="807">
          <cell r="A807">
            <v>598194</v>
          </cell>
          <cell r="B807">
            <v>41579</v>
          </cell>
        </row>
        <row r="808">
          <cell r="A808">
            <v>42195</v>
          </cell>
          <cell r="B808">
            <v>41579</v>
          </cell>
        </row>
        <row r="809">
          <cell r="A809">
            <v>483049</v>
          </cell>
          <cell r="B809">
            <v>41579</v>
          </cell>
        </row>
        <row r="810">
          <cell r="A810">
            <v>622396</v>
          </cell>
          <cell r="B810">
            <v>41579</v>
          </cell>
        </row>
        <row r="811">
          <cell r="A811">
            <v>527874</v>
          </cell>
          <cell r="B811">
            <v>41579</v>
          </cell>
        </row>
        <row r="812">
          <cell r="A812">
            <v>527874</v>
          </cell>
          <cell r="B812">
            <v>41579</v>
          </cell>
        </row>
        <row r="813">
          <cell r="A813">
            <v>527874</v>
          </cell>
          <cell r="B813">
            <v>41579</v>
          </cell>
        </row>
        <row r="814">
          <cell r="A814">
            <v>628511</v>
          </cell>
          <cell r="B814">
            <v>41579</v>
          </cell>
        </row>
        <row r="815">
          <cell r="A815">
            <v>468894</v>
          </cell>
          <cell r="B815">
            <v>41579</v>
          </cell>
        </row>
        <row r="816">
          <cell r="A816">
            <v>499714</v>
          </cell>
          <cell r="B816">
            <v>41579</v>
          </cell>
        </row>
        <row r="817">
          <cell r="A817">
            <v>35113</v>
          </cell>
          <cell r="B817">
            <v>41579</v>
          </cell>
        </row>
        <row r="818">
          <cell r="A818">
            <v>572321</v>
          </cell>
          <cell r="B818">
            <v>41579</v>
          </cell>
        </row>
        <row r="819">
          <cell r="A819">
            <v>604265</v>
          </cell>
          <cell r="B819">
            <v>41579</v>
          </cell>
        </row>
        <row r="820">
          <cell r="A820">
            <v>580945</v>
          </cell>
          <cell r="B820">
            <v>41579</v>
          </cell>
        </row>
        <row r="821">
          <cell r="A821">
            <v>476524</v>
          </cell>
          <cell r="B821">
            <v>41579</v>
          </cell>
        </row>
        <row r="822">
          <cell r="A822">
            <v>476524</v>
          </cell>
          <cell r="B822">
            <v>41579</v>
          </cell>
        </row>
        <row r="823">
          <cell r="A823">
            <v>476524</v>
          </cell>
          <cell r="B823">
            <v>41579</v>
          </cell>
        </row>
        <row r="824">
          <cell r="A824">
            <v>851891</v>
          </cell>
          <cell r="B824">
            <v>41579</v>
          </cell>
        </row>
        <row r="825">
          <cell r="A825">
            <v>598351</v>
          </cell>
          <cell r="B825">
            <v>41579</v>
          </cell>
        </row>
        <row r="826">
          <cell r="A826">
            <v>492149</v>
          </cell>
          <cell r="B826">
            <v>41579</v>
          </cell>
        </row>
        <row r="827">
          <cell r="A827">
            <v>294772</v>
          </cell>
          <cell r="B827">
            <v>41579</v>
          </cell>
        </row>
        <row r="828">
          <cell r="A828">
            <v>699418</v>
          </cell>
          <cell r="B828">
            <v>41579</v>
          </cell>
        </row>
        <row r="829">
          <cell r="A829">
            <v>463983</v>
          </cell>
          <cell r="B829">
            <v>41579</v>
          </cell>
        </row>
        <row r="830">
          <cell r="A830">
            <v>516964</v>
          </cell>
          <cell r="B830">
            <v>41579</v>
          </cell>
        </row>
        <row r="831">
          <cell r="A831">
            <v>516964</v>
          </cell>
          <cell r="B831">
            <v>41579</v>
          </cell>
        </row>
        <row r="832">
          <cell r="A832">
            <v>23029</v>
          </cell>
          <cell r="B832">
            <v>41579</v>
          </cell>
        </row>
        <row r="833">
          <cell r="A833">
            <v>835307</v>
          </cell>
          <cell r="B833">
            <v>41579</v>
          </cell>
        </row>
        <row r="834">
          <cell r="A834">
            <v>853721</v>
          </cell>
          <cell r="B834">
            <v>41579</v>
          </cell>
        </row>
        <row r="835">
          <cell r="A835">
            <v>896977</v>
          </cell>
          <cell r="B835">
            <v>41579</v>
          </cell>
        </row>
        <row r="836">
          <cell r="A836">
            <v>594455</v>
          </cell>
          <cell r="B836">
            <v>41579</v>
          </cell>
        </row>
        <row r="837">
          <cell r="A837">
            <v>382824</v>
          </cell>
          <cell r="B837">
            <v>41579</v>
          </cell>
        </row>
        <row r="838">
          <cell r="A838">
            <v>475077</v>
          </cell>
          <cell r="B838">
            <v>41579</v>
          </cell>
        </row>
        <row r="839">
          <cell r="A839">
            <v>475077</v>
          </cell>
          <cell r="B839">
            <v>41579</v>
          </cell>
        </row>
        <row r="840">
          <cell r="A840">
            <v>608961</v>
          </cell>
          <cell r="B840">
            <v>41579</v>
          </cell>
        </row>
        <row r="841">
          <cell r="A841">
            <v>874817</v>
          </cell>
          <cell r="B841">
            <v>41579</v>
          </cell>
        </row>
        <row r="842">
          <cell r="A842">
            <v>476261</v>
          </cell>
          <cell r="B842">
            <v>41579</v>
          </cell>
        </row>
        <row r="843">
          <cell r="A843">
            <v>842238</v>
          </cell>
          <cell r="B843">
            <v>41579</v>
          </cell>
        </row>
        <row r="844">
          <cell r="A844">
            <v>635968</v>
          </cell>
          <cell r="B844">
            <v>41579</v>
          </cell>
        </row>
        <row r="845">
          <cell r="A845">
            <v>847550</v>
          </cell>
          <cell r="B845">
            <v>41579</v>
          </cell>
        </row>
        <row r="846">
          <cell r="A846">
            <v>382607</v>
          </cell>
          <cell r="B846">
            <v>41579</v>
          </cell>
        </row>
        <row r="847">
          <cell r="A847">
            <v>60925</v>
          </cell>
          <cell r="B847">
            <v>41579</v>
          </cell>
        </row>
        <row r="848">
          <cell r="A848">
            <v>1772</v>
          </cell>
          <cell r="B848">
            <v>41579</v>
          </cell>
        </row>
        <row r="849">
          <cell r="A849">
            <v>1772</v>
          </cell>
          <cell r="B849">
            <v>41579</v>
          </cell>
        </row>
        <row r="850">
          <cell r="A850">
            <v>534779</v>
          </cell>
          <cell r="B850">
            <v>41579</v>
          </cell>
        </row>
        <row r="851">
          <cell r="A851">
            <v>576451</v>
          </cell>
          <cell r="B851">
            <v>41579</v>
          </cell>
        </row>
        <row r="852">
          <cell r="A852">
            <v>883043</v>
          </cell>
          <cell r="B852">
            <v>41579</v>
          </cell>
        </row>
        <row r="853">
          <cell r="A853">
            <v>812569</v>
          </cell>
          <cell r="B853">
            <v>41579</v>
          </cell>
        </row>
        <row r="854">
          <cell r="A854">
            <v>475126</v>
          </cell>
          <cell r="B854">
            <v>41579</v>
          </cell>
        </row>
        <row r="855">
          <cell r="A855">
            <v>485754</v>
          </cell>
          <cell r="B855">
            <v>41579</v>
          </cell>
        </row>
        <row r="856">
          <cell r="A856">
            <v>303353</v>
          </cell>
          <cell r="B856">
            <v>41579</v>
          </cell>
        </row>
        <row r="857">
          <cell r="A857">
            <v>33135</v>
          </cell>
          <cell r="B857">
            <v>41579</v>
          </cell>
        </row>
        <row r="858">
          <cell r="A858">
            <v>612320</v>
          </cell>
          <cell r="B858">
            <v>41579</v>
          </cell>
        </row>
        <row r="859">
          <cell r="A859">
            <v>568090</v>
          </cell>
          <cell r="B859">
            <v>41579</v>
          </cell>
        </row>
        <row r="860">
          <cell r="A860">
            <v>568090</v>
          </cell>
          <cell r="B860">
            <v>41579</v>
          </cell>
        </row>
        <row r="861">
          <cell r="A861">
            <v>592067</v>
          </cell>
          <cell r="B861">
            <v>41579</v>
          </cell>
        </row>
        <row r="862">
          <cell r="A862">
            <v>540871</v>
          </cell>
          <cell r="B862">
            <v>41579</v>
          </cell>
        </row>
        <row r="863">
          <cell r="A863">
            <v>562977</v>
          </cell>
          <cell r="B863">
            <v>41579</v>
          </cell>
        </row>
        <row r="864">
          <cell r="A864">
            <v>592303</v>
          </cell>
          <cell r="B864">
            <v>41640</v>
          </cell>
        </row>
        <row r="865">
          <cell r="A865">
            <v>81848</v>
          </cell>
          <cell r="B865">
            <v>41579</v>
          </cell>
        </row>
        <row r="866">
          <cell r="A866">
            <v>68783</v>
          </cell>
          <cell r="B866">
            <v>41579</v>
          </cell>
        </row>
        <row r="867">
          <cell r="A867">
            <v>68783</v>
          </cell>
          <cell r="B867">
            <v>41579</v>
          </cell>
        </row>
        <row r="868">
          <cell r="A868">
            <v>644740</v>
          </cell>
          <cell r="B868">
            <v>41579</v>
          </cell>
        </row>
        <row r="869">
          <cell r="A869">
            <v>57281</v>
          </cell>
          <cell r="B869">
            <v>41579</v>
          </cell>
        </row>
        <row r="870">
          <cell r="A870">
            <v>698983</v>
          </cell>
          <cell r="B870">
            <v>41579</v>
          </cell>
        </row>
        <row r="871">
          <cell r="A871">
            <v>816302</v>
          </cell>
          <cell r="B871">
            <v>41579</v>
          </cell>
        </row>
        <row r="872">
          <cell r="A872">
            <v>685676</v>
          </cell>
          <cell r="B872">
            <v>41579</v>
          </cell>
        </row>
        <row r="873">
          <cell r="A873">
            <v>599211</v>
          </cell>
          <cell r="B873">
            <v>41579</v>
          </cell>
        </row>
        <row r="874">
          <cell r="A874">
            <v>529242</v>
          </cell>
          <cell r="B874">
            <v>41579</v>
          </cell>
        </row>
        <row r="875">
          <cell r="A875">
            <v>384894</v>
          </cell>
          <cell r="B875">
            <v>41579</v>
          </cell>
        </row>
        <row r="876">
          <cell r="A876">
            <v>379197</v>
          </cell>
          <cell r="B876">
            <v>41579</v>
          </cell>
        </row>
        <row r="877">
          <cell r="A877">
            <v>302256</v>
          </cell>
          <cell r="B877">
            <v>41579</v>
          </cell>
        </row>
        <row r="878">
          <cell r="A878">
            <v>571005</v>
          </cell>
          <cell r="B878">
            <v>41579</v>
          </cell>
        </row>
        <row r="879">
          <cell r="A879">
            <v>571005</v>
          </cell>
          <cell r="B879">
            <v>41579</v>
          </cell>
        </row>
        <row r="880">
          <cell r="A880">
            <v>862975</v>
          </cell>
          <cell r="B880">
            <v>41579</v>
          </cell>
        </row>
        <row r="881">
          <cell r="A881">
            <v>861585</v>
          </cell>
          <cell r="B881">
            <v>41579</v>
          </cell>
        </row>
        <row r="882">
          <cell r="A882">
            <v>437100</v>
          </cell>
          <cell r="B882">
            <v>41579</v>
          </cell>
        </row>
        <row r="883">
          <cell r="A883">
            <v>83713</v>
          </cell>
          <cell r="B883">
            <v>41579</v>
          </cell>
        </row>
        <row r="884">
          <cell r="A884">
            <v>591446</v>
          </cell>
          <cell r="B884">
            <v>41579</v>
          </cell>
        </row>
        <row r="885">
          <cell r="A885">
            <v>583927</v>
          </cell>
          <cell r="B885">
            <v>41579</v>
          </cell>
        </row>
        <row r="886">
          <cell r="A886">
            <v>530182</v>
          </cell>
          <cell r="B886">
            <v>41579</v>
          </cell>
        </row>
        <row r="887">
          <cell r="A887">
            <v>56558</v>
          </cell>
          <cell r="B887">
            <v>41579</v>
          </cell>
        </row>
        <row r="888">
          <cell r="A888">
            <v>589538</v>
          </cell>
          <cell r="B888">
            <v>41579</v>
          </cell>
        </row>
        <row r="889">
          <cell r="A889">
            <v>611207</v>
          </cell>
          <cell r="B889">
            <v>41579</v>
          </cell>
        </row>
        <row r="890">
          <cell r="A890">
            <v>623205</v>
          </cell>
          <cell r="B890">
            <v>41579</v>
          </cell>
        </row>
        <row r="891">
          <cell r="A891">
            <v>609702</v>
          </cell>
          <cell r="B891">
            <v>41579</v>
          </cell>
        </row>
        <row r="892">
          <cell r="A892">
            <v>574249</v>
          </cell>
          <cell r="B892">
            <v>41579</v>
          </cell>
        </row>
        <row r="893">
          <cell r="A893">
            <v>574249</v>
          </cell>
          <cell r="B893">
            <v>41579</v>
          </cell>
        </row>
        <row r="894">
          <cell r="A894">
            <v>574249</v>
          </cell>
          <cell r="B894">
            <v>41579</v>
          </cell>
        </row>
        <row r="895">
          <cell r="A895">
            <v>477748</v>
          </cell>
          <cell r="B895">
            <v>41579</v>
          </cell>
        </row>
        <row r="896">
          <cell r="A896">
            <v>845122</v>
          </cell>
          <cell r="B896">
            <v>41579</v>
          </cell>
        </row>
        <row r="897">
          <cell r="A897">
            <v>813094</v>
          </cell>
          <cell r="B897">
            <v>41579</v>
          </cell>
        </row>
        <row r="898">
          <cell r="A898">
            <v>810967</v>
          </cell>
          <cell r="B898">
            <v>41579</v>
          </cell>
        </row>
        <row r="899">
          <cell r="A899">
            <v>482132</v>
          </cell>
          <cell r="B899">
            <v>41579</v>
          </cell>
        </row>
        <row r="900">
          <cell r="A900">
            <v>533425</v>
          </cell>
          <cell r="B900">
            <v>41579</v>
          </cell>
        </row>
        <row r="901">
          <cell r="A901">
            <v>547494</v>
          </cell>
          <cell r="B901">
            <v>41579</v>
          </cell>
        </row>
        <row r="902">
          <cell r="A902">
            <v>589812</v>
          </cell>
          <cell r="B902">
            <v>41579</v>
          </cell>
        </row>
        <row r="903">
          <cell r="A903">
            <v>833238</v>
          </cell>
          <cell r="B903">
            <v>41579</v>
          </cell>
        </row>
        <row r="904">
          <cell r="A904">
            <v>41850</v>
          </cell>
          <cell r="B904">
            <v>41579</v>
          </cell>
        </row>
        <row r="905">
          <cell r="A905">
            <v>41850</v>
          </cell>
          <cell r="B905">
            <v>41579</v>
          </cell>
        </row>
        <row r="906">
          <cell r="A906">
            <v>377141</v>
          </cell>
          <cell r="B906">
            <v>41579</v>
          </cell>
        </row>
        <row r="907">
          <cell r="A907">
            <v>519533</v>
          </cell>
          <cell r="B907">
            <v>41579</v>
          </cell>
        </row>
        <row r="908">
          <cell r="A908">
            <v>449056</v>
          </cell>
          <cell r="B908">
            <v>41579</v>
          </cell>
        </row>
        <row r="909">
          <cell r="A909">
            <v>49350</v>
          </cell>
          <cell r="B909">
            <v>41579</v>
          </cell>
        </row>
        <row r="910">
          <cell r="A910">
            <v>506918</v>
          </cell>
          <cell r="B910">
            <v>41579</v>
          </cell>
        </row>
        <row r="911">
          <cell r="A911">
            <v>14061</v>
          </cell>
          <cell r="B911">
            <v>41579</v>
          </cell>
        </row>
        <row r="912">
          <cell r="A912">
            <v>570556</v>
          </cell>
          <cell r="B912">
            <v>41579</v>
          </cell>
        </row>
        <row r="913">
          <cell r="A913">
            <v>570460</v>
          </cell>
          <cell r="B913">
            <v>41579</v>
          </cell>
        </row>
        <row r="914">
          <cell r="A914">
            <v>605747</v>
          </cell>
          <cell r="B914">
            <v>41579</v>
          </cell>
        </row>
        <row r="915">
          <cell r="A915">
            <v>687380</v>
          </cell>
          <cell r="B915">
            <v>41579</v>
          </cell>
        </row>
        <row r="916">
          <cell r="A916">
            <v>63334</v>
          </cell>
          <cell r="B916">
            <v>41579</v>
          </cell>
        </row>
        <row r="917">
          <cell r="A917">
            <v>444551</v>
          </cell>
          <cell r="B917">
            <v>41579</v>
          </cell>
        </row>
        <row r="918">
          <cell r="A918">
            <v>12022</v>
          </cell>
          <cell r="B918">
            <v>41579</v>
          </cell>
        </row>
        <row r="919">
          <cell r="A919">
            <v>561634</v>
          </cell>
          <cell r="B919">
            <v>41579</v>
          </cell>
        </row>
        <row r="920">
          <cell r="A920">
            <v>70191</v>
          </cell>
          <cell r="B920">
            <v>41579</v>
          </cell>
        </row>
        <row r="921">
          <cell r="A921">
            <v>228</v>
          </cell>
          <cell r="B921">
            <v>41579</v>
          </cell>
        </row>
        <row r="922">
          <cell r="A922">
            <v>74082</v>
          </cell>
          <cell r="B922">
            <v>41579</v>
          </cell>
        </row>
        <row r="923">
          <cell r="A923">
            <v>377171</v>
          </cell>
          <cell r="B923">
            <v>41579</v>
          </cell>
        </row>
        <row r="924">
          <cell r="A924">
            <v>845416</v>
          </cell>
          <cell r="B924">
            <v>41579</v>
          </cell>
        </row>
        <row r="925">
          <cell r="A925">
            <v>842597</v>
          </cell>
          <cell r="B925">
            <v>41579</v>
          </cell>
        </row>
        <row r="926">
          <cell r="A926">
            <v>607899</v>
          </cell>
          <cell r="B926">
            <v>41579</v>
          </cell>
        </row>
        <row r="927">
          <cell r="A927">
            <v>49330</v>
          </cell>
          <cell r="B927">
            <v>41579</v>
          </cell>
        </row>
        <row r="928">
          <cell r="A928">
            <v>303193</v>
          </cell>
          <cell r="B928">
            <v>41579</v>
          </cell>
        </row>
        <row r="929">
          <cell r="A929">
            <v>845449</v>
          </cell>
          <cell r="B929">
            <v>41579</v>
          </cell>
        </row>
        <row r="930">
          <cell r="A930">
            <v>633282</v>
          </cell>
          <cell r="B930">
            <v>41579</v>
          </cell>
        </row>
        <row r="931">
          <cell r="A931">
            <v>633282</v>
          </cell>
          <cell r="B931">
            <v>41579</v>
          </cell>
        </row>
        <row r="932">
          <cell r="A932">
            <v>67643</v>
          </cell>
          <cell r="B932">
            <v>41579</v>
          </cell>
        </row>
        <row r="933">
          <cell r="A933">
            <v>4340</v>
          </cell>
          <cell r="B933">
            <v>41579</v>
          </cell>
        </row>
        <row r="934">
          <cell r="A934">
            <v>4340</v>
          </cell>
          <cell r="B934">
            <v>41579</v>
          </cell>
        </row>
        <row r="935">
          <cell r="A935">
            <v>4340</v>
          </cell>
          <cell r="B935">
            <v>41579</v>
          </cell>
        </row>
        <row r="936">
          <cell r="A936">
            <v>4340</v>
          </cell>
          <cell r="B936">
            <v>41579</v>
          </cell>
        </row>
        <row r="937">
          <cell r="A937">
            <v>4340</v>
          </cell>
          <cell r="B937">
            <v>41579</v>
          </cell>
        </row>
        <row r="938">
          <cell r="A938">
            <v>4340</v>
          </cell>
          <cell r="B938">
            <v>41579</v>
          </cell>
        </row>
        <row r="939">
          <cell r="A939">
            <v>4340</v>
          </cell>
          <cell r="B939">
            <v>41579</v>
          </cell>
        </row>
        <row r="940">
          <cell r="A940">
            <v>641175</v>
          </cell>
          <cell r="B940">
            <v>41579</v>
          </cell>
        </row>
        <row r="941">
          <cell r="A941">
            <v>485222</v>
          </cell>
          <cell r="B941">
            <v>41579</v>
          </cell>
        </row>
        <row r="942">
          <cell r="A942">
            <v>385764</v>
          </cell>
          <cell r="B942">
            <v>41579</v>
          </cell>
        </row>
        <row r="943">
          <cell r="A943">
            <v>461019</v>
          </cell>
          <cell r="B943">
            <v>41579</v>
          </cell>
        </row>
        <row r="944">
          <cell r="A944">
            <v>469726</v>
          </cell>
          <cell r="B944">
            <v>41579</v>
          </cell>
        </row>
        <row r="945">
          <cell r="A945">
            <v>568165</v>
          </cell>
          <cell r="B945">
            <v>41579</v>
          </cell>
        </row>
        <row r="946">
          <cell r="A946">
            <v>503560</v>
          </cell>
          <cell r="B946">
            <v>41579</v>
          </cell>
        </row>
        <row r="947">
          <cell r="A947">
            <v>814424</v>
          </cell>
          <cell r="B947">
            <v>41579</v>
          </cell>
        </row>
        <row r="948">
          <cell r="A948">
            <v>615540</v>
          </cell>
          <cell r="B948">
            <v>41579</v>
          </cell>
        </row>
        <row r="949">
          <cell r="A949">
            <v>390120</v>
          </cell>
          <cell r="B949">
            <v>41579</v>
          </cell>
        </row>
        <row r="950">
          <cell r="A950">
            <v>484967</v>
          </cell>
          <cell r="B950">
            <v>41579</v>
          </cell>
        </row>
        <row r="951">
          <cell r="A951">
            <v>39508</v>
          </cell>
          <cell r="B951">
            <v>41579</v>
          </cell>
        </row>
        <row r="952">
          <cell r="A952">
            <v>301835</v>
          </cell>
          <cell r="B952">
            <v>41579</v>
          </cell>
        </row>
        <row r="953">
          <cell r="A953">
            <v>300714</v>
          </cell>
          <cell r="B953" t="str">
            <v>PAS DE COUT ADDITIONNEL</v>
          </cell>
        </row>
        <row r="954">
          <cell r="A954">
            <v>809662</v>
          </cell>
          <cell r="B954">
            <v>41579</v>
          </cell>
        </row>
        <row r="955">
          <cell r="A955">
            <v>546349</v>
          </cell>
          <cell r="B955">
            <v>41579</v>
          </cell>
        </row>
        <row r="956">
          <cell r="A956">
            <v>685609</v>
          </cell>
          <cell r="B956">
            <v>41579</v>
          </cell>
        </row>
        <row r="957">
          <cell r="A957">
            <v>35077</v>
          </cell>
          <cell r="B957">
            <v>41579</v>
          </cell>
        </row>
        <row r="958">
          <cell r="A958">
            <v>565741</v>
          </cell>
          <cell r="B958">
            <v>41579</v>
          </cell>
        </row>
        <row r="959">
          <cell r="A959">
            <v>608780</v>
          </cell>
          <cell r="B959">
            <v>41579</v>
          </cell>
        </row>
        <row r="960">
          <cell r="A960">
            <v>486517</v>
          </cell>
          <cell r="B960">
            <v>41579</v>
          </cell>
        </row>
        <row r="961">
          <cell r="A961">
            <v>45758</v>
          </cell>
          <cell r="B961">
            <v>41579</v>
          </cell>
        </row>
        <row r="962">
          <cell r="A962">
            <v>485110</v>
          </cell>
          <cell r="B962">
            <v>41579</v>
          </cell>
        </row>
        <row r="963">
          <cell r="A963">
            <v>605188</v>
          </cell>
          <cell r="B963">
            <v>41579</v>
          </cell>
        </row>
        <row r="964">
          <cell r="A964">
            <v>858695</v>
          </cell>
          <cell r="B964">
            <v>41579</v>
          </cell>
        </row>
        <row r="965">
          <cell r="A965">
            <v>24902</v>
          </cell>
          <cell r="B965">
            <v>41579</v>
          </cell>
        </row>
        <row r="966">
          <cell r="A966">
            <v>633046</v>
          </cell>
          <cell r="B966">
            <v>41579</v>
          </cell>
        </row>
        <row r="967">
          <cell r="A967">
            <v>300335</v>
          </cell>
          <cell r="B967">
            <v>41579</v>
          </cell>
        </row>
        <row r="968">
          <cell r="A968">
            <v>520648</v>
          </cell>
          <cell r="B968">
            <v>41579</v>
          </cell>
        </row>
        <row r="969">
          <cell r="A969">
            <v>560683</v>
          </cell>
          <cell r="B969">
            <v>41579</v>
          </cell>
        </row>
        <row r="970">
          <cell r="A970">
            <v>564055</v>
          </cell>
          <cell r="B970">
            <v>41579</v>
          </cell>
        </row>
        <row r="971">
          <cell r="A971">
            <v>512035</v>
          </cell>
          <cell r="B971">
            <v>41579</v>
          </cell>
        </row>
        <row r="972">
          <cell r="A972">
            <v>45659</v>
          </cell>
          <cell r="B972">
            <v>41579</v>
          </cell>
        </row>
        <row r="973">
          <cell r="A973">
            <v>13865</v>
          </cell>
          <cell r="B973">
            <v>41579</v>
          </cell>
        </row>
        <row r="974">
          <cell r="A974">
            <v>13865</v>
          </cell>
          <cell r="B974">
            <v>41579</v>
          </cell>
        </row>
        <row r="975">
          <cell r="A975">
            <v>25266</v>
          </cell>
          <cell r="B975">
            <v>41579</v>
          </cell>
        </row>
        <row r="976">
          <cell r="A976">
            <v>448854</v>
          </cell>
          <cell r="B976">
            <v>41579</v>
          </cell>
        </row>
        <row r="977">
          <cell r="A977">
            <v>801716</v>
          </cell>
          <cell r="B977">
            <v>41579</v>
          </cell>
        </row>
        <row r="978">
          <cell r="A978">
            <v>679832</v>
          </cell>
          <cell r="B978">
            <v>41579</v>
          </cell>
        </row>
        <row r="979">
          <cell r="A979">
            <v>578183</v>
          </cell>
          <cell r="B979">
            <v>41579</v>
          </cell>
        </row>
        <row r="980">
          <cell r="A980">
            <v>379241</v>
          </cell>
          <cell r="B980">
            <v>41579</v>
          </cell>
        </row>
        <row r="981">
          <cell r="A981">
            <v>808910</v>
          </cell>
          <cell r="B981">
            <v>41579</v>
          </cell>
        </row>
        <row r="982">
          <cell r="A982">
            <v>678055</v>
          </cell>
          <cell r="B982">
            <v>41579</v>
          </cell>
        </row>
        <row r="983">
          <cell r="A983">
            <v>66042</v>
          </cell>
          <cell r="B983">
            <v>41579</v>
          </cell>
        </row>
        <row r="984">
          <cell r="A984">
            <v>571593</v>
          </cell>
          <cell r="B984">
            <v>41579</v>
          </cell>
        </row>
        <row r="985">
          <cell r="A985">
            <v>604031</v>
          </cell>
          <cell r="B985">
            <v>41579</v>
          </cell>
        </row>
        <row r="986">
          <cell r="A986">
            <v>71899</v>
          </cell>
          <cell r="B986">
            <v>41579</v>
          </cell>
        </row>
        <row r="987">
          <cell r="A987">
            <v>9132</v>
          </cell>
          <cell r="B987">
            <v>41579</v>
          </cell>
        </row>
        <row r="988">
          <cell r="A988">
            <v>497417</v>
          </cell>
          <cell r="B988">
            <v>41579</v>
          </cell>
        </row>
        <row r="989">
          <cell r="A989">
            <v>43130</v>
          </cell>
          <cell r="B989">
            <v>41579</v>
          </cell>
        </row>
        <row r="990">
          <cell r="A990">
            <v>43130</v>
          </cell>
          <cell r="B990">
            <v>41579</v>
          </cell>
        </row>
        <row r="991">
          <cell r="A991">
            <v>43130</v>
          </cell>
          <cell r="B991">
            <v>41579</v>
          </cell>
        </row>
        <row r="992">
          <cell r="A992">
            <v>201934</v>
          </cell>
          <cell r="B992">
            <v>41579</v>
          </cell>
        </row>
        <row r="993">
          <cell r="A993">
            <v>45230</v>
          </cell>
          <cell r="B993">
            <v>41579</v>
          </cell>
        </row>
        <row r="994">
          <cell r="A994">
            <v>461950</v>
          </cell>
          <cell r="B994">
            <v>41579</v>
          </cell>
        </row>
        <row r="995">
          <cell r="A995">
            <v>84746</v>
          </cell>
          <cell r="B995">
            <v>41579</v>
          </cell>
        </row>
        <row r="996">
          <cell r="A996">
            <v>399449</v>
          </cell>
          <cell r="B996">
            <v>41579</v>
          </cell>
        </row>
        <row r="997">
          <cell r="A997">
            <v>622043</v>
          </cell>
          <cell r="B997">
            <v>41579</v>
          </cell>
        </row>
        <row r="998">
          <cell r="A998">
            <v>501102</v>
          </cell>
          <cell r="B998">
            <v>41579</v>
          </cell>
        </row>
        <row r="999">
          <cell r="A999">
            <v>514199</v>
          </cell>
          <cell r="B999">
            <v>41579</v>
          </cell>
        </row>
        <row r="1000">
          <cell r="A1000">
            <v>514199</v>
          </cell>
          <cell r="B1000">
            <v>41579</v>
          </cell>
        </row>
        <row r="1001">
          <cell r="A1001">
            <v>543908</v>
          </cell>
          <cell r="B1001">
            <v>41579</v>
          </cell>
        </row>
        <row r="1002">
          <cell r="A1002">
            <v>53781</v>
          </cell>
          <cell r="B1002">
            <v>41579</v>
          </cell>
        </row>
        <row r="1003">
          <cell r="A1003">
            <v>53781</v>
          </cell>
          <cell r="B1003">
            <v>41579</v>
          </cell>
        </row>
        <row r="1004">
          <cell r="A1004">
            <v>53781</v>
          </cell>
          <cell r="B1004">
            <v>41579</v>
          </cell>
        </row>
        <row r="1005">
          <cell r="A1005">
            <v>53781</v>
          </cell>
          <cell r="B1005">
            <v>41579</v>
          </cell>
        </row>
        <row r="1006">
          <cell r="A1006">
            <v>53781</v>
          </cell>
          <cell r="B1006">
            <v>41579</v>
          </cell>
        </row>
        <row r="1007">
          <cell r="A1007">
            <v>53781</v>
          </cell>
          <cell r="B1007">
            <v>41579</v>
          </cell>
        </row>
        <row r="1008">
          <cell r="A1008">
            <v>53781</v>
          </cell>
          <cell r="B1008">
            <v>41579</v>
          </cell>
        </row>
        <row r="1009">
          <cell r="A1009">
            <v>73899</v>
          </cell>
          <cell r="B1009">
            <v>41579</v>
          </cell>
        </row>
        <row r="1010">
          <cell r="A1010">
            <v>568723</v>
          </cell>
          <cell r="B1010">
            <v>41579</v>
          </cell>
        </row>
        <row r="1011">
          <cell r="A1011">
            <v>63717</v>
          </cell>
          <cell r="B1011">
            <v>41579</v>
          </cell>
        </row>
        <row r="1012">
          <cell r="A1012">
            <v>32346</v>
          </cell>
          <cell r="B1012">
            <v>41579</v>
          </cell>
        </row>
        <row r="1013">
          <cell r="A1013">
            <v>510557</v>
          </cell>
          <cell r="B1013">
            <v>41579</v>
          </cell>
        </row>
        <row r="1014">
          <cell r="A1014">
            <v>548858</v>
          </cell>
          <cell r="B1014">
            <v>41579</v>
          </cell>
        </row>
        <row r="1015">
          <cell r="A1015">
            <v>592364</v>
          </cell>
          <cell r="B1015">
            <v>41579</v>
          </cell>
        </row>
        <row r="1016">
          <cell r="A1016">
            <v>567752</v>
          </cell>
          <cell r="B1016">
            <v>41579</v>
          </cell>
        </row>
        <row r="1017">
          <cell r="A1017">
            <v>483115</v>
          </cell>
          <cell r="B1017">
            <v>41579</v>
          </cell>
        </row>
        <row r="1018">
          <cell r="A1018">
            <v>444270</v>
          </cell>
          <cell r="B1018">
            <v>41579</v>
          </cell>
        </row>
        <row r="1019">
          <cell r="A1019">
            <v>573706</v>
          </cell>
          <cell r="B1019">
            <v>41579</v>
          </cell>
        </row>
        <row r="1020">
          <cell r="A1020">
            <v>32639</v>
          </cell>
          <cell r="B1020">
            <v>41579</v>
          </cell>
        </row>
        <row r="1021">
          <cell r="A1021">
            <v>559061</v>
          </cell>
          <cell r="B1021">
            <v>41579</v>
          </cell>
        </row>
        <row r="1022">
          <cell r="A1022">
            <v>24308</v>
          </cell>
          <cell r="B1022">
            <v>41579</v>
          </cell>
        </row>
        <row r="1023">
          <cell r="A1023">
            <v>640197</v>
          </cell>
          <cell r="B1023">
            <v>41579</v>
          </cell>
        </row>
        <row r="1024">
          <cell r="A1024">
            <v>678056</v>
          </cell>
          <cell r="B1024">
            <v>41579</v>
          </cell>
        </row>
        <row r="1025">
          <cell r="A1025">
            <v>67645</v>
          </cell>
          <cell r="B1025">
            <v>41579</v>
          </cell>
        </row>
        <row r="1026">
          <cell r="A1026">
            <v>67645</v>
          </cell>
          <cell r="B1026">
            <v>41579</v>
          </cell>
        </row>
        <row r="1027">
          <cell r="A1027">
            <v>18197</v>
          </cell>
          <cell r="B1027">
            <v>41579</v>
          </cell>
        </row>
        <row r="1028">
          <cell r="A1028">
            <v>6910</v>
          </cell>
          <cell r="B1028">
            <v>41579</v>
          </cell>
        </row>
        <row r="1029">
          <cell r="A1029">
            <v>841033</v>
          </cell>
          <cell r="B1029">
            <v>41579</v>
          </cell>
        </row>
        <row r="1030">
          <cell r="A1030">
            <v>436757</v>
          </cell>
          <cell r="B1030">
            <v>41579</v>
          </cell>
        </row>
        <row r="1031">
          <cell r="A1031">
            <v>593316</v>
          </cell>
          <cell r="B1031">
            <v>41579</v>
          </cell>
        </row>
        <row r="1032">
          <cell r="A1032">
            <v>500785</v>
          </cell>
          <cell r="B1032">
            <v>41579</v>
          </cell>
        </row>
        <row r="1033">
          <cell r="A1033">
            <v>500785</v>
          </cell>
          <cell r="B1033">
            <v>41579</v>
          </cell>
        </row>
        <row r="1034">
          <cell r="A1034">
            <v>76000</v>
          </cell>
          <cell r="B1034">
            <v>41579</v>
          </cell>
        </row>
        <row r="1035">
          <cell r="A1035">
            <v>393562</v>
          </cell>
          <cell r="B1035">
            <v>41579</v>
          </cell>
        </row>
        <row r="1036">
          <cell r="A1036">
            <v>878944</v>
          </cell>
          <cell r="B1036">
            <v>41579</v>
          </cell>
        </row>
        <row r="1037">
          <cell r="A1037">
            <v>445825</v>
          </cell>
          <cell r="B1037">
            <v>41579</v>
          </cell>
        </row>
        <row r="1038">
          <cell r="A1038">
            <v>527260</v>
          </cell>
          <cell r="B1038">
            <v>41579</v>
          </cell>
        </row>
        <row r="1039">
          <cell r="A1039">
            <v>847815</v>
          </cell>
          <cell r="B1039">
            <v>41579</v>
          </cell>
        </row>
        <row r="1040">
          <cell r="A1040">
            <v>825135</v>
          </cell>
          <cell r="B1040">
            <v>41579</v>
          </cell>
        </row>
        <row r="1041">
          <cell r="A1041">
            <v>66366</v>
          </cell>
          <cell r="B1041">
            <v>41579</v>
          </cell>
        </row>
        <row r="1042">
          <cell r="A1042">
            <v>527118</v>
          </cell>
          <cell r="B1042">
            <v>41579</v>
          </cell>
        </row>
        <row r="1043">
          <cell r="A1043">
            <v>554289</v>
          </cell>
          <cell r="B1043">
            <v>41579</v>
          </cell>
        </row>
        <row r="1044">
          <cell r="A1044">
            <v>85718</v>
          </cell>
          <cell r="B1044">
            <v>41579</v>
          </cell>
        </row>
        <row r="1045">
          <cell r="A1045">
            <v>466668</v>
          </cell>
          <cell r="B1045">
            <v>41579</v>
          </cell>
        </row>
        <row r="1046">
          <cell r="A1046">
            <v>381751</v>
          </cell>
          <cell r="B1046">
            <v>41579</v>
          </cell>
        </row>
        <row r="1047">
          <cell r="A1047">
            <v>808243</v>
          </cell>
          <cell r="B1047">
            <v>41579</v>
          </cell>
        </row>
        <row r="1048">
          <cell r="A1048">
            <v>34025</v>
          </cell>
          <cell r="B1048">
            <v>41579</v>
          </cell>
        </row>
        <row r="1049">
          <cell r="A1049">
            <v>518254</v>
          </cell>
          <cell r="B1049">
            <v>41579</v>
          </cell>
        </row>
        <row r="1050">
          <cell r="A1050">
            <v>511565</v>
          </cell>
          <cell r="B1050">
            <v>41579</v>
          </cell>
        </row>
        <row r="1051">
          <cell r="A1051">
            <v>38819</v>
          </cell>
          <cell r="B1051">
            <v>41579</v>
          </cell>
        </row>
        <row r="1052">
          <cell r="A1052">
            <v>60779</v>
          </cell>
          <cell r="B1052">
            <v>41579</v>
          </cell>
        </row>
        <row r="1053">
          <cell r="A1053">
            <v>607507</v>
          </cell>
          <cell r="B1053">
            <v>41579</v>
          </cell>
        </row>
        <row r="1054">
          <cell r="A1054">
            <v>67688</v>
          </cell>
          <cell r="B1054">
            <v>41579</v>
          </cell>
        </row>
        <row r="1055">
          <cell r="A1055">
            <v>67688</v>
          </cell>
          <cell r="B1055">
            <v>41579</v>
          </cell>
        </row>
        <row r="1056">
          <cell r="A1056">
            <v>10033</v>
          </cell>
          <cell r="B1056">
            <v>41579</v>
          </cell>
        </row>
        <row r="1057">
          <cell r="A1057">
            <v>562250</v>
          </cell>
          <cell r="B1057">
            <v>41579</v>
          </cell>
        </row>
        <row r="1058">
          <cell r="A1058">
            <v>585465</v>
          </cell>
          <cell r="B1058">
            <v>41579</v>
          </cell>
        </row>
        <row r="1059">
          <cell r="A1059">
            <v>560419</v>
          </cell>
          <cell r="B1059">
            <v>41579</v>
          </cell>
        </row>
        <row r="1060">
          <cell r="A1060">
            <v>576579</v>
          </cell>
          <cell r="B1060">
            <v>41579</v>
          </cell>
        </row>
        <row r="1061">
          <cell r="A1061">
            <v>590812</v>
          </cell>
          <cell r="B1061">
            <v>41579</v>
          </cell>
        </row>
        <row r="1062">
          <cell r="A1062">
            <v>510774</v>
          </cell>
          <cell r="B1062">
            <v>41579</v>
          </cell>
        </row>
        <row r="1063">
          <cell r="A1063">
            <v>562398</v>
          </cell>
          <cell r="B1063">
            <v>41579</v>
          </cell>
        </row>
        <row r="1064">
          <cell r="A1064">
            <v>573458</v>
          </cell>
          <cell r="B1064">
            <v>41579</v>
          </cell>
        </row>
        <row r="1065">
          <cell r="A1065">
            <v>853905</v>
          </cell>
          <cell r="B1065">
            <v>41579</v>
          </cell>
        </row>
        <row r="1066">
          <cell r="A1066">
            <v>587193</v>
          </cell>
          <cell r="B1066">
            <v>41579</v>
          </cell>
        </row>
        <row r="1067">
          <cell r="A1067">
            <v>595870</v>
          </cell>
          <cell r="B1067">
            <v>41579</v>
          </cell>
        </row>
        <row r="1068">
          <cell r="A1068">
            <v>629281</v>
          </cell>
          <cell r="B1068">
            <v>41579</v>
          </cell>
        </row>
        <row r="1069">
          <cell r="A1069">
            <v>384846</v>
          </cell>
          <cell r="B1069">
            <v>41579</v>
          </cell>
        </row>
        <row r="1070">
          <cell r="A1070">
            <v>700105</v>
          </cell>
          <cell r="B1070">
            <v>41579</v>
          </cell>
        </row>
        <row r="1071">
          <cell r="A1071">
            <v>383598</v>
          </cell>
          <cell r="B1071">
            <v>41579</v>
          </cell>
        </row>
        <row r="1072">
          <cell r="A1072">
            <v>383064</v>
          </cell>
          <cell r="B1072">
            <v>41579</v>
          </cell>
        </row>
        <row r="1073">
          <cell r="A1073">
            <v>539115</v>
          </cell>
          <cell r="B1073">
            <v>41579</v>
          </cell>
        </row>
        <row r="1074">
          <cell r="A1074">
            <v>208069</v>
          </cell>
          <cell r="B1074">
            <v>41579</v>
          </cell>
        </row>
        <row r="1075">
          <cell r="A1075">
            <v>510774</v>
          </cell>
          <cell r="B1075">
            <v>41579</v>
          </cell>
        </row>
        <row r="1076">
          <cell r="A1076">
            <v>476573</v>
          </cell>
          <cell r="B1076">
            <v>41579</v>
          </cell>
        </row>
        <row r="1077">
          <cell r="A1077">
            <v>85073</v>
          </cell>
          <cell r="B1077">
            <v>41579</v>
          </cell>
        </row>
        <row r="1078">
          <cell r="A1078">
            <v>74514</v>
          </cell>
          <cell r="B1078">
            <v>41579</v>
          </cell>
        </row>
        <row r="1079">
          <cell r="A1079">
            <v>691557</v>
          </cell>
          <cell r="B1079">
            <v>41579</v>
          </cell>
        </row>
        <row r="1080">
          <cell r="A1080">
            <v>857096</v>
          </cell>
          <cell r="B1080">
            <v>41579</v>
          </cell>
        </row>
        <row r="1081">
          <cell r="A1081">
            <v>614464</v>
          </cell>
          <cell r="B1081">
            <v>41579</v>
          </cell>
        </row>
        <row r="1082">
          <cell r="A1082">
            <v>534491</v>
          </cell>
          <cell r="B1082">
            <v>41579</v>
          </cell>
        </row>
        <row r="1083">
          <cell r="A1083">
            <v>630135</v>
          </cell>
          <cell r="B1083">
            <v>41579</v>
          </cell>
        </row>
        <row r="1084">
          <cell r="A1084">
            <v>465986</v>
          </cell>
          <cell r="B1084">
            <v>41579</v>
          </cell>
        </row>
        <row r="1085">
          <cell r="A1085">
            <v>826751</v>
          </cell>
          <cell r="B1085">
            <v>41579</v>
          </cell>
        </row>
        <row r="1086">
          <cell r="A1086">
            <v>465543</v>
          </cell>
          <cell r="B1086">
            <v>41579</v>
          </cell>
        </row>
        <row r="1087">
          <cell r="A1087">
            <v>848229</v>
          </cell>
          <cell r="B1087">
            <v>41579</v>
          </cell>
        </row>
        <row r="1088">
          <cell r="A1088">
            <v>841775</v>
          </cell>
          <cell r="B1088">
            <v>41579</v>
          </cell>
        </row>
        <row r="1089">
          <cell r="A1089">
            <v>677495</v>
          </cell>
          <cell r="B1089">
            <v>41579</v>
          </cell>
        </row>
        <row r="1090">
          <cell r="A1090">
            <v>47489</v>
          </cell>
          <cell r="B1090">
            <v>41579</v>
          </cell>
        </row>
        <row r="1091">
          <cell r="A1091">
            <v>53416</v>
          </cell>
          <cell r="B1091">
            <v>41579</v>
          </cell>
        </row>
        <row r="1092">
          <cell r="A1092">
            <v>874884</v>
          </cell>
          <cell r="B1092">
            <v>41579</v>
          </cell>
        </row>
        <row r="1093">
          <cell r="A1093">
            <v>499910</v>
          </cell>
          <cell r="B1093">
            <v>41579</v>
          </cell>
        </row>
        <row r="1094">
          <cell r="A1094">
            <v>208069</v>
          </cell>
          <cell r="B1094">
            <v>41579</v>
          </cell>
        </row>
        <row r="1095">
          <cell r="A1095">
            <v>473873</v>
          </cell>
          <cell r="B1095">
            <v>41579</v>
          </cell>
        </row>
        <row r="1096">
          <cell r="A1096">
            <v>512500</v>
          </cell>
          <cell r="B1096">
            <v>41579</v>
          </cell>
        </row>
        <row r="1097">
          <cell r="A1097">
            <v>48949</v>
          </cell>
          <cell r="B1097">
            <v>41579</v>
          </cell>
        </row>
        <row r="1098">
          <cell r="A1098">
            <v>48949</v>
          </cell>
          <cell r="B1098">
            <v>41579</v>
          </cell>
        </row>
        <row r="1099">
          <cell r="A1099">
            <v>511972</v>
          </cell>
          <cell r="B1099">
            <v>41579</v>
          </cell>
        </row>
        <row r="1100">
          <cell r="A1100">
            <v>481382</v>
          </cell>
          <cell r="B1100">
            <v>41579</v>
          </cell>
        </row>
        <row r="1101">
          <cell r="A1101">
            <v>810416</v>
          </cell>
          <cell r="B1101">
            <v>41579</v>
          </cell>
        </row>
        <row r="1102">
          <cell r="A1102">
            <v>549621</v>
          </cell>
          <cell r="B1102">
            <v>41579</v>
          </cell>
        </row>
        <row r="1103">
          <cell r="A1103">
            <v>504992</v>
          </cell>
          <cell r="B1103">
            <v>41579</v>
          </cell>
        </row>
        <row r="1104">
          <cell r="A1104">
            <v>35550</v>
          </cell>
          <cell r="B1104">
            <v>41579</v>
          </cell>
        </row>
        <row r="1105">
          <cell r="A1105">
            <v>34608</v>
          </cell>
          <cell r="B1105">
            <v>41579</v>
          </cell>
        </row>
        <row r="1106">
          <cell r="A1106">
            <v>34127</v>
          </cell>
          <cell r="B1106">
            <v>41579</v>
          </cell>
        </row>
        <row r="1107">
          <cell r="A1107">
            <v>11072</v>
          </cell>
          <cell r="B1107">
            <v>41579</v>
          </cell>
        </row>
        <row r="1108">
          <cell r="A1108">
            <v>486565</v>
          </cell>
          <cell r="B1108">
            <v>41579</v>
          </cell>
        </row>
        <row r="1109">
          <cell r="A1109">
            <v>1709</v>
          </cell>
          <cell r="B1109">
            <v>41579</v>
          </cell>
        </row>
        <row r="1110">
          <cell r="A1110">
            <v>698183</v>
          </cell>
          <cell r="B1110">
            <v>41579</v>
          </cell>
        </row>
        <row r="1111">
          <cell r="A1111">
            <v>685249</v>
          </cell>
          <cell r="B1111">
            <v>41579</v>
          </cell>
        </row>
        <row r="1112">
          <cell r="A1112">
            <v>630837</v>
          </cell>
          <cell r="B1112">
            <v>41579</v>
          </cell>
        </row>
        <row r="1113">
          <cell r="A1113">
            <v>610507</v>
          </cell>
          <cell r="B1113">
            <v>41579</v>
          </cell>
        </row>
        <row r="1114">
          <cell r="A1114">
            <v>540831</v>
          </cell>
          <cell r="B1114">
            <v>41579</v>
          </cell>
        </row>
        <row r="1115">
          <cell r="A1115">
            <v>534905</v>
          </cell>
          <cell r="B1115">
            <v>41579</v>
          </cell>
        </row>
        <row r="1116">
          <cell r="A1116">
            <v>520554</v>
          </cell>
          <cell r="B1116">
            <v>41579</v>
          </cell>
        </row>
        <row r="1117">
          <cell r="A1117">
            <v>83028</v>
          </cell>
          <cell r="B1117">
            <v>41579</v>
          </cell>
        </row>
        <row r="1118">
          <cell r="A1118">
            <v>80746</v>
          </cell>
          <cell r="B1118">
            <v>41579</v>
          </cell>
        </row>
        <row r="1119">
          <cell r="A1119">
            <v>68585</v>
          </cell>
          <cell r="B1119">
            <v>41579</v>
          </cell>
        </row>
        <row r="1120">
          <cell r="A1120">
            <v>18206</v>
          </cell>
          <cell r="B1120">
            <v>41579</v>
          </cell>
        </row>
        <row r="1121">
          <cell r="A1121">
            <v>14924</v>
          </cell>
          <cell r="B1121">
            <v>41579</v>
          </cell>
        </row>
        <row r="1122">
          <cell r="A1122">
            <v>85073</v>
          </cell>
          <cell r="B1122">
            <v>41579</v>
          </cell>
        </row>
        <row r="1123">
          <cell r="A1123">
            <v>686186</v>
          </cell>
          <cell r="B1123">
            <v>41579</v>
          </cell>
        </row>
        <row r="1124">
          <cell r="A1124">
            <v>490301</v>
          </cell>
          <cell r="B1124">
            <v>41579</v>
          </cell>
        </row>
        <row r="1125">
          <cell r="A1125">
            <v>74237</v>
          </cell>
          <cell r="B1125">
            <v>41579</v>
          </cell>
        </row>
        <row r="1126">
          <cell r="A1126">
            <v>35350</v>
          </cell>
          <cell r="B1126">
            <v>41579</v>
          </cell>
        </row>
        <row r="1127">
          <cell r="A1127">
            <v>48481</v>
          </cell>
          <cell r="B1127">
            <v>41579</v>
          </cell>
        </row>
        <row r="1128">
          <cell r="A1128">
            <v>43014</v>
          </cell>
          <cell r="B1128">
            <v>41579</v>
          </cell>
        </row>
        <row r="1129">
          <cell r="A1129">
            <v>853791</v>
          </cell>
          <cell r="B1129">
            <v>41579</v>
          </cell>
        </row>
        <row r="1130">
          <cell r="A1130">
            <v>841951</v>
          </cell>
          <cell r="B1130">
            <v>41579</v>
          </cell>
        </row>
        <row r="1131">
          <cell r="A1131">
            <v>477288</v>
          </cell>
          <cell r="B1131">
            <v>41579</v>
          </cell>
        </row>
        <row r="1132">
          <cell r="A1132">
            <v>842327</v>
          </cell>
          <cell r="B1132">
            <v>41579</v>
          </cell>
        </row>
        <row r="1133">
          <cell r="A1133">
            <v>583288</v>
          </cell>
          <cell r="B1133">
            <v>41579</v>
          </cell>
        </row>
        <row r="1134">
          <cell r="A1134">
            <v>563743</v>
          </cell>
          <cell r="B1134">
            <v>41579</v>
          </cell>
        </row>
        <row r="1135">
          <cell r="A1135">
            <v>85787</v>
          </cell>
          <cell r="B1135">
            <v>41579</v>
          </cell>
        </row>
        <row r="1136">
          <cell r="A1136">
            <v>598371</v>
          </cell>
          <cell r="B1136">
            <v>41579</v>
          </cell>
        </row>
        <row r="1137">
          <cell r="A1137">
            <v>582411</v>
          </cell>
          <cell r="B1137">
            <v>41579</v>
          </cell>
        </row>
        <row r="1138">
          <cell r="A1138">
            <v>518126</v>
          </cell>
          <cell r="B1138">
            <v>41579</v>
          </cell>
        </row>
        <row r="1139">
          <cell r="A1139">
            <v>849804</v>
          </cell>
          <cell r="B1139">
            <v>41579</v>
          </cell>
        </row>
        <row r="1140">
          <cell r="A1140">
            <v>847058</v>
          </cell>
          <cell r="B1140">
            <v>41579</v>
          </cell>
        </row>
        <row r="1141">
          <cell r="A1141">
            <v>868534</v>
          </cell>
          <cell r="B1141">
            <v>41579</v>
          </cell>
        </row>
        <row r="1142">
          <cell r="A1142">
            <v>688438</v>
          </cell>
          <cell r="B1142">
            <v>41579</v>
          </cell>
        </row>
        <row r="1143">
          <cell r="A1143">
            <v>37820</v>
          </cell>
          <cell r="B1143">
            <v>41579</v>
          </cell>
        </row>
        <row r="1144">
          <cell r="A1144">
            <v>535560</v>
          </cell>
          <cell r="B1144">
            <v>41579</v>
          </cell>
        </row>
        <row r="1145">
          <cell r="A1145">
            <v>638126</v>
          </cell>
          <cell r="B1145">
            <v>41579</v>
          </cell>
        </row>
        <row r="1146">
          <cell r="A1146">
            <v>845755</v>
          </cell>
          <cell r="B1146">
            <v>41579</v>
          </cell>
        </row>
        <row r="1147">
          <cell r="A1147">
            <v>48780</v>
          </cell>
          <cell r="B1147">
            <v>41579</v>
          </cell>
        </row>
        <row r="1148">
          <cell r="A1148">
            <v>822949</v>
          </cell>
          <cell r="B1148">
            <v>41579</v>
          </cell>
        </row>
        <row r="1149">
          <cell r="A1149">
            <v>868782</v>
          </cell>
          <cell r="B1149">
            <v>41579</v>
          </cell>
        </row>
        <row r="1150">
          <cell r="A1150">
            <v>585836</v>
          </cell>
          <cell r="B1150">
            <v>41579</v>
          </cell>
        </row>
        <row r="1151">
          <cell r="A1151">
            <v>475456</v>
          </cell>
          <cell r="B1151">
            <v>41579</v>
          </cell>
        </row>
        <row r="1152">
          <cell r="A1152">
            <v>676464</v>
          </cell>
          <cell r="B1152">
            <v>41579</v>
          </cell>
        </row>
        <row r="1153">
          <cell r="A1153">
            <v>861200</v>
          </cell>
          <cell r="B1153">
            <v>41579</v>
          </cell>
        </row>
        <row r="1154">
          <cell r="A1154">
            <v>21626</v>
          </cell>
          <cell r="B1154">
            <v>41579</v>
          </cell>
        </row>
        <row r="1155">
          <cell r="A1155">
            <v>21626</v>
          </cell>
          <cell r="B1155">
            <v>41579</v>
          </cell>
        </row>
        <row r="1156">
          <cell r="A1156">
            <v>863340</v>
          </cell>
          <cell r="B1156">
            <v>41579</v>
          </cell>
        </row>
        <row r="1157">
          <cell r="A1157">
            <v>48758</v>
          </cell>
          <cell r="B1157">
            <v>41579</v>
          </cell>
        </row>
        <row r="1158">
          <cell r="A1158">
            <v>544682</v>
          </cell>
          <cell r="B1158">
            <v>41579</v>
          </cell>
        </row>
        <row r="1159">
          <cell r="A1159">
            <v>847530</v>
          </cell>
          <cell r="B1159">
            <v>41579</v>
          </cell>
        </row>
        <row r="1160">
          <cell r="A1160">
            <v>544071</v>
          </cell>
          <cell r="B1160">
            <v>41579</v>
          </cell>
        </row>
        <row r="1161">
          <cell r="A1161">
            <v>574540</v>
          </cell>
          <cell r="B1161">
            <v>41579</v>
          </cell>
        </row>
        <row r="1162">
          <cell r="A1162">
            <v>677495</v>
          </cell>
          <cell r="B1162">
            <v>41579</v>
          </cell>
        </row>
        <row r="1163">
          <cell r="A1163">
            <v>514776</v>
          </cell>
          <cell r="B1163">
            <v>41579</v>
          </cell>
        </row>
        <row r="1164">
          <cell r="A1164">
            <v>603978</v>
          </cell>
          <cell r="B1164">
            <v>41579</v>
          </cell>
        </row>
        <row r="1165">
          <cell r="A1165">
            <v>868533</v>
          </cell>
          <cell r="B1165">
            <v>41579</v>
          </cell>
        </row>
        <row r="1166">
          <cell r="A1166">
            <v>847419</v>
          </cell>
          <cell r="B1166">
            <v>41579</v>
          </cell>
        </row>
        <row r="1167">
          <cell r="A1167">
            <v>644464</v>
          </cell>
          <cell r="B1167">
            <v>41579</v>
          </cell>
        </row>
        <row r="1168">
          <cell r="A1168">
            <v>686199</v>
          </cell>
          <cell r="B1168">
            <v>41579</v>
          </cell>
        </row>
        <row r="1169">
          <cell r="A1169">
            <v>558690</v>
          </cell>
          <cell r="B1169">
            <v>41579</v>
          </cell>
        </row>
        <row r="1170">
          <cell r="A1170">
            <v>64878</v>
          </cell>
          <cell r="B1170">
            <v>41579</v>
          </cell>
        </row>
        <row r="1171">
          <cell r="A1171">
            <v>615938</v>
          </cell>
          <cell r="B1171">
            <v>41579</v>
          </cell>
        </row>
        <row r="1172">
          <cell r="A1172">
            <v>207339</v>
          </cell>
          <cell r="B1172">
            <v>41579</v>
          </cell>
        </row>
        <row r="1173">
          <cell r="A1173">
            <v>51531</v>
          </cell>
          <cell r="B1173">
            <v>41579</v>
          </cell>
        </row>
        <row r="1174">
          <cell r="A1174">
            <v>82097</v>
          </cell>
          <cell r="B1174">
            <v>41579</v>
          </cell>
        </row>
        <row r="1175">
          <cell r="A1175">
            <v>440648</v>
          </cell>
          <cell r="B1175">
            <v>41579</v>
          </cell>
        </row>
        <row r="1176">
          <cell r="A1176">
            <v>506702</v>
          </cell>
          <cell r="B1176">
            <v>41579</v>
          </cell>
        </row>
        <row r="1177">
          <cell r="A1177">
            <v>545103</v>
          </cell>
          <cell r="B1177">
            <v>41579</v>
          </cell>
        </row>
        <row r="1178">
          <cell r="A1178">
            <v>513642</v>
          </cell>
          <cell r="B1178">
            <v>41579</v>
          </cell>
        </row>
        <row r="1179">
          <cell r="A1179">
            <v>481275</v>
          </cell>
          <cell r="B1179">
            <v>41579</v>
          </cell>
        </row>
        <row r="1180">
          <cell r="A1180">
            <v>516552</v>
          </cell>
          <cell r="B1180">
            <v>41579</v>
          </cell>
        </row>
        <row r="1181">
          <cell r="A1181">
            <v>437430</v>
          </cell>
          <cell r="B1181">
            <v>41579</v>
          </cell>
        </row>
        <row r="1182">
          <cell r="A1182">
            <v>839478</v>
          </cell>
          <cell r="B1182">
            <v>41579</v>
          </cell>
        </row>
        <row r="1183">
          <cell r="A1183">
            <v>537957</v>
          </cell>
          <cell r="B1183">
            <v>41579</v>
          </cell>
        </row>
        <row r="1184">
          <cell r="A1184">
            <v>842539</v>
          </cell>
          <cell r="B1184">
            <v>41579</v>
          </cell>
        </row>
        <row r="1185">
          <cell r="A1185">
            <v>845872</v>
          </cell>
          <cell r="B1185">
            <v>41579</v>
          </cell>
        </row>
        <row r="1186">
          <cell r="A1186">
            <v>677495</v>
          </cell>
          <cell r="B1186">
            <v>41579</v>
          </cell>
        </row>
        <row r="1187">
          <cell r="A1187">
            <v>436727</v>
          </cell>
          <cell r="B1187">
            <v>41579</v>
          </cell>
        </row>
        <row r="1188">
          <cell r="A1188">
            <v>699850</v>
          </cell>
          <cell r="B1188">
            <v>41579</v>
          </cell>
        </row>
        <row r="1189">
          <cell r="A1189">
            <v>477290</v>
          </cell>
          <cell r="B1189">
            <v>41579</v>
          </cell>
        </row>
        <row r="1190">
          <cell r="A1190">
            <v>71335</v>
          </cell>
          <cell r="B1190">
            <v>41579</v>
          </cell>
        </row>
        <row r="1191">
          <cell r="A1191">
            <v>603189</v>
          </cell>
          <cell r="B1191">
            <v>41579</v>
          </cell>
        </row>
        <row r="1192">
          <cell r="A1192">
            <v>563664</v>
          </cell>
          <cell r="B1192">
            <v>41579</v>
          </cell>
        </row>
        <row r="1193">
          <cell r="A1193">
            <v>77265</v>
          </cell>
          <cell r="B1193">
            <v>41579</v>
          </cell>
        </row>
        <row r="1194">
          <cell r="A1194">
            <v>697836</v>
          </cell>
          <cell r="B1194">
            <v>41579</v>
          </cell>
        </row>
        <row r="1195">
          <cell r="A1195">
            <v>552557</v>
          </cell>
          <cell r="B1195">
            <v>41579</v>
          </cell>
        </row>
        <row r="1196">
          <cell r="A1196">
            <v>614671</v>
          </cell>
          <cell r="B1196">
            <v>41579</v>
          </cell>
        </row>
        <row r="1197">
          <cell r="A1197">
            <v>537828</v>
          </cell>
          <cell r="B1197">
            <v>41579</v>
          </cell>
        </row>
        <row r="1198">
          <cell r="A1198">
            <v>534502</v>
          </cell>
          <cell r="B1198">
            <v>41579</v>
          </cell>
        </row>
        <row r="1199">
          <cell r="A1199">
            <v>530398</v>
          </cell>
          <cell r="B1199">
            <v>41579</v>
          </cell>
        </row>
        <row r="1200">
          <cell r="A1200">
            <v>392295</v>
          </cell>
          <cell r="B1200">
            <v>41579</v>
          </cell>
        </row>
        <row r="1201">
          <cell r="A1201">
            <v>206211</v>
          </cell>
          <cell r="B1201">
            <v>41579</v>
          </cell>
        </row>
        <row r="1202">
          <cell r="A1202">
            <v>77265</v>
          </cell>
          <cell r="B1202">
            <v>41579</v>
          </cell>
        </row>
        <row r="1203">
          <cell r="A1203">
            <v>73441</v>
          </cell>
          <cell r="B1203">
            <v>41579</v>
          </cell>
        </row>
        <row r="1204">
          <cell r="A1204">
            <v>8396</v>
          </cell>
          <cell r="B1204">
            <v>41579</v>
          </cell>
        </row>
        <row r="1205">
          <cell r="A1205">
            <v>72850</v>
          </cell>
          <cell r="B1205">
            <v>41579</v>
          </cell>
        </row>
        <row r="1206">
          <cell r="A1206">
            <v>475456</v>
          </cell>
          <cell r="B1206">
            <v>41579</v>
          </cell>
        </row>
        <row r="1207">
          <cell r="A1207">
            <v>85270</v>
          </cell>
          <cell r="B1207">
            <v>41579</v>
          </cell>
        </row>
        <row r="1208">
          <cell r="A1208">
            <v>57684</v>
          </cell>
          <cell r="B1208">
            <v>41579</v>
          </cell>
        </row>
        <row r="1209">
          <cell r="A1209">
            <v>71653</v>
          </cell>
          <cell r="B1209">
            <v>41579</v>
          </cell>
        </row>
        <row r="1210">
          <cell r="A1210">
            <v>873943</v>
          </cell>
          <cell r="B1210">
            <v>41579</v>
          </cell>
        </row>
        <row r="1211">
          <cell r="A1211">
            <v>869515</v>
          </cell>
          <cell r="B1211">
            <v>41579</v>
          </cell>
        </row>
        <row r="1212">
          <cell r="A1212">
            <v>30752</v>
          </cell>
          <cell r="B1212">
            <v>41579</v>
          </cell>
        </row>
        <row r="1213">
          <cell r="A1213">
            <v>30752</v>
          </cell>
          <cell r="B1213">
            <v>41579</v>
          </cell>
        </row>
        <row r="1214">
          <cell r="A1214">
            <v>30752</v>
          </cell>
          <cell r="B1214">
            <v>41579</v>
          </cell>
        </row>
        <row r="1215">
          <cell r="A1215">
            <v>30752</v>
          </cell>
          <cell r="B1215">
            <v>41579</v>
          </cell>
        </row>
        <row r="1216">
          <cell r="A1216">
            <v>30752</v>
          </cell>
          <cell r="B1216">
            <v>41579</v>
          </cell>
        </row>
        <row r="1217">
          <cell r="A1217">
            <v>30752</v>
          </cell>
          <cell r="B1217">
            <v>41579</v>
          </cell>
        </row>
        <row r="1218">
          <cell r="A1218">
            <v>30752</v>
          </cell>
          <cell r="B1218">
            <v>41579</v>
          </cell>
        </row>
        <row r="1219">
          <cell r="A1219">
            <v>868053</v>
          </cell>
          <cell r="B1219">
            <v>41579</v>
          </cell>
        </row>
        <row r="1220">
          <cell r="A1220">
            <v>622241</v>
          </cell>
          <cell r="B1220">
            <v>41579</v>
          </cell>
        </row>
        <row r="1221">
          <cell r="A1221">
            <v>47866</v>
          </cell>
          <cell r="B1221">
            <v>41579</v>
          </cell>
        </row>
        <row r="1222">
          <cell r="A1222">
            <v>8344</v>
          </cell>
          <cell r="B1222">
            <v>41579</v>
          </cell>
        </row>
        <row r="1223">
          <cell r="A1223">
            <v>556140</v>
          </cell>
          <cell r="B1223">
            <v>41579</v>
          </cell>
        </row>
        <row r="1224">
          <cell r="A1224">
            <v>869113</v>
          </cell>
          <cell r="B1224">
            <v>41579</v>
          </cell>
        </row>
        <row r="1225">
          <cell r="A1225">
            <v>615333</v>
          </cell>
          <cell r="B1225">
            <v>41579</v>
          </cell>
        </row>
        <row r="1226">
          <cell r="A1226">
            <v>512285</v>
          </cell>
          <cell r="B1226">
            <v>41579</v>
          </cell>
        </row>
        <row r="1227">
          <cell r="A1227">
            <v>578605</v>
          </cell>
          <cell r="B1227">
            <v>41579</v>
          </cell>
        </row>
        <row r="1228">
          <cell r="A1228">
            <v>862742</v>
          </cell>
          <cell r="B1228">
            <v>41579</v>
          </cell>
        </row>
        <row r="1229">
          <cell r="A1229">
            <v>549769</v>
          </cell>
          <cell r="B1229">
            <v>41579</v>
          </cell>
        </row>
        <row r="1230">
          <cell r="A1230">
            <v>489663</v>
          </cell>
          <cell r="B1230">
            <v>41579</v>
          </cell>
        </row>
        <row r="1231">
          <cell r="A1231">
            <v>824919</v>
          </cell>
          <cell r="B1231">
            <v>41579</v>
          </cell>
        </row>
        <row r="1232">
          <cell r="A1232">
            <v>613378</v>
          </cell>
          <cell r="B1232">
            <v>41579</v>
          </cell>
        </row>
        <row r="1233">
          <cell r="A1233">
            <v>612135</v>
          </cell>
          <cell r="B1233">
            <v>41579</v>
          </cell>
        </row>
        <row r="1234">
          <cell r="A1234">
            <v>476148</v>
          </cell>
          <cell r="B1234">
            <v>41579</v>
          </cell>
        </row>
        <row r="1235">
          <cell r="A1235">
            <v>485486</v>
          </cell>
          <cell r="B1235">
            <v>41579</v>
          </cell>
        </row>
        <row r="1236">
          <cell r="A1236">
            <v>30396</v>
          </cell>
          <cell r="B1236">
            <v>41579</v>
          </cell>
        </row>
        <row r="1237">
          <cell r="A1237">
            <v>686524</v>
          </cell>
          <cell r="B1237">
            <v>41579</v>
          </cell>
        </row>
        <row r="1238">
          <cell r="A1238">
            <v>514720</v>
          </cell>
          <cell r="B1238">
            <v>41579</v>
          </cell>
        </row>
        <row r="1239">
          <cell r="A1239">
            <v>617144</v>
          </cell>
          <cell r="B1239">
            <v>41579</v>
          </cell>
        </row>
        <row r="1240">
          <cell r="A1240">
            <v>533289</v>
          </cell>
          <cell r="B1240">
            <v>41579</v>
          </cell>
        </row>
        <row r="1241">
          <cell r="A1241">
            <v>606717</v>
          </cell>
          <cell r="B1241">
            <v>41579</v>
          </cell>
        </row>
        <row r="1242">
          <cell r="A1242">
            <v>632341</v>
          </cell>
          <cell r="B1242">
            <v>41579</v>
          </cell>
        </row>
        <row r="1243">
          <cell r="A1243">
            <v>550605</v>
          </cell>
          <cell r="B1243">
            <v>41579</v>
          </cell>
        </row>
        <row r="1244">
          <cell r="A1244">
            <v>34127</v>
          </cell>
          <cell r="B1244">
            <v>41579</v>
          </cell>
        </row>
        <row r="1245">
          <cell r="A1245">
            <v>37391</v>
          </cell>
          <cell r="B1245">
            <v>41579</v>
          </cell>
        </row>
        <row r="1246">
          <cell r="A1246">
            <v>491681</v>
          </cell>
          <cell r="B1246">
            <v>41579</v>
          </cell>
        </row>
        <row r="1247">
          <cell r="A1247">
            <v>604129</v>
          </cell>
          <cell r="B1247">
            <v>41579</v>
          </cell>
        </row>
        <row r="1248">
          <cell r="A1248">
            <v>563666</v>
          </cell>
          <cell r="B1248">
            <v>41579</v>
          </cell>
        </row>
        <row r="1249">
          <cell r="A1249">
            <v>537393</v>
          </cell>
          <cell r="B1249">
            <v>41579</v>
          </cell>
        </row>
        <row r="1250">
          <cell r="A1250">
            <v>631604</v>
          </cell>
          <cell r="B1250">
            <v>41579</v>
          </cell>
        </row>
        <row r="1251">
          <cell r="A1251">
            <v>567174</v>
          </cell>
          <cell r="B1251">
            <v>41579</v>
          </cell>
        </row>
        <row r="1252">
          <cell r="A1252">
            <v>386820</v>
          </cell>
          <cell r="B1252">
            <v>41579</v>
          </cell>
        </row>
        <row r="1253">
          <cell r="A1253">
            <v>537682</v>
          </cell>
          <cell r="B1253">
            <v>41579</v>
          </cell>
        </row>
        <row r="1254">
          <cell r="A1254">
            <v>695109</v>
          </cell>
          <cell r="B1254">
            <v>41579</v>
          </cell>
        </row>
        <row r="1255">
          <cell r="A1255">
            <v>685021</v>
          </cell>
          <cell r="B1255">
            <v>41579</v>
          </cell>
        </row>
        <row r="1256">
          <cell r="A1256">
            <v>835306</v>
          </cell>
          <cell r="B1256">
            <v>41579</v>
          </cell>
        </row>
        <row r="1257">
          <cell r="A1257">
            <v>434109</v>
          </cell>
          <cell r="B1257">
            <v>41579</v>
          </cell>
        </row>
        <row r="1258">
          <cell r="A1258">
            <v>501733</v>
          </cell>
          <cell r="B1258">
            <v>41579</v>
          </cell>
        </row>
        <row r="1259">
          <cell r="A1259">
            <v>599159</v>
          </cell>
          <cell r="B1259">
            <v>41579</v>
          </cell>
        </row>
        <row r="1260">
          <cell r="A1260">
            <v>845418</v>
          </cell>
          <cell r="B1260">
            <v>41579</v>
          </cell>
        </row>
        <row r="1261">
          <cell r="A1261">
            <v>575604</v>
          </cell>
          <cell r="B1261">
            <v>41579</v>
          </cell>
        </row>
        <row r="1262">
          <cell r="A1262">
            <v>559379</v>
          </cell>
          <cell r="B1262">
            <v>41579</v>
          </cell>
        </row>
        <row r="1263">
          <cell r="A1263">
            <v>497975</v>
          </cell>
          <cell r="B1263">
            <v>41579</v>
          </cell>
        </row>
        <row r="1264">
          <cell r="A1264">
            <v>565509</v>
          </cell>
          <cell r="B1264">
            <v>41579</v>
          </cell>
        </row>
        <row r="1265">
          <cell r="A1265">
            <v>615325</v>
          </cell>
          <cell r="B1265">
            <v>41579</v>
          </cell>
        </row>
        <row r="1266">
          <cell r="A1266">
            <v>383064</v>
          </cell>
          <cell r="B1266">
            <v>41579</v>
          </cell>
        </row>
        <row r="1267">
          <cell r="A1267">
            <v>626776</v>
          </cell>
          <cell r="B1267">
            <v>41579</v>
          </cell>
        </row>
        <row r="1268">
          <cell r="A1268">
            <v>869516</v>
          </cell>
          <cell r="B1268">
            <v>41579</v>
          </cell>
        </row>
        <row r="1269">
          <cell r="A1269">
            <v>577731</v>
          </cell>
          <cell r="B1269">
            <v>41579</v>
          </cell>
        </row>
        <row r="1270">
          <cell r="A1270">
            <v>607589</v>
          </cell>
          <cell r="B1270">
            <v>41579</v>
          </cell>
        </row>
        <row r="1271">
          <cell r="A1271">
            <v>64679</v>
          </cell>
          <cell r="B1271">
            <v>41579</v>
          </cell>
        </row>
        <row r="1272">
          <cell r="A1272">
            <v>488886</v>
          </cell>
          <cell r="B1272">
            <v>41579</v>
          </cell>
        </row>
        <row r="1273">
          <cell r="A1273">
            <v>448323</v>
          </cell>
          <cell r="B1273">
            <v>41579</v>
          </cell>
        </row>
        <row r="1274">
          <cell r="A1274">
            <v>476404</v>
          </cell>
          <cell r="B1274">
            <v>41579</v>
          </cell>
        </row>
        <row r="1275">
          <cell r="A1275">
            <v>687335</v>
          </cell>
          <cell r="B1275" t="str">
            <v>PAS DE COUT ADDITIONNEL</v>
          </cell>
        </row>
        <row r="1276">
          <cell r="A1276">
            <v>574411</v>
          </cell>
          <cell r="B1276">
            <v>41579</v>
          </cell>
        </row>
        <row r="1277">
          <cell r="A1277">
            <v>383238</v>
          </cell>
          <cell r="B1277">
            <v>41579</v>
          </cell>
        </row>
        <row r="1278">
          <cell r="A1278">
            <v>445522</v>
          </cell>
          <cell r="B1278">
            <v>41579</v>
          </cell>
        </row>
        <row r="1279">
          <cell r="A1279">
            <v>250326</v>
          </cell>
          <cell r="B1279">
            <v>41579</v>
          </cell>
        </row>
        <row r="1280">
          <cell r="A1280">
            <v>52843</v>
          </cell>
          <cell r="B1280">
            <v>41579</v>
          </cell>
        </row>
        <row r="1281">
          <cell r="A1281">
            <v>522415</v>
          </cell>
          <cell r="B1281">
            <v>41579</v>
          </cell>
        </row>
        <row r="1282">
          <cell r="A1282">
            <v>611751</v>
          </cell>
          <cell r="B1282">
            <v>41579</v>
          </cell>
        </row>
        <row r="1283">
          <cell r="A1283">
            <v>642000</v>
          </cell>
          <cell r="B1283">
            <v>41579</v>
          </cell>
        </row>
        <row r="1284">
          <cell r="A1284">
            <v>623387</v>
          </cell>
          <cell r="B1284">
            <v>41579</v>
          </cell>
        </row>
        <row r="1285">
          <cell r="A1285">
            <v>440648</v>
          </cell>
          <cell r="B1285">
            <v>41579</v>
          </cell>
        </row>
        <row r="1286">
          <cell r="A1286">
            <v>11773</v>
          </cell>
          <cell r="B1286">
            <v>41579</v>
          </cell>
        </row>
        <row r="1287">
          <cell r="A1287">
            <v>11773</v>
          </cell>
          <cell r="B1287">
            <v>41579</v>
          </cell>
        </row>
        <row r="1288">
          <cell r="A1288">
            <v>871938</v>
          </cell>
          <cell r="B1288">
            <v>41579</v>
          </cell>
        </row>
        <row r="1289">
          <cell r="A1289">
            <v>583097</v>
          </cell>
          <cell r="B1289">
            <v>41579</v>
          </cell>
        </row>
        <row r="1290">
          <cell r="A1290">
            <v>481275</v>
          </cell>
          <cell r="B1290">
            <v>41579</v>
          </cell>
        </row>
        <row r="1291">
          <cell r="A1291">
            <v>76232</v>
          </cell>
          <cell r="B1291">
            <v>41579</v>
          </cell>
        </row>
        <row r="1292">
          <cell r="A1292">
            <v>530398</v>
          </cell>
          <cell r="B1292">
            <v>41579</v>
          </cell>
        </row>
        <row r="1293">
          <cell r="A1293">
            <v>497202</v>
          </cell>
          <cell r="B1293">
            <v>41579</v>
          </cell>
        </row>
        <row r="1294">
          <cell r="A1294">
            <v>483946</v>
          </cell>
          <cell r="B1294">
            <v>41579</v>
          </cell>
        </row>
        <row r="1295">
          <cell r="A1295">
            <v>1094</v>
          </cell>
          <cell r="B1295">
            <v>41579</v>
          </cell>
        </row>
        <row r="1296">
          <cell r="A1296">
            <v>558699</v>
          </cell>
          <cell r="B1296">
            <v>41579</v>
          </cell>
        </row>
        <row r="1297">
          <cell r="A1297">
            <v>474218</v>
          </cell>
          <cell r="B1297">
            <v>41579</v>
          </cell>
        </row>
        <row r="1298">
          <cell r="A1298">
            <v>498602</v>
          </cell>
          <cell r="B1298">
            <v>41579</v>
          </cell>
        </row>
        <row r="1299">
          <cell r="A1299">
            <v>614700</v>
          </cell>
          <cell r="B1299">
            <v>41579</v>
          </cell>
        </row>
        <row r="1300">
          <cell r="A1300">
            <v>582411</v>
          </cell>
          <cell r="B1300">
            <v>41579</v>
          </cell>
        </row>
        <row r="1301">
          <cell r="A1301">
            <v>558699</v>
          </cell>
          <cell r="B1301">
            <v>41579</v>
          </cell>
        </row>
        <row r="1302">
          <cell r="A1302">
            <v>531948</v>
          </cell>
          <cell r="B1302">
            <v>41579</v>
          </cell>
        </row>
        <row r="1303">
          <cell r="A1303">
            <v>597101</v>
          </cell>
          <cell r="B1303">
            <v>41579</v>
          </cell>
        </row>
        <row r="1304">
          <cell r="A1304">
            <v>530398</v>
          </cell>
          <cell r="B1304">
            <v>41579</v>
          </cell>
        </row>
        <row r="1305">
          <cell r="A1305">
            <v>569485</v>
          </cell>
          <cell r="B1305">
            <v>41579</v>
          </cell>
        </row>
        <row r="1306">
          <cell r="A1306">
            <v>631145</v>
          </cell>
          <cell r="B1306">
            <v>41579</v>
          </cell>
        </row>
        <row r="1307">
          <cell r="A1307">
            <v>386177</v>
          </cell>
          <cell r="B1307">
            <v>41579</v>
          </cell>
        </row>
        <row r="1308">
          <cell r="A1308">
            <v>857026</v>
          </cell>
          <cell r="B1308">
            <v>41579</v>
          </cell>
        </row>
        <row r="1309">
          <cell r="A1309">
            <v>631145</v>
          </cell>
          <cell r="B1309">
            <v>41579</v>
          </cell>
        </row>
        <row r="1310">
          <cell r="A1310">
            <v>392295</v>
          </cell>
          <cell r="B1310">
            <v>41579</v>
          </cell>
        </row>
        <row r="1311">
          <cell r="A1311">
            <v>49338</v>
          </cell>
          <cell r="B1311">
            <v>41579</v>
          </cell>
        </row>
        <row r="1312">
          <cell r="A1312">
            <v>45474</v>
          </cell>
          <cell r="B1312">
            <v>41579</v>
          </cell>
        </row>
        <row r="1313">
          <cell r="A1313">
            <v>30045</v>
          </cell>
          <cell r="B1313">
            <v>41579</v>
          </cell>
        </row>
        <row r="1314">
          <cell r="A1314">
            <v>464915</v>
          </cell>
          <cell r="B1314">
            <v>41579</v>
          </cell>
        </row>
        <row r="1315">
          <cell r="A1315">
            <v>522878</v>
          </cell>
          <cell r="B1315">
            <v>41579</v>
          </cell>
        </row>
        <row r="1316">
          <cell r="A1316">
            <v>522878</v>
          </cell>
          <cell r="B1316">
            <v>41579</v>
          </cell>
        </row>
        <row r="1317">
          <cell r="A1317">
            <v>378267</v>
          </cell>
          <cell r="B1317">
            <v>41579</v>
          </cell>
        </row>
        <row r="1318">
          <cell r="A1318">
            <v>467644</v>
          </cell>
          <cell r="B1318">
            <v>41579</v>
          </cell>
        </row>
        <row r="1319">
          <cell r="A1319">
            <v>610770</v>
          </cell>
          <cell r="B1319">
            <v>41579</v>
          </cell>
        </row>
        <row r="1320">
          <cell r="A1320">
            <v>69054</v>
          </cell>
          <cell r="B1320">
            <v>41579</v>
          </cell>
        </row>
        <row r="1321">
          <cell r="A1321">
            <v>69054</v>
          </cell>
          <cell r="B1321">
            <v>41579</v>
          </cell>
        </row>
        <row r="1322">
          <cell r="A1322">
            <v>610685</v>
          </cell>
          <cell r="B1322">
            <v>41579</v>
          </cell>
        </row>
        <row r="1323">
          <cell r="A1323">
            <v>538999</v>
          </cell>
          <cell r="B1323">
            <v>41579</v>
          </cell>
        </row>
        <row r="1324">
          <cell r="A1324">
            <v>586765</v>
          </cell>
          <cell r="B1324">
            <v>41579</v>
          </cell>
        </row>
        <row r="1325">
          <cell r="A1325">
            <v>586765</v>
          </cell>
          <cell r="B1325">
            <v>41579</v>
          </cell>
        </row>
        <row r="1326">
          <cell r="A1326">
            <v>586765</v>
          </cell>
          <cell r="B1326">
            <v>41579</v>
          </cell>
        </row>
        <row r="1327">
          <cell r="A1327">
            <v>83966</v>
          </cell>
          <cell r="B1327">
            <v>41579</v>
          </cell>
        </row>
        <row r="1328">
          <cell r="A1328">
            <v>946000</v>
          </cell>
          <cell r="B1328">
            <v>41579</v>
          </cell>
        </row>
        <row r="1329">
          <cell r="A1329">
            <v>946000</v>
          </cell>
          <cell r="B1329">
            <v>41579</v>
          </cell>
        </row>
        <row r="1330">
          <cell r="A1330">
            <v>945000</v>
          </cell>
          <cell r="B1330">
            <v>41579</v>
          </cell>
        </row>
        <row r="1331">
          <cell r="A1331">
            <v>945000</v>
          </cell>
          <cell r="B1331">
            <v>41579</v>
          </cell>
        </row>
        <row r="1332">
          <cell r="A1332">
            <v>909975</v>
          </cell>
          <cell r="B1332">
            <v>41579</v>
          </cell>
        </row>
        <row r="1333">
          <cell r="A1333">
            <v>909947</v>
          </cell>
          <cell r="B1333">
            <v>41579</v>
          </cell>
        </row>
        <row r="1334">
          <cell r="A1334">
            <v>909943</v>
          </cell>
          <cell r="B1334">
            <v>41579</v>
          </cell>
        </row>
        <row r="1335">
          <cell r="A1335">
            <v>909933</v>
          </cell>
          <cell r="B1335">
            <v>41579</v>
          </cell>
        </row>
        <row r="1336">
          <cell r="A1336">
            <v>909933</v>
          </cell>
          <cell r="B1336">
            <v>41579</v>
          </cell>
        </row>
        <row r="1337">
          <cell r="A1337">
            <v>909933</v>
          </cell>
          <cell r="B1337">
            <v>41579</v>
          </cell>
        </row>
        <row r="1338">
          <cell r="A1338">
            <v>909929</v>
          </cell>
          <cell r="B1338">
            <v>41579</v>
          </cell>
        </row>
        <row r="1339">
          <cell r="A1339">
            <v>909922</v>
          </cell>
          <cell r="B1339">
            <v>41579</v>
          </cell>
        </row>
        <row r="1340">
          <cell r="A1340">
            <v>909916</v>
          </cell>
          <cell r="B1340">
            <v>41579</v>
          </cell>
        </row>
        <row r="1341">
          <cell r="A1341">
            <v>909909</v>
          </cell>
          <cell r="B1341">
            <v>41579</v>
          </cell>
        </row>
        <row r="1342">
          <cell r="A1342">
            <v>909906</v>
          </cell>
          <cell r="B1342">
            <v>41579</v>
          </cell>
        </row>
        <row r="1343">
          <cell r="A1343">
            <v>909893</v>
          </cell>
          <cell r="B1343">
            <v>41579</v>
          </cell>
        </row>
        <row r="1344">
          <cell r="A1344">
            <v>909886</v>
          </cell>
          <cell r="B1344">
            <v>41579</v>
          </cell>
        </row>
        <row r="1345">
          <cell r="A1345">
            <v>909886</v>
          </cell>
          <cell r="B1345">
            <v>41579</v>
          </cell>
        </row>
        <row r="1346">
          <cell r="A1346">
            <v>909879</v>
          </cell>
          <cell r="B1346">
            <v>41579</v>
          </cell>
        </row>
        <row r="1347">
          <cell r="A1347">
            <v>909861</v>
          </cell>
          <cell r="B1347">
            <v>41579</v>
          </cell>
        </row>
        <row r="1348">
          <cell r="A1348">
            <v>909267</v>
          </cell>
          <cell r="B1348">
            <v>41579</v>
          </cell>
        </row>
        <row r="1349">
          <cell r="A1349">
            <v>909180</v>
          </cell>
          <cell r="B1349">
            <v>41579</v>
          </cell>
        </row>
        <row r="1350">
          <cell r="A1350">
            <v>909180</v>
          </cell>
          <cell r="B1350">
            <v>41579</v>
          </cell>
        </row>
        <row r="1351">
          <cell r="A1351">
            <v>909131</v>
          </cell>
          <cell r="B1351">
            <v>41579</v>
          </cell>
        </row>
        <row r="1352">
          <cell r="A1352">
            <v>909130</v>
          </cell>
          <cell r="B1352">
            <v>41579</v>
          </cell>
        </row>
        <row r="1353">
          <cell r="A1353">
            <v>909090</v>
          </cell>
          <cell r="B1353">
            <v>41579</v>
          </cell>
        </row>
        <row r="1354">
          <cell r="A1354">
            <v>909006</v>
          </cell>
          <cell r="B1354">
            <v>41579</v>
          </cell>
        </row>
        <row r="1355">
          <cell r="A1355">
            <v>900000</v>
          </cell>
          <cell r="B1355">
            <v>41579</v>
          </cell>
        </row>
        <row r="1356">
          <cell r="A1356">
            <v>900000</v>
          </cell>
          <cell r="B1356">
            <v>41579</v>
          </cell>
        </row>
        <row r="1357">
          <cell r="A1357">
            <v>900000</v>
          </cell>
          <cell r="B1357">
            <v>41579</v>
          </cell>
        </row>
        <row r="1358">
          <cell r="A1358">
            <v>900000</v>
          </cell>
          <cell r="B1358">
            <v>41579</v>
          </cell>
        </row>
        <row r="1359">
          <cell r="A1359">
            <v>900000</v>
          </cell>
          <cell r="B1359">
            <v>41579</v>
          </cell>
        </row>
        <row r="1360">
          <cell r="A1360">
            <v>900000</v>
          </cell>
          <cell r="B1360">
            <v>41579</v>
          </cell>
        </row>
        <row r="1361">
          <cell r="A1361">
            <v>900000</v>
          </cell>
          <cell r="B1361">
            <v>41579</v>
          </cell>
        </row>
        <row r="1362">
          <cell r="A1362">
            <v>900000</v>
          </cell>
          <cell r="B1362">
            <v>41579</v>
          </cell>
        </row>
        <row r="1363">
          <cell r="A1363">
            <v>900000</v>
          </cell>
          <cell r="B1363">
            <v>41579</v>
          </cell>
        </row>
        <row r="1364">
          <cell r="A1364">
            <v>900000</v>
          </cell>
          <cell r="B1364">
            <v>41579</v>
          </cell>
        </row>
        <row r="1365">
          <cell r="A1365">
            <v>900000</v>
          </cell>
          <cell r="B1365">
            <v>41579</v>
          </cell>
        </row>
        <row r="1366">
          <cell r="A1366">
            <v>900000</v>
          </cell>
          <cell r="B1366">
            <v>41579</v>
          </cell>
        </row>
        <row r="1367">
          <cell r="A1367">
            <v>900000</v>
          </cell>
          <cell r="B1367">
            <v>41579</v>
          </cell>
        </row>
        <row r="1368">
          <cell r="A1368">
            <v>900000</v>
          </cell>
          <cell r="B1368">
            <v>41579</v>
          </cell>
        </row>
        <row r="1369">
          <cell r="A1369">
            <v>900000</v>
          </cell>
          <cell r="B1369">
            <v>41579</v>
          </cell>
        </row>
        <row r="1370">
          <cell r="A1370">
            <v>900000</v>
          </cell>
          <cell r="B1370">
            <v>41579</v>
          </cell>
        </row>
        <row r="1371">
          <cell r="A1371">
            <v>900000</v>
          </cell>
          <cell r="B1371">
            <v>41579</v>
          </cell>
        </row>
        <row r="1372">
          <cell r="A1372">
            <v>900000</v>
          </cell>
          <cell r="B1372">
            <v>41579</v>
          </cell>
        </row>
        <row r="1373">
          <cell r="A1373">
            <v>900000</v>
          </cell>
          <cell r="B1373">
            <v>41579</v>
          </cell>
        </row>
        <row r="1374">
          <cell r="A1374">
            <v>900000</v>
          </cell>
          <cell r="B1374">
            <v>41579</v>
          </cell>
        </row>
        <row r="1375">
          <cell r="A1375">
            <v>900000</v>
          </cell>
          <cell r="B1375">
            <v>41579</v>
          </cell>
        </row>
        <row r="1376">
          <cell r="A1376">
            <v>900000</v>
          </cell>
          <cell r="B1376">
            <v>41579</v>
          </cell>
        </row>
        <row r="1377">
          <cell r="A1377">
            <v>900000</v>
          </cell>
          <cell r="B1377">
            <v>41579</v>
          </cell>
        </row>
        <row r="1378">
          <cell r="A1378">
            <v>875697</v>
          </cell>
          <cell r="B1378">
            <v>41579</v>
          </cell>
        </row>
        <row r="1379">
          <cell r="A1379">
            <v>866991</v>
          </cell>
          <cell r="B1379">
            <v>41579</v>
          </cell>
        </row>
        <row r="1380">
          <cell r="A1380">
            <v>866991</v>
          </cell>
          <cell r="B1380">
            <v>41579</v>
          </cell>
        </row>
        <row r="1381">
          <cell r="A1381">
            <v>864687</v>
          </cell>
          <cell r="B1381">
            <v>41579</v>
          </cell>
        </row>
        <row r="1382">
          <cell r="A1382">
            <v>864548</v>
          </cell>
          <cell r="B1382">
            <v>41579</v>
          </cell>
        </row>
        <row r="1383">
          <cell r="A1383">
            <v>861957</v>
          </cell>
          <cell r="B1383">
            <v>41579</v>
          </cell>
        </row>
        <row r="1384">
          <cell r="A1384">
            <v>857379</v>
          </cell>
          <cell r="B1384">
            <v>41579</v>
          </cell>
        </row>
        <row r="1385">
          <cell r="A1385">
            <v>856814</v>
          </cell>
          <cell r="B1385">
            <v>41579</v>
          </cell>
        </row>
        <row r="1386">
          <cell r="A1386">
            <v>856246</v>
          </cell>
          <cell r="B1386">
            <v>41579</v>
          </cell>
        </row>
        <row r="1387">
          <cell r="A1387">
            <v>854793</v>
          </cell>
          <cell r="B1387">
            <v>41579</v>
          </cell>
        </row>
        <row r="1388">
          <cell r="A1388">
            <v>853054</v>
          </cell>
          <cell r="B1388">
            <v>41579</v>
          </cell>
        </row>
        <row r="1389">
          <cell r="A1389">
            <v>850110</v>
          </cell>
          <cell r="B1389">
            <v>41579</v>
          </cell>
        </row>
        <row r="1390">
          <cell r="A1390">
            <v>849351</v>
          </cell>
          <cell r="B1390">
            <v>41579</v>
          </cell>
        </row>
        <row r="1391">
          <cell r="A1391">
            <v>847874</v>
          </cell>
          <cell r="B1391">
            <v>41579</v>
          </cell>
        </row>
        <row r="1392">
          <cell r="A1392">
            <v>847774</v>
          </cell>
          <cell r="B1392">
            <v>41579</v>
          </cell>
        </row>
        <row r="1393">
          <cell r="A1393">
            <v>843846</v>
          </cell>
          <cell r="B1393">
            <v>41579</v>
          </cell>
        </row>
        <row r="1394">
          <cell r="A1394">
            <v>843073</v>
          </cell>
          <cell r="B1394">
            <v>41640</v>
          </cell>
        </row>
        <row r="1395">
          <cell r="A1395">
            <v>841591</v>
          </cell>
          <cell r="B1395">
            <v>41579</v>
          </cell>
        </row>
        <row r="1396">
          <cell r="A1396">
            <v>840472</v>
          </cell>
          <cell r="B1396">
            <v>41579</v>
          </cell>
        </row>
        <row r="1397">
          <cell r="A1397">
            <v>839766</v>
          </cell>
          <cell r="B1397">
            <v>41579</v>
          </cell>
        </row>
        <row r="1398">
          <cell r="A1398">
            <v>838215</v>
          </cell>
          <cell r="B1398">
            <v>41579</v>
          </cell>
        </row>
        <row r="1399">
          <cell r="A1399">
            <v>837784</v>
          </cell>
          <cell r="B1399">
            <v>41640</v>
          </cell>
        </row>
        <row r="1400">
          <cell r="A1400">
            <v>837005</v>
          </cell>
          <cell r="B1400">
            <v>41579</v>
          </cell>
        </row>
        <row r="1401">
          <cell r="A1401">
            <v>836072</v>
          </cell>
          <cell r="B1401">
            <v>41579</v>
          </cell>
        </row>
        <row r="1402">
          <cell r="A1402">
            <v>835392</v>
          </cell>
          <cell r="B1402">
            <v>41579</v>
          </cell>
        </row>
        <row r="1403">
          <cell r="A1403">
            <v>834684</v>
          </cell>
          <cell r="B1403">
            <v>41640</v>
          </cell>
        </row>
        <row r="1404">
          <cell r="A1404">
            <v>834443</v>
          </cell>
          <cell r="B1404">
            <v>41579</v>
          </cell>
        </row>
        <row r="1405">
          <cell r="A1405">
            <v>833674</v>
          </cell>
          <cell r="B1405">
            <v>41579</v>
          </cell>
        </row>
        <row r="1406">
          <cell r="A1406">
            <v>831627</v>
          </cell>
          <cell r="B1406">
            <v>41579</v>
          </cell>
        </row>
        <row r="1407">
          <cell r="A1407">
            <v>831399</v>
          </cell>
          <cell r="B1407">
            <v>41640</v>
          </cell>
        </row>
        <row r="1408">
          <cell r="A1408">
            <v>831246</v>
          </cell>
          <cell r="B1408">
            <v>41579</v>
          </cell>
        </row>
        <row r="1409">
          <cell r="A1409">
            <v>830576</v>
          </cell>
          <cell r="B1409">
            <v>41579</v>
          </cell>
        </row>
        <row r="1410">
          <cell r="A1410">
            <v>830267</v>
          </cell>
          <cell r="B1410">
            <v>41640</v>
          </cell>
        </row>
        <row r="1411">
          <cell r="A1411">
            <v>829461</v>
          </cell>
          <cell r="B1411">
            <v>41579</v>
          </cell>
        </row>
        <row r="1412">
          <cell r="A1412">
            <v>829004</v>
          </cell>
          <cell r="B1412">
            <v>41579</v>
          </cell>
        </row>
        <row r="1413">
          <cell r="A1413">
            <v>828505</v>
          </cell>
          <cell r="B1413">
            <v>41579</v>
          </cell>
        </row>
        <row r="1414">
          <cell r="A1414">
            <v>827770</v>
          </cell>
          <cell r="B1414">
            <v>41579</v>
          </cell>
        </row>
        <row r="1415">
          <cell r="A1415">
            <v>827720</v>
          </cell>
          <cell r="B1415">
            <v>41579</v>
          </cell>
        </row>
        <row r="1416">
          <cell r="A1416">
            <v>827013</v>
          </cell>
          <cell r="B1416">
            <v>41579</v>
          </cell>
        </row>
        <row r="1417">
          <cell r="A1417">
            <v>825622</v>
          </cell>
          <cell r="B1417">
            <v>41579</v>
          </cell>
        </row>
        <row r="1418">
          <cell r="A1418">
            <v>825602</v>
          </cell>
          <cell r="B1418">
            <v>41579</v>
          </cell>
        </row>
        <row r="1419">
          <cell r="A1419">
            <v>824946</v>
          </cell>
          <cell r="B1419">
            <v>41579</v>
          </cell>
        </row>
        <row r="1420">
          <cell r="A1420">
            <v>824932</v>
          </cell>
          <cell r="B1420">
            <v>41579</v>
          </cell>
        </row>
        <row r="1421">
          <cell r="A1421">
            <v>824426</v>
          </cell>
          <cell r="B1421">
            <v>41579</v>
          </cell>
        </row>
        <row r="1422">
          <cell r="A1422">
            <v>822932</v>
          </cell>
          <cell r="B1422">
            <v>41579</v>
          </cell>
        </row>
        <row r="1423">
          <cell r="A1423">
            <v>822498</v>
          </cell>
          <cell r="B1423">
            <v>41579</v>
          </cell>
        </row>
        <row r="1424">
          <cell r="A1424">
            <v>821685</v>
          </cell>
          <cell r="B1424">
            <v>41579</v>
          </cell>
        </row>
        <row r="1425">
          <cell r="A1425">
            <v>816946</v>
          </cell>
          <cell r="B1425">
            <v>41640</v>
          </cell>
        </row>
        <row r="1426">
          <cell r="A1426">
            <v>815710</v>
          </cell>
          <cell r="B1426">
            <v>41579</v>
          </cell>
        </row>
        <row r="1427">
          <cell r="A1427">
            <v>815690</v>
          </cell>
          <cell r="B1427">
            <v>41579</v>
          </cell>
        </row>
        <row r="1428">
          <cell r="A1428">
            <v>815357</v>
          </cell>
          <cell r="B1428">
            <v>41579</v>
          </cell>
        </row>
        <row r="1429">
          <cell r="A1429">
            <v>814916</v>
          </cell>
          <cell r="B1429">
            <v>41579</v>
          </cell>
        </row>
        <row r="1430">
          <cell r="A1430">
            <v>812775</v>
          </cell>
          <cell r="B1430">
            <v>41579</v>
          </cell>
        </row>
        <row r="1431">
          <cell r="A1431">
            <v>811666</v>
          </cell>
          <cell r="B1431">
            <v>41579</v>
          </cell>
        </row>
        <row r="1432">
          <cell r="A1432">
            <v>811440</v>
          </cell>
          <cell r="B1432">
            <v>41579</v>
          </cell>
        </row>
        <row r="1433">
          <cell r="A1433">
            <v>810428</v>
          </cell>
          <cell r="B1433">
            <v>41579</v>
          </cell>
        </row>
        <row r="1434">
          <cell r="A1434">
            <v>809669</v>
          </cell>
          <cell r="B1434">
            <v>41579</v>
          </cell>
        </row>
        <row r="1435">
          <cell r="A1435">
            <v>808793</v>
          </cell>
          <cell r="B1435">
            <v>41579</v>
          </cell>
        </row>
        <row r="1436">
          <cell r="A1436">
            <v>808242</v>
          </cell>
          <cell r="B1436">
            <v>41579</v>
          </cell>
        </row>
        <row r="1437">
          <cell r="A1437">
            <v>807676</v>
          </cell>
          <cell r="B1437">
            <v>41579</v>
          </cell>
        </row>
        <row r="1438">
          <cell r="A1438">
            <v>807430</v>
          </cell>
          <cell r="B1438">
            <v>41579</v>
          </cell>
        </row>
        <row r="1439">
          <cell r="A1439">
            <v>807200</v>
          </cell>
          <cell r="B1439">
            <v>41579</v>
          </cell>
        </row>
        <row r="1440">
          <cell r="A1440">
            <v>806721</v>
          </cell>
          <cell r="B1440">
            <v>41579</v>
          </cell>
        </row>
        <row r="1441">
          <cell r="A1441">
            <v>806474</v>
          </cell>
          <cell r="B1441">
            <v>41579</v>
          </cell>
        </row>
        <row r="1442">
          <cell r="A1442">
            <v>804953</v>
          </cell>
          <cell r="B1442">
            <v>41640</v>
          </cell>
        </row>
        <row r="1443">
          <cell r="A1443">
            <v>804731</v>
          </cell>
          <cell r="B1443">
            <v>41579</v>
          </cell>
        </row>
        <row r="1444">
          <cell r="A1444">
            <v>804361</v>
          </cell>
          <cell r="B1444">
            <v>41579</v>
          </cell>
        </row>
        <row r="1445">
          <cell r="A1445">
            <v>804289</v>
          </cell>
          <cell r="B1445">
            <v>41579</v>
          </cell>
        </row>
        <row r="1446">
          <cell r="A1446">
            <v>804287</v>
          </cell>
          <cell r="B1446">
            <v>41579</v>
          </cell>
        </row>
        <row r="1447">
          <cell r="A1447">
            <v>803717</v>
          </cell>
          <cell r="B1447">
            <v>41579</v>
          </cell>
        </row>
        <row r="1448">
          <cell r="A1448">
            <v>802701</v>
          </cell>
          <cell r="B1448">
            <v>41579</v>
          </cell>
        </row>
        <row r="1449">
          <cell r="A1449">
            <v>800435</v>
          </cell>
          <cell r="B1449">
            <v>41579</v>
          </cell>
        </row>
        <row r="1450">
          <cell r="A1450">
            <v>800354</v>
          </cell>
          <cell r="B1450">
            <v>41579</v>
          </cell>
        </row>
        <row r="1451">
          <cell r="A1451">
            <v>704541</v>
          </cell>
          <cell r="B1451">
            <v>41579</v>
          </cell>
        </row>
        <row r="1452">
          <cell r="A1452">
            <v>704540</v>
          </cell>
          <cell r="B1452">
            <v>41579</v>
          </cell>
        </row>
        <row r="1453">
          <cell r="A1453">
            <v>704540</v>
          </cell>
          <cell r="B1453">
            <v>41579</v>
          </cell>
        </row>
        <row r="1454">
          <cell r="A1454">
            <v>704539</v>
          </cell>
          <cell r="B1454">
            <v>41579</v>
          </cell>
        </row>
        <row r="1455">
          <cell r="A1455">
            <v>704114</v>
          </cell>
          <cell r="B1455">
            <v>41579</v>
          </cell>
        </row>
        <row r="1456">
          <cell r="A1456">
            <v>704112</v>
          </cell>
          <cell r="B1456">
            <v>41579</v>
          </cell>
        </row>
        <row r="1457">
          <cell r="A1457">
            <v>703792</v>
          </cell>
          <cell r="B1457">
            <v>41579</v>
          </cell>
        </row>
        <row r="1458">
          <cell r="A1458">
            <v>703273</v>
          </cell>
          <cell r="B1458">
            <v>41579</v>
          </cell>
        </row>
        <row r="1459">
          <cell r="A1459">
            <v>703243</v>
          </cell>
          <cell r="B1459">
            <v>41579</v>
          </cell>
        </row>
        <row r="1460">
          <cell r="A1460">
            <v>702726</v>
          </cell>
          <cell r="B1460">
            <v>41579</v>
          </cell>
        </row>
        <row r="1461">
          <cell r="A1461">
            <v>702436</v>
          </cell>
          <cell r="B1461">
            <v>41579</v>
          </cell>
        </row>
        <row r="1462">
          <cell r="A1462">
            <v>702434</v>
          </cell>
          <cell r="B1462">
            <v>41579</v>
          </cell>
        </row>
        <row r="1463">
          <cell r="A1463">
            <v>702406</v>
          </cell>
          <cell r="B1463">
            <v>41579</v>
          </cell>
        </row>
        <row r="1464">
          <cell r="A1464">
            <v>702262</v>
          </cell>
          <cell r="B1464">
            <v>41579</v>
          </cell>
        </row>
        <row r="1465">
          <cell r="A1465">
            <v>701592</v>
          </cell>
          <cell r="B1465">
            <v>41579</v>
          </cell>
        </row>
        <row r="1466">
          <cell r="A1466">
            <v>701448</v>
          </cell>
          <cell r="B1466">
            <v>41579</v>
          </cell>
        </row>
        <row r="1467">
          <cell r="A1467">
            <v>700301</v>
          </cell>
          <cell r="B1467">
            <v>41579</v>
          </cell>
        </row>
        <row r="1468">
          <cell r="A1468">
            <v>700298</v>
          </cell>
          <cell r="B1468">
            <v>41579</v>
          </cell>
        </row>
        <row r="1469">
          <cell r="A1469">
            <v>700293</v>
          </cell>
          <cell r="B1469">
            <v>41579</v>
          </cell>
        </row>
        <row r="1470">
          <cell r="A1470">
            <v>700281</v>
          </cell>
          <cell r="B1470">
            <v>41579</v>
          </cell>
        </row>
        <row r="1471">
          <cell r="A1471">
            <v>700277</v>
          </cell>
          <cell r="B1471">
            <v>41579</v>
          </cell>
        </row>
        <row r="1472">
          <cell r="A1472">
            <v>700275</v>
          </cell>
          <cell r="B1472">
            <v>41579</v>
          </cell>
        </row>
        <row r="1473">
          <cell r="A1473">
            <v>700270</v>
          </cell>
          <cell r="B1473">
            <v>41579</v>
          </cell>
        </row>
        <row r="1474">
          <cell r="A1474">
            <v>700264</v>
          </cell>
          <cell r="B1474">
            <v>41579</v>
          </cell>
        </row>
        <row r="1475">
          <cell r="A1475">
            <v>700262</v>
          </cell>
          <cell r="B1475">
            <v>41579</v>
          </cell>
        </row>
        <row r="1476">
          <cell r="A1476">
            <v>700251</v>
          </cell>
          <cell r="B1476">
            <v>41579</v>
          </cell>
        </row>
        <row r="1477">
          <cell r="A1477">
            <v>700248</v>
          </cell>
          <cell r="B1477">
            <v>41579</v>
          </cell>
        </row>
        <row r="1478">
          <cell r="A1478">
            <v>700236</v>
          </cell>
          <cell r="B1478">
            <v>41579</v>
          </cell>
        </row>
        <row r="1479">
          <cell r="A1479">
            <v>700228</v>
          </cell>
          <cell r="B1479">
            <v>41579</v>
          </cell>
        </row>
        <row r="1480">
          <cell r="A1480">
            <v>700222</v>
          </cell>
          <cell r="B1480">
            <v>41579</v>
          </cell>
        </row>
        <row r="1481">
          <cell r="A1481">
            <v>700219</v>
          </cell>
          <cell r="B1481">
            <v>41579</v>
          </cell>
        </row>
        <row r="1482">
          <cell r="A1482">
            <v>700218</v>
          </cell>
          <cell r="B1482">
            <v>41579</v>
          </cell>
        </row>
        <row r="1483">
          <cell r="A1483">
            <v>700214</v>
          </cell>
          <cell r="B1483">
            <v>41579</v>
          </cell>
        </row>
        <row r="1484">
          <cell r="A1484">
            <v>700200</v>
          </cell>
          <cell r="B1484">
            <v>41579</v>
          </cell>
        </row>
        <row r="1485">
          <cell r="A1485">
            <v>700199</v>
          </cell>
          <cell r="B1485">
            <v>41579</v>
          </cell>
        </row>
        <row r="1486">
          <cell r="A1486">
            <v>700193</v>
          </cell>
          <cell r="B1486">
            <v>41579</v>
          </cell>
        </row>
        <row r="1487">
          <cell r="A1487">
            <v>700186</v>
          </cell>
          <cell r="B1487">
            <v>41579</v>
          </cell>
        </row>
        <row r="1488">
          <cell r="A1488">
            <v>700181</v>
          </cell>
          <cell r="B1488">
            <v>41579</v>
          </cell>
        </row>
        <row r="1489">
          <cell r="A1489">
            <v>700181</v>
          </cell>
          <cell r="B1489">
            <v>41579</v>
          </cell>
        </row>
        <row r="1490">
          <cell r="A1490">
            <v>700176</v>
          </cell>
          <cell r="B1490">
            <v>41579</v>
          </cell>
        </row>
        <row r="1491">
          <cell r="A1491">
            <v>700175</v>
          </cell>
          <cell r="B1491">
            <v>41579</v>
          </cell>
        </row>
        <row r="1492">
          <cell r="A1492">
            <v>700171</v>
          </cell>
          <cell r="B1492">
            <v>41579</v>
          </cell>
        </row>
        <row r="1493">
          <cell r="A1493">
            <v>700162</v>
          </cell>
          <cell r="B1493">
            <v>41579</v>
          </cell>
        </row>
        <row r="1494">
          <cell r="A1494">
            <v>700154</v>
          </cell>
          <cell r="B1494">
            <v>41579</v>
          </cell>
        </row>
        <row r="1495">
          <cell r="A1495">
            <v>700152</v>
          </cell>
          <cell r="B1495">
            <v>41579</v>
          </cell>
        </row>
        <row r="1496">
          <cell r="A1496">
            <v>700141</v>
          </cell>
          <cell r="B1496">
            <v>41579</v>
          </cell>
        </row>
        <row r="1497">
          <cell r="A1497">
            <v>700140</v>
          </cell>
          <cell r="B1497">
            <v>41579</v>
          </cell>
        </row>
        <row r="1498">
          <cell r="A1498">
            <v>700131</v>
          </cell>
          <cell r="B1498">
            <v>41579</v>
          </cell>
        </row>
        <row r="1499">
          <cell r="A1499">
            <v>700129</v>
          </cell>
          <cell r="B1499">
            <v>41640</v>
          </cell>
        </row>
        <row r="1500">
          <cell r="A1500">
            <v>700127</v>
          </cell>
          <cell r="B1500">
            <v>41579</v>
          </cell>
        </row>
        <row r="1501">
          <cell r="A1501">
            <v>700125</v>
          </cell>
          <cell r="B1501">
            <v>41579</v>
          </cell>
        </row>
        <row r="1502">
          <cell r="A1502">
            <v>700124</v>
          </cell>
          <cell r="B1502">
            <v>41579</v>
          </cell>
        </row>
        <row r="1503">
          <cell r="A1503">
            <v>700122</v>
          </cell>
          <cell r="B1503">
            <v>41579</v>
          </cell>
        </row>
        <row r="1504">
          <cell r="A1504">
            <v>700121</v>
          </cell>
          <cell r="B1504">
            <v>41579</v>
          </cell>
        </row>
        <row r="1505">
          <cell r="A1505">
            <v>700120</v>
          </cell>
          <cell r="B1505">
            <v>41579</v>
          </cell>
        </row>
        <row r="1506">
          <cell r="A1506">
            <v>700119</v>
          </cell>
          <cell r="B1506">
            <v>41579</v>
          </cell>
        </row>
        <row r="1507">
          <cell r="A1507">
            <v>700118</v>
          </cell>
          <cell r="B1507">
            <v>41579</v>
          </cell>
        </row>
        <row r="1508">
          <cell r="A1508">
            <v>700118</v>
          </cell>
          <cell r="B1508">
            <v>41579</v>
          </cell>
        </row>
        <row r="1509">
          <cell r="A1509">
            <v>700117</v>
          </cell>
          <cell r="B1509">
            <v>41579</v>
          </cell>
        </row>
        <row r="1510">
          <cell r="A1510">
            <v>700116</v>
          </cell>
          <cell r="B1510">
            <v>41579</v>
          </cell>
        </row>
        <row r="1511">
          <cell r="A1511">
            <v>700113</v>
          </cell>
          <cell r="B1511">
            <v>41579</v>
          </cell>
        </row>
        <row r="1512">
          <cell r="A1512">
            <v>700112</v>
          </cell>
          <cell r="B1512">
            <v>41579</v>
          </cell>
        </row>
        <row r="1513">
          <cell r="A1513">
            <v>700112</v>
          </cell>
          <cell r="B1513">
            <v>41579</v>
          </cell>
        </row>
        <row r="1514">
          <cell r="A1514">
            <v>700111</v>
          </cell>
          <cell r="B1514">
            <v>41579</v>
          </cell>
        </row>
        <row r="1515">
          <cell r="A1515">
            <v>700110</v>
          </cell>
          <cell r="B1515">
            <v>41579</v>
          </cell>
        </row>
        <row r="1516">
          <cell r="A1516">
            <v>700110</v>
          </cell>
          <cell r="B1516">
            <v>41579</v>
          </cell>
        </row>
        <row r="1517">
          <cell r="A1517">
            <v>700104</v>
          </cell>
          <cell r="B1517">
            <v>41579</v>
          </cell>
        </row>
        <row r="1518">
          <cell r="A1518">
            <v>700093</v>
          </cell>
          <cell r="B1518">
            <v>41579</v>
          </cell>
        </row>
        <row r="1519">
          <cell r="A1519">
            <v>700091</v>
          </cell>
          <cell r="B1519">
            <v>41579</v>
          </cell>
        </row>
        <row r="1520">
          <cell r="A1520">
            <v>700090</v>
          </cell>
          <cell r="B1520">
            <v>41579</v>
          </cell>
        </row>
        <row r="1521">
          <cell r="A1521">
            <v>700085</v>
          </cell>
          <cell r="B1521">
            <v>41579</v>
          </cell>
        </row>
        <row r="1522">
          <cell r="A1522">
            <v>700084</v>
          </cell>
          <cell r="B1522">
            <v>41579</v>
          </cell>
        </row>
        <row r="1523">
          <cell r="A1523">
            <v>700082</v>
          </cell>
          <cell r="B1523">
            <v>41579</v>
          </cell>
        </row>
        <row r="1524">
          <cell r="A1524">
            <v>700081</v>
          </cell>
          <cell r="B1524">
            <v>41579</v>
          </cell>
        </row>
        <row r="1525">
          <cell r="A1525">
            <v>700079</v>
          </cell>
          <cell r="B1525">
            <v>41579</v>
          </cell>
        </row>
        <row r="1526">
          <cell r="A1526">
            <v>700078</v>
          </cell>
          <cell r="B1526">
            <v>41579</v>
          </cell>
        </row>
        <row r="1527">
          <cell r="A1527">
            <v>700075</v>
          </cell>
          <cell r="B1527">
            <v>41579</v>
          </cell>
        </row>
        <row r="1528">
          <cell r="A1528">
            <v>700074</v>
          </cell>
          <cell r="B1528">
            <v>41579</v>
          </cell>
        </row>
        <row r="1529">
          <cell r="A1529">
            <v>700071</v>
          </cell>
          <cell r="B1529">
            <v>41579</v>
          </cell>
        </row>
        <row r="1530">
          <cell r="A1530">
            <v>700069</v>
          </cell>
          <cell r="B1530">
            <v>41579</v>
          </cell>
        </row>
        <row r="1531">
          <cell r="A1531">
            <v>700068</v>
          </cell>
          <cell r="B1531">
            <v>41579</v>
          </cell>
        </row>
        <row r="1532">
          <cell r="A1532">
            <v>700066</v>
          </cell>
          <cell r="B1532">
            <v>41579</v>
          </cell>
        </row>
        <row r="1533">
          <cell r="A1533">
            <v>700064</v>
          </cell>
          <cell r="B1533">
            <v>41579</v>
          </cell>
        </row>
        <row r="1534">
          <cell r="A1534">
            <v>700062</v>
          </cell>
          <cell r="B1534">
            <v>41579</v>
          </cell>
        </row>
        <row r="1535">
          <cell r="A1535">
            <v>700061</v>
          </cell>
          <cell r="B1535">
            <v>41579</v>
          </cell>
        </row>
        <row r="1536">
          <cell r="A1536">
            <v>700060</v>
          </cell>
          <cell r="B1536">
            <v>41579</v>
          </cell>
        </row>
        <row r="1537">
          <cell r="A1537">
            <v>700059</v>
          </cell>
          <cell r="B1537">
            <v>41579</v>
          </cell>
        </row>
        <row r="1538">
          <cell r="A1538">
            <v>700057</v>
          </cell>
          <cell r="B1538">
            <v>41579</v>
          </cell>
        </row>
        <row r="1539">
          <cell r="A1539">
            <v>700056</v>
          </cell>
          <cell r="B1539">
            <v>41579</v>
          </cell>
        </row>
        <row r="1540">
          <cell r="A1540">
            <v>700045</v>
          </cell>
          <cell r="B1540">
            <v>41579</v>
          </cell>
        </row>
        <row r="1541">
          <cell r="A1541">
            <v>700044</v>
          </cell>
          <cell r="B1541">
            <v>41579</v>
          </cell>
        </row>
        <row r="1542">
          <cell r="A1542">
            <v>700043</v>
          </cell>
          <cell r="B1542">
            <v>41579</v>
          </cell>
        </row>
        <row r="1543">
          <cell r="A1543">
            <v>700041</v>
          </cell>
          <cell r="B1543">
            <v>41579</v>
          </cell>
        </row>
        <row r="1544">
          <cell r="A1544">
            <v>700006</v>
          </cell>
          <cell r="B1544">
            <v>41579</v>
          </cell>
        </row>
        <row r="1545">
          <cell r="A1545">
            <v>700005</v>
          </cell>
          <cell r="B1545">
            <v>41579</v>
          </cell>
        </row>
        <row r="1546">
          <cell r="A1546">
            <v>700004</v>
          </cell>
          <cell r="B1546">
            <v>41579</v>
          </cell>
        </row>
        <row r="1547">
          <cell r="A1547">
            <v>700002</v>
          </cell>
          <cell r="B1547">
            <v>41579</v>
          </cell>
        </row>
        <row r="1548">
          <cell r="A1548">
            <v>700002</v>
          </cell>
          <cell r="B1548">
            <v>41579</v>
          </cell>
        </row>
        <row r="1549">
          <cell r="A1549">
            <v>699407</v>
          </cell>
          <cell r="B1549">
            <v>41579</v>
          </cell>
        </row>
        <row r="1550">
          <cell r="A1550">
            <v>699324</v>
          </cell>
          <cell r="B1550">
            <v>41579</v>
          </cell>
        </row>
        <row r="1551">
          <cell r="A1551">
            <v>698427</v>
          </cell>
          <cell r="B1551">
            <v>41579</v>
          </cell>
        </row>
        <row r="1552">
          <cell r="A1552">
            <v>698301</v>
          </cell>
          <cell r="B1552">
            <v>41579</v>
          </cell>
        </row>
        <row r="1553">
          <cell r="A1553">
            <v>698256</v>
          </cell>
          <cell r="B1553">
            <v>41640</v>
          </cell>
        </row>
        <row r="1554">
          <cell r="A1554">
            <v>698170</v>
          </cell>
          <cell r="B1554">
            <v>41579</v>
          </cell>
        </row>
        <row r="1555">
          <cell r="A1555">
            <v>698059</v>
          </cell>
          <cell r="B1555">
            <v>41579</v>
          </cell>
        </row>
        <row r="1556">
          <cell r="A1556">
            <v>697609</v>
          </cell>
          <cell r="B1556">
            <v>41579</v>
          </cell>
        </row>
        <row r="1557">
          <cell r="A1557">
            <v>696839</v>
          </cell>
          <cell r="B1557">
            <v>41579</v>
          </cell>
        </row>
        <row r="1558">
          <cell r="A1558">
            <v>696608</v>
          </cell>
          <cell r="B1558">
            <v>41579</v>
          </cell>
        </row>
        <row r="1559">
          <cell r="A1559">
            <v>696606</v>
          </cell>
          <cell r="B1559">
            <v>41579</v>
          </cell>
        </row>
        <row r="1560">
          <cell r="A1560">
            <v>696134</v>
          </cell>
          <cell r="B1560">
            <v>41579</v>
          </cell>
        </row>
        <row r="1561">
          <cell r="A1561">
            <v>695403</v>
          </cell>
          <cell r="B1561">
            <v>41579</v>
          </cell>
        </row>
        <row r="1562">
          <cell r="A1562">
            <v>694691</v>
          </cell>
          <cell r="B1562">
            <v>41579</v>
          </cell>
        </row>
        <row r="1563">
          <cell r="A1563">
            <v>694236</v>
          </cell>
          <cell r="B1563">
            <v>41579</v>
          </cell>
        </row>
        <row r="1564">
          <cell r="A1564">
            <v>694229</v>
          </cell>
          <cell r="B1564">
            <v>41579</v>
          </cell>
        </row>
        <row r="1565">
          <cell r="A1565">
            <v>694184</v>
          </cell>
          <cell r="B1565">
            <v>41579</v>
          </cell>
        </row>
        <row r="1566">
          <cell r="A1566">
            <v>693836</v>
          </cell>
          <cell r="B1566">
            <v>41579</v>
          </cell>
        </row>
        <row r="1567">
          <cell r="A1567">
            <v>693561</v>
          </cell>
          <cell r="B1567">
            <v>41579</v>
          </cell>
        </row>
        <row r="1568">
          <cell r="A1568">
            <v>693412</v>
          </cell>
          <cell r="B1568">
            <v>41579</v>
          </cell>
        </row>
        <row r="1569">
          <cell r="A1569">
            <v>693239</v>
          </cell>
          <cell r="B1569">
            <v>41579</v>
          </cell>
        </row>
        <row r="1570">
          <cell r="A1570">
            <v>693202</v>
          </cell>
          <cell r="B1570">
            <v>41579</v>
          </cell>
        </row>
        <row r="1571">
          <cell r="A1571">
            <v>692972</v>
          </cell>
          <cell r="B1571">
            <v>41579</v>
          </cell>
        </row>
        <row r="1572">
          <cell r="A1572">
            <v>692762</v>
          </cell>
          <cell r="B1572">
            <v>41579</v>
          </cell>
        </row>
        <row r="1573">
          <cell r="A1573">
            <v>692629</v>
          </cell>
          <cell r="B1573">
            <v>41579</v>
          </cell>
        </row>
        <row r="1574">
          <cell r="A1574">
            <v>691968</v>
          </cell>
          <cell r="B1574">
            <v>41579</v>
          </cell>
        </row>
        <row r="1575">
          <cell r="A1575">
            <v>691761</v>
          </cell>
          <cell r="B1575">
            <v>41579</v>
          </cell>
        </row>
        <row r="1576">
          <cell r="A1576">
            <v>691761</v>
          </cell>
          <cell r="B1576">
            <v>41579</v>
          </cell>
        </row>
        <row r="1577">
          <cell r="A1577">
            <v>691599</v>
          </cell>
          <cell r="B1577">
            <v>41579</v>
          </cell>
        </row>
        <row r="1578">
          <cell r="A1578">
            <v>691334</v>
          </cell>
          <cell r="B1578">
            <v>41579</v>
          </cell>
        </row>
        <row r="1579">
          <cell r="A1579">
            <v>691264</v>
          </cell>
          <cell r="B1579">
            <v>41579</v>
          </cell>
        </row>
        <row r="1580">
          <cell r="A1580">
            <v>691058</v>
          </cell>
          <cell r="B1580">
            <v>41579</v>
          </cell>
        </row>
        <row r="1581">
          <cell r="A1581">
            <v>690808</v>
          </cell>
          <cell r="B1581">
            <v>41579</v>
          </cell>
        </row>
        <row r="1582">
          <cell r="A1582">
            <v>689915</v>
          </cell>
          <cell r="B1582">
            <v>41579</v>
          </cell>
        </row>
        <row r="1583">
          <cell r="A1583">
            <v>689892</v>
          </cell>
          <cell r="B1583">
            <v>41579</v>
          </cell>
        </row>
        <row r="1584">
          <cell r="A1584">
            <v>689722</v>
          </cell>
          <cell r="B1584">
            <v>41579</v>
          </cell>
        </row>
        <row r="1585">
          <cell r="A1585">
            <v>689386</v>
          </cell>
          <cell r="B1585">
            <v>41579</v>
          </cell>
        </row>
        <row r="1586">
          <cell r="A1586">
            <v>688687</v>
          </cell>
          <cell r="B1586">
            <v>41579</v>
          </cell>
        </row>
        <row r="1587">
          <cell r="A1587">
            <v>687368</v>
          </cell>
          <cell r="B1587">
            <v>41579</v>
          </cell>
        </row>
        <row r="1588">
          <cell r="A1588">
            <v>687357</v>
          </cell>
          <cell r="B1588">
            <v>41579</v>
          </cell>
        </row>
        <row r="1589">
          <cell r="A1589">
            <v>687356</v>
          </cell>
          <cell r="B1589">
            <v>41579</v>
          </cell>
        </row>
        <row r="1590">
          <cell r="A1590">
            <v>687351</v>
          </cell>
          <cell r="B1590">
            <v>41579</v>
          </cell>
        </row>
        <row r="1591">
          <cell r="A1591">
            <v>686118</v>
          </cell>
          <cell r="B1591" t="str">
            <v>PAS DE COUT ADDITIONNEL</v>
          </cell>
        </row>
        <row r="1592">
          <cell r="A1592">
            <v>686118</v>
          </cell>
          <cell r="B1592" t="str">
            <v>PAS DE COUT ADDITIONNEL</v>
          </cell>
        </row>
        <row r="1593">
          <cell r="A1593">
            <v>686118</v>
          </cell>
          <cell r="B1593" t="str">
            <v>PAS DE COUT ADDITIONNEL</v>
          </cell>
        </row>
        <row r="1594">
          <cell r="A1594">
            <v>686118</v>
          </cell>
          <cell r="B1594" t="str">
            <v>PAS DE COUT ADDITIONNEL</v>
          </cell>
        </row>
        <row r="1595">
          <cell r="A1595">
            <v>686118</v>
          </cell>
          <cell r="B1595" t="str">
            <v>PAS DE COUT ADDITIONNEL</v>
          </cell>
        </row>
        <row r="1596">
          <cell r="A1596">
            <v>686118</v>
          </cell>
          <cell r="B1596" t="str">
            <v>PAS DE COUT ADDITIONNEL</v>
          </cell>
        </row>
        <row r="1597">
          <cell r="A1597">
            <v>686118</v>
          </cell>
          <cell r="B1597" t="str">
            <v>PAS DE COUT ADDITIONNEL</v>
          </cell>
        </row>
        <row r="1598">
          <cell r="A1598">
            <v>686118</v>
          </cell>
          <cell r="B1598" t="str">
            <v>PAS DE COUT ADDITIONNEL</v>
          </cell>
        </row>
        <row r="1599">
          <cell r="A1599">
            <v>686118</v>
          </cell>
          <cell r="B1599" t="str">
            <v>PAS DE COUT ADDITIONNEL</v>
          </cell>
        </row>
        <row r="1600">
          <cell r="A1600">
            <v>686118</v>
          </cell>
          <cell r="B1600" t="str">
            <v>PAS DE COUT ADDITIONNEL</v>
          </cell>
        </row>
        <row r="1601">
          <cell r="A1601">
            <v>685773</v>
          </cell>
          <cell r="B1601">
            <v>41579</v>
          </cell>
        </row>
        <row r="1602">
          <cell r="A1602">
            <v>685585</v>
          </cell>
          <cell r="B1602">
            <v>41579</v>
          </cell>
        </row>
        <row r="1603">
          <cell r="A1603">
            <v>685247</v>
          </cell>
          <cell r="B1603">
            <v>41579</v>
          </cell>
        </row>
        <row r="1604">
          <cell r="A1604">
            <v>684424</v>
          </cell>
          <cell r="B1604">
            <v>41579</v>
          </cell>
        </row>
        <row r="1605">
          <cell r="A1605">
            <v>684393</v>
          </cell>
          <cell r="B1605">
            <v>41579</v>
          </cell>
        </row>
        <row r="1606">
          <cell r="A1606">
            <v>684353</v>
          </cell>
          <cell r="B1606">
            <v>41579</v>
          </cell>
        </row>
        <row r="1607">
          <cell r="A1607">
            <v>684308</v>
          </cell>
          <cell r="B1607">
            <v>41579</v>
          </cell>
        </row>
        <row r="1608">
          <cell r="A1608">
            <v>684055</v>
          </cell>
          <cell r="B1608">
            <v>41579</v>
          </cell>
        </row>
        <row r="1609">
          <cell r="A1609">
            <v>684049</v>
          </cell>
          <cell r="B1609">
            <v>41579</v>
          </cell>
        </row>
        <row r="1610">
          <cell r="A1610">
            <v>683948</v>
          </cell>
          <cell r="B1610">
            <v>41579</v>
          </cell>
        </row>
        <row r="1611">
          <cell r="A1611">
            <v>682929</v>
          </cell>
          <cell r="B1611">
            <v>41579</v>
          </cell>
        </row>
        <row r="1612">
          <cell r="A1612">
            <v>682519</v>
          </cell>
          <cell r="B1612">
            <v>41579</v>
          </cell>
        </row>
        <row r="1613">
          <cell r="A1613">
            <v>681976</v>
          </cell>
          <cell r="B1613">
            <v>41579</v>
          </cell>
        </row>
        <row r="1614">
          <cell r="A1614">
            <v>681975</v>
          </cell>
          <cell r="B1614">
            <v>41579</v>
          </cell>
        </row>
        <row r="1615">
          <cell r="A1615">
            <v>681515</v>
          </cell>
          <cell r="B1615">
            <v>41579</v>
          </cell>
        </row>
        <row r="1616">
          <cell r="A1616">
            <v>681515</v>
          </cell>
          <cell r="B1616">
            <v>41579</v>
          </cell>
        </row>
        <row r="1617">
          <cell r="A1617">
            <v>681160</v>
          </cell>
          <cell r="B1617">
            <v>41579</v>
          </cell>
        </row>
        <row r="1618">
          <cell r="A1618">
            <v>680710</v>
          </cell>
          <cell r="B1618">
            <v>41579</v>
          </cell>
        </row>
        <row r="1619">
          <cell r="A1619">
            <v>680678</v>
          </cell>
          <cell r="B1619">
            <v>41579</v>
          </cell>
        </row>
        <row r="1620">
          <cell r="A1620">
            <v>680629</v>
          </cell>
          <cell r="B1620">
            <v>41579</v>
          </cell>
        </row>
        <row r="1621">
          <cell r="A1621">
            <v>680263</v>
          </cell>
          <cell r="B1621">
            <v>41579</v>
          </cell>
        </row>
        <row r="1622">
          <cell r="A1622">
            <v>680100</v>
          </cell>
          <cell r="B1622">
            <v>41579</v>
          </cell>
        </row>
        <row r="1623">
          <cell r="A1623">
            <v>680021</v>
          </cell>
          <cell r="B1623">
            <v>41579</v>
          </cell>
        </row>
        <row r="1624">
          <cell r="A1624">
            <v>679894</v>
          </cell>
          <cell r="B1624">
            <v>41579</v>
          </cell>
        </row>
        <row r="1625">
          <cell r="A1625">
            <v>679893</v>
          </cell>
          <cell r="B1625">
            <v>41579</v>
          </cell>
        </row>
        <row r="1626">
          <cell r="A1626">
            <v>679017</v>
          </cell>
          <cell r="B1626">
            <v>41579</v>
          </cell>
        </row>
        <row r="1627">
          <cell r="A1627">
            <v>678513</v>
          </cell>
          <cell r="B1627">
            <v>41579</v>
          </cell>
        </row>
        <row r="1628">
          <cell r="A1628">
            <v>676932</v>
          </cell>
          <cell r="B1628">
            <v>41579</v>
          </cell>
        </row>
        <row r="1629">
          <cell r="A1629">
            <v>676925</v>
          </cell>
          <cell r="B1629">
            <v>41579</v>
          </cell>
        </row>
        <row r="1630">
          <cell r="A1630">
            <v>676884</v>
          </cell>
          <cell r="B1630">
            <v>41579</v>
          </cell>
        </row>
        <row r="1631">
          <cell r="A1631">
            <v>676828</v>
          </cell>
          <cell r="B1631">
            <v>41579</v>
          </cell>
        </row>
        <row r="1632">
          <cell r="A1632">
            <v>676819</v>
          </cell>
          <cell r="B1632">
            <v>41579</v>
          </cell>
        </row>
        <row r="1633">
          <cell r="A1633">
            <v>676532</v>
          </cell>
          <cell r="B1633">
            <v>41579</v>
          </cell>
        </row>
        <row r="1634">
          <cell r="A1634">
            <v>676356</v>
          </cell>
          <cell r="B1634">
            <v>41579</v>
          </cell>
        </row>
        <row r="1635">
          <cell r="A1635">
            <v>676092</v>
          </cell>
          <cell r="B1635">
            <v>41579</v>
          </cell>
        </row>
        <row r="1636">
          <cell r="A1636">
            <v>675991</v>
          </cell>
          <cell r="B1636">
            <v>41579</v>
          </cell>
        </row>
        <row r="1637">
          <cell r="A1637">
            <v>675964</v>
          </cell>
          <cell r="B1637">
            <v>41579</v>
          </cell>
        </row>
        <row r="1638">
          <cell r="A1638">
            <v>675802</v>
          </cell>
          <cell r="B1638">
            <v>41579</v>
          </cell>
        </row>
        <row r="1639">
          <cell r="A1639">
            <v>675790</v>
          </cell>
          <cell r="B1639">
            <v>41579</v>
          </cell>
        </row>
        <row r="1640">
          <cell r="A1640">
            <v>675444</v>
          </cell>
          <cell r="B1640">
            <v>41579</v>
          </cell>
        </row>
        <row r="1641">
          <cell r="A1641">
            <v>675143</v>
          </cell>
          <cell r="B1641">
            <v>41579</v>
          </cell>
        </row>
        <row r="1642">
          <cell r="A1642">
            <v>675100</v>
          </cell>
          <cell r="B1642">
            <v>41579</v>
          </cell>
        </row>
        <row r="1643">
          <cell r="A1643">
            <v>674969</v>
          </cell>
          <cell r="B1643">
            <v>41579</v>
          </cell>
        </row>
        <row r="1644">
          <cell r="A1644">
            <v>674793</v>
          </cell>
          <cell r="B1644">
            <v>41579</v>
          </cell>
        </row>
        <row r="1645">
          <cell r="A1645">
            <v>674325</v>
          </cell>
          <cell r="B1645">
            <v>41579</v>
          </cell>
        </row>
        <row r="1646">
          <cell r="A1646">
            <v>674302</v>
          </cell>
          <cell r="B1646">
            <v>41579</v>
          </cell>
        </row>
        <row r="1647">
          <cell r="A1647">
            <v>674283</v>
          </cell>
          <cell r="B1647">
            <v>41579</v>
          </cell>
        </row>
        <row r="1648">
          <cell r="A1648">
            <v>649168</v>
          </cell>
          <cell r="B1648">
            <v>41579</v>
          </cell>
        </row>
        <row r="1649">
          <cell r="A1649">
            <v>648996</v>
          </cell>
          <cell r="B1649">
            <v>41579</v>
          </cell>
        </row>
        <row r="1650">
          <cell r="A1650">
            <v>648637</v>
          </cell>
          <cell r="B1650">
            <v>41579</v>
          </cell>
        </row>
        <row r="1651">
          <cell r="A1651">
            <v>648547</v>
          </cell>
          <cell r="B1651">
            <v>41579</v>
          </cell>
        </row>
        <row r="1652">
          <cell r="A1652">
            <v>646829</v>
          </cell>
          <cell r="B1652">
            <v>41579</v>
          </cell>
        </row>
        <row r="1653">
          <cell r="A1653">
            <v>646005</v>
          </cell>
          <cell r="B1653">
            <v>41579</v>
          </cell>
        </row>
        <row r="1654">
          <cell r="A1654">
            <v>645946</v>
          </cell>
          <cell r="B1654">
            <v>41579</v>
          </cell>
        </row>
        <row r="1655">
          <cell r="A1655">
            <v>645467</v>
          </cell>
          <cell r="B1655" t="str">
            <v>PAS DE COUT ADDITIONNEL</v>
          </cell>
        </row>
        <row r="1656">
          <cell r="A1656">
            <v>644768</v>
          </cell>
          <cell r="B1656">
            <v>41579</v>
          </cell>
        </row>
        <row r="1657">
          <cell r="A1657">
            <v>643992</v>
          </cell>
          <cell r="B1657">
            <v>41579</v>
          </cell>
        </row>
        <row r="1658">
          <cell r="A1658">
            <v>642928</v>
          </cell>
          <cell r="B1658">
            <v>41579</v>
          </cell>
        </row>
        <row r="1659">
          <cell r="A1659">
            <v>642157</v>
          </cell>
          <cell r="B1659">
            <v>41579</v>
          </cell>
        </row>
        <row r="1660">
          <cell r="A1660">
            <v>642059</v>
          </cell>
          <cell r="B1660">
            <v>41579</v>
          </cell>
        </row>
        <row r="1661">
          <cell r="A1661">
            <v>641913</v>
          </cell>
          <cell r="B1661">
            <v>41579</v>
          </cell>
        </row>
        <row r="1662">
          <cell r="A1662">
            <v>641582</v>
          </cell>
          <cell r="B1662">
            <v>41579</v>
          </cell>
        </row>
        <row r="1663">
          <cell r="A1663">
            <v>641580</v>
          </cell>
          <cell r="B1663">
            <v>41579</v>
          </cell>
        </row>
        <row r="1664">
          <cell r="A1664">
            <v>641371</v>
          </cell>
          <cell r="B1664">
            <v>41579</v>
          </cell>
        </row>
        <row r="1665">
          <cell r="A1665">
            <v>641167</v>
          </cell>
          <cell r="B1665">
            <v>41579</v>
          </cell>
        </row>
        <row r="1666">
          <cell r="A1666">
            <v>641009</v>
          </cell>
          <cell r="B1666">
            <v>41579</v>
          </cell>
        </row>
        <row r="1667">
          <cell r="A1667">
            <v>640871</v>
          </cell>
          <cell r="B1667">
            <v>41579</v>
          </cell>
        </row>
        <row r="1668">
          <cell r="A1668">
            <v>640671</v>
          </cell>
          <cell r="B1668">
            <v>41579</v>
          </cell>
        </row>
        <row r="1669">
          <cell r="A1669">
            <v>640573</v>
          </cell>
          <cell r="B1669">
            <v>41579</v>
          </cell>
        </row>
        <row r="1670">
          <cell r="A1670">
            <v>639696</v>
          </cell>
          <cell r="B1670">
            <v>41579</v>
          </cell>
        </row>
        <row r="1671">
          <cell r="A1671">
            <v>639481</v>
          </cell>
          <cell r="B1671">
            <v>41579</v>
          </cell>
        </row>
        <row r="1672">
          <cell r="A1672">
            <v>638538</v>
          </cell>
          <cell r="B1672">
            <v>41579</v>
          </cell>
        </row>
        <row r="1673">
          <cell r="A1673">
            <v>638443</v>
          </cell>
          <cell r="B1673">
            <v>41579</v>
          </cell>
        </row>
        <row r="1674">
          <cell r="A1674">
            <v>638441</v>
          </cell>
          <cell r="B1674">
            <v>41579</v>
          </cell>
        </row>
        <row r="1675">
          <cell r="A1675">
            <v>638103</v>
          </cell>
          <cell r="B1675">
            <v>41579</v>
          </cell>
        </row>
        <row r="1676">
          <cell r="A1676">
            <v>638102</v>
          </cell>
          <cell r="B1676">
            <v>41579</v>
          </cell>
        </row>
        <row r="1677">
          <cell r="A1677">
            <v>638101</v>
          </cell>
          <cell r="B1677">
            <v>41579</v>
          </cell>
        </row>
        <row r="1678">
          <cell r="A1678">
            <v>638100</v>
          </cell>
          <cell r="B1678">
            <v>41579</v>
          </cell>
        </row>
        <row r="1679">
          <cell r="A1679">
            <v>637810</v>
          </cell>
          <cell r="B1679">
            <v>41579</v>
          </cell>
        </row>
        <row r="1680">
          <cell r="A1680">
            <v>637621</v>
          </cell>
          <cell r="B1680">
            <v>41579</v>
          </cell>
        </row>
        <row r="1681">
          <cell r="A1681">
            <v>637361</v>
          </cell>
          <cell r="B1681">
            <v>41579</v>
          </cell>
        </row>
        <row r="1682">
          <cell r="A1682">
            <v>637360</v>
          </cell>
          <cell r="B1682">
            <v>41579</v>
          </cell>
        </row>
        <row r="1683">
          <cell r="A1683">
            <v>637335</v>
          </cell>
          <cell r="B1683">
            <v>41579</v>
          </cell>
        </row>
        <row r="1684">
          <cell r="A1684">
            <v>637183</v>
          </cell>
          <cell r="B1684">
            <v>41579</v>
          </cell>
        </row>
        <row r="1685">
          <cell r="A1685">
            <v>636743</v>
          </cell>
          <cell r="B1685">
            <v>41579</v>
          </cell>
        </row>
        <row r="1686">
          <cell r="A1686">
            <v>636265</v>
          </cell>
          <cell r="B1686">
            <v>41579</v>
          </cell>
        </row>
        <row r="1687">
          <cell r="A1687">
            <v>636013</v>
          </cell>
          <cell r="B1687">
            <v>41579</v>
          </cell>
        </row>
        <row r="1688">
          <cell r="A1688">
            <v>635964</v>
          </cell>
          <cell r="B1688">
            <v>41579</v>
          </cell>
        </row>
        <row r="1689">
          <cell r="A1689">
            <v>635963</v>
          </cell>
          <cell r="B1689">
            <v>41579</v>
          </cell>
        </row>
        <row r="1690">
          <cell r="A1690">
            <v>635962</v>
          </cell>
          <cell r="B1690">
            <v>41579</v>
          </cell>
        </row>
        <row r="1691">
          <cell r="A1691">
            <v>635644</v>
          </cell>
          <cell r="B1691">
            <v>41579</v>
          </cell>
        </row>
        <row r="1692">
          <cell r="A1692">
            <v>635584</v>
          </cell>
          <cell r="B1692">
            <v>41579</v>
          </cell>
        </row>
        <row r="1693">
          <cell r="A1693">
            <v>634960</v>
          </cell>
          <cell r="B1693">
            <v>41579</v>
          </cell>
        </row>
        <row r="1694">
          <cell r="A1694">
            <v>634454</v>
          </cell>
          <cell r="B1694">
            <v>41579</v>
          </cell>
        </row>
        <row r="1695">
          <cell r="A1695">
            <v>634065</v>
          </cell>
          <cell r="B1695">
            <v>41579</v>
          </cell>
        </row>
        <row r="1696">
          <cell r="A1696">
            <v>633751</v>
          </cell>
          <cell r="B1696">
            <v>41579</v>
          </cell>
        </row>
        <row r="1697">
          <cell r="A1697">
            <v>633716</v>
          </cell>
          <cell r="B1697">
            <v>41579</v>
          </cell>
        </row>
        <row r="1698">
          <cell r="A1698">
            <v>633713</v>
          </cell>
          <cell r="B1698">
            <v>41579</v>
          </cell>
        </row>
        <row r="1699">
          <cell r="A1699">
            <v>633712</v>
          </cell>
          <cell r="B1699">
            <v>41579</v>
          </cell>
        </row>
        <row r="1700">
          <cell r="A1700">
            <v>633283</v>
          </cell>
          <cell r="B1700">
            <v>41579</v>
          </cell>
        </row>
        <row r="1701">
          <cell r="A1701">
            <v>633240</v>
          </cell>
          <cell r="B1701">
            <v>41579</v>
          </cell>
        </row>
        <row r="1702">
          <cell r="A1702">
            <v>632661</v>
          </cell>
          <cell r="B1702">
            <v>41579</v>
          </cell>
        </row>
        <row r="1703">
          <cell r="A1703">
            <v>632646</v>
          </cell>
          <cell r="B1703">
            <v>41579</v>
          </cell>
        </row>
        <row r="1704">
          <cell r="A1704">
            <v>632132</v>
          </cell>
          <cell r="B1704">
            <v>41579</v>
          </cell>
        </row>
        <row r="1705">
          <cell r="A1705">
            <v>631778</v>
          </cell>
          <cell r="B1705">
            <v>41579</v>
          </cell>
        </row>
        <row r="1706">
          <cell r="A1706">
            <v>631777</v>
          </cell>
          <cell r="B1706">
            <v>41579</v>
          </cell>
        </row>
        <row r="1707">
          <cell r="A1707">
            <v>631775</v>
          </cell>
          <cell r="B1707">
            <v>41579</v>
          </cell>
        </row>
        <row r="1708">
          <cell r="A1708">
            <v>631638</v>
          </cell>
          <cell r="B1708">
            <v>41579</v>
          </cell>
        </row>
        <row r="1709">
          <cell r="A1709">
            <v>631584</v>
          </cell>
          <cell r="B1709">
            <v>41579</v>
          </cell>
        </row>
        <row r="1710">
          <cell r="A1710">
            <v>631534</v>
          </cell>
          <cell r="B1710">
            <v>41579</v>
          </cell>
        </row>
        <row r="1711">
          <cell r="A1711">
            <v>631526</v>
          </cell>
          <cell r="B1711">
            <v>41579</v>
          </cell>
        </row>
        <row r="1712">
          <cell r="A1712">
            <v>631305</v>
          </cell>
          <cell r="B1712">
            <v>41579</v>
          </cell>
        </row>
        <row r="1713">
          <cell r="A1713">
            <v>631202</v>
          </cell>
          <cell r="B1713">
            <v>41579</v>
          </cell>
        </row>
        <row r="1714">
          <cell r="A1714">
            <v>631199</v>
          </cell>
          <cell r="B1714">
            <v>41579</v>
          </cell>
        </row>
        <row r="1715">
          <cell r="A1715">
            <v>631189</v>
          </cell>
          <cell r="B1715">
            <v>41579</v>
          </cell>
        </row>
        <row r="1716">
          <cell r="A1716">
            <v>630985</v>
          </cell>
          <cell r="B1716">
            <v>41579</v>
          </cell>
        </row>
        <row r="1717">
          <cell r="A1717">
            <v>630807</v>
          </cell>
          <cell r="B1717">
            <v>41579</v>
          </cell>
        </row>
        <row r="1718">
          <cell r="A1718">
            <v>630711</v>
          </cell>
          <cell r="B1718">
            <v>41579</v>
          </cell>
        </row>
        <row r="1719">
          <cell r="A1719">
            <v>630596</v>
          </cell>
          <cell r="B1719">
            <v>41579</v>
          </cell>
        </row>
        <row r="1720">
          <cell r="A1720">
            <v>630204</v>
          </cell>
          <cell r="B1720">
            <v>41579</v>
          </cell>
        </row>
        <row r="1721">
          <cell r="A1721">
            <v>630059</v>
          </cell>
          <cell r="B1721">
            <v>41579</v>
          </cell>
        </row>
        <row r="1722">
          <cell r="A1722">
            <v>630057</v>
          </cell>
          <cell r="B1722">
            <v>41579</v>
          </cell>
        </row>
        <row r="1723">
          <cell r="A1723">
            <v>629860</v>
          </cell>
          <cell r="B1723">
            <v>41579</v>
          </cell>
        </row>
        <row r="1724">
          <cell r="A1724">
            <v>629779</v>
          </cell>
          <cell r="B1724">
            <v>41579</v>
          </cell>
        </row>
        <row r="1725">
          <cell r="A1725">
            <v>629778</v>
          </cell>
          <cell r="B1725">
            <v>41579</v>
          </cell>
        </row>
        <row r="1726">
          <cell r="A1726">
            <v>629777</v>
          </cell>
          <cell r="B1726">
            <v>41579</v>
          </cell>
        </row>
        <row r="1727">
          <cell r="A1727">
            <v>629568</v>
          </cell>
          <cell r="B1727">
            <v>41579</v>
          </cell>
        </row>
        <row r="1728">
          <cell r="A1728">
            <v>629563</v>
          </cell>
          <cell r="B1728">
            <v>41640</v>
          </cell>
        </row>
        <row r="1729">
          <cell r="A1729">
            <v>629562</v>
          </cell>
          <cell r="B1729">
            <v>41579</v>
          </cell>
        </row>
        <row r="1730">
          <cell r="A1730">
            <v>629561</v>
          </cell>
          <cell r="B1730">
            <v>41579</v>
          </cell>
        </row>
        <row r="1731">
          <cell r="A1731">
            <v>629478</v>
          </cell>
          <cell r="B1731">
            <v>41579</v>
          </cell>
        </row>
        <row r="1732">
          <cell r="A1732">
            <v>629356</v>
          </cell>
          <cell r="B1732">
            <v>41579</v>
          </cell>
        </row>
        <row r="1733">
          <cell r="A1733">
            <v>629254</v>
          </cell>
          <cell r="B1733">
            <v>41579</v>
          </cell>
        </row>
        <row r="1734">
          <cell r="A1734">
            <v>629254</v>
          </cell>
          <cell r="B1734">
            <v>41579</v>
          </cell>
        </row>
        <row r="1735">
          <cell r="A1735">
            <v>628985</v>
          </cell>
          <cell r="B1735">
            <v>41579</v>
          </cell>
        </row>
        <row r="1736">
          <cell r="A1736">
            <v>628838</v>
          </cell>
          <cell r="B1736">
            <v>41579</v>
          </cell>
        </row>
        <row r="1737">
          <cell r="A1737">
            <v>628614</v>
          </cell>
          <cell r="B1737">
            <v>41579</v>
          </cell>
        </row>
        <row r="1738">
          <cell r="A1738">
            <v>628547</v>
          </cell>
          <cell r="B1738">
            <v>41579</v>
          </cell>
        </row>
        <row r="1739">
          <cell r="A1739">
            <v>628382</v>
          </cell>
          <cell r="B1739">
            <v>41640</v>
          </cell>
        </row>
        <row r="1740">
          <cell r="A1740">
            <v>628381</v>
          </cell>
          <cell r="B1740">
            <v>41579</v>
          </cell>
        </row>
        <row r="1741">
          <cell r="A1741">
            <v>628260</v>
          </cell>
          <cell r="B1741">
            <v>41579</v>
          </cell>
        </row>
        <row r="1742">
          <cell r="A1742">
            <v>628007</v>
          </cell>
          <cell r="B1742">
            <v>41579</v>
          </cell>
        </row>
        <row r="1743">
          <cell r="A1743">
            <v>627871</v>
          </cell>
          <cell r="B1743">
            <v>41579</v>
          </cell>
        </row>
        <row r="1744">
          <cell r="A1744">
            <v>627706</v>
          </cell>
          <cell r="B1744">
            <v>41579</v>
          </cell>
        </row>
        <row r="1745">
          <cell r="A1745">
            <v>627656</v>
          </cell>
          <cell r="B1745">
            <v>41579</v>
          </cell>
        </row>
        <row r="1746">
          <cell r="A1746">
            <v>627436</v>
          </cell>
          <cell r="B1746">
            <v>41579</v>
          </cell>
        </row>
        <row r="1747">
          <cell r="A1747">
            <v>627067</v>
          </cell>
          <cell r="B1747">
            <v>41579</v>
          </cell>
        </row>
        <row r="1748">
          <cell r="A1748">
            <v>627042</v>
          </cell>
          <cell r="B1748">
            <v>41579</v>
          </cell>
        </row>
        <row r="1749">
          <cell r="A1749">
            <v>627042</v>
          </cell>
          <cell r="B1749">
            <v>41579</v>
          </cell>
        </row>
        <row r="1750">
          <cell r="A1750">
            <v>627038</v>
          </cell>
          <cell r="B1750">
            <v>41579</v>
          </cell>
        </row>
        <row r="1751">
          <cell r="A1751">
            <v>627037</v>
          </cell>
          <cell r="B1751">
            <v>41579</v>
          </cell>
        </row>
        <row r="1752">
          <cell r="A1752">
            <v>627025</v>
          </cell>
          <cell r="B1752">
            <v>41579</v>
          </cell>
        </row>
        <row r="1753">
          <cell r="A1753">
            <v>627010</v>
          </cell>
          <cell r="B1753">
            <v>41579</v>
          </cell>
        </row>
        <row r="1754">
          <cell r="A1754">
            <v>627004</v>
          </cell>
          <cell r="B1754">
            <v>41579</v>
          </cell>
        </row>
        <row r="1755">
          <cell r="A1755">
            <v>626927</v>
          </cell>
          <cell r="B1755">
            <v>41579</v>
          </cell>
        </row>
        <row r="1756">
          <cell r="A1756">
            <v>626811</v>
          </cell>
          <cell r="B1756">
            <v>41579</v>
          </cell>
        </row>
        <row r="1757">
          <cell r="A1757">
            <v>626518</v>
          </cell>
          <cell r="B1757">
            <v>41579</v>
          </cell>
        </row>
        <row r="1758">
          <cell r="A1758">
            <v>626169</v>
          </cell>
          <cell r="B1758">
            <v>41579</v>
          </cell>
        </row>
        <row r="1759">
          <cell r="A1759">
            <v>626168</v>
          </cell>
          <cell r="B1759">
            <v>41579</v>
          </cell>
        </row>
        <row r="1760">
          <cell r="A1760">
            <v>626130</v>
          </cell>
          <cell r="B1760">
            <v>41579</v>
          </cell>
        </row>
        <row r="1761">
          <cell r="A1761">
            <v>626103</v>
          </cell>
          <cell r="B1761">
            <v>41579</v>
          </cell>
        </row>
        <row r="1762">
          <cell r="A1762">
            <v>624976</v>
          </cell>
          <cell r="B1762">
            <v>41579</v>
          </cell>
        </row>
        <row r="1763">
          <cell r="A1763">
            <v>624891</v>
          </cell>
          <cell r="B1763">
            <v>41579</v>
          </cell>
        </row>
        <row r="1764">
          <cell r="A1764">
            <v>624878</v>
          </cell>
          <cell r="B1764">
            <v>41579</v>
          </cell>
        </row>
        <row r="1765">
          <cell r="A1765">
            <v>624740</v>
          </cell>
          <cell r="B1765">
            <v>41579</v>
          </cell>
        </row>
        <row r="1766">
          <cell r="A1766">
            <v>624695</v>
          </cell>
          <cell r="B1766">
            <v>41579</v>
          </cell>
        </row>
        <row r="1767">
          <cell r="A1767">
            <v>624567</v>
          </cell>
          <cell r="B1767">
            <v>41579</v>
          </cell>
        </row>
        <row r="1768">
          <cell r="A1768">
            <v>624076</v>
          </cell>
          <cell r="B1768">
            <v>41579</v>
          </cell>
        </row>
        <row r="1769">
          <cell r="A1769">
            <v>624004</v>
          </cell>
          <cell r="B1769">
            <v>41579</v>
          </cell>
        </row>
        <row r="1770">
          <cell r="A1770">
            <v>624004</v>
          </cell>
          <cell r="B1770">
            <v>41579</v>
          </cell>
        </row>
        <row r="1771">
          <cell r="A1771">
            <v>623972</v>
          </cell>
          <cell r="B1771">
            <v>41579</v>
          </cell>
        </row>
        <row r="1772">
          <cell r="A1772">
            <v>623678</v>
          </cell>
          <cell r="B1772">
            <v>41579</v>
          </cell>
        </row>
        <row r="1773">
          <cell r="A1773">
            <v>623423</v>
          </cell>
          <cell r="B1773">
            <v>41579</v>
          </cell>
        </row>
        <row r="1774">
          <cell r="A1774">
            <v>623190</v>
          </cell>
          <cell r="B1774">
            <v>41640</v>
          </cell>
        </row>
        <row r="1775">
          <cell r="A1775">
            <v>623178</v>
          </cell>
          <cell r="B1775">
            <v>41579</v>
          </cell>
        </row>
        <row r="1776">
          <cell r="A1776">
            <v>623126</v>
          </cell>
          <cell r="B1776">
            <v>41579</v>
          </cell>
        </row>
        <row r="1777">
          <cell r="A1777">
            <v>623074</v>
          </cell>
          <cell r="B1777">
            <v>41579</v>
          </cell>
        </row>
        <row r="1778">
          <cell r="A1778">
            <v>622549</v>
          </cell>
          <cell r="B1778">
            <v>41579</v>
          </cell>
        </row>
        <row r="1779">
          <cell r="A1779">
            <v>622538</v>
          </cell>
          <cell r="B1779">
            <v>41579</v>
          </cell>
        </row>
        <row r="1780">
          <cell r="A1780">
            <v>622442</v>
          </cell>
          <cell r="B1780">
            <v>41579</v>
          </cell>
        </row>
        <row r="1781">
          <cell r="A1781">
            <v>617578</v>
          </cell>
          <cell r="B1781">
            <v>41579</v>
          </cell>
        </row>
        <row r="1782">
          <cell r="A1782">
            <v>617167</v>
          </cell>
          <cell r="B1782">
            <v>41579</v>
          </cell>
        </row>
        <row r="1783">
          <cell r="A1783">
            <v>616860</v>
          </cell>
          <cell r="B1783">
            <v>41579</v>
          </cell>
        </row>
        <row r="1784">
          <cell r="A1784">
            <v>616839</v>
          </cell>
          <cell r="B1784">
            <v>41579</v>
          </cell>
        </row>
        <row r="1785">
          <cell r="A1785">
            <v>616785</v>
          </cell>
          <cell r="B1785">
            <v>41579</v>
          </cell>
        </row>
        <row r="1786">
          <cell r="A1786">
            <v>616760</v>
          </cell>
          <cell r="B1786">
            <v>41579</v>
          </cell>
        </row>
        <row r="1787">
          <cell r="A1787">
            <v>616759</v>
          </cell>
          <cell r="B1787">
            <v>41579</v>
          </cell>
        </row>
        <row r="1788">
          <cell r="A1788">
            <v>616514</v>
          </cell>
          <cell r="B1788">
            <v>41579</v>
          </cell>
        </row>
        <row r="1789">
          <cell r="A1789">
            <v>616503</v>
          </cell>
          <cell r="B1789">
            <v>41579</v>
          </cell>
        </row>
        <row r="1790">
          <cell r="A1790">
            <v>616292</v>
          </cell>
          <cell r="B1790">
            <v>41579</v>
          </cell>
        </row>
        <row r="1791">
          <cell r="A1791">
            <v>616100</v>
          </cell>
          <cell r="B1791">
            <v>41579</v>
          </cell>
        </row>
        <row r="1792">
          <cell r="A1792">
            <v>616100</v>
          </cell>
          <cell r="B1792">
            <v>41579</v>
          </cell>
        </row>
        <row r="1793">
          <cell r="A1793">
            <v>616068</v>
          </cell>
          <cell r="B1793">
            <v>41579</v>
          </cell>
        </row>
        <row r="1794">
          <cell r="A1794">
            <v>616029</v>
          </cell>
          <cell r="B1794">
            <v>41579</v>
          </cell>
        </row>
        <row r="1795">
          <cell r="A1795">
            <v>615999</v>
          </cell>
          <cell r="B1795">
            <v>41579</v>
          </cell>
        </row>
        <row r="1796">
          <cell r="A1796">
            <v>615989</v>
          </cell>
          <cell r="B1796">
            <v>41579</v>
          </cell>
        </row>
        <row r="1797">
          <cell r="A1797">
            <v>615983</v>
          </cell>
          <cell r="B1797">
            <v>41579</v>
          </cell>
        </row>
        <row r="1798">
          <cell r="A1798">
            <v>615960</v>
          </cell>
          <cell r="B1798">
            <v>41579</v>
          </cell>
        </row>
        <row r="1799">
          <cell r="A1799">
            <v>615797</v>
          </cell>
          <cell r="B1799">
            <v>41579</v>
          </cell>
        </row>
        <row r="1800">
          <cell r="A1800">
            <v>615747</v>
          </cell>
          <cell r="B1800">
            <v>41579</v>
          </cell>
        </row>
        <row r="1801">
          <cell r="A1801">
            <v>615716</v>
          </cell>
          <cell r="B1801">
            <v>41640</v>
          </cell>
        </row>
        <row r="1802">
          <cell r="A1802">
            <v>615412</v>
          </cell>
          <cell r="B1802">
            <v>41579</v>
          </cell>
        </row>
        <row r="1803">
          <cell r="A1803">
            <v>615376</v>
          </cell>
          <cell r="B1803">
            <v>41579</v>
          </cell>
        </row>
        <row r="1804">
          <cell r="A1804">
            <v>615329</v>
          </cell>
          <cell r="B1804">
            <v>41579</v>
          </cell>
        </row>
        <row r="1805">
          <cell r="A1805">
            <v>615292</v>
          </cell>
          <cell r="B1805">
            <v>41579</v>
          </cell>
        </row>
        <row r="1806">
          <cell r="A1806">
            <v>615288</v>
          </cell>
          <cell r="B1806">
            <v>41579</v>
          </cell>
        </row>
        <row r="1807">
          <cell r="A1807">
            <v>615031</v>
          </cell>
          <cell r="B1807">
            <v>41579</v>
          </cell>
        </row>
        <row r="1808">
          <cell r="A1808">
            <v>614893</v>
          </cell>
          <cell r="B1808">
            <v>41579</v>
          </cell>
        </row>
        <row r="1809">
          <cell r="A1809">
            <v>614849</v>
          </cell>
          <cell r="B1809">
            <v>41579</v>
          </cell>
        </row>
        <row r="1810">
          <cell r="A1810">
            <v>614780</v>
          </cell>
          <cell r="B1810">
            <v>41579</v>
          </cell>
        </row>
        <row r="1811">
          <cell r="A1811">
            <v>614763</v>
          </cell>
          <cell r="B1811">
            <v>41579</v>
          </cell>
        </row>
        <row r="1812">
          <cell r="A1812">
            <v>614653</v>
          </cell>
          <cell r="B1812">
            <v>41579</v>
          </cell>
        </row>
        <row r="1813">
          <cell r="A1813">
            <v>614616</v>
          </cell>
          <cell r="B1813">
            <v>41579</v>
          </cell>
        </row>
        <row r="1814">
          <cell r="A1814">
            <v>614548</v>
          </cell>
          <cell r="B1814">
            <v>41579</v>
          </cell>
        </row>
        <row r="1815">
          <cell r="A1815">
            <v>614540</v>
          </cell>
          <cell r="B1815">
            <v>41579</v>
          </cell>
        </row>
        <row r="1816">
          <cell r="A1816">
            <v>614472</v>
          </cell>
          <cell r="B1816">
            <v>41579</v>
          </cell>
        </row>
        <row r="1817">
          <cell r="A1817">
            <v>614394</v>
          </cell>
          <cell r="B1817">
            <v>41579</v>
          </cell>
        </row>
        <row r="1818">
          <cell r="A1818">
            <v>614380</v>
          </cell>
          <cell r="B1818">
            <v>41579</v>
          </cell>
        </row>
        <row r="1819">
          <cell r="A1819">
            <v>614380</v>
          </cell>
          <cell r="B1819">
            <v>41579</v>
          </cell>
        </row>
        <row r="1820">
          <cell r="A1820">
            <v>614347</v>
          </cell>
          <cell r="B1820">
            <v>41579</v>
          </cell>
        </row>
        <row r="1821">
          <cell r="A1821">
            <v>614295</v>
          </cell>
          <cell r="B1821">
            <v>41579</v>
          </cell>
        </row>
        <row r="1822">
          <cell r="A1822">
            <v>614209</v>
          </cell>
          <cell r="B1822">
            <v>41579</v>
          </cell>
        </row>
        <row r="1823">
          <cell r="A1823">
            <v>614166</v>
          </cell>
          <cell r="B1823">
            <v>41579</v>
          </cell>
        </row>
        <row r="1824">
          <cell r="A1824">
            <v>614143</v>
          </cell>
          <cell r="B1824">
            <v>41579</v>
          </cell>
        </row>
        <row r="1825">
          <cell r="A1825">
            <v>613775</v>
          </cell>
          <cell r="B1825">
            <v>41579</v>
          </cell>
        </row>
        <row r="1826">
          <cell r="A1826">
            <v>613698</v>
          </cell>
          <cell r="B1826">
            <v>41579</v>
          </cell>
        </row>
        <row r="1827">
          <cell r="A1827">
            <v>613626</v>
          </cell>
          <cell r="B1827">
            <v>41579</v>
          </cell>
        </row>
        <row r="1828">
          <cell r="A1828">
            <v>613620</v>
          </cell>
          <cell r="B1828">
            <v>41579</v>
          </cell>
        </row>
        <row r="1829">
          <cell r="A1829">
            <v>613613</v>
          </cell>
          <cell r="B1829">
            <v>41579</v>
          </cell>
        </row>
        <row r="1830">
          <cell r="A1830">
            <v>613570</v>
          </cell>
          <cell r="B1830">
            <v>41579</v>
          </cell>
        </row>
        <row r="1831">
          <cell r="A1831">
            <v>613558</v>
          </cell>
          <cell r="B1831">
            <v>41579</v>
          </cell>
        </row>
        <row r="1832">
          <cell r="A1832">
            <v>613473</v>
          </cell>
          <cell r="B1832">
            <v>41579</v>
          </cell>
        </row>
        <row r="1833">
          <cell r="A1833">
            <v>613382</v>
          </cell>
          <cell r="B1833">
            <v>41579</v>
          </cell>
        </row>
        <row r="1834">
          <cell r="A1834">
            <v>613365</v>
          </cell>
          <cell r="B1834">
            <v>41579</v>
          </cell>
        </row>
        <row r="1835">
          <cell r="A1835">
            <v>613331</v>
          </cell>
          <cell r="B1835">
            <v>41579</v>
          </cell>
        </row>
        <row r="1836">
          <cell r="A1836">
            <v>613185</v>
          </cell>
          <cell r="B1836">
            <v>41579</v>
          </cell>
        </row>
        <row r="1837">
          <cell r="A1837">
            <v>613075</v>
          </cell>
          <cell r="B1837">
            <v>41579</v>
          </cell>
        </row>
        <row r="1838">
          <cell r="A1838">
            <v>613031</v>
          </cell>
          <cell r="B1838">
            <v>41579</v>
          </cell>
        </row>
        <row r="1839">
          <cell r="A1839">
            <v>613027</v>
          </cell>
          <cell r="B1839">
            <v>41579</v>
          </cell>
        </row>
        <row r="1840">
          <cell r="A1840">
            <v>612982</v>
          </cell>
          <cell r="B1840">
            <v>41579</v>
          </cell>
        </row>
        <row r="1841">
          <cell r="A1841">
            <v>612665</v>
          </cell>
          <cell r="B1841">
            <v>41579</v>
          </cell>
        </row>
        <row r="1842">
          <cell r="A1842">
            <v>612660</v>
          </cell>
          <cell r="B1842">
            <v>41579</v>
          </cell>
        </row>
        <row r="1843">
          <cell r="A1843">
            <v>612658</v>
          </cell>
          <cell r="B1843">
            <v>41579</v>
          </cell>
        </row>
        <row r="1844">
          <cell r="A1844">
            <v>612656</v>
          </cell>
          <cell r="B1844">
            <v>41579</v>
          </cell>
        </row>
        <row r="1845">
          <cell r="A1845">
            <v>612465</v>
          </cell>
          <cell r="B1845">
            <v>41579</v>
          </cell>
        </row>
        <row r="1846">
          <cell r="A1846">
            <v>612440</v>
          </cell>
          <cell r="B1846">
            <v>41579</v>
          </cell>
        </row>
        <row r="1847">
          <cell r="A1847">
            <v>612405</v>
          </cell>
          <cell r="B1847">
            <v>41579</v>
          </cell>
        </row>
        <row r="1848">
          <cell r="A1848">
            <v>612393</v>
          </cell>
          <cell r="B1848">
            <v>41579</v>
          </cell>
        </row>
        <row r="1849">
          <cell r="A1849">
            <v>612380</v>
          </cell>
          <cell r="B1849">
            <v>41579</v>
          </cell>
        </row>
        <row r="1850">
          <cell r="A1850">
            <v>612345</v>
          </cell>
          <cell r="B1850">
            <v>41579</v>
          </cell>
        </row>
        <row r="1851">
          <cell r="A1851">
            <v>612297</v>
          </cell>
          <cell r="B1851">
            <v>41579</v>
          </cell>
        </row>
        <row r="1852">
          <cell r="A1852">
            <v>612155</v>
          </cell>
          <cell r="B1852">
            <v>41579</v>
          </cell>
        </row>
        <row r="1853">
          <cell r="A1853">
            <v>612127</v>
          </cell>
          <cell r="B1853">
            <v>41579</v>
          </cell>
        </row>
        <row r="1854">
          <cell r="A1854">
            <v>611858</v>
          </cell>
          <cell r="B1854">
            <v>41579</v>
          </cell>
        </row>
        <row r="1855">
          <cell r="A1855">
            <v>611849</v>
          </cell>
          <cell r="B1855">
            <v>41579</v>
          </cell>
        </row>
        <row r="1856">
          <cell r="A1856">
            <v>611676</v>
          </cell>
          <cell r="B1856">
            <v>41579</v>
          </cell>
        </row>
        <row r="1857">
          <cell r="A1857">
            <v>611606</v>
          </cell>
          <cell r="B1857">
            <v>41579</v>
          </cell>
        </row>
        <row r="1858">
          <cell r="A1858">
            <v>611590</v>
          </cell>
          <cell r="B1858">
            <v>41579</v>
          </cell>
        </row>
        <row r="1859">
          <cell r="A1859">
            <v>611559</v>
          </cell>
          <cell r="B1859">
            <v>41579</v>
          </cell>
        </row>
        <row r="1860">
          <cell r="A1860">
            <v>611540</v>
          </cell>
          <cell r="B1860">
            <v>41579</v>
          </cell>
        </row>
        <row r="1861">
          <cell r="A1861">
            <v>611536</v>
          </cell>
          <cell r="B1861">
            <v>41579</v>
          </cell>
        </row>
        <row r="1862">
          <cell r="A1862">
            <v>611422</v>
          </cell>
          <cell r="B1862">
            <v>41579</v>
          </cell>
        </row>
        <row r="1863">
          <cell r="A1863">
            <v>611383</v>
          </cell>
          <cell r="B1863">
            <v>41579</v>
          </cell>
        </row>
        <row r="1864">
          <cell r="A1864">
            <v>611313</v>
          </cell>
          <cell r="B1864">
            <v>41579</v>
          </cell>
        </row>
        <row r="1865">
          <cell r="A1865">
            <v>611294</v>
          </cell>
          <cell r="B1865">
            <v>41579</v>
          </cell>
        </row>
        <row r="1866">
          <cell r="A1866">
            <v>611280</v>
          </cell>
          <cell r="B1866">
            <v>41579</v>
          </cell>
        </row>
        <row r="1867">
          <cell r="A1867">
            <v>610974</v>
          </cell>
          <cell r="B1867">
            <v>41579</v>
          </cell>
        </row>
        <row r="1868">
          <cell r="A1868">
            <v>610964</v>
          </cell>
          <cell r="B1868">
            <v>41579</v>
          </cell>
        </row>
        <row r="1869">
          <cell r="A1869">
            <v>610727</v>
          </cell>
          <cell r="B1869">
            <v>41579</v>
          </cell>
        </row>
        <row r="1870">
          <cell r="A1870">
            <v>610642</v>
          </cell>
          <cell r="B1870">
            <v>41579</v>
          </cell>
        </row>
        <row r="1871">
          <cell r="A1871">
            <v>610353</v>
          </cell>
          <cell r="B1871">
            <v>41579</v>
          </cell>
        </row>
        <row r="1872">
          <cell r="A1872">
            <v>610239</v>
          </cell>
          <cell r="B1872">
            <v>41579</v>
          </cell>
        </row>
        <row r="1873">
          <cell r="A1873">
            <v>610216</v>
          </cell>
          <cell r="B1873" t="str">
            <v>PAS DE COUT ADDITIONNEL</v>
          </cell>
        </row>
        <row r="1874">
          <cell r="A1874">
            <v>610150</v>
          </cell>
          <cell r="B1874">
            <v>41579</v>
          </cell>
        </row>
        <row r="1875">
          <cell r="A1875">
            <v>610086</v>
          </cell>
          <cell r="B1875">
            <v>41579</v>
          </cell>
        </row>
        <row r="1876">
          <cell r="A1876">
            <v>610083</v>
          </cell>
          <cell r="B1876">
            <v>41579</v>
          </cell>
        </row>
        <row r="1877">
          <cell r="A1877">
            <v>609908</v>
          </cell>
          <cell r="B1877">
            <v>41579</v>
          </cell>
        </row>
        <row r="1878">
          <cell r="A1878">
            <v>609755</v>
          </cell>
          <cell r="B1878">
            <v>41579</v>
          </cell>
        </row>
        <row r="1879">
          <cell r="A1879">
            <v>609628</v>
          </cell>
          <cell r="B1879">
            <v>41579</v>
          </cell>
        </row>
        <row r="1880">
          <cell r="A1880">
            <v>609453</v>
          </cell>
          <cell r="B1880">
            <v>41579</v>
          </cell>
        </row>
        <row r="1881">
          <cell r="A1881">
            <v>609439</v>
          </cell>
          <cell r="B1881">
            <v>41579</v>
          </cell>
        </row>
        <row r="1882">
          <cell r="A1882">
            <v>609230</v>
          </cell>
          <cell r="B1882">
            <v>41579</v>
          </cell>
        </row>
        <row r="1883">
          <cell r="A1883">
            <v>608910</v>
          </cell>
          <cell r="B1883">
            <v>41579</v>
          </cell>
        </row>
        <row r="1884">
          <cell r="A1884">
            <v>608770</v>
          </cell>
          <cell r="B1884">
            <v>41579</v>
          </cell>
        </row>
        <row r="1885">
          <cell r="A1885">
            <v>608711</v>
          </cell>
          <cell r="B1885">
            <v>41579</v>
          </cell>
        </row>
        <row r="1886">
          <cell r="A1886">
            <v>608519</v>
          </cell>
          <cell r="B1886">
            <v>41579</v>
          </cell>
        </row>
        <row r="1887">
          <cell r="A1887">
            <v>608497</v>
          </cell>
          <cell r="B1887">
            <v>41579</v>
          </cell>
        </row>
        <row r="1888">
          <cell r="A1888">
            <v>608492</v>
          </cell>
          <cell r="B1888">
            <v>41579</v>
          </cell>
        </row>
        <row r="1889">
          <cell r="A1889">
            <v>608387</v>
          </cell>
          <cell r="B1889">
            <v>41579</v>
          </cell>
        </row>
        <row r="1890">
          <cell r="A1890">
            <v>608372</v>
          </cell>
          <cell r="B1890">
            <v>41579</v>
          </cell>
        </row>
        <row r="1891">
          <cell r="A1891">
            <v>608215</v>
          </cell>
          <cell r="B1891">
            <v>41579</v>
          </cell>
        </row>
        <row r="1892">
          <cell r="A1892">
            <v>608161</v>
          </cell>
          <cell r="B1892">
            <v>41579</v>
          </cell>
        </row>
        <row r="1893">
          <cell r="A1893">
            <v>608130</v>
          </cell>
          <cell r="B1893">
            <v>41579</v>
          </cell>
        </row>
        <row r="1894">
          <cell r="A1894">
            <v>608122</v>
          </cell>
          <cell r="B1894">
            <v>41579</v>
          </cell>
        </row>
        <row r="1895">
          <cell r="A1895">
            <v>607900</v>
          </cell>
          <cell r="B1895">
            <v>41579</v>
          </cell>
        </row>
        <row r="1896">
          <cell r="A1896">
            <v>607900</v>
          </cell>
          <cell r="B1896">
            <v>41579</v>
          </cell>
        </row>
        <row r="1897">
          <cell r="A1897">
            <v>607849</v>
          </cell>
          <cell r="B1897">
            <v>41579</v>
          </cell>
        </row>
        <row r="1898">
          <cell r="A1898">
            <v>607590</v>
          </cell>
          <cell r="B1898">
            <v>41579</v>
          </cell>
        </row>
        <row r="1899">
          <cell r="A1899">
            <v>607561</v>
          </cell>
          <cell r="B1899">
            <v>41579</v>
          </cell>
        </row>
        <row r="1900">
          <cell r="A1900">
            <v>607430</v>
          </cell>
          <cell r="B1900">
            <v>41579</v>
          </cell>
        </row>
        <row r="1901">
          <cell r="A1901">
            <v>607415</v>
          </cell>
          <cell r="B1901">
            <v>41579</v>
          </cell>
        </row>
        <row r="1902">
          <cell r="A1902">
            <v>607328</v>
          </cell>
          <cell r="B1902">
            <v>41579</v>
          </cell>
        </row>
        <row r="1903">
          <cell r="A1903">
            <v>607291</v>
          </cell>
          <cell r="B1903">
            <v>41579</v>
          </cell>
        </row>
        <row r="1904">
          <cell r="A1904">
            <v>607288</v>
          </cell>
          <cell r="B1904">
            <v>41579</v>
          </cell>
        </row>
        <row r="1905">
          <cell r="A1905">
            <v>607276</v>
          </cell>
          <cell r="B1905">
            <v>41579</v>
          </cell>
        </row>
        <row r="1906">
          <cell r="A1906">
            <v>607176</v>
          </cell>
          <cell r="B1906">
            <v>41579</v>
          </cell>
        </row>
        <row r="1907">
          <cell r="A1907">
            <v>607176</v>
          </cell>
          <cell r="B1907">
            <v>41579</v>
          </cell>
        </row>
        <row r="1908">
          <cell r="A1908">
            <v>607117</v>
          </cell>
          <cell r="B1908">
            <v>41579</v>
          </cell>
        </row>
        <row r="1909">
          <cell r="A1909">
            <v>606888</v>
          </cell>
          <cell r="B1909">
            <v>41579</v>
          </cell>
        </row>
        <row r="1910">
          <cell r="A1910">
            <v>606795</v>
          </cell>
          <cell r="B1910">
            <v>41579</v>
          </cell>
        </row>
        <row r="1911">
          <cell r="A1911">
            <v>606782</v>
          </cell>
          <cell r="B1911">
            <v>41579</v>
          </cell>
        </row>
        <row r="1912">
          <cell r="A1912">
            <v>606671</v>
          </cell>
          <cell r="B1912">
            <v>41579</v>
          </cell>
        </row>
        <row r="1913">
          <cell r="A1913">
            <v>606667</v>
          </cell>
          <cell r="B1913">
            <v>41579</v>
          </cell>
        </row>
        <row r="1914">
          <cell r="A1914">
            <v>606611</v>
          </cell>
          <cell r="B1914">
            <v>41579</v>
          </cell>
        </row>
        <row r="1915">
          <cell r="A1915">
            <v>606529</v>
          </cell>
          <cell r="B1915">
            <v>41579</v>
          </cell>
        </row>
        <row r="1916">
          <cell r="A1916">
            <v>606472</v>
          </cell>
          <cell r="B1916">
            <v>41579</v>
          </cell>
        </row>
        <row r="1917">
          <cell r="A1917">
            <v>606326</v>
          </cell>
          <cell r="B1917">
            <v>41579</v>
          </cell>
        </row>
        <row r="1918">
          <cell r="A1918">
            <v>606232</v>
          </cell>
          <cell r="B1918">
            <v>41579</v>
          </cell>
        </row>
        <row r="1919">
          <cell r="A1919">
            <v>605998</v>
          </cell>
          <cell r="B1919">
            <v>41579</v>
          </cell>
        </row>
        <row r="1920">
          <cell r="A1920">
            <v>605973</v>
          </cell>
          <cell r="B1920">
            <v>41579</v>
          </cell>
        </row>
        <row r="1921">
          <cell r="A1921">
            <v>605966</v>
          </cell>
          <cell r="B1921">
            <v>41579</v>
          </cell>
        </row>
        <row r="1922">
          <cell r="A1922">
            <v>605892</v>
          </cell>
          <cell r="B1922">
            <v>41579</v>
          </cell>
        </row>
        <row r="1923">
          <cell r="A1923">
            <v>605820</v>
          </cell>
          <cell r="B1923">
            <v>41579</v>
          </cell>
        </row>
        <row r="1924">
          <cell r="A1924">
            <v>605797</v>
          </cell>
          <cell r="B1924">
            <v>41579</v>
          </cell>
        </row>
        <row r="1925">
          <cell r="A1925">
            <v>605622</v>
          </cell>
          <cell r="B1925">
            <v>41579</v>
          </cell>
        </row>
        <row r="1926">
          <cell r="A1926">
            <v>605514</v>
          </cell>
          <cell r="B1926">
            <v>41579</v>
          </cell>
        </row>
        <row r="1927">
          <cell r="A1927">
            <v>605461</v>
          </cell>
          <cell r="B1927">
            <v>41579</v>
          </cell>
        </row>
        <row r="1928">
          <cell r="A1928">
            <v>605383</v>
          </cell>
          <cell r="B1928">
            <v>41579</v>
          </cell>
        </row>
        <row r="1929">
          <cell r="A1929">
            <v>605307</v>
          </cell>
          <cell r="B1929">
            <v>41579</v>
          </cell>
        </row>
        <row r="1930">
          <cell r="A1930">
            <v>605274</v>
          </cell>
          <cell r="B1930">
            <v>41579</v>
          </cell>
        </row>
        <row r="1931">
          <cell r="A1931">
            <v>605241</v>
          </cell>
          <cell r="B1931">
            <v>41579</v>
          </cell>
        </row>
        <row r="1932">
          <cell r="A1932">
            <v>605237</v>
          </cell>
          <cell r="B1932">
            <v>41579</v>
          </cell>
        </row>
        <row r="1933">
          <cell r="A1933">
            <v>605068</v>
          </cell>
          <cell r="B1933">
            <v>41579</v>
          </cell>
        </row>
        <row r="1934">
          <cell r="A1934">
            <v>605044</v>
          </cell>
          <cell r="B1934">
            <v>41579</v>
          </cell>
        </row>
        <row r="1935">
          <cell r="A1935">
            <v>604952</v>
          </cell>
          <cell r="B1935">
            <v>41579</v>
          </cell>
        </row>
        <row r="1936">
          <cell r="A1936">
            <v>604804</v>
          </cell>
          <cell r="B1936">
            <v>41579</v>
          </cell>
        </row>
        <row r="1937">
          <cell r="A1937">
            <v>604711</v>
          </cell>
          <cell r="B1937">
            <v>41579</v>
          </cell>
        </row>
        <row r="1938">
          <cell r="A1938">
            <v>604605</v>
          </cell>
          <cell r="B1938">
            <v>41579</v>
          </cell>
        </row>
        <row r="1939">
          <cell r="A1939">
            <v>604596</v>
          </cell>
          <cell r="B1939">
            <v>41579</v>
          </cell>
        </row>
        <row r="1940">
          <cell r="A1940">
            <v>604579</v>
          </cell>
          <cell r="B1940">
            <v>41579</v>
          </cell>
        </row>
        <row r="1941">
          <cell r="A1941">
            <v>604335</v>
          </cell>
          <cell r="B1941">
            <v>41579</v>
          </cell>
        </row>
        <row r="1942">
          <cell r="A1942">
            <v>604259</v>
          </cell>
          <cell r="B1942">
            <v>41579</v>
          </cell>
        </row>
        <row r="1943">
          <cell r="A1943">
            <v>604229</v>
          </cell>
          <cell r="B1943">
            <v>41579</v>
          </cell>
        </row>
        <row r="1944">
          <cell r="A1944">
            <v>604059</v>
          </cell>
          <cell r="B1944">
            <v>41579</v>
          </cell>
        </row>
        <row r="1945">
          <cell r="A1945">
            <v>604057</v>
          </cell>
          <cell r="B1945">
            <v>41579</v>
          </cell>
        </row>
        <row r="1946">
          <cell r="A1946">
            <v>604007</v>
          </cell>
          <cell r="B1946">
            <v>41640</v>
          </cell>
        </row>
        <row r="1947">
          <cell r="A1947">
            <v>603990</v>
          </cell>
          <cell r="B1947">
            <v>41640</v>
          </cell>
        </row>
        <row r="1948">
          <cell r="A1948">
            <v>603971</v>
          </cell>
          <cell r="B1948">
            <v>41579</v>
          </cell>
        </row>
        <row r="1949">
          <cell r="A1949">
            <v>603922</v>
          </cell>
          <cell r="B1949">
            <v>41579</v>
          </cell>
        </row>
        <row r="1950">
          <cell r="A1950">
            <v>603891</v>
          </cell>
          <cell r="B1950">
            <v>41579</v>
          </cell>
        </row>
        <row r="1951">
          <cell r="A1951">
            <v>603882</v>
          </cell>
          <cell r="B1951">
            <v>41579</v>
          </cell>
        </row>
        <row r="1952">
          <cell r="A1952">
            <v>603835</v>
          </cell>
          <cell r="B1952">
            <v>41579</v>
          </cell>
        </row>
        <row r="1953">
          <cell r="A1953">
            <v>603698</v>
          </cell>
          <cell r="B1953">
            <v>41579</v>
          </cell>
        </row>
        <row r="1954">
          <cell r="A1954">
            <v>603692</v>
          </cell>
          <cell r="B1954">
            <v>41579</v>
          </cell>
        </row>
        <row r="1955">
          <cell r="A1955">
            <v>603581</v>
          </cell>
          <cell r="B1955">
            <v>41579</v>
          </cell>
        </row>
        <row r="1956">
          <cell r="A1956">
            <v>603564</v>
          </cell>
          <cell r="B1956">
            <v>41579</v>
          </cell>
        </row>
        <row r="1957">
          <cell r="A1957">
            <v>603486</v>
          </cell>
          <cell r="B1957">
            <v>41579</v>
          </cell>
        </row>
        <row r="1958">
          <cell r="A1958">
            <v>603476</v>
          </cell>
          <cell r="B1958">
            <v>41579</v>
          </cell>
        </row>
        <row r="1959">
          <cell r="A1959">
            <v>603446</v>
          </cell>
          <cell r="B1959">
            <v>41579</v>
          </cell>
        </row>
        <row r="1960">
          <cell r="A1960">
            <v>603428</v>
          </cell>
          <cell r="B1960">
            <v>41579</v>
          </cell>
        </row>
        <row r="1961">
          <cell r="A1961">
            <v>603305</v>
          </cell>
          <cell r="B1961">
            <v>41579</v>
          </cell>
        </row>
        <row r="1962">
          <cell r="A1962">
            <v>603199</v>
          </cell>
          <cell r="B1962">
            <v>41579</v>
          </cell>
        </row>
        <row r="1963">
          <cell r="A1963">
            <v>603199</v>
          </cell>
          <cell r="B1963">
            <v>41579</v>
          </cell>
        </row>
        <row r="1964">
          <cell r="A1964">
            <v>602611</v>
          </cell>
          <cell r="B1964">
            <v>41579</v>
          </cell>
        </row>
        <row r="1965">
          <cell r="A1965">
            <v>602611</v>
          </cell>
          <cell r="B1965">
            <v>41579</v>
          </cell>
        </row>
        <row r="1966">
          <cell r="A1966">
            <v>602607</v>
          </cell>
          <cell r="B1966">
            <v>41579</v>
          </cell>
        </row>
        <row r="1967">
          <cell r="A1967">
            <v>602388</v>
          </cell>
          <cell r="B1967">
            <v>41579</v>
          </cell>
        </row>
        <row r="1968">
          <cell r="A1968">
            <v>601472</v>
          </cell>
          <cell r="B1968">
            <v>41579</v>
          </cell>
        </row>
        <row r="1969">
          <cell r="A1969">
            <v>601272</v>
          </cell>
          <cell r="B1969">
            <v>41579</v>
          </cell>
        </row>
        <row r="1970">
          <cell r="A1970">
            <v>601242</v>
          </cell>
          <cell r="B1970">
            <v>41640</v>
          </cell>
        </row>
        <row r="1971">
          <cell r="A1971">
            <v>600936</v>
          </cell>
          <cell r="B1971">
            <v>41579</v>
          </cell>
        </row>
        <row r="1972">
          <cell r="A1972">
            <v>600904</v>
          </cell>
          <cell r="B1972">
            <v>41579</v>
          </cell>
        </row>
        <row r="1973">
          <cell r="A1973">
            <v>600760</v>
          </cell>
          <cell r="B1973">
            <v>41579</v>
          </cell>
        </row>
        <row r="1974">
          <cell r="A1974">
            <v>600655</v>
          </cell>
          <cell r="B1974">
            <v>41579</v>
          </cell>
        </row>
        <row r="1975">
          <cell r="A1975">
            <v>599852</v>
          </cell>
          <cell r="B1975">
            <v>41579</v>
          </cell>
        </row>
        <row r="1976">
          <cell r="A1976">
            <v>599829</v>
          </cell>
          <cell r="B1976">
            <v>41579</v>
          </cell>
        </row>
        <row r="1977">
          <cell r="A1977">
            <v>599664</v>
          </cell>
          <cell r="B1977">
            <v>41579</v>
          </cell>
        </row>
        <row r="1978">
          <cell r="A1978">
            <v>599569</v>
          </cell>
          <cell r="B1978">
            <v>41579</v>
          </cell>
        </row>
        <row r="1979">
          <cell r="A1979">
            <v>599558</v>
          </cell>
          <cell r="B1979">
            <v>41579</v>
          </cell>
        </row>
        <row r="1980">
          <cell r="A1980">
            <v>599286</v>
          </cell>
          <cell r="B1980">
            <v>41579</v>
          </cell>
        </row>
        <row r="1981">
          <cell r="A1981">
            <v>599286</v>
          </cell>
          <cell r="B1981">
            <v>41579</v>
          </cell>
        </row>
        <row r="1982">
          <cell r="A1982">
            <v>599284</v>
          </cell>
          <cell r="B1982">
            <v>41579</v>
          </cell>
        </row>
        <row r="1983">
          <cell r="A1983">
            <v>599034</v>
          </cell>
          <cell r="B1983">
            <v>41579</v>
          </cell>
        </row>
        <row r="1984">
          <cell r="A1984">
            <v>598947</v>
          </cell>
          <cell r="B1984">
            <v>41579</v>
          </cell>
        </row>
        <row r="1985">
          <cell r="A1985">
            <v>598927</v>
          </cell>
          <cell r="B1985">
            <v>41579</v>
          </cell>
        </row>
        <row r="1986">
          <cell r="A1986">
            <v>598911</v>
          </cell>
          <cell r="B1986">
            <v>41579</v>
          </cell>
        </row>
        <row r="1987">
          <cell r="A1987">
            <v>598886</v>
          </cell>
          <cell r="B1987">
            <v>41579</v>
          </cell>
        </row>
        <row r="1988">
          <cell r="A1988">
            <v>598872</v>
          </cell>
          <cell r="B1988">
            <v>41579</v>
          </cell>
        </row>
        <row r="1989">
          <cell r="A1989">
            <v>598759</v>
          </cell>
          <cell r="B1989">
            <v>41579</v>
          </cell>
        </row>
        <row r="1990">
          <cell r="A1990">
            <v>598722</v>
          </cell>
          <cell r="B1990">
            <v>41579</v>
          </cell>
        </row>
        <row r="1991">
          <cell r="A1991">
            <v>598718</v>
          </cell>
          <cell r="B1991">
            <v>41579</v>
          </cell>
        </row>
        <row r="1992">
          <cell r="A1992">
            <v>598617</v>
          </cell>
          <cell r="B1992">
            <v>41579</v>
          </cell>
        </row>
        <row r="1993">
          <cell r="A1993">
            <v>598591</v>
          </cell>
          <cell r="B1993">
            <v>41579</v>
          </cell>
        </row>
        <row r="1994">
          <cell r="A1994">
            <v>598564</v>
          </cell>
          <cell r="B1994">
            <v>41579</v>
          </cell>
        </row>
        <row r="1995">
          <cell r="A1995">
            <v>598385</v>
          </cell>
          <cell r="B1995">
            <v>41579</v>
          </cell>
        </row>
        <row r="1996">
          <cell r="A1996">
            <v>598323</v>
          </cell>
          <cell r="B1996">
            <v>41579</v>
          </cell>
        </row>
        <row r="1997">
          <cell r="A1997">
            <v>598310</v>
          </cell>
          <cell r="B1997">
            <v>41579</v>
          </cell>
        </row>
        <row r="1998">
          <cell r="A1998">
            <v>598309</v>
          </cell>
          <cell r="B1998">
            <v>41579</v>
          </cell>
        </row>
        <row r="1999">
          <cell r="A1999">
            <v>598302</v>
          </cell>
          <cell r="B1999">
            <v>41579</v>
          </cell>
        </row>
        <row r="2000">
          <cell r="A2000">
            <v>598291</v>
          </cell>
          <cell r="B2000">
            <v>41579</v>
          </cell>
        </row>
        <row r="2001">
          <cell r="A2001">
            <v>598160</v>
          </cell>
          <cell r="B2001">
            <v>41579</v>
          </cell>
        </row>
        <row r="2002">
          <cell r="A2002">
            <v>598158</v>
          </cell>
          <cell r="B2002">
            <v>41579</v>
          </cell>
        </row>
        <row r="2003">
          <cell r="A2003">
            <v>598120</v>
          </cell>
          <cell r="B2003">
            <v>41579</v>
          </cell>
        </row>
        <row r="2004">
          <cell r="A2004">
            <v>598117</v>
          </cell>
          <cell r="B2004">
            <v>41579</v>
          </cell>
        </row>
        <row r="2005">
          <cell r="A2005">
            <v>598009</v>
          </cell>
          <cell r="B2005">
            <v>41579</v>
          </cell>
        </row>
        <row r="2006">
          <cell r="A2006">
            <v>598006</v>
          </cell>
          <cell r="B2006">
            <v>41579</v>
          </cell>
        </row>
        <row r="2007">
          <cell r="A2007">
            <v>598003</v>
          </cell>
          <cell r="B2007">
            <v>41579</v>
          </cell>
        </row>
        <row r="2008">
          <cell r="A2008">
            <v>597989</v>
          </cell>
          <cell r="B2008">
            <v>41579</v>
          </cell>
        </row>
        <row r="2009">
          <cell r="A2009">
            <v>597988</v>
          </cell>
          <cell r="B2009">
            <v>41579</v>
          </cell>
        </row>
        <row r="2010">
          <cell r="A2010">
            <v>597960</v>
          </cell>
          <cell r="B2010">
            <v>41579</v>
          </cell>
        </row>
        <row r="2011">
          <cell r="A2011">
            <v>597906</v>
          </cell>
          <cell r="B2011">
            <v>41579</v>
          </cell>
        </row>
        <row r="2012">
          <cell r="A2012">
            <v>597905</v>
          </cell>
          <cell r="B2012">
            <v>41579</v>
          </cell>
        </row>
        <row r="2013">
          <cell r="A2013">
            <v>597904</v>
          </cell>
          <cell r="B2013">
            <v>41579</v>
          </cell>
        </row>
        <row r="2014">
          <cell r="A2014">
            <v>597892</v>
          </cell>
          <cell r="B2014">
            <v>41579</v>
          </cell>
        </row>
        <row r="2015">
          <cell r="A2015">
            <v>597892</v>
          </cell>
          <cell r="B2015">
            <v>41579</v>
          </cell>
        </row>
        <row r="2016">
          <cell r="A2016">
            <v>597856</v>
          </cell>
          <cell r="B2016">
            <v>41579</v>
          </cell>
        </row>
        <row r="2017">
          <cell r="A2017">
            <v>597838</v>
          </cell>
          <cell r="B2017">
            <v>41579</v>
          </cell>
        </row>
        <row r="2018">
          <cell r="A2018">
            <v>597820</v>
          </cell>
          <cell r="B2018">
            <v>41579</v>
          </cell>
        </row>
        <row r="2019">
          <cell r="A2019">
            <v>597747</v>
          </cell>
          <cell r="B2019">
            <v>41579</v>
          </cell>
        </row>
        <row r="2020">
          <cell r="A2020">
            <v>597686</v>
          </cell>
          <cell r="B2020">
            <v>41579</v>
          </cell>
        </row>
        <row r="2021">
          <cell r="A2021">
            <v>597668</v>
          </cell>
          <cell r="B2021">
            <v>41579</v>
          </cell>
        </row>
        <row r="2022">
          <cell r="A2022">
            <v>597464</v>
          </cell>
          <cell r="B2022">
            <v>41579</v>
          </cell>
        </row>
        <row r="2023">
          <cell r="A2023">
            <v>597463</v>
          </cell>
          <cell r="B2023">
            <v>41579</v>
          </cell>
        </row>
        <row r="2024">
          <cell r="A2024">
            <v>597373</v>
          </cell>
          <cell r="B2024">
            <v>41579</v>
          </cell>
        </row>
        <row r="2025">
          <cell r="A2025">
            <v>597230</v>
          </cell>
          <cell r="B2025">
            <v>41579</v>
          </cell>
        </row>
        <row r="2026">
          <cell r="A2026">
            <v>597217</v>
          </cell>
          <cell r="B2026">
            <v>41579</v>
          </cell>
        </row>
        <row r="2027">
          <cell r="A2027">
            <v>597163</v>
          </cell>
          <cell r="B2027">
            <v>41579</v>
          </cell>
        </row>
        <row r="2028">
          <cell r="A2028">
            <v>597089</v>
          </cell>
          <cell r="B2028">
            <v>41579</v>
          </cell>
        </row>
        <row r="2029">
          <cell r="A2029">
            <v>597089</v>
          </cell>
          <cell r="B2029">
            <v>41579</v>
          </cell>
        </row>
        <row r="2030">
          <cell r="A2030">
            <v>597089</v>
          </cell>
          <cell r="B2030">
            <v>41579</v>
          </cell>
        </row>
        <row r="2031">
          <cell r="A2031">
            <v>597089</v>
          </cell>
          <cell r="B2031">
            <v>41579</v>
          </cell>
        </row>
        <row r="2032">
          <cell r="A2032">
            <v>597051</v>
          </cell>
          <cell r="B2032">
            <v>41579</v>
          </cell>
        </row>
        <row r="2033">
          <cell r="A2033">
            <v>596990</v>
          </cell>
          <cell r="B2033">
            <v>41579</v>
          </cell>
        </row>
        <row r="2034">
          <cell r="A2034">
            <v>596631</v>
          </cell>
          <cell r="B2034">
            <v>41579</v>
          </cell>
        </row>
        <row r="2035">
          <cell r="A2035">
            <v>596458</v>
          </cell>
          <cell r="B2035">
            <v>41579</v>
          </cell>
        </row>
        <row r="2036">
          <cell r="A2036">
            <v>596450</v>
          </cell>
          <cell r="B2036">
            <v>41579</v>
          </cell>
        </row>
        <row r="2037">
          <cell r="A2037">
            <v>596440</v>
          </cell>
          <cell r="B2037">
            <v>41579</v>
          </cell>
        </row>
        <row r="2038">
          <cell r="A2038">
            <v>596175</v>
          </cell>
          <cell r="B2038">
            <v>41579</v>
          </cell>
        </row>
        <row r="2039">
          <cell r="A2039">
            <v>596097</v>
          </cell>
          <cell r="B2039">
            <v>41579</v>
          </cell>
        </row>
        <row r="2040">
          <cell r="A2040">
            <v>595999</v>
          </cell>
          <cell r="B2040">
            <v>41579</v>
          </cell>
        </row>
        <row r="2041">
          <cell r="A2041">
            <v>595946</v>
          </cell>
          <cell r="B2041">
            <v>41579</v>
          </cell>
        </row>
        <row r="2042">
          <cell r="A2042">
            <v>595881</v>
          </cell>
          <cell r="B2042">
            <v>41579</v>
          </cell>
        </row>
        <row r="2043">
          <cell r="A2043">
            <v>595881</v>
          </cell>
          <cell r="B2043">
            <v>41579</v>
          </cell>
        </row>
        <row r="2044">
          <cell r="A2044">
            <v>595868</v>
          </cell>
          <cell r="B2044">
            <v>41579</v>
          </cell>
        </row>
        <row r="2045">
          <cell r="A2045">
            <v>595835</v>
          </cell>
          <cell r="B2045">
            <v>41579</v>
          </cell>
        </row>
        <row r="2046">
          <cell r="A2046">
            <v>595824</v>
          </cell>
          <cell r="B2046">
            <v>41579</v>
          </cell>
        </row>
        <row r="2047">
          <cell r="A2047">
            <v>595816</v>
          </cell>
          <cell r="B2047">
            <v>41579</v>
          </cell>
        </row>
        <row r="2048">
          <cell r="A2048">
            <v>595783</v>
          </cell>
          <cell r="B2048">
            <v>41579</v>
          </cell>
        </row>
        <row r="2049">
          <cell r="A2049">
            <v>595768</v>
          </cell>
          <cell r="B2049">
            <v>41579</v>
          </cell>
        </row>
        <row r="2050">
          <cell r="A2050">
            <v>595760</v>
          </cell>
          <cell r="B2050">
            <v>41579</v>
          </cell>
        </row>
        <row r="2051">
          <cell r="A2051">
            <v>595578</v>
          </cell>
          <cell r="B2051">
            <v>41579</v>
          </cell>
        </row>
        <row r="2052">
          <cell r="A2052">
            <v>595498</v>
          </cell>
          <cell r="B2052">
            <v>41579</v>
          </cell>
        </row>
        <row r="2053">
          <cell r="A2053">
            <v>595406</v>
          </cell>
          <cell r="B2053">
            <v>41579</v>
          </cell>
        </row>
        <row r="2054">
          <cell r="A2054">
            <v>595218</v>
          </cell>
          <cell r="B2054">
            <v>41579</v>
          </cell>
        </row>
        <row r="2055">
          <cell r="A2055">
            <v>595185</v>
          </cell>
          <cell r="B2055">
            <v>41579</v>
          </cell>
        </row>
        <row r="2056">
          <cell r="A2056">
            <v>595117</v>
          </cell>
          <cell r="B2056">
            <v>41579</v>
          </cell>
        </row>
        <row r="2057">
          <cell r="A2057">
            <v>594936</v>
          </cell>
          <cell r="B2057">
            <v>41579</v>
          </cell>
        </row>
        <row r="2058">
          <cell r="A2058">
            <v>594841</v>
          </cell>
          <cell r="B2058">
            <v>41579</v>
          </cell>
        </row>
        <row r="2059">
          <cell r="A2059">
            <v>594839</v>
          </cell>
          <cell r="B2059">
            <v>41579</v>
          </cell>
        </row>
        <row r="2060">
          <cell r="A2060">
            <v>594771</v>
          </cell>
          <cell r="B2060">
            <v>41579</v>
          </cell>
        </row>
        <row r="2061">
          <cell r="A2061">
            <v>594701</v>
          </cell>
          <cell r="B2061">
            <v>41579</v>
          </cell>
        </row>
        <row r="2062">
          <cell r="A2062">
            <v>594593</v>
          </cell>
          <cell r="B2062">
            <v>41579</v>
          </cell>
        </row>
        <row r="2063">
          <cell r="A2063">
            <v>594592</v>
          </cell>
          <cell r="B2063">
            <v>41579</v>
          </cell>
        </row>
        <row r="2064">
          <cell r="A2064">
            <v>594555</v>
          </cell>
          <cell r="B2064">
            <v>41579</v>
          </cell>
        </row>
        <row r="2065">
          <cell r="A2065">
            <v>594521</v>
          </cell>
          <cell r="B2065">
            <v>41579</v>
          </cell>
        </row>
        <row r="2066">
          <cell r="A2066">
            <v>594450</v>
          </cell>
          <cell r="B2066">
            <v>41579</v>
          </cell>
        </row>
        <row r="2067">
          <cell r="A2067">
            <v>594385</v>
          </cell>
          <cell r="B2067">
            <v>41579</v>
          </cell>
        </row>
        <row r="2068">
          <cell r="A2068">
            <v>594148</v>
          </cell>
          <cell r="B2068">
            <v>41579</v>
          </cell>
        </row>
        <row r="2069">
          <cell r="A2069">
            <v>594123</v>
          </cell>
          <cell r="B2069">
            <v>41579</v>
          </cell>
        </row>
        <row r="2070">
          <cell r="A2070">
            <v>594074</v>
          </cell>
          <cell r="B2070">
            <v>41579</v>
          </cell>
        </row>
        <row r="2071">
          <cell r="A2071">
            <v>594009</v>
          </cell>
          <cell r="B2071">
            <v>41579</v>
          </cell>
        </row>
        <row r="2072">
          <cell r="A2072">
            <v>593972</v>
          </cell>
          <cell r="B2072">
            <v>41579</v>
          </cell>
        </row>
        <row r="2073">
          <cell r="A2073">
            <v>593949</v>
          </cell>
          <cell r="B2073">
            <v>41579</v>
          </cell>
        </row>
        <row r="2074">
          <cell r="A2074">
            <v>593940</v>
          </cell>
          <cell r="B2074">
            <v>41579</v>
          </cell>
        </row>
        <row r="2075">
          <cell r="A2075">
            <v>593821</v>
          </cell>
          <cell r="B2075">
            <v>41579</v>
          </cell>
        </row>
        <row r="2076">
          <cell r="A2076">
            <v>593817</v>
          </cell>
          <cell r="B2076">
            <v>41579</v>
          </cell>
        </row>
        <row r="2077">
          <cell r="A2077">
            <v>593813</v>
          </cell>
          <cell r="B2077">
            <v>41579</v>
          </cell>
        </row>
        <row r="2078">
          <cell r="A2078">
            <v>593776</v>
          </cell>
          <cell r="B2078">
            <v>41579</v>
          </cell>
        </row>
        <row r="2079">
          <cell r="A2079">
            <v>593767</v>
          </cell>
          <cell r="B2079">
            <v>41579</v>
          </cell>
        </row>
        <row r="2080">
          <cell r="A2080">
            <v>593767</v>
          </cell>
          <cell r="B2080">
            <v>41579</v>
          </cell>
        </row>
        <row r="2081">
          <cell r="A2081">
            <v>593767</v>
          </cell>
          <cell r="B2081">
            <v>41579</v>
          </cell>
        </row>
        <row r="2082">
          <cell r="A2082">
            <v>593765</v>
          </cell>
          <cell r="B2082">
            <v>41579</v>
          </cell>
        </row>
        <row r="2083">
          <cell r="A2083">
            <v>593762</v>
          </cell>
          <cell r="B2083">
            <v>41579</v>
          </cell>
        </row>
        <row r="2084">
          <cell r="A2084">
            <v>593710</v>
          </cell>
          <cell r="B2084">
            <v>41579</v>
          </cell>
        </row>
        <row r="2085">
          <cell r="A2085">
            <v>593687</v>
          </cell>
          <cell r="B2085">
            <v>41579</v>
          </cell>
        </row>
        <row r="2086">
          <cell r="A2086">
            <v>593683</v>
          </cell>
          <cell r="B2086">
            <v>41579</v>
          </cell>
        </row>
        <row r="2087">
          <cell r="A2087">
            <v>593288</v>
          </cell>
          <cell r="B2087">
            <v>41579</v>
          </cell>
        </row>
        <row r="2088">
          <cell r="A2088">
            <v>593238</v>
          </cell>
          <cell r="B2088">
            <v>41579</v>
          </cell>
        </row>
        <row r="2089">
          <cell r="A2089">
            <v>593220</v>
          </cell>
          <cell r="B2089">
            <v>41579</v>
          </cell>
        </row>
        <row r="2090">
          <cell r="A2090">
            <v>593210</v>
          </cell>
          <cell r="B2090">
            <v>41579</v>
          </cell>
        </row>
        <row r="2091">
          <cell r="A2091">
            <v>593160</v>
          </cell>
          <cell r="B2091">
            <v>41579</v>
          </cell>
        </row>
        <row r="2092">
          <cell r="A2092">
            <v>593121</v>
          </cell>
          <cell r="B2092">
            <v>41579</v>
          </cell>
        </row>
        <row r="2093">
          <cell r="A2093">
            <v>593065</v>
          </cell>
          <cell r="B2093">
            <v>41579</v>
          </cell>
        </row>
        <row r="2094">
          <cell r="A2094">
            <v>592986</v>
          </cell>
          <cell r="B2094">
            <v>41579</v>
          </cell>
        </row>
        <row r="2095">
          <cell r="A2095">
            <v>592859</v>
          </cell>
          <cell r="B2095">
            <v>41579</v>
          </cell>
        </row>
        <row r="2096">
          <cell r="A2096">
            <v>592790</v>
          </cell>
          <cell r="B2096">
            <v>41579</v>
          </cell>
        </row>
        <row r="2097">
          <cell r="A2097">
            <v>592673</v>
          </cell>
          <cell r="B2097">
            <v>41579</v>
          </cell>
        </row>
        <row r="2098">
          <cell r="A2098">
            <v>592662</v>
          </cell>
          <cell r="B2098">
            <v>41579</v>
          </cell>
        </row>
        <row r="2099">
          <cell r="A2099">
            <v>592413</v>
          </cell>
          <cell r="B2099">
            <v>41579</v>
          </cell>
        </row>
        <row r="2100">
          <cell r="A2100">
            <v>592318</v>
          </cell>
          <cell r="B2100">
            <v>41579</v>
          </cell>
        </row>
        <row r="2101">
          <cell r="A2101">
            <v>592300</v>
          </cell>
          <cell r="B2101">
            <v>41579</v>
          </cell>
        </row>
        <row r="2102">
          <cell r="A2102">
            <v>592033</v>
          </cell>
          <cell r="B2102">
            <v>41579</v>
          </cell>
        </row>
        <row r="2103">
          <cell r="A2103">
            <v>592026</v>
          </cell>
          <cell r="B2103">
            <v>41579</v>
          </cell>
        </row>
        <row r="2104">
          <cell r="A2104">
            <v>591994</v>
          </cell>
          <cell r="B2104">
            <v>41579</v>
          </cell>
        </row>
        <row r="2105">
          <cell r="A2105">
            <v>591968</v>
          </cell>
          <cell r="B2105">
            <v>41579</v>
          </cell>
        </row>
        <row r="2106">
          <cell r="A2106">
            <v>591913</v>
          </cell>
          <cell r="B2106">
            <v>41579</v>
          </cell>
        </row>
        <row r="2107">
          <cell r="A2107">
            <v>591825</v>
          </cell>
          <cell r="B2107">
            <v>41579</v>
          </cell>
        </row>
        <row r="2108">
          <cell r="A2108">
            <v>591795</v>
          </cell>
          <cell r="B2108">
            <v>41579</v>
          </cell>
        </row>
        <row r="2109">
          <cell r="A2109">
            <v>591781</v>
          </cell>
          <cell r="B2109">
            <v>41579</v>
          </cell>
        </row>
        <row r="2110">
          <cell r="A2110">
            <v>591707</v>
          </cell>
          <cell r="B2110">
            <v>41579</v>
          </cell>
        </row>
        <row r="2111">
          <cell r="A2111">
            <v>591683</v>
          </cell>
          <cell r="B2111">
            <v>41579</v>
          </cell>
        </row>
        <row r="2112">
          <cell r="A2112">
            <v>591682</v>
          </cell>
          <cell r="B2112">
            <v>41579</v>
          </cell>
        </row>
        <row r="2113">
          <cell r="A2113">
            <v>591548</v>
          </cell>
          <cell r="B2113">
            <v>41579</v>
          </cell>
        </row>
        <row r="2114">
          <cell r="A2114">
            <v>591537</v>
          </cell>
          <cell r="B2114">
            <v>41579</v>
          </cell>
        </row>
        <row r="2115">
          <cell r="A2115">
            <v>591449</v>
          </cell>
          <cell r="B2115">
            <v>41579</v>
          </cell>
        </row>
        <row r="2116">
          <cell r="A2116">
            <v>591389</v>
          </cell>
          <cell r="B2116">
            <v>41579</v>
          </cell>
        </row>
        <row r="2117">
          <cell r="A2117">
            <v>591262</v>
          </cell>
          <cell r="B2117">
            <v>41579</v>
          </cell>
        </row>
        <row r="2118">
          <cell r="A2118">
            <v>591078</v>
          </cell>
          <cell r="B2118">
            <v>41579</v>
          </cell>
        </row>
        <row r="2119">
          <cell r="A2119">
            <v>590896</v>
          </cell>
          <cell r="B2119">
            <v>41579</v>
          </cell>
        </row>
        <row r="2120">
          <cell r="A2120">
            <v>590868</v>
          </cell>
          <cell r="B2120">
            <v>41579</v>
          </cell>
        </row>
        <row r="2121">
          <cell r="A2121">
            <v>590785</v>
          </cell>
          <cell r="B2121">
            <v>41579</v>
          </cell>
        </row>
        <row r="2122">
          <cell r="A2122">
            <v>590474</v>
          </cell>
          <cell r="B2122">
            <v>41579</v>
          </cell>
        </row>
        <row r="2123">
          <cell r="A2123">
            <v>590356</v>
          </cell>
          <cell r="B2123">
            <v>41579</v>
          </cell>
        </row>
        <row r="2124">
          <cell r="A2124">
            <v>590135</v>
          </cell>
          <cell r="B2124">
            <v>41579</v>
          </cell>
        </row>
        <row r="2125">
          <cell r="A2125">
            <v>590095</v>
          </cell>
          <cell r="B2125">
            <v>41579</v>
          </cell>
        </row>
        <row r="2126">
          <cell r="A2126">
            <v>590057</v>
          </cell>
          <cell r="B2126">
            <v>41579</v>
          </cell>
        </row>
        <row r="2127">
          <cell r="A2127">
            <v>589985</v>
          </cell>
          <cell r="B2127">
            <v>41579</v>
          </cell>
        </row>
        <row r="2128">
          <cell r="A2128">
            <v>589640</v>
          </cell>
          <cell r="B2128">
            <v>41579</v>
          </cell>
        </row>
        <row r="2129">
          <cell r="A2129">
            <v>589449</v>
          </cell>
          <cell r="B2129">
            <v>41579</v>
          </cell>
        </row>
        <row r="2130">
          <cell r="A2130">
            <v>589447</v>
          </cell>
          <cell r="B2130">
            <v>41579</v>
          </cell>
        </row>
        <row r="2131">
          <cell r="A2131">
            <v>589350</v>
          </cell>
          <cell r="B2131">
            <v>41579</v>
          </cell>
        </row>
        <row r="2132">
          <cell r="A2132">
            <v>589334</v>
          </cell>
          <cell r="B2132">
            <v>41579</v>
          </cell>
        </row>
        <row r="2133">
          <cell r="A2133">
            <v>589254</v>
          </cell>
          <cell r="B2133">
            <v>41579</v>
          </cell>
        </row>
        <row r="2134">
          <cell r="A2134">
            <v>589164</v>
          </cell>
          <cell r="B2134">
            <v>41579</v>
          </cell>
        </row>
        <row r="2135">
          <cell r="A2135">
            <v>589114</v>
          </cell>
          <cell r="B2135">
            <v>41579</v>
          </cell>
        </row>
        <row r="2136">
          <cell r="A2136">
            <v>589005</v>
          </cell>
          <cell r="B2136">
            <v>41579</v>
          </cell>
        </row>
        <row r="2137">
          <cell r="A2137">
            <v>588977</v>
          </cell>
          <cell r="B2137">
            <v>41579</v>
          </cell>
        </row>
        <row r="2138">
          <cell r="A2138">
            <v>588837</v>
          </cell>
          <cell r="B2138">
            <v>41579</v>
          </cell>
        </row>
        <row r="2139">
          <cell r="A2139">
            <v>588837</v>
          </cell>
          <cell r="B2139">
            <v>41579</v>
          </cell>
        </row>
        <row r="2140">
          <cell r="A2140">
            <v>588812</v>
          </cell>
          <cell r="B2140">
            <v>41579</v>
          </cell>
        </row>
        <row r="2141">
          <cell r="A2141">
            <v>588742</v>
          </cell>
          <cell r="B2141">
            <v>41579</v>
          </cell>
        </row>
        <row r="2142">
          <cell r="A2142">
            <v>588597</v>
          </cell>
          <cell r="B2142">
            <v>41579</v>
          </cell>
        </row>
        <row r="2143">
          <cell r="A2143">
            <v>588535</v>
          </cell>
          <cell r="B2143">
            <v>41579</v>
          </cell>
        </row>
        <row r="2144">
          <cell r="A2144">
            <v>588453</v>
          </cell>
          <cell r="B2144">
            <v>41579</v>
          </cell>
        </row>
        <row r="2145">
          <cell r="A2145">
            <v>588452</v>
          </cell>
          <cell r="B2145">
            <v>41579</v>
          </cell>
        </row>
        <row r="2146">
          <cell r="A2146">
            <v>588342</v>
          </cell>
          <cell r="B2146">
            <v>41579</v>
          </cell>
        </row>
        <row r="2147">
          <cell r="A2147">
            <v>588341</v>
          </cell>
          <cell r="B2147">
            <v>41579</v>
          </cell>
        </row>
        <row r="2148">
          <cell r="A2148">
            <v>588334</v>
          </cell>
          <cell r="B2148">
            <v>41579</v>
          </cell>
        </row>
        <row r="2149">
          <cell r="A2149">
            <v>588315</v>
          </cell>
          <cell r="B2149">
            <v>41579</v>
          </cell>
        </row>
        <row r="2150">
          <cell r="A2150">
            <v>588145</v>
          </cell>
          <cell r="B2150">
            <v>41579</v>
          </cell>
        </row>
        <row r="2151">
          <cell r="A2151">
            <v>588102</v>
          </cell>
          <cell r="B2151">
            <v>41579</v>
          </cell>
        </row>
        <row r="2152">
          <cell r="A2152">
            <v>588089</v>
          </cell>
          <cell r="B2152">
            <v>41579</v>
          </cell>
        </row>
        <row r="2153">
          <cell r="A2153">
            <v>587811</v>
          </cell>
          <cell r="B2153">
            <v>41579</v>
          </cell>
        </row>
        <row r="2154">
          <cell r="A2154">
            <v>587630</v>
          </cell>
          <cell r="B2154">
            <v>41579</v>
          </cell>
        </row>
        <row r="2155">
          <cell r="A2155">
            <v>587613</v>
          </cell>
          <cell r="B2155">
            <v>41579</v>
          </cell>
        </row>
        <row r="2156">
          <cell r="A2156">
            <v>587303</v>
          </cell>
          <cell r="B2156">
            <v>41579</v>
          </cell>
        </row>
        <row r="2157">
          <cell r="A2157">
            <v>587211</v>
          </cell>
          <cell r="B2157">
            <v>41579</v>
          </cell>
        </row>
        <row r="2158">
          <cell r="A2158">
            <v>587205</v>
          </cell>
          <cell r="B2158">
            <v>41579</v>
          </cell>
        </row>
        <row r="2159">
          <cell r="A2159">
            <v>587175</v>
          </cell>
          <cell r="B2159">
            <v>41579</v>
          </cell>
        </row>
        <row r="2160">
          <cell r="A2160">
            <v>587005</v>
          </cell>
          <cell r="B2160">
            <v>41579</v>
          </cell>
        </row>
        <row r="2161">
          <cell r="A2161">
            <v>586992</v>
          </cell>
          <cell r="B2161">
            <v>41640</v>
          </cell>
        </row>
        <row r="2162">
          <cell r="A2162">
            <v>586958</v>
          </cell>
          <cell r="B2162">
            <v>41579</v>
          </cell>
        </row>
        <row r="2163">
          <cell r="A2163">
            <v>586780</v>
          </cell>
          <cell r="B2163">
            <v>41579</v>
          </cell>
        </row>
        <row r="2164">
          <cell r="A2164">
            <v>586699</v>
          </cell>
          <cell r="B2164">
            <v>41579</v>
          </cell>
        </row>
        <row r="2165">
          <cell r="A2165">
            <v>586694</v>
          </cell>
          <cell r="B2165">
            <v>41579</v>
          </cell>
        </row>
        <row r="2166">
          <cell r="A2166">
            <v>586607</v>
          </cell>
          <cell r="B2166">
            <v>41579</v>
          </cell>
        </row>
        <row r="2167">
          <cell r="A2167">
            <v>586607</v>
          </cell>
          <cell r="B2167">
            <v>41579</v>
          </cell>
        </row>
        <row r="2168">
          <cell r="A2168">
            <v>586520</v>
          </cell>
          <cell r="B2168">
            <v>41579</v>
          </cell>
        </row>
        <row r="2169">
          <cell r="A2169">
            <v>586457</v>
          </cell>
          <cell r="B2169">
            <v>41579</v>
          </cell>
        </row>
        <row r="2170">
          <cell r="A2170">
            <v>586197</v>
          </cell>
          <cell r="B2170">
            <v>41579</v>
          </cell>
        </row>
        <row r="2171">
          <cell r="A2171">
            <v>586046</v>
          </cell>
          <cell r="B2171">
            <v>41579</v>
          </cell>
        </row>
        <row r="2172">
          <cell r="A2172">
            <v>585969</v>
          </cell>
          <cell r="B2172">
            <v>41579</v>
          </cell>
        </row>
        <row r="2173">
          <cell r="A2173">
            <v>585943</v>
          </cell>
          <cell r="B2173">
            <v>41579</v>
          </cell>
        </row>
        <row r="2174">
          <cell r="A2174">
            <v>585758</v>
          </cell>
          <cell r="B2174">
            <v>41579</v>
          </cell>
        </row>
        <row r="2175">
          <cell r="A2175">
            <v>585702</v>
          </cell>
          <cell r="B2175">
            <v>41579</v>
          </cell>
        </row>
        <row r="2176">
          <cell r="A2176">
            <v>585633</v>
          </cell>
          <cell r="B2176">
            <v>41579</v>
          </cell>
        </row>
        <row r="2177">
          <cell r="A2177">
            <v>585482</v>
          </cell>
          <cell r="B2177">
            <v>41579</v>
          </cell>
        </row>
        <row r="2178">
          <cell r="A2178">
            <v>585355</v>
          </cell>
          <cell r="B2178">
            <v>41579</v>
          </cell>
        </row>
        <row r="2179">
          <cell r="A2179">
            <v>585341</v>
          </cell>
          <cell r="B2179">
            <v>41579</v>
          </cell>
        </row>
        <row r="2180">
          <cell r="A2180">
            <v>585209</v>
          </cell>
          <cell r="B2180">
            <v>41579</v>
          </cell>
        </row>
        <row r="2181">
          <cell r="A2181">
            <v>585209</v>
          </cell>
          <cell r="B2181">
            <v>41579</v>
          </cell>
        </row>
        <row r="2182">
          <cell r="A2182">
            <v>585209</v>
          </cell>
          <cell r="B2182">
            <v>41579</v>
          </cell>
        </row>
        <row r="2183">
          <cell r="A2183">
            <v>585190</v>
          </cell>
          <cell r="B2183">
            <v>41579</v>
          </cell>
        </row>
        <row r="2184">
          <cell r="A2184">
            <v>585170</v>
          </cell>
          <cell r="B2184">
            <v>41579</v>
          </cell>
        </row>
        <row r="2185">
          <cell r="A2185">
            <v>585099</v>
          </cell>
          <cell r="B2185">
            <v>41579</v>
          </cell>
        </row>
        <row r="2186">
          <cell r="A2186">
            <v>585095</v>
          </cell>
          <cell r="B2186">
            <v>41579</v>
          </cell>
        </row>
        <row r="2187">
          <cell r="A2187">
            <v>584852</v>
          </cell>
          <cell r="B2187">
            <v>41579</v>
          </cell>
        </row>
        <row r="2188">
          <cell r="A2188">
            <v>584772</v>
          </cell>
          <cell r="B2188">
            <v>41579</v>
          </cell>
        </row>
        <row r="2189">
          <cell r="A2189">
            <v>584772</v>
          </cell>
          <cell r="B2189">
            <v>41579</v>
          </cell>
        </row>
        <row r="2190">
          <cell r="A2190">
            <v>584743</v>
          </cell>
          <cell r="B2190">
            <v>41579</v>
          </cell>
        </row>
        <row r="2191">
          <cell r="A2191">
            <v>584444</v>
          </cell>
          <cell r="B2191">
            <v>41579</v>
          </cell>
        </row>
        <row r="2192">
          <cell r="A2192">
            <v>584438</v>
          </cell>
          <cell r="B2192">
            <v>41579</v>
          </cell>
        </row>
        <row r="2193">
          <cell r="A2193">
            <v>584343</v>
          </cell>
          <cell r="B2193">
            <v>41579</v>
          </cell>
        </row>
        <row r="2194">
          <cell r="A2194">
            <v>584309</v>
          </cell>
          <cell r="B2194">
            <v>41579</v>
          </cell>
        </row>
        <row r="2195">
          <cell r="A2195">
            <v>584290</v>
          </cell>
          <cell r="B2195">
            <v>41579</v>
          </cell>
        </row>
        <row r="2196">
          <cell r="A2196">
            <v>584147</v>
          </cell>
          <cell r="B2196">
            <v>41579</v>
          </cell>
        </row>
        <row r="2197">
          <cell r="A2197">
            <v>584125</v>
          </cell>
          <cell r="B2197">
            <v>41579</v>
          </cell>
        </row>
        <row r="2198">
          <cell r="A2198">
            <v>584117</v>
          </cell>
          <cell r="B2198">
            <v>41579</v>
          </cell>
        </row>
        <row r="2199">
          <cell r="A2199">
            <v>584098</v>
          </cell>
          <cell r="B2199">
            <v>41579</v>
          </cell>
        </row>
        <row r="2200">
          <cell r="A2200">
            <v>584074</v>
          </cell>
          <cell r="B2200">
            <v>41579</v>
          </cell>
        </row>
        <row r="2201">
          <cell r="A2201">
            <v>583961</v>
          </cell>
          <cell r="B2201">
            <v>41579</v>
          </cell>
        </row>
        <row r="2202">
          <cell r="A2202">
            <v>583954</v>
          </cell>
          <cell r="B2202">
            <v>41579</v>
          </cell>
        </row>
        <row r="2203">
          <cell r="A2203">
            <v>583954</v>
          </cell>
          <cell r="B2203">
            <v>41579</v>
          </cell>
        </row>
        <row r="2204">
          <cell r="A2204">
            <v>583854</v>
          </cell>
          <cell r="B2204">
            <v>41579</v>
          </cell>
        </row>
        <row r="2205">
          <cell r="A2205">
            <v>583814</v>
          </cell>
          <cell r="B2205">
            <v>41579</v>
          </cell>
        </row>
        <row r="2206">
          <cell r="A2206">
            <v>583811</v>
          </cell>
          <cell r="B2206">
            <v>41579</v>
          </cell>
        </row>
        <row r="2207">
          <cell r="A2207">
            <v>583695</v>
          </cell>
          <cell r="B2207">
            <v>41579</v>
          </cell>
        </row>
        <row r="2208">
          <cell r="A2208">
            <v>583528</v>
          </cell>
          <cell r="B2208">
            <v>41579</v>
          </cell>
        </row>
        <row r="2209">
          <cell r="A2209">
            <v>583523</v>
          </cell>
          <cell r="B2209">
            <v>41579</v>
          </cell>
        </row>
        <row r="2210">
          <cell r="A2210">
            <v>583373</v>
          </cell>
          <cell r="B2210">
            <v>41579</v>
          </cell>
        </row>
        <row r="2211">
          <cell r="A2211">
            <v>583352</v>
          </cell>
          <cell r="B2211">
            <v>41579</v>
          </cell>
        </row>
        <row r="2212">
          <cell r="A2212">
            <v>583303</v>
          </cell>
          <cell r="B2212">
            <v>41579</v>
          </cell>
        </row>
        <row r="2213">
          <cell r="A2213">
            <v>583294</v>
          </cell>
          <cell r="B2213">
            <v>41579</v>
          </cell>
        </row>
        <row r="2214">
          <cell r="A2214">
            <v>583284</v>
          </cell>
          <cell r="B2214">
            <v>41579</v>
          </cell>
        </row>
        <row r="2215">
          <cell r="A2215">
            <v>583179</v>
          </cell>
          <cell r="B2215">
            <v>41579</v>
          </cell>
        </row>
        <row r="2216">
          <cell r="A2216">
            <v>583167</v>
          </cell>
          <cell r="B2216">
            <v>41579</v>
          </cell>
        </row>
        <row r="2217">
          <cell r="A2217">
            <v>583148</v>
          </cell>
          <cell r="B2217">
            <v>41579</v>
          </cell>
        </row>
        <row r="2218">
          <cell r="A2218">
            <v>583138</v>
          </cell>
          <cell r="B2218">
            <v>41579</v>
          </cell>
        </row>
        <row r="2219">
          <cell r="A2219">
            <v>583132</v>
          </cell>
          <cell r="B2219">
            <v>41579</v>
          </cell>
        </row>
        <row r="2220">
          <cell r="A2220">
            <v>583080</v>
          </cell>
          <cell r="B2220">
            <v>41579</v>
          </cell>
        </row>
        <row r="2221">
          <cell r="A2221">
            <v>582981</v>
          </cell>
          <cell r="B2221">
            <v>41579</v>
          </cell>
        </row>
        <row r="2222">
          <cell r="A2222">
            <v>582929</v>
          </cell>
          <cell r="B2222">
            <v>41579</v>
          </cell>
        </row>
        <row r="2223">
          <cell r="A2223">
            <v>582922</v>
          </cell>
          <cell r="B2223">
            <v>41579</v>
          </cell>
        </row>
        <row r="2224">
          <cell r="A2224">
            <v>582837</v>
          </cell>
          <cell r="B2224">
            <v>41579</v>
          </cell>
        </row>
        <row r="2225">
          <cell r="A2225">
            <v>582820</v>
          </cell>
          <cell r="B2225">
            <v>41579</v>
          </cell>
        </row>
        <row r="2226">
          <cell r="A2226">
            <v>582729</v>
          </cell>
          <cell r="B2226">
            <v>41579</v>
          </cell>
        </row>
        <row r="2227">
          <cell r="A2227">
            <v>582729</v>
          </cell>
          <cell r="B2227">
            <v>41579</v>
          </cell>
        </row>
        <row r="2228">
          <cell r="A2228">
            <v>582622</v>
          </cell>
          <cell r="B2228">
            <v>41579</v>
          </cell>
        </row>
        <row r="2229">
          <cell r="A2229">
            <v>582562</v>
          </cell>
          <cell r="B2229">
            <v>41579</v>
          </cell>
        </row>
        <row r="2230">
          <cell r="A2230">
            <v>582507</v>
          </cell>
          <cell r="B2230">
            <v>41579</v>
          </cell>
        </row>
        <row r="2231">
          <cell r="A2231">
            <v>582492</v>
          </cell>
          <cell r="B2231">
            <v>41579</v>
          </cell>
        </row>
        <row r="2232">
          <cell r="A2232">
            <v>582426</v>
          </cell>
          <cell r="B2232">
            <v>41579</v>
          </cell>
        </row>
        <row r="2233">
          <cell r="A2233">
            <v>582273</v>
          </cell>
          <cell r="B2233">
            <v>41579</v>
          </cell>
        </row>
        <row r="2234">
          <cell r="A2234">
            <v>582238</v>
          </cell>
          <cell r="B2234">
            <v>41579</v>
          </cell>
        </row>
        <row r="2235">
          <cell r="A2235">
            <v>582226</v>
          </cell>
          <cell r="B2235">
            <v>41579</v>
          </cell>
        </row>
        <row r="2236">
          <cell r="A2236">
            <v>582051</v>
          </cell>
          <cell r="B2236">
            <v>41579</v>
          </cell>
        </row>
        <row r="2237">
          <cell r="A2237">
            <v>581924</v>
          </cell>
          <cell r="B2237">
            <v>41579</v>
          </cell>
        </row>
        <row r="2238">
          <cell r="A2238">
            <v>581905</v>
          </cell>
          <cell r="B2238">
            <v>41640</v>
          </cell>
        </row>
        <row r="2239">
          <cell r="A2239">
            <v>581701</v>
          </cell>
          <cell r="B2239">
            <v>41579</v>
          </cell>
        </row>
        <row r="2240">
          <cell r="A2240">
            <v>581674</v>
          </cell>
          <cell r="B2240">
            <v>41579</v>
          </cell>
        </row>
        <row r="2241">
          <cell r="A2241">
            <v>581591</v>
          </cell>
          <cell r="B2241">
            <v>41579</v>
          </cell>
        </row>
        <row r="2242">
          <cell r="A2242">
            <v>581516</v>
          </cell>
          <cell r="B2242">
            <v>41579</v>
          </cell>
        </row>
        <row r="2243">
          <cell r="A2243">
            <v>581445</v>
          </cell>
          <cell r="B2243">
            <v>41579</v>
          </cell>
        </row>
        <row r="2244">
          <cell r="A2244">
            <v>581379</v>
          </cell>
          <cell r="B2244">
            <v>41579</v>
          </cell>
        </row>
        <row r="2245">
          <cell r="A2245">
            <v>581326</v>
          </cell>
          <cell r="B2245">
            <v>41579</v>
          </cell>
        </row>
        <row r="2246">
          <cell r="A2246">
            <v>581207</v>
          </cell>
          <cell r="B2246">
            <v>41579</v>
          </cell>
        </row>
        <row r="2247">
          <cell r="A2247">
            <v>581080</v>
          </cell>
          <cell r="B2247">
            <v>41579</v>
          </cell>
        </row>
        <row r="2248">
          <cell r="A2248">
            <v>580926</v>
          </cell>
          <cell r="B2248">
            <v>41579</v>
          </cell>
        </row>
        <row r="2249">
          <cell r="A2249">
            <v>580916</v>
          </cell>
          <cell r="B2249">
            <v>41579</v>
          </cell>
        </row>
        <row r="2250">
          <cell r="A2250">
            <v>580841</v>
          </cell>
          <cell r="B2250">
            <v>41579</v>
          </cell>
        </row>
        <row r="2251">
          <cell r="A2251">
            <v>580678</v>
          </cell>
          <cell r="B2251">
            <v>41579</v>
          </cell>
        </row>
        <row r="2252">
          <cell r="A2252">
            <v>580673</v>
          </cell>
          <cell r="B2252">
            <v>41579</v>
          </cell>
        </row>
        <row r="2253">
          <cell r="A2253">
            <v>580606</v>
          </cell>
          <cell r="B2253">
            <v>41579</v>
          </cell>
        </row>
        <row r="2254">
          <cell r="A2254">
            <v>580606</v>
          </cell>
          <cell r="B2254">
            <v>41579</v>
          </cell>
        </row>
        <row r="2255">
          <cell r="A2255">
            <v>580586</v>
          </cell>
          <cell r="B2255">
            <v>41579</v>
          </cell>
        </row>
        <row r="2256">
          <cell r="A2256">
            <v>580545</v>
          </cell>
          <cell r="B2256">
            <v>41579</v>
          </cell>
        </row>
        <row r="2257">
          <cell r="A2257">
            <v>580508</v>
          </cell>
          <cell r="B2257">
            <v>41579</v>
          </cell>
        </row>
        <row r="2258">
          <cell r="A2258">
            <v>580497</v>
          </cell>
          <cell r="B2258">
            <v>41579</v>
          </cell>
        </row>
        <row r="2259">
          <cell r="A2259">
            <v>580372</v>
          </cell>
          <cell r="B2259">
            <v>41579</v>
          </cell>
        </row>
        <row r="2260">
          <cell r="A2260">
            <v>580267</v>
          </cell>
          <cell r="B2260">
            <v>41579</v>
          </cell>
        </row>
        <row r="2261">
          <cell r="A2261">
            <v>580238</v>
          </cell>
          <cell r="B2261">
            <v>41579</v>
          </cell>
        </row>
        <row r="2262">
          <cell r="A2262">
            <v>580199</v>
          </cell>
          <cell r="B2262">
            <v>41579</v>
          </cell>
        </row>
        <row r="2263">
          <cell r="A2263">
            <v>580169</v>
          </cell>
          <cell r="B2263">
            <v>41579</v>
          </cell>
        </row>
        <row r="2264">
          <cell r="A2264">
            <v>580156</v>
          </cell>
          <cell r="B2264">
            <v>41579</v>
          </cell>
        </row>
        <row r="2265">
          <cell r="A2265">
            <v>580097</v>
          </cell>
          <cell r="B2265">
            <v>41579</v>
          </cell>
        </row>
        <row r="2266">
          <cell r="A2266">
            <v>579951</v>
          </cell>
          <cell r="B2266">
            <v>41579</v>
          </cell>
        </row>
        <row r="2267">
          <cell r="A2267">
            <v>579870</v>
          </cell>
          <cell r="B2267">
            <v>41579</v>
          </cell>
        </row>
        <row r="2268">
          <cell r="A2268">
            <v>579865</v>
          </cell>
          <cell r="B2268">
            <v>41579</v>
          </cell>
        </row>
        <row r="2269">
          <cell r="A2269">
            <v>579719</v>
          </cell>
          <cell r="B2269">
            <v>41579</v>
          </cell>
        </row>
        <row r="2270">
          <cell r="A2270">
            <v>579544</v>
          </cell>
          <cell r="B2270">
            <v>41579</v>
          </cell>
        </row>
        <row r="2271">
          <cell r="A2271">
            <v>579462</v>
          </cell>
          <cell r="B2271">
            <v>41579</v>
          </cell>
        </row>
        <row r="2272">
          <cell r="A2272">
            <v>579432</v>
          </cell>
          <cell r="B2272">
            <v>41579</v>
          </cell>
        </row>
        <row r="2273">
          <cell r="A2273">
            <v>579330</v>
          </cell>
          <cell r="B2273">
            <v>41579</v>
          </cell>
        </row>
        <row r="2274">
          <cell r="A2274">
            <v>579150</v>
          </cell>
          <cell r="B2274">
            <v>41579</v>
          </cell>
        </row>
        <row r="2275">
          <cell r="A2275">
            <v>578935</v>
          </cell>
          <cell r="B2275">
            <v>41579</v>
          </cell>
        </row>
        <row r="2276">
          <cell r="A2276">
            <v>578528</v>
          </cell>
          <cell r="B2276">
            <v>41579</v>
          </cell>
        </row>
        <row r="2277">
          <cell r="A2277">
            <v>578491</v>
          </cell>
          <cell r="B2277">
            <v>41579</v>
          </cell>
        </row>
        <row r="2278">
          <cell r="A2278">
            <v>578471</v>
          </cell>
          <cell r="B2278">
            <v>41579</v>
          </cell>
        </row>
        <row r="2279">
          <cell r="A2279">
            <v>578468</v>
          </cell>
          <cell r="B2279">
            <v>41579</v>
          </cell>
        </row>
        <row r="2280">
          <cell r="A2280">
            <v>578379</v>
          </cell>
          <cell r="B2280">
            <v>41579</v>
          </cell>
        </row>
        <row r="2281">
          <cell r="A2281">
            <v>578374</v>
          </cell>
          <cell r="B2281">
            <v>41579</v>
          </cell>
        </row>
        <row r="2282">
          <cell r="A2282">
            <v>578014</v>
          </cell>
          <cell r="B2282">
            <v>41579</v>
          </cell>
        </row>
        <row r="2283">
          <cell r="A2283">
            <v>577959</v>
          </cell>
          <cell r="B2283">
            <v>41579</v>
          </cell>
        </row>
        <row r="2284">
          <cell r="A2284">
            <v>577924</v>
          </cell>
          <cell r="B2284">
            <v>41579</v>
          </cell>
        </row>
        <row r="2285">
          <cell r="A2285">
            <v>577609</v>
          </cell>
          <cell r="B2285">
            <v>41579</v>
          </cell>
        </row>
        <row r="2286">
          <cell r="A2286">
            <v>577377</v>
          </cell>
          <cell r="B2286">
            <v>41579</v>
          </cell>
        </row>
        <row r="2287">
          <cell r="A2287">
            <v>577334</v>
          </cell>
          <cell r="B2287">
            <v>41579</v>
          </cell>
        </row>
        <row r="2288">
          <cell r="A2288">
            <v>577045</v>
          </cell>
          <cell r="B2288">
            <v>41579</v>
          </cell>
        </row>
        <row r="2289">
          <cell r="A2289">
            <v>576975</v>
          </cell>
          <cell r="B2289">
            <v>41579</v>
          </cell>
        </row>
        <row r="2290">
          <cell r="A2290">
            <v>576948</v>
          </cell>
          <cell r="B2290">
            <v>41579</v>
          </cell>
        </row>
        <row r="2291">
          <cell r="A2291">
            <v>576891</v>
          </cell>
          <cell r="B2291">
            <v>41579</v>
          </cell>
        </row>
        <row r="2292">
          <cell r="A2292">
            <v>576856</v>
          </cell>
          <cell r="B2292">
            <v>41579</v>
          </cell>
        </row>
        <row r="2293">
          <cell r="A2293">
            <v>576825</v>
          </cell>
          <cell r="B2293">
            <v>41579</v>
          </cell>
        </row>
        <row r="2294">
          <cell r="A2294">
            <v>576638</v>
          </cell>
          <cell r="B2294">
            <v>41579</v>
          </cell>
        </row>
        <row r="2295">
          <cell r="A2295">
            <v>576611</v>
          </cell>
          <cell r="B2295">
            <v>41579</v>
          </cell>
        </row>
        <row r="2296">
          <cell r="A2296">
            <v>576500</v>
          </cell>
          <cell r="B2296">
            <v>41579</v>
          </cell>
        </row>
        <row r="2297">
          <cell r="A2297">
            <v>576337</v>
          </cell>
          <cell r="B2297">
            <v>41579</v>
          </cell>
        </row>
        <row r="2298">
          <cell r="A2298">
            <v>576056</v>
          </cell>
          <cell r="B2298">
            <v>41579</v>
          </cell>
        </row>
        <row r="2299">
          <cell r="A2299">
            <v>575880</v>
          </cell>
          <cell r="B2299">
            <v>41579</v>
          </cell>
        </row>
        <row r="2300">
          <cell r="A2300">
            <v>575716</v>
          </cell>
          <cell r="B2300">
            <v>41579</v>
          </cell>
        </row>
        <row r="2301">
          <cell r="A2301">
            <v>575666</v>
          </cell>
          <cell r="B2301">
            <v>41579</v>
          </cell>
        </row>
        <row r="2302">
          <cell r="A2302">
            <v>575596</v>
          </cell>
          <cell r="B2302">
            <v>41579</v>
          </cell>
        </row>
        <row r="2303">
          <cell r="A2303">
            <v>575491</v>
          </cell>
          <cell r="B2303">
            <v>41579</v>
          </cell>
        </row>
        <row r="2304">
          <cell r="A2304">
            <v>575397</v>
          </cell>
          <cell r="B2304">
            <v>41579</v>
          </cell>
        </row>
        <row r="2305">
          <cell r="A2305">
            <v>575246</v>
          </cell>
          <cell r="B2305">
            <v>41579</v>
          </cell>
        </row>
        <row r="2306">
          <cell r="A2306">
            <v>575190</v>
          </cell>
          <cell r="B2306">
            <v>41579</v>
          </cell>
        </row>
        <row r="2307">
          <cell r="A2307">
            <v>575159</v>
          </cell>
          <cell r="B2307">
            <v>41579</v>
          </cell>
        </row>
        <row r="2308">
          <cell r="A2308">
            <v>575088</v>
          </cell>
          <cell r="B2308">
            <v>41579</v>
          </cell>
        </row>
        <row r="2309">
          <cell r="A2309">
            <v>574970</v>
          </cell>
          <cell r="B2309">
            <v>41579</v>
          </cell>
        </row>
        <row r="2310">
          <cell r="A2310">
            <v>574838</v>
          </cell>
          <cell r="B2310">
            <v>41579</v>
          </cell>
        </row>
        <row r="2311">
          <cell r="A2311">
            <v>574835</v>
          </cell>
          <cell r="B2311">
            <v>41579</v>
          </cell>
        </row>
        <row r="2312">
          <cell r="A2312">
            <v>574743</v>
          </cell>
          <cell r="B2312">
            <v>41579</v>
          </cell>
        </row>
        <row r="2313">
          <cell r="A2313">
            <v>574728</v>
          </cell>
          <cell r="B2313">
            <v>41579</v>
          </cell>
        </row>
        <row r="2314">
          <cell r="A2314">
            <v>574608</v>
          </cell>
          <cell r="B2314">
            <v>41579</v>
          </cell>
        </row>
        <row r="2315">
          <cell r="A2315">
            <v>574608</v>
          </cell>
          <cell r="B2315">
            <v>41579</v>
          </cell>
        </row>
        <row r="2316">
          <cell r="A2316">
            <v>574543</v>
          </cell>
          <cell r="B2316">
            <v>41579</v>
          </cell>
        </row>
        <row r="2317">
          <cell r="A2317">
            <v>574355</v>
          </cell>
          <cell r="B2317">
            <v>41579</v>
          </cell>
        </row>
        <row r="2318">
          <cell r="A2318">
            <v>574131</v>
          </cell>
          <cell r="B2318">
            <v>41579</v>
          </cell>
        </row>
        <row r="2319">
          <cell r="A2319">
            <v>574015</v>
          </cell>
          <cell r="B2319">
            <v>41579</v>
          </cell>
        </row>
        <row r="2320">
          <cell r="A2320">
            <v>573962</v>
          </cell>
          <cell r="B2320">
            <v>41579</v>
          </cell>
        </row>
        <row r="2321">
          <cell r="A2321">
            <v>573878</v>
          </cell>
          <cell r="B2321">
            <v>41579</v>
          </cell>
        </row>
        <row r="2322">
          <cell r="A2322">
            <v>573690</v>
          </cell>
          <cell r="B2322">
            <v>41579</v>
          </cell>
        </row>
        <row r="2323">
          <cell r="A2323">
            <v>573635</v>
          </cell>
          <cell r="B2323">
            <v>41579</v>
          </cell>
        </row>
        <row r="2324">
          <cell r="A2324">
            <v>573615</v>
          </cell>
          <cell r="B2324">
            <v>41579</v>
          </cell>
        </row>
        <row r="2325">
          <cell r="A2325">
            <v>573588</v>
          </cell>
          <cell r="B2325">
            <v>41579</v>
          </cell>
        </row>
        <row r="2326">
          <cell r="A2326">
            <v>573588</v>
          </cell>
          <cell r="B2326">
            <v>41579</v>
          </cell>
        </row>
        <row r="2327">
          <cell r="A2327">
            <v>573580</v>
          </cell>
          <cell r="B2327">
            <v>41579</v>
          </cell>
        </row>
        <row r="2328">
          <cell r="A2328">
            <v>573381</v>
          </cell>
          <cell r="B2328">
            <v>41579</v>
          </cell>
        </row>
        <row r="2329">
          <cell r="A2329">
            <v>573245</v>
          </cell>
          <cell r="B2329">
            <v>41579</v>
          </cell>
        </row>
        <row r="2330">
          <cell r="A2330">
            <v>573189</v>
          </cell>
          <cell r="B2330">
            <v>41579</v>
          </cell>
        </row>
        <row r="2331">
          <cell r="A2331">
            <v>572967</v>
          </cell>
          <cell r="B2331">
            <v>41640</v>
          </cell>
        </row>
        <row r="2332">
          <cell r="A2332">
            <v>572932</v>
          </cell>
          <cell r="B2332">
            <v>41579</v>
          </cell>
        </row>
        <row r="2333">
          <cell r="A2333">
            <v>572896</v>
          </cell>
          <cell r="B2333">
            <v>41579</v>
          </cell>
        </row>
        <row r="2334">
          <cell r="A2334">
            <v>572866</v>
          </cell>
          <cell r="B2334">
            <v>41579</v>
          </cell>
        </row>
        <row r="2335">
          <cell r="A2335">
            <v>572720</v>
          </cell>
          <cell r="B2335">
            <v>41579</v>
          </cell>
        </row>
        <row r="2336">
          <cell r="A2336">
            <v>572707</v>
          </cell>
          <cell r="B2336">
            <v>41579</v>
          </cell>
        </row>
        <row r="2337">
          <cell r="A2337">
            <v>572666</v>
          </cell>
          <cell r="B2337">
            <v>41579</v>
          </cell>
        </row>
        <row r="2338">
          <cell r="A2338">
            <v>572622</v>
          </cell>
          <cell r="B2338">
            <v>41579</v>
          </cell>
        </row>
        <row r="2339">
          <cell r="A2339">
            <v>572380</v>
          </cell>
          <cell r="B2339">
            <v>41579</v>
          </cell>
        </row>
        <row r="2340">
          <cell r="A2340">
            <v>572239</v>
          </cell>
          <cell r="B2340">
            <v>41579</v>
          </cell>
        </row>
        <row r="2341">
          <cell r="A2341">
            <v>571939</v>
          </cell>
          <cell r="B2341">
            <v>41579</v>
          </cell>
        </row>
        <row r="2342">
          <cell r="A2342">
            <v>571905</v>
          </cell>
          <cell r="B2342">
            <v>41579</v>
          </cell>
        </row>
        <row r="2343">
          <cell r="A2343">
            <v>571754</v>
          </cell>
          <cell r="B2343">
            <v>41579</v>
          </cell>
        </row>
        <row r="2344">
          <cell r="A2344">
            <v>571568</v>
          </cell>
          <cell r="B2344">
            <v>41579</v>
          </cell>
        </row>
        <row r="2345">
          <cell r="A2345">
            <v>571552</v>
          </cell>
          <cell r="B2345">
            <v>41579</v>
          </cell>
        </row>
        <row r="2346">
          <cell r="A2346">
            <v>571304</v>
          </cell>
          <cell r="B2346">
            <v>41579</v>
          </cell>
        </row>
        <row r="2347">
          <cell r="A2347">
            <v>571248</v>
          </cell>
          <cell r="B2347">
            <v>41640</v>
          </cell>
        </row>
        <row r="2348">
          <cell r="A2348">
            <v>571237</v>
          </cell>
          <cell r="B2348">
            <v>41579</v>
          </cell>
        </row>
        <row r="2349">
          <cell r="A2349">
            <v>570960</v>
          </cell>
          <cell r="B2349">
            <v>41579</v>
          </cell>
        </row>
        <row r="2350">
          <cell r="A2350">
            <v>570907</v>
          </cell>
          <cell r="B2350">
            <v>41579</v>
          </cell>
        </row>
        <row r="2351">
          <cell r="A2351">
            <v>570805</v>
          </cell>
          <cell r="B2351">
            <v>41579</v>
          </cell>
        </row>
        <row r="2352">
          <cell r="A2352">
            <v>570800</v>
          </cell>
          <cell r="B2352">
            <v>41579</v>
          </cell>
        </row>
        <row r="2353">
          <cell r="A2353">
            <v>570736</v>
          </cell>
          <cell r="B2353">
            <v>41579</v>
          </cell>
        </row>
        <row r="2354">
          <cell r="A2354">
            <v>570734</v>
          </cell>
          <cell r="B2354">
            <v>41579</v>
          </cell>
        </row>
        <row r="2355">
          <cell r="A2355">
            <v>570672</v>
          </cell>
          <cell r="B2355">
            <v>41579</v>
          </cell>
        </row>
        <row r="2356">
          <cell r="A2356">
            <v>570517</v>
          </cell>
          <cell r="B2356">
            <v>41640</v>
          </cell>
        </row>
        <row r="2357">
          <cell r="A2357">
            <v>570439</v>
          </cell>
          <cell r="B2357">
            <v>41579</v>
          </cell>
        </row>
        <row r="2358">
          <cell r="A2358">
            <v>570129</v>
          </cell>
          <cell r="B2358">
            <v>41579</v>
          </cell>
        </row>
        <row r="2359">
          <cell r="A2359">
            <v>570062</v>
          </cell>
          <cell r="B2359">
            <v>41579</v>
          </cell>
        </row>
        <row r="2360">
          <cell r="A2360">
            <v>570013</v>
          </cell>
          <cell r="B2360">
            <v>41579</v>
          </cell>
        </row>
        <row r="2361">
          <cell r="A2361">
            <v>569669</v>
          </cell>
          <cell r="B2361">
            <v>41579</v>
          </cell>
        </row>
        <row r="2362">
          <cell r="A2362">
            <v>569656</v>
          </cell>
          <cell r="B2362">
            <v>41579</v>
          </cell>
        </row>
        <row r="2363">
          <cell r="A2363">
            <v>569634</v>
          </cell>
          <cell r="B2363">
            <v>41579</v>
          </cell>
        </row>
        <row r="2364">
          <cell r="A2364">
            <v>569582</v>
          </cell>
          <cell r="B2364">
            <v>41579</v>
          </cell>
        </row>
        <row r="2365">
          <cell r="A2365">
            <v>569569</v>
          </cell>
          <cell r="B2365">
            <v>41579</v>
          </cell>
        </row>
        <row r="2366">
          <cell r="A2366">
            <v>569518</v>
          </cell>
          <cell r="B2366">
            <v>41579</v>
          </cell>
        </row>
        <row r="2367">
          <cell r="A2367">
            <v>569481</v>
          </cell>
          <cell r="B2367">
            <v>41579</v>
          </cell>
        </row>
        <row r="2368">
          <cell r="A2368">
            <v>569481</v>
          </cell>
          <cell r="B2368">
            <v>41579</v>
          </cell>
        </row>
        <row r="2369">
          <cell r="A2369">
            <v>569474</v>
          </cell>
          <cell r="B2369">
            <v>41579</v>
          </cell>
        </row>
        <row r="2370">
          <cell r="A2370">
            <v>569418</v>
          </cell>
          <cell r="B2370">
            <v>41579</v>
          </cell>
        </row>
        <row r="2371">
          <cell r="A2371">
            <v>569295</v>
          </cell>
          <cell r="B2371">
            <v>41579</v>
          </cell>
        </row>
        <row r="2372">
          <cell r="A2372">
            <v>569244</v>
          </cell>
          <cell r="B2372">
            <v>41579</v>
          </cell>
        </row>
        <row r="2373">
          <cell r="A2373">
            <v>568895</v>
          </cell>
          <cell r="B2373">
            <v>41579</v>
          </cell>
        </row>
        <row r="2374">
          <cell r="A2374">
            <v>568749</v>
          </cell>
          <cell r="B2374">
            <v>41579</v>
          </cell>
        </row>
        <row r="2375">
          <cell r="A2375">
            <v>568749</v>
          </cell>
          <cell r="B2375">
            <v>41579</v>
          </cell>
        </row>
        <row r="2376">
          <cell r="A2376">
            <v>568729</v>
          </cell>
          <cell r="B2376">
            <v>41579</v>
          </cell>
        </row>
        <row r="2377">
          <cell r="A2377">
            <v>568717</v>
          </cell>
          <cell r="B2377">
            <v>41579</v>
          </cell>
        </row>
        <row r="2378">
          <cell r="A2378">
            <v>568649</v>
          </cell>
          <cell r="B2378">
            <v>41579</v>
          </cell>
        </row>
        <row r="2379">
          <cell r="A2379">
            <v>568643</v>
          </cell>
          <cell r="B2379">
            <v>41579</v>
          </cell>
        </row>
        <row r="2380">
          <cell r="A2380">
            <v>568553</v>
          </cell>
          <cell r="B2380">
            <v>41579</v>
          </cell>
        </row>
        <row r="2381">
          <cell r="A2381">
            <v>568367</v>
          </cell>
          <cell r="B2381">
            <v>41579</v>
          </cell>
        </row>
        <row r="2382">
          <cell r="A2382">
            <v>568332</v>
          </cell>
          <cell r="B2382">
            <v>41579</v>
          </cell>
        </row>
        <row r="2383">
          <cell r="A2383">
            <v>568241</v>
          </cell>
          <cell r="B2383">
            <v>41579</v>
          </cell>
        </row>
        <row r="2384">
          <cell r="A2384">
            <v>568131</v>
          </cell>
          <cell r="B2384">
            <v>41579</v>
          </cell>
        </row>
        <row r="2385">
          <cell r="A2385">
            <v>568104</v>
          </cell>
          <cell r="B2385">
            <v>41579</v>
          </cell>
        </row>
        <row r="2386">
          <cell r="A2386">
            <v>567805</v>
          </cell>
          <cell r="B2386">
            <v>41579</v>
          </cell>
        </row>
        <row r="2387">
          <cell r="A2387">
            <v>567795</v>
          </cell>
          <cell r="B2387">
            <v>41579</v>
          </cell>
        </row>
        <row r="2388">
          <cell r="A2388">
            <v>567769</v>
          </cell>
          <cell r="B2388">
            <v>41579</v>
          </cell>
        </row>
        <row r="2389">
          <cell r="A2389">
            <v>567761</v>
          </cell>
          <cell r="B2389">
            <v>41579</v>
          </cell>
        </row>
        <row r="2390">
          <cell r="A2390">
            <v>567726</v>
          </cell>
          <cell r="B2390">
            <v>41579</v>
          </cell>
        </row>
        <row r="2391">
          <cell r="A2391">
            <v>567633</v>
          </cell>
          <cell r="B2391">
            <v>41579</v>
          </cell>
        </row>
        <row r="2392">
          <cell r="A2392">
            <v>567254</v>
          </cell>
          <cell r="B2392">
            <v>41579</v>
          </cell>
        </row>
        <row r="2393">
          <cell r="A2393">
            <v>567254</v>
          </cell>
          <cell r="B2393">
            <v>41579</v>
          </cell>
        </row>
        <row r="2394">
          <cell r="A2394">
            <v>567052</v>
          </cell>
          <cell r="B2394">
            <v>41579</v>
          </cell>
        </row>
        <row r="2395">
          <cell r="A2395">
            <v>566979</v>
          </cell>
          <cell r="B2395">
            <v>41579</v>
          </cell>
        </row>
        <row r="2396">
          <cell r="A2396">
            <v>566892</v>
          </cell>
          <cell r="B2396">
            <v>41579</v>
          </cell>
        </row>
        <row r="2397">
          <cell r="A2397">
            <v>566887</v>
          </cell>
          <cell r="B2397">
            <v>41579</v>
          </cell>
        </row>
        <row r="2398">
          <cell r="A2398">
            <v>566862</v>
          </cell>
          <cell r="B2398">
            <v>41579</v>
          </cell>
        </row>
        <row r="2399">
          <cell r="A2399">
            <v>566746</v>
          </cell>
          <cell r="B2399">
            <v>41579</v>
          </cell>
        </row>
        <row r="2400">
          <cell r="A2400">
            <v>566745</v>
          </cell>
          <cell r="B2400">
            <v>41579</v>
          </cell>
        </row>
        <row r="2401">
          <cell r="A2401">
            <v>566734</v>
          </cell>
          <cell r="B2401">
            <v>41579</v>
          </cell>
        </row>
        <row r="2402">
          <cell r="A2402">
            <v>566455</v>
          </cell>
          <cell r="B2402">
            <v>41579</v>
          </cell>
        </row>
        <row r="2403">
          <cell r="A2403">
            <v>566404</v>
          </cell>
          <cell r="B2403">
            <v>41579</v>
          </cell>
        </row>
        <row r="2404">
          <cell r="A2404">
            <v>566403</v>
          </cell>
          <cell r="B2404">
            <v>41579</v>
          </cell>
        </row>
        <row r="2405">
          <cell r="A2405">
            <v>566263</v>
          </cell>
          <cell r="B2405">
            <v>41579</v>
          </cell>
        </row>
        <row r="2406">
          <cell r="A2406">
            <v>566164</v>
          </cell>
          <cell r="B2406">
            <v>41640</v>
          </cell>
        </row>
        <row r="2407">
          <cell r="A2407">
            <v>566078</v>
          </cell>
          <cell r="B2407">
            <v>41579</v>
          </cell>
        </row>
        <row r="2408">
          <cell r="A2408">
            <v>566031</v>
          </cell>
          <cell r="B2408">
            <v>41579</v>
          </cell>
        </row>
        <row r="2409">
          <cell r="A2409">
            <v>566024</v>
          </cell>
          <cell r="B2409">
            <v>41579</v>
          </cell>
        </row>
        <row r="2410">
          <cell r="A2410">
            <v>566024</v>
          </cell>
          <cell r="B2410">
            <v>41579</v>
          </cell>
        </row>
        <row r="2411">
          <cell r="A2411">
            <v>565955</v>
          </cell>
          <cell r="B2411">
            <v>41579</v>
          </cell>
        </row>
        <row r="2412">
          <cell r="A2412">
            <v>565624</v>
          </cell>
          <cell r="B2412">
            <v>41579</v>
          </cell>
        </row>
        <row r="2413">
          <cell r="A2413">
            <v>565439</v>
          </cell>
          <cell r="B2413">
            <v>41579</v>
          </cell>
        </row>
        <row r="2414">
          <cell r="A2414">
            <v>565367</v>
          </cell>
          <cell r="B2414">
            <v>41579</v>
          </cell>
        </row>
        <row r="2415">
          <cell r="A2415">
            <v>565221</v>
          </cell>
          <cell r="B2415">
            <v>41579</v>
          </cell>
        </row>
        <row r="2416">
          <cell r="A2416">
            <v>565190</v>
          </cell>
          <cell r="B2416">
            <v>41579</v>
          </cell>
        </row>
        <row r="2417">
          <cell r="A2417">
            <v>565189</v>
          </cell>
          <cell r="B2417">
            <v>41579</v>
          </cell>
        </row>
        <row r="2418">
          <cell r="A2418">
            <v>565123</v>
          </cell>
          <cell r="B2418">
            <v>41640</v>
          </cell>
        </row>
        <row r="2419">
          <cell r="A2419">
            <v>565078</v>
          </cell>
          <cell r="B2419">
            <v>41579</v>
          </cell>
        </row>
        <row r="2420">
          <cell r="A2420">
            <v>564820</v>
          </cell>
          <cell r="B2420">
            <v>41579</v>
          </cell>
        </row>
        <row r="2421">
          <cell r="A2421">
            <v>564788</v>
          </cell>
          <cell r="B2421">
            <v>41579</v>
          </cell>
        </row>
        <row r="2422">
          <cell r="A2422">
            <v>564717</v>
          </cell>
          <cell r="B2422">
            <v>41579</v>
          </cell>
        </row>
        <row r="2423">
          <cell r="A2423">
            <v>564676</v>
          </cell>
          <cell r="B2423">
            <v>41579</v>
          </cell>
        </row>
        <row r="2424">
          <cell r="A2424">
            <v>564339</v>
          </cell>
          <cell r="B2424">
            <v>41579</v>
          </cell>
        </row>
        <row r="2425">
          <cell r="A2425">
            <v>564197</v>
          </cell>
          <cell r="B2425">
            <v>41579</v>
          </cell>
        </row>
        <row r="2426">
          <cell r="A2426">
            <v>564175</v>
          </cell>
          <cell r="B2426">
            <v>41579</v>
          </cell>
        </row>
        <row r="2427">
          <cell r="A2427">
            <v>563928</v>
          </cell>
          <cell r="B2427">
            <v>41579</v>
          </cell>
        </row>
        <row r="2428">
          <cell r="A2428">
            <v>563908</v>
          </cell>
          <cell r="B2428">
            <v>41579</v>
          </cell>
        </row>
        <row r="2429">
          <cell r="A2429">
            <v>563832</v>
          </cell>
          <cell r="B2429">
            <v>41579</v>
          </cell>
        </row>
        <row r="2430">
          <cell r="A2430">
            <v>563815</v>
          </cell>
          <cell r="B2430">
            <v>41640</v>
          </cell>
        </row>
        <row r="2431">
          <cell r="A2431">
            <v>563746</v>
          </cell>
          <cell r="B2431">
            <v>41579</v>
          </cell>
        </row>
        <row r="2432">
          <cell r="A2432">
            <v>563638</v>
          </cell>
          <cell r="B2432">
            <v>41579</v>
          </cell>
        </row>
        <row r="2433">
          <cell r="A2433">
            <v>563627</v>
          </cell>
          <cell r="B2433">
            <v>41579</v>
          </cell>
        </row>
        <row r="2434">
          <cell r="A2434">
            <v>563545</v>
          </cell>
          <cell r="B2434">
            <v>41579</v>
          </cell>
        </row>
        <row r="2435">
          <cell r="A2435">
            <v>563526</v>
          </cell>
          <cell r="B2435">
            <v>41579</v>
          </cell>
        </row>
        <row r="2436">
          <cell r="A2436">
            <v>563383</v>
          </cell>
          <cell r="B2436">
            <v>41579</v>
          </cell>
        </row>
        <row r="2437">
          <cell r="A2437">
            <v>563083</v>
          </cell>
          <cell r="B2437">
            <v>41579</v>
          </cell>
        </row>
        <row r="2438">
          <cell r="A2438">
            <v>563055</v>
          </cell>
          <cell r="B2438">
            <v>41579</v>
          </cell>
        </row>
        <row r="2439">
          <cell r="A2439">
            <v>562906</v>
          </cell>
          <cell r="B2439">
            <v>41579</v>
          </cell>
        </row>
        <row r="2440">
          <cell r="A2440">
            <v>562879</v>
          </cell>
          <cell r="B2440">
            <v>41579</v>
          </cell>
        </row>
        <row r="2441">
          <cell r="A2441">
            <v>562749</v>
          </cell>
          <cell r="B2441">
            <v>41579</v>
          </cell>
        </row>
        <row r="2442">
          <cell r="A2442">
            <v>562680</v>
          </cell>
          <cell r="B2442">
            <v>41579</v>
          </cell>
        </row>
        <row r="2443">
          <cell r="A2443">
            <v>562407</v>
          </cell>
          <cell r="B2443">
            <v>41579</v>
          </cell>
        </row>
        <row r="2444">
          <cell r="A2444">
            <v>562387</v>
          </cell>
          <cell r="B2444">
            <v>41579</v>
          </cell>
        </row>
        <row r="2445">
          <cell r="A2445">
            <v>562356</v>
          </cell>
          <cell r="B2445">
            <v>41579</v>
          </cell>
        </row>
        <row r="2446">
          <cell r="A2446">
            <v>562156</v>
          </cell>
          <cell r="B2446">
            <v>41579</v>
          </cell>
        </row>
        <row r="2447">
          <cell r="A2447">
            <v>562150</v>
          </cell>
          <cell r="B2447">
            <v>41579</v>
          </cell>
        </row>
        <row r="2448">
          <cell r="A2448">
            <v>562150</v>
          </cell>
          <cell r="B2448">
            <v>41579</v>
          </cell>
        </row>
        <row r="2449">
          <cell r="A2449">
            <v>562102</v>
          </cell>
          <cell r="B2449">
            <v>41579</v>
          </cell>
        </row>
        <row r="2450">
          <cell r="A2450">
            <v>561876</v>
          </cell>
          <cell r="B2450">
            <v>41579</v>
          </cell>
        </row>
        <row r="2451">
          <cell r="A2451">
            <v>561675</v>
          </cell>
          <cell r="B2451">
            <v>41579</v>
          </cell>
        </row>
        <row r="2452">
          <cell r="A2452">
            <v>561507</v>
          </cell>
          <cell r="B2452">
            <v>41579</v>
          </cell>
        </row>
        <row r="2453">
          <cell r="A2453">
            <v>561452</v>
          </cell>
          <cell r="B2453">
            <v>41579</v>
          </cell>
        </row>
        <row r="2454">
          <cell r="A2454">
            <v>561433</v>
          </cell>
          <cell r="B2454">
            <v>41579</v>
          </cell>
        </row>
        <row r="2455">
          <cell r="A2455">
            <v>561419</v>
          </cell>
          <cell r="B2455">
            <v>41579</v>
          </cell>
        </row>
        <row r="2456">
          <cell r="A2456">
            <v>561404</v>
          </cell>
          <cell r="B2456">
            <v>41579</v>
          </cell>
        </row>
        <row r="2457">
          <cell r="A2457">
            <v>561375</v>
          </cell>
          <cell r="B2457">
            <v>41579</v>
          </cell>
        </row>
        <row r="2458">
          <cell r="A2458">
            <v>561314</v>
          </cell>
          <cell r="B2458">
            <v>41579</v>
          </cell>
        </row>
        <row r="2459">
          <cell r="A2459">
            <v>561206</v>
          </cell>
          <cell r="B2459">
            <v>41579</v>
          </cell>
        </row>
        <row r="2460">
          <cell r="A2460">
            <v>561179</v>
          </cell>
          <cell r="B2460">
            <v>41579</v>
          </cell>
        </row>
        <row r="2461">
          <cell r="A2461">
            <v>561144</v>
          </cell>
          <cell r="B2461">
            <v>41640</v>
          </cell>
        </row>
        <row r="2462">
          <cell r="A2462">
            <v>560981</v>
          </cell>
          <cell r="B2462">
            <v>41579</v>
          </cell>
        </row>
        <row r="2463">
          <cell r="A2463">
            <v>560947</v>
          </cell>
          <cell r="B2463">
            <v>41579</v>
          </cell>
        </row>
        <row r="2464">
          <cell r="A2464">
            <v>560523</v>
          </cell>
          <cell r="B2464">
            <v>41579</v>
          </cell>
        </row>
        <row r="2465">
          <cell r="A2465">
            <v>560456</v>
          </cell>
          <cell r="B2465">
            <v>41579</v>
          </cell>
        </row>
        <row r="2466">
          <cell r="A2466">
            <v>560439</v>
          </cell>
          <cell r="B2466">
            <v>41579</v>
          </cell>
        </row>
        <row r="2467">
          <cell r="A2467">
            <v>560387</v>
          </cell>
          <cell r="B2467">
            <v>41579</v>
          </cell>
        </row>
        <row r="2468">
          <cell r="A2468">
            <v>560271</v>
          </cell>
          <cell r="B2468">
            <v>41579</v>
          </cell>
        </row>
        <row r="2469">
          <cell r="A2469">
            <v>560167</v>
          </cell>
          <cell r="B2469">
            <v>41579</v>
          </cell>
        </row>
        <row r="2470">
          <cell r="A2470">
            <v>560047</v>
          </cell>
          <cell r="B2470">
            <v>41579</v>
          </cell>
        </row>
        <row r="2471">
          <cell r="A2471">
            <v>559955</v>
          </cell>
          <cell r="B2471">
            <v>41579</v>
          </cell>
        </row>
        <row r="2472">
          <cell r="A2472">
            <v>559903</v>
          </cell>
          <cell r="B2472">
            <v>41579</v>
          </cell>
        </row>
        <row r="2473">
          <cell r="A2473">
            <v>559474</v>
          </cell>
          <cell r="B2473">
            <v>41579</v>
          </cell>
        </row>
        <row r="2474">
          <cell r="A2474">
            <v>559443</v>
          </cell>
          <cell r="B2474">
            <v>41579</v>
          </cell>
        </row>
        <row r="2475">
          <cell r="A2475">
            <v>559407</v>
          </cell>
          <cell r="B2475">
            <v>41579</v>
          </cell>
        </row>
        <row r="2476">
          <cell r="A2476">
            <v>559303</v>
          </cell>
          <cell r="B2476">
            <v>41579</v>
          </cell>
        </row>
        <row r="2477">
          <cell r="A2477">
            <v>559239</v>
          </cell>
          <cell r="B2477">
            <v>41579</v>
          </cell>
        </row>
        <row r="2478">
          <cell r="A2478">
            <v>559165</v>
          </cell>
          <cell r="B2478">
            <v>41579</v>
          </cell>
        </row>
        <row r="2479">
          <cell r="A2479">
            <v>559066</v>
          </cell>
          <cell r="B2479">
            <v>41579</v>
          </cell>
        </row>
        <row r="2480">
          <cell r="A2480">
            <v>558766</v>
          </cell>
          <cell r="B2480">
            <v>41579</v>
          </cell>
        </row>
        <row r="2481">
          <cell r="A2481">
            <v>558698</v>
          </cell>
          <cell r="B2481">
            <v>41579</v>
          </cell>
        </row>
        <row r="2482">
          <cell r="A2482">
            <v>558644</v>
          </cell>
          <cell r="B2482">
            <v>41579</v>
          </cell>
        </row>
        <row r="2483">
          <cell r="A2483">
            <v>558620</v>
          </cell>
          <cell r="B2483">
            <v>41579</v>
          </cell>
        </row>
        <row r="2484">
          <cell r="A2484">
            <v>558303</v>
          </cell>
          <cell r="B2484">
            <v>41579</v>
          </cell>
        </row>
        <row r="2485">
          <cell r="A2485">
            <v>558243</v>
          </cell>
          <cell r="B2485">
            <v>41579</v>
          </cell>
        </row>
        <row r="2486">
          <cell r="A2486">
            <v>558201</v>
          </cell>
          <cell r="B2486">
            <v>41579</v>
          </cell>
        </row>
        <row r="2487">
          <cell r="A2487">
            <v>558169</v>
          </cell>
          <cell r="B2487">
            <v>41579</v>
          </cell>
        </row>
        <row r="2488">
          <cell r="A2488">
            <v>558161</v>
          </cell>
          <cell r="B2488">
            <v>41579</v>
          </cell>
        </row>
        <row r="2489">
          <cell r="A2489">
            <v>558102</v>
          </cell>
          <cell r="B2489">
            <v>41579</v>
          </cell>
        </row>
        <row r="2490">
          <cell r="A2490">
            <v>558078</v>
          </cell>
          <cell r="B2490">
            <v>41579</v>
          </cell>
        </row>
        <row r="2491">
          <cell r="A2491">
            <v>557873</v>
          </cell>
          <cell r="B2491">
            <v>41579</v>
          </cell>
        </row>
        <row r="2492">
          <cell r="A2492">
            <v>557630</v>
          </cell>
          <cell r="B2492">
            <v>41579</v>
          </cell>
        </row>
        <row r="2493">
          <cell r="A2493">
            <v>557534</v>
          </cell>
          <cell r="B2493">
            <v>41579</v>
          </cell>
        </row>
        <row r="2494">
          <cell r="A2494">
            <v>557037</v>
          </cell>
          <cell r="B2494">
            <v>41579</v>
          </cell>
        </row>
        <row r="2495">
          <cell r="A2495">
            <v>557037</v>
          </cell>
          <cell r="B2495">
            <v>41579</v>
          </cell>
        </row>
        <row r="2496">
          <cell r="A2496">
            <v>557034</v>
          </cell>
          <cell r="B2496">
            <v>41579</v>
          </cell>
        </row>
        <row r="2497">
          <cell r="A2497">
            <v>556785</v>
          </cell>
          <cell r="B2497">
            <v>41579</v>
          </cell>
        </row>
        <row r="2498">
          <cell r="A2498">
            <v>556785</v>
          </cell>
          <cell r="B2498">
            <v>41579</v>
          </cell>
        </row>
        <row r="2499">
          <cell r="A2499">
            <v>556768</v>
          </cell>
          <cell r="B2499">
            <v>41579</v>
          </cell>
        </row>
        <row r="2500">
          <cell r="A2500">
            <v>556750</v>
          </cell>
          <cell r="B2500">
            <v>41579</v>
          </cell>
        </row>
        <row r="2501">
          <cell r="A2501">
            <v>556560</v>
          </cell>
          <cell r="B2501">
            <v>41579</v>
          </cell>
        </row>
        <row r="2502">
          <cell r="A2502">
            <v>556540</v>
          </cell>
          <cell r="B2502">
            <v>41579</v>
          </cell>
        </row>
        <row r="2503">
          <cell r="A2503">
            <v>556425</v>
          </cell>
          <cell r="B2503">
            <v>41579</v>
          </cell>
        </row>
        <row r="2504">
          <cell r="A2504">
            <v>556308</v>
          </cell>
          <cell r="B2504">
            <v>41579</v>
          </cell>
        </row>
        <row r="2505">
          <cell r="A2505">
            <v>556195</v>
          </cell>
          <cell r="B2505">
            <v>41579</v>
          </cell>
        </row>
        <row r="2506">
          <cell r="A2506">
            <v>556195</v>
          </cell>
          <cell r="B2506">
            <v>41579</v>
          </cell>
        </row>
        <row r="2507">
          <cell r="A2507">
            <v>556191</v>
          </cell>
          <cell r="B2507">
            <v>41579</v>
          </cell>
        </row>
        <row r="2508">
          <cell r="A2508">
            <v>556188</v>
          </cell>
          <cell r="B2508">
            <v>41579</v>
          </cell>
        </row>
        <row r="2509">
          <cell r="A2509">
            <v>556185</v>
          </cell>
          <cell r="B2509">
            <v>41579</v>
          </cell>
        </row>
        <row r="2510">
          <cell r="A2510">
            <v>555749</v>
          </cell>
          <cell r="B2510">
            <v>41579</v>
          </cell>
        </row>
        <row r="2511">
          <cell r="A2511">
            <v>555693</v>
          </cell>
          <cell r="B2511">
            <v>41579</v>
          </cell>
        </row>
        <row r="2512">
          <cell r="A2512">
            <v>555687</v>
          </cell>
          <cell r="B2512">
            <v>41579</v>
          </cell>
        </row>
        <row r="2513">
          <cell r="A2513">
            <v>555378</v>
          </cell>
          <cell r="B2513">
            <v>41579</v>
          </cell>
        </row>
        <row r="2514">
          <cell r="A2514">
            <v>555376</v>
          </cell>
          <cell r="B2514">
            <v>41579</v>
          </cell>
        </row>
        <row r="2515">
          <cell r="A2515">
            <v>555376</v>
          </cell>
          <cell r="B2515">
            <v>41579</v>
          </cell>
        </row>
        <row r="2516">
          <cell r="A2516">
            <v>555166</v>
          </cell>
          <cell r="B2516">
            <v>41579</v>
          </cell>
        </row>
        <row r="2517">
          <cell r="A2517">
            <v>555080</v>
          </cell>
          <cell r="B2517">
            <v>41579</v>
          </cell>
        </row>
        <row r="2518">
          <cell r="A2518">
            <v>554965</v>
          </cell>
          <cell r="B2518">
            <v>41579</v>
          </cell>
        </row>
        <row r="2519">
          <cell r="A2519">
            <v>554738</v>
          </cell>
          <cell r="B2519">
            <v>41579</v>
          </cell>
        </row>
        <row r="2520">
          <cell r="A2520">
            <v>554646</v>
          </cell>
          <cell r="B2520">
            <v>41579</v>
          </cell>
        </row>
        <row r="2521">
          <cell r="A2521">
            <v>554550</v>
          </cell>
          <cell r="B2521">
            <v>41579</v>
          </cell>
        </row>
        <row r="2522">
          <cell r="A2522">
            <v>554506</v>
          </cell>
          <cell r="B2522">
            <v>41579</v>
          </cell>
        </row>
        <row r="2523">
          <cell r="A2523">
            <v>554411</v>
          </cell>
          <cell r="B2523">
            <v>41579</v>
          </cell>
        </row>
        <row r="2524">
          <cell r="A2524">
            <v>554364</v>
          </cell>
          <cell r="B2524">
            <v>41640</v>
          </cell>
        </row>
        <row r="2525">
          <cell r="A2525">
            <v>554183</v>
          </cell>
          <cell r="B2525">
            <v>41579</v>
          </cell>
        </row>
        <row r="2526">
          <cell r="A2526">
            <v>554079</v>
          </cell>
          <cell r="B2526">
            <v>41579</v>
          </cell>
        </row>
        <row r="2527">
          <cell r="A2527">
            <v>553976</v>
          </cell>
          <cell r="B2527">
            <v>41579</v>
          </cell>
        </row>
        <row r="2528">
          <cell r="A2528">
            <v>553966</v>
          </cell>
          <cell r="B2528">
            <v>41640</v>
          </cell>
        </row>
        <row r="2529">
          <cell r="A2529">
            <v>553748</v>
          </cell>
          <cell r="B2529">
            <v>41579</v>
          </cell>
        </row>
        <row r="2530">
          <cell r="A2530">
            <v>553747</v>
          </cell>
          <cell r="B2530">
            <v>41579</v>
          </cell>
        </row>
        <row r="2531">
          <cell r="A2531">
            <v>553732</v>
          </cell>
          <cell r="B2531">
            <v>41579</v>
          </cell>
        </row>
        <row r="2532">
          <cell r="A2532">
            <v>553701</v>
          </cell>
          <cell r="B2532">
            <v>41640</v>
          </cell>
        </row>
        <row r="2533">
          <cell r="A2533">
            <v>553509</v>
          </cell>
          <cell r="B2533">
            <v>41579</v>
          </cell>
        </row>
        <row r="2534">
          <cell r="A2534">
            <v>553185</v>
          </cell>
          <cell r="B2534">
            <v>41579</v>
          </cell>
        </row>
        <row r="2535">
          <cell r="A2535">
            <v>553090</v>
          </cell>
          <cell r="B2535">
            <v>41579</v>
          </cell>
        </row>
        <row r="2536">
          <cell r="A2536">
            <v>552941</v>
          </cell>
          <cell r="B2536">
            <v>41579</v>
          </cell>
        </row>
        <row r="2537">
          <cell r="A2537">
            <v>552941</v>
          </cell>
          <cell r="B2537">
            <v>41579</v>
          </cell>
        </row>
        <row r="2538">
          <cell r="A2538">
            <v>552732</v>
          </cell>
          <cell r="B2538">
            <v>41579</v>
          </cell>
        </row>
        <row r="2539">
          <cell r="A2539">
            <v>552713</v>
          </cell>
          <cell r="B2539">
            <v>41579</v>
          </cell>
        </row>
        <row r="2540">
          <cell r="A2540">
            <v>552692</v>
          </cell>
          <cell r="B2540">
            <v>41579</v>
          </cell>
        </row>
        <row r="2541">
          <cell r="A2541">
            <v>552611</v>
          </cell>
          <cell r="B2541">
            <v>41579</v>
          </cell>
        </row>
        <row r="2542">
          <cell r="A2542">
            <v>552604</v>
          </cell>
          <cell r="B2542">
            <v>41579</v>
          </cell>
        </row>
        <row r="2543">
          <cell r="A2543">
            <v>552587</v>
          </cell>
          <cell r="B2543">
            <v>41579</v>
          </cell>
        </row>
        <row r="2544">
          <cell r="A2544">
            <v>552570</v>
          </cell>
          <cell r="B2544">
            <v>41579</v>
          </cell>
        </row>
        <row r="2545">
          <cell r="A2545">
            <v>552497</v>
          </cell>
          <cell r="B2545">
            <v>41579</v>
          </cell>
        </row>
        <row r="2546">
          <cell r="A2546">
            <v>552119</v>
          </cell>
          <cell r="B2546">
            <v>41579</v>
          </cell>
        </row>
        <row r="2547">
          <cell r="A2547">
            <v>551958</v>
          </cell>
          <cell r="B2547">
            <v>41579</v>
          </cell>
        </row>
        <row r="2548">
          <cell r="A2548">
            <v>551901</v>
          </cell>
          <cell r="B2548">
            <v>41579</v>
          </cell>
        </row>
        <row r="2549">
          <cell r="A2549">
            <v>551704</v>
          </cell>
          <cell r="B2549">
            <v>41579</v>
          </cell>
        </row>
        <row r="2550">
          <cell r="A2550">
            <v>551265</v>
          </cell>
          <cell r="B2550">
            <v>41579</v>
          </cell>
        </row>
        <row r="2551">
          <cell r="A2551">
            <v>550848</v>
          </cell>
          <cell r="B2551">
            <v>41579</v>
          </cell>
        </row>
        <row r="2552">
          <cell r="A2552">
            <v>550713</v>
          </cell>
          <cell r="B2552">
            <v>41579</v>
          </cell>
        </row>
        <row r="2553">
          <cell r="A2553">
            <v>550529</v>
          </cell>
          <cell r="B2553">
            <v>41579</v>
          </cell>
        </row>
        <row r="2554">
          <cell r="A2554">
            <v>550525</v>
          </cell>
          <cell r="B2554">
            <v>41579</v>
          </cell>
        </row>
        <row r="2555">
          <cell r="A2555">
            <v>550389</v>
          </cell>
          <cell r="B2555">
            <v>41579</v>
          </cell>
        </row>
        <row r="2556">
          <cell r="A2556">
            <v>550344</v>
          </cell>
          <cell r="B2556">
            <v>41579</v>
          </cell>
        </row>
        <row r="2557">
          <cell r="A2557">
            <v>550205</v>
          </cell>
          <cell r="B2557">
            <v>41579</v>
          </cell>
        </row>
        <row r="2558">
          <cell r="A2558">
            <v>549995</v>
          </cell>
          <cell r="B2558">
            <v>41579</v>
          </cell>
        </row>
        <row r="2559">
          <cell r="A2559">
            <v>549763</v>
          </cell>
          <cell r="B2559">
            <v>41579</v>
          </cell>
        </row>
        <row r="2560">
          <cell r="A2560">
            <v>549659</v>
          </cell>
          <cell r="B2560">
            <v>41579</v>
          </cell>
        </row>
        <row r="2561">
          <cell r="A2561">
            <v>549657</v>
          </cell>
          <cell r="B2561">
            <v>41579</v>
          </cell>
        </row>
        <row r="2562">
          <cell r="A2562">
            <v>549639</v>
          </cell>
          <cell r="B2562">
            <v>41579</v>
          </cell>
        </row>
        <row r="2563">
          <cell r="A2563">
            <v>549638</v>
          </cell>
          <cell r="B2563">
            <v>41579</v>
          </cell>
        </row>
        <row r="2564">
          <cell r="A2564">
            <v>549556</v>
          </cell>
          <cell r="B2564">
            <v>41579</v>
          </cell>
        </row>
        <row r="2565">
          <cell r="A2565">
            <v>549474</v>
          </cell>
          <cell r="B2565">
            <v>41579</v>
          </cell>
        </row>
        <row r="2566">
          <cell r="A2566">
            <v>549274</v>
          </cell>
          <cell r="B2566">
            <v>41579</v>
          </cell>
        </row>
        <row r="2567">
          <cell r="A2567">
            <v>549251</v>
          </cell>
          <cell r="B2567">
            <v>41579</v>
          </cell>
        </row>
        <row r="2568">
          <cell r="A2568">
            <v>549248</v>
          </cell>
          <cell r="B2568">
            <v>41579</v>
          </cell>
        </row>
        <row r="2569">
          <cell r="A2569">
            <v>549246</v>
          </cell>
          <cell r="B2569">
            <v>41579</v>
          </cell>
        </row>
        <row r="2570">
          <cell r="A2570">
            <v>549242</v>
          </cell>
          <cell r="B2570">
            <v>41579</v>
          </cell>
        </row>
        <row r="2571">
          <cell r="A2571">
            <v>549229</v>
          </cell>
          <cell r="B2571">
            <v>41579</v>
          </cell>
        </row>
        <row r="2572">
          <cell r="A2572">
            <v>549211</v>
          </cell>
          <cell r="B2572">
            <v>41579</v>
          </cell>
        </row>
        <row r="2573">
          <cell r="A2573">
            <v>549102</v>
          </cell>
          <cell r="B2573">
            <v>41640</v>
          </cell>
        </row>
        <row r="2574">
          <cell r="A2574">
            <v>548979</v>
          </cell>
          <cell r="B2574">
            <v>41579</v>
          </cell>
        </row>
        <row r="2575">
          <cell r="A2575">
            <v>548978</v>
          </cell>
          <cell r="B2575">
            <v>41579</v>
          </cell>
        </row>
        <row r="2576">
          <cell r="A2576">
            <v>548977</v>
          </cell>
          <cell r="B2576">
            <v>41579</v>
          </cell>
        </row>
        <row r="2577">
          <cell r="A2577">
            <v>548739</v>
          </cell>
          <cell r="B2577">
            <v>41579</v>
          </cell>
        </row>
        <row r="2578">
          <cell r="A2578">
            <v>548705</v>
          </cell>
          <cell r="B2578">
            <v>41579</v>
          </cell>
        </row>
        <row r="2579">
          <cell r="A2579">
            <v>548705</v>
          </cell>
          <cell r="B2579">
            <v>41579</v>
          </cell>
        </row>
        <row r="2580">
          <cell r="A2580">
            <v>548698</v>
          </cell>
          <cell r="B2580">
            <v>41579</v>
          </cell>
        </row>
        <row r="2581">
          <cell r="A2581">
            <v>548643</v>
          </cell>
          <cell r="B2581">
            <v>41579</v>
          </cell>
        </row>
        <row r="2582">
          <cell r="A2582">
            <v>548579</v>
          </cell>
          <cell r="B2582">
            <v>41579</v>
          </cell>
        </row>
        <row r="2583">
          <cell r="A2583">
            <v>548427</v>
          </cell>
          <cell r="B2583">
            <v>41579</v>
          </cell>
        </row>
        <row r="2584">
          <cell r="A2584">
            <v>548359</v>
          </cell>
          <cell r="B2584">
            <v>41579</v>
          </cell>
        </row>
        <row r="2585">
          <cell r="A2585">
            <v>548346</v>
          </cell>
          <cell r="B2585">
            <v>41579</v>
          </cell>
        </row>
        <row r="2586">
          <cell r="A2586">
            <v>548346</v>
          </cell>
          <cell r="B2586">
            <v>41579</v>
          </cell>
        </row>
        <row r="2587">
          <cell r="A2587">
            <v>548339</v>
          </cell>
          <cell r="B2587">
            <v>41579</v>
          </cell>
        </row>
        <row r="2588">
          <cell r="A2588">
            <v>548154</v>
          </cell>
          <cell r="B2588">
            <v>41579</v>
          </cell>
        </row>
        <row r="2589">
          <cell r="A2589">
            <v>548151</v>
          </cell>
          <cell r="B2589">
            <v>41579</v>
          </cell>
        </row>
        <row r="2590">
          <cell r="A2590">
            <v>548116</v>
          </cell>
          <cell r="B2590">
            <v>41579</v>
          </cell>
        </row>
        <row r="2591">
          <cell r="A2591">
            <v>547873</v>
          </cell>
          <cell r="B2591">
            <v>41579</v>
          </cell>
        </row>
        <row r="2592">
          <cell r="A2592">
            <v>547844</v>
          </cell>
          <cell r="B2592">
            <v>41579</v>
          </cell>
        </row>
        <row r="2593">
          <cell r="A2593">
            <v>547825</v>
          </cell>
          <cell r="B2593">
            <v>41579</v>
          </cell>
        </row>
        <row r="2594">
          <cell r="A2594">
            <v>547715</v>
          </cell>
          <cell r="B2594">
            <v>41579</v>
          </cell>
        </row>
        <row r="2595">
          <cell r="A2595">
            <v>547715</v>
          </cell>
          <cell r="B2595">
            <v>41579</v>
          </cell>
        </row>
        <row r="2596">
          <cell r="A2596">
            <v>547690</v>
          </cell>
          <cell r="B2596">
            <v>41579</v>
          </cell>
        </row>
        <row r="2597">
          <cell r="A2597">
            <v>547688</v>
          </cell>
          <cell r="B2597">
            <v>41579</v>
          </cell>
        </row>
        <row r="2598">
          <cell r="A2598">
            <v>547589</v>
          </cell>
          <cell r="B2598">
            <v>41579</v>
          </cell>
        </row>
        <row r="2599">
          <cell r="A2599">
            <v>547499</v>
          </cell>
          <cell r="B2599">
            <v>41579</v>
          </cell>
        </row>
        <row r="2600">
          <cell r="A2600">
            <v>547420</v>
          </cell>
          <cell r="B2600">
            <v>41579</v>
          </cell>
        </row>
        <row r="2601">
          <cell r="A2601">
            <v>547384</v>
          </cell>
          <cell r="B2601">
            <v>41579</v>
          </cell>
        </row>
        <row r="2602">
          <cell r="A2602">
            <v>547307</v>
          </cell>
          <cell r="B2602">
            <v>41579</v>
          </cell>
        </row>
        <row r="2603">
          <cell r="A2603">
            <v>547075</v>
          </cell>
          <cell r="B2603">
            <v>41579</v>
          </cell>
        </row>
        <row r="2604">
          <cell r="A2604">
            <v>547056</v>
          </cell>
          <cell r="B2604">
            <v>41579</v>
          </cell>
        </row>
        <row r="2605">
          <cell r="A2605">
            <v>547012</v>
          </cell>
          <cell r="B2605">
            <v>41579</v>
          </cell>
        </row>
        <row r="2606">
          <cell r="A2606">
            <v>546943</v>
          </cell>
          <cell r="B2606">
            <v>41579</v>
          </cell>
        </row>
        <row r="2607">
          <cell r="A2607">
            <v>546818</v>
          </cell>
          <cell r="B2607">
            <v>41579</v>
          </cell>
        </row>
        <row r="2608">
          <cell r="A2608">
            <v>546816</v>
          </cell>
          <cell r="B2608">
            <v>41579</v>
          </cell>
        </row>
        <row r="2609">
          <cell r="A2609">
            <v>546548</v>
          </cell>
          <cell r="B2609">
            <v>41579</v>
          </cell>
        </row>
        <row r="2610">
          <cell r="A2610">
            <v>546516</v>
          </cell>
          <cell r="B2610">
            <v>41579</v>
          </cell>
        </row>
        <row r="2611">
          <cell r="A2611">
            <v>546484</v>
          </cell>
          <cell r="B2611">
            <v>41579</v>
          </cell>
        </row>
        <row r="2612">
          <cell r="A2612">
            <v>546467</v>
          </cell>
          <cell r="B2612">
            <v>41579</v>
          </cell>
        </row>
        <row r="2613">
          <cell r="A2613">
            <v>546403</v>
          </cell>
          <cell r="B2613">
            <v>41579</v>
          </cell>
        </row>
        <row r="2614">
          <cell r="A2614">
            <v>546400</v>
          </cell>
          <cell r="B2614">
            <v>41579</v>
          </cell>
        </row>
        <row r="2615">
          <cell r="A2615">
            <v>546246</v>
          </cell>
          <cell r="B2615">
            <v>41579</v>
          </cell>
        </row>
        <row r="2616">
          <cell r="A2616">
            <v>546236</v>
          </cell>
          <cell r="B2616">
            <v>41579</v>
          </cell>
        </row>
        <row r="2617">
          <cell r="A2617">
            <v>545840</v>
          </cell>
          <cell r="B2617">
            <v>41579</v>
          </cell>
        </row>
        <row r="2618">
          <cell r="A2618">
            <v>545839</v>
          </cell>
          <cell r="B2618">
            <v>41579</v>
          </cell>
        </row>
        <row r="2619">
          <cell r="A2619">
            <v>545535</v>
          </cell>
          <cell r="B2619">
            <v>41579</v>
          </cell>
        </row>
        <row r="2620">
          <cell r="A2620">
            <v>545463</v>
          </cell>
          <cell r="B2620">
            <v>41579</v>
          </cell>
        </row>
        <row r="2621">
          <cell r="A2621">
            <v>545463</v>
          </cell>
          <cell r="B2621">
            <v>41579</v>
          </cell>
        </row>
        <row r="2622">
          <cell r="A2622">
            <v>545403</v>
          </cell>
          <cell r="B2622">
            <v>41579</v>
          </cell>
        </row>
        <row r="2623">
          <cell r="A2623">
            <v>545387</v>
          </cell>
          <cell r="B2623">
            <v>41579</v>
          </cell>
        </row>
        <row r="2624">
          <cell r="A2624">
            <v>545352</v>
          </cell>
          <cell r="B2624">
            <v>41579</v>
          </cell>
        </row>
        <row r="2625">
          <cell r="A2625">
            <v>545320</v>
          </cell>
          <cell r="B2625">
            <v>41579</v>
          </cell>
        </row>
        <row r="2626">
          <cell r="A2626">
            <v>545230</v>
          </cell>
          <cell r="B2626">
            <v>41579</v>
          </cell>
        </row>
        <row r="2627">
          <cell r="A2627">
            <v>545139</v>
          </cell>
          <cell r="B2627">
            <v>41640</v>
          </cell>
        </row>
        <row r="2628">
          <cell r="A2628">
            <v>545124</v>
          </cell>
          <cell r="B2628">
            <v>41579</v>
          </cell>
        </row>
        <row r="2629">
          <cell r="A2629">
            <v>545100</v>
          </cell>
          <cell r="B2629">
            <v>41579</v>
          </cell>
        </row>
        <row r="2630">
          <cell r="A2630">
            <v>544835</v>
          </cell>
          <cell r="B2630">
            <v>41579</v>
          </cell>
        </row>
        <row r="2631">
          <cell r="A2631">
            <v>544757</v>
          </cell>
          <cell r="B2631">
            <v>41579</v>
          </cell>
        </row>
        <row r="2632">
          <cell r="A2632">
            <v>544352</v>
          </cell>
          <cell r="B2632">
            <v>41579</v>
          </cell>
        </row>
        <row r="2633">
          <cell r="A2633">
            <v>544347</v>
          </cell>
          <cell r="B2633">
            <v>41579</v>
          </cell>
        </row>
        <row r="2634">
          <cell r="A2634">
            <v>544347</v>
          </cell>
          <cell r="B2634">
            <v>41579</v>
          </cell>
        </row>
        <row r="2635">
          <cell r="A2635">
            <v>544240</v>
          </cell>
          <cell r="B2635">
            <v>41579</v>
          </cell>
        </row>
        <row r="2636">
          <cell r="A2636">
            <v>543730</v>
          </cell>
          <cell r="B2636">
            <v>41579</v>
          </cell>
        </row>
        <row r="2637">
          <cell r="A2637">
            <v>543702</v>
          </cell>
          <cell r="B2637">
            <v>41579</v>
          </cell>
        </row>
        <row r="2638">
          <cell r="A2638">
            <v>543488</v>
          </cell>
          <cell r="B2638">
            <v>41579</v>
          </cell>
        </row>
        <row r="2639">
          <cell r="A2639">
            <v>543414</v>
          </cell>
          <cell r="B2639">
            <v>41579</v>
          </cell>
        </row>
        <row r="2640">
          <cell r="A2640">
            <v>542837</v>
          </cell>
          <cell r="B2640">
            <v>41579</v>
          </cell>
        </row>
        <row r="2641">
          <cell r="A2641">
            <v>542674</v>
          </cell>
          <cell r="B2641">
            <v>41579</v>
          </cell>
        </row>
        <row r="2642">
          <cell r="A2642">
            <v>542659</v>
          </cell>
          <cell r="B2642">
            <v>41579</v>
          </cell>
        </row>
        <row r="2643">
          <cell r="A2643">
            <v>542659</v>
          </cell>
          <cell r="B2643">
            <v>41579</v>
          </cell>
        </row>
        <row r="2644">
          <cell r="A2644">
            <v>542623</v>
          </cell>
          <cell r="B2644">
            <v>41579</v>
          </cell>
        </row>
        <row r="2645">
          <cell r="A2645">
            <v>542608</v>
          </cell>
          <cell r="B2645">
            <v>41640</v>
          </cell>
        </row>
        <row r="2646">
          <cell r="A2646">
            <v>542554</v>
          </cell>
          <cell r="B2646">
            <v>41579</v>
          </cell>
        </row>
        <row r="2647">
          <cell r="A2647">
            <v>542122</v>
          </cell>
          <cell r="B2647">
            <v>41579</v>
          </cell>
        </row>
        <row r="2648">
          <cell r="A2648">
            <v>542101</v>
          </cell>
          <cell r="B2648">
            <v>41640</v>
          </cell>
        </row>
        <row r="2649">
          <cell r="A2649">
            <v>541905</v>
          </cell>
          <cell r="B2649">
            <v>41579</v>
          </cell>
        </row>
        <row r="2650">
          <cell r="A2650">
            <v>541834</v>
          </cell>
          <cell r="B2650">
            <v>41579</v>
          </cell>
        </row>
        <row r="2651">
          <cell r="A2651">
            <v>541830</v>
          </cell>
          <cell r="B2651">
            <v>41579</v>
          </cell>
        </row>
        <row r="2652">
          <cell r="A2652">
            <v>541781</v>
          </cell>
          <cell r="B2652">
            <v>41579</v>
          </cell>
        </row>
        <row r="2653">
          <cell r="A2653">
            <v>541679</v>
          </cell>
          <cell r="B2653">
            <v>41579</v>
          </cell>
        </row>
        <row r="2654">
          <cell r="A2654">
            <v>541632</v>
          </cell>
          <cell r="B2654">
            <v>41579</v>
          </cell>
        </row>
        <row r="2655">
          <cell r="A2655">
            <v>541603</v>
          </cell>
          <cell r="B2655">
            <v>41579</v>
          </cell>
        </row>
        <row r="2656">
          <cell r="A2656">
            <v>541274</v>
          </cell>
          <cell r="B2656">
            <v>41579</v>
          </cell>
        </row>
        <row r="2657">
          <cell r="A2657">
            <v>541177</v>
          </cell>
          <cell r="B2657">
            <v>41640</v>
          </cell>
        </row>
        <row r="2658">
          <cell r="A2658">
            <v>541106</v>
          </cell>
          <cell r="B2658">
            <v>41579</v>
          </cell>
        </row>
        <row r="2659">
          <cell r="A2659">
            <v>541034</v>
          </cell>
          <cell r="B2659">
            <v>41579</v>
          </cell>
        </row>
        <row r="2660">
          <cell r="A2660">
            <v>541029</v>
          </cell>
          <cell r="B2660">
            <v>41579</v>
          </cell>
        </row>
        <row r="2661">
          <cell r="A2661">
            <v>540882</v>
          </cell>
          <cell r="B2661">
            <v>41579</v>
          </cell>
        </row>
        <row r="2662">
          <cell r="A2662">
            <v>540720</v>
          </cell>
          <cell r="B2662">
            <v>41579</v>
          </cell>
        </row>
        <row r="2663">
          <cell r="A2663">
            <v>540681</v>
          </cell>
          <cell r="B2663">
            <v>41579</v>
          </cell>
        </row>
        <row r="2664">
          <cell r="A2664">
            <v>540439</v>
          </cell>
          <cell r="B2664">
            <v>41579</v>
          </cell>
        </row>
        <row r="2665">
          <cell r="A2665">
            <v>540019</v>
          </cell>
          <cell r="B2665">
            <v>41579</v>
          </cell>
        </row>
        <row r="2666">
          <cell r="A2666">
            <v>539917</v>
          </cell>
          <cell r="B2666">
            <v>41579</v>
          </cell>
        </row>
        <row r="2667">
          <cell r="A2667">
            <v>539840</v>
          </cell>
          <cell r="B2667">
            <v>41579</v>
          </cell>
        </row>
        <row r="2668">
          <cell r="A2668">
            <v>539807</v>
          </cell>
          <cell r="B2668">
            <v>41579</v>
          </cell>
        </row>
        <row r="2669">
          <cell r="A2669">
            <v>539782</v>
          </cell>
          <cell r="B2669">
            <v>41579</v>
          </cell>
        </row>
        <row r="2670">
          <cell r="A2670">
            <v>539754</v>
          </cell>
          <cell r="B2670">
            <v>41579</v>
          </cell>
        </row>
        <row r="2671">
          <cell r="A2671">
            <v>539716</v>
          </cell>
          <cell r="B2671">
            <v>41579</v>
          </cell>
        </row>
        <row r="2672">
          <cell r="A2672">
            <v>539604</v>
          </cell>
          <cell r="B2672">
            <v>41579</v>
          </cell>
        </row>
        <row r="2673">
          <cell r="A2673">
            <v>539568</v>
          </cell>
          <cell r="B2673">
            <v>41579</v>
          </cell>
        </row>
        <row r="2674">
          <cell r="A2674">
            <v>539393</v>
          </cell>
          <cell r="B2674">
            <v>41579</v>
          </cell>
        </row>
        <row r="2675">
          <cell r="A2675">
            <v>539348</v>
          </cell>
          <cell r="B2675">
            <v>41579</v>
          </cell>
        </row>
        <row r="2676">
          <cell r="A2676">
            <v>539344</v>
          </cell>
          <cell r="B2676">
            <v>41579</v>
          </cell>
        </row>
        <row r="2677">
          <cell r="A2677">
            <v>539306</v>
          </cell>
          <cell r="B2677">
            <v>41579</v>
          </cell>
        </row>
        <row r="2678">
          <cell r="A2678">
            <v>538916</v>
          </cell>
          <cell r="B2678">
            <v>41579</v>
          </cell>
        </row>
        <row r="2679">
          <cell r="A2679">
            <v>538775</v>
          </cell>
          <cell r="B2679">
            <v>41579</v>
          </cell>
        </row>
        <row r="2680">
          <cell r="A2680">
            <v>538758</v>
          </cell>
          <cell r="B2680">
            <v>41579</v>
          </cell>
        </row>
        <row r="2681">
          <cell r="A2681">
            <v>538566</v>
          </cell>
          <cell r="B2681">
            <v>41579</v>
          </cell>
        </row>
        <row r="2682">
          <cell r="A2682">
            <v>538408</v>
          </cell>
          <cell r="B2682">
            <v>41579</v>
          </cell>
        </row>
        <row r="2683">
          <cell r="A2683">
            <v>538407</v>
          </cell>
          <cell r="B2683">
            <v>41579</v>
          </cell>
        </row>
        <row r="2684">
          <cell r="A2684">
            <v>538294</v>
          </cell>
          <cell r="B2684">
            <v>41579</v>
          </cell>
        </row>
        <row r="2685">
          <cell r="A2685">
            <v>538205</v>
          </cell>
          <cell r="B2685">
            <v>41579</v>
          </cell>
        </row>
        <row r="2686">
          <cell r="A2686">
            <v>538133</v>
          </cell>
          <cell r="B2686">
            <v>41579</v>
          </cell>
        </row>
        <row r="2687">
          <cell r="A2687">
            <v>537893</v>
          </cell>
          <cell r="B2687">
            <v>41579</v>
          </cell>
        </row>
        <row r="2688">
          <cell r="A2688">
            <v>537860</v>
          </cell>
          <cell r="B2688">
            <v>41579</v>
          </cell>
        </row>
        <row r="2689">
          <cell r="A2689">
            <v>537589</v>
          </cell>
          <cell r="B2689">
            <v>41579</v>
          </cell>
        </row>
        <row r="2690">
          <cell r="A2690">
            <v>537521</v>
          </cell>
          <cell r="B2690">
            <v>41579</v>
          </cell>
        </row>
        <row r="2691">
          <cell r="A2691">
            <v>537400</v>
          </cell>
          <cell r="B2691">
            <v>41579</v>
          </cell>
        </row>
        <row r="2692">
          <cell r="A2692">
            <v>537372</v>
          </cell>
          <cell r="B2692">
            <v>41640</v>
          </cell>
        </row>
        <row r="2693">
          <cell r="A2693">
            <v>537372</v>
          </cell>
          <cell r="B2693">
            <v>41579</v>
          </cell>
        </row>
        <row r="2694">
          <cell r="A2694">
            <v>537334</v>
          </cell>
          <cell r="B2694">
            <v>41579</v>
          </cell>
        </row>
        <row r="2695">
          <cell r="A2695">
            <v>537141</v>
          </cell>
          <cell r="B2695">
            <v>41579</v>
          </cell>
        </row>
        <row r="2696">
          <cell r="A2696">
            <v>537087</v>
          </cell>
          <cell r="B2696">
            <v>41579</v>
          </cell>
        </row>
        <row r="2697">
          <cell r="A2697">
            <v>536998</v>
          </cell>
          <cell r="B2697">
            <v>41579</v>
          </cell>
        </row>
        <row r="2698">
          <cell r="A2698">
            <v>536992</v>
          </cell>
          <cell r="B2698">
            <v>41579</v>
          </cell>
        </row>
        <row r="2699">
          <cell r="A2699">
            <v>536775</v>
          </cell>
          <cell r="B2699">
            <v>41579</v>
          </cell>
        </row>
        <row r="2700">
          <cell r="A2700">
            <v>536739</v>
          </cell>
          <cell r="B2700">
            <v>41579</v>
          </cell>
        </row>
        <row r="2701">
          <cell r="A2701">
            <v>536678</v>
          </cell>
          <cell r="B2701">
            <v>41579</v>
          </cell>
        </row>
        <row r="2702">
          <cell r="A2702">
            <v>536634</v>
          </cell>
          <cell r="B2702">
            <v>41579</v>
          </cell>
        </row>
        <row r="2703">
          <cell r="A2703">
            <v>536589</v>
          </cell>
          <cell r="B2703">
            <v>41579</v>
          </cell>
        </row>
        <row r="2704">
          <cell r="A2704">
            <v>536555</v>
          </cell>
          <cell r="B2704">
            <v>41579</v>
          </cell>
        </row>
        <row r="2705">
          <cell r="A2705">
            <v>536530</v>
          </cell>
          <cell r="B2705">
            <v>41579</v>
          </cell>
        </row>
        <row r="2706">
          <cell r="A2706">
            <v>536385</v>
          </cell>
          <cell r="B2706">
            <v>41579</v>
          </cell>
        </row>
        <row r="2707">
          <cell r="A2707">
            <v>536374</v>
          </cell>
          <cell r="B2707">
            <v>41579</v>
          </cell>
        </row>
        <row r="2708">
          <cell r="A2708">
            <v>536352</v>
          </cell>
          <cell r="B2708">
            <v>41579</v>
          </cell>
        </row>
        <row r="2709">
          <cell r="A2709">
            <v>536306</v>
          </cell>
          <cell r="B2709">
            <v>41579</v>
          </cell>
        </row>
        <row r="2710">
          <cell r="A2710">
            <v>536194</v>
          </cell>
          <cell r="B2710">
            <v>41579</v>
          </cell>
        </row>
        <row r="2711">
          <cell r="A2711">
            <v>536168</v>
          </cell>
          <cell r="B2711">
            <v>41579</v>
          </cell>
        </row>
        <row r="2712">
          <cell r="A2712">
            <v>536123</v>
          </cell>
          <cell r="B2712">
            <v>41579</v>
          </cell>
        </row>
        <row r="2713">
          <cell r="A2713">
            <v>536109</v>
          </cell>
          <cell r="B2713">
            <v>41579</v>
          </cell>
        </row>
        <row r="2714">
          <cell r="A2714">
            <v>536014</v>
          </cell>
          <cell r="B2714">
            <v>41579</v>
          </cell>
        </row>
        <row r="2715">
          <cell r="A2715">
            <v>535886</v>
          </cell>
          <cell r="B2715">
            <v>41579</v>
          </cell>
        </row>
        <row r="2716">
          <cell r="A2716">
            <v>535635</v>
          </cell>
          <cell r="B2716">
            <v>41579</v>
          </cell>
        </row>
        <row r="2717">
          <cell r="A2717">
            <v>535617</v>
          </cell>
          <cell r="B2717">
            <v>41579</v>
          </cell>
        </row>
        <row r="2718">
          <cell r="A2718">
            <v>535572</v>
          </cell>
          <cell r="B2718">
            <v>41579</v>
          </cell>
        </row>
        <row r="2719">
          <cell r="A2719">
            <v>535550</v>
          </cell>
          <cell r="B2719">
            <v>41579</v>
          </cell>
        </row>
        <row r="2720">
          <cell r="A2720">
            <v>535550</v>
          </cell>
          <cell r="B2720">
            <v>41579</v>
          </cell>
        </row>
        <row r="2721">
          <cell r="A2721">
            <v>535544</v>
          </cell>
          <cell r="B2721">
            <v>41579</v>
          </cell>
        </row>
        <row r="2722">
          <cell r="A2722">
            <v>535245</v>
          </cell>
          <cell r="B2722">
            <v>41579</v>
          </cell>
        </row>
        <row r="2723">
          <cell r="A2723">
            <v>535190</v>
          </cell>
          <cell r="B2723">
            <v>41579</v>
          </cell>
        </row>
        <row r="2724">
          <cell r="A2724">
            <v>535190</v>
          </cell>
          <cell r="B2724">
            <v>41579</v>
          </cell>
        </row>
        <row r="2725">
          <cell r="A2725">
            <v>535000</v>
          </cell>
          <cell r="B2725">
            <v>41579</v>
          </cell>
        </row>
        <row r="2726">
          <cell r="A2726">
            <v>534979</v>
          </cell>
          <cell r="B2726">
            <v>41579</v>
          </cell>
        </row>
        <row r="2727">
          <cell r="A2727">
            <v>534822</v>
          </cell>
          <cell r="B2727">
            <v>41579</v>
          </cell>
        </row>
        <row r="2728">
          <cell r="A2728">
            <v>534752</v>
          </cell>
          <cell r="B2728">
            <v>41579</v>
          </cell>
        </row>
        <row r="2729">
          <cell r="A2729">
            <v>534565</v>
          </cell>
          <cell r="B2729">
            <v>41579</v>
          </cell>
        </row>
        <row r="2730">
          <cell r="A2730">
            <v>534207</v>
          </cell>
          <cell r="B2730">
            <v>41579</v>
          </cell>
        </row>
        <row r="2731">
          <cell r="A2731">
            <v>534137</v>
          </cell>
          <cell r="B2731">
            <v>41579</v>
          </cell>
        </row>
        <row r="2732">
          <cell r="A2732">
            <v>534028</v>
          </cell>
          <cell r="B2732">
            <v>41579</v>
          </cell>
        </row>
        <row r="2733">
          <cell r="A2733">
            <v>533984</v>
          </cell>
          <cell r="B2733">
            <v>41579</v>
          </cell>
        </row>
        <row r="2734">
          <cell r="A2734">
            <v>533782</v>
          </cell>
          <cell r="B2734">
            <v>41579</v>
          </cell>
        </row>
        <row r="2735">
          <cell r="A2735">
            <v>533683</v>
          </cell>
          <cell r="B2735">
            <v>41579</v>
          </cell>
        </row>
        <row r="2736">
          <cell r="A2736">
            <v>533219</v>
          </cell>
          <cell r="B2736">
            <v>41579</v>
          </cell>
        </row>
        <row r="2737">
          <cell r="A2737">
            <v>533218</v>
          </cell>
          <cell r="B2737">
            <v>41579</v>
          </cell>
        </row>
        <row r="2738">
          <cell r="A2738">
            <v>533186</v>
          </cell>
          <cell r="B2738">
            <v>41579</v>
          </cell>
        </row>
        <row r="2739">
          <cell r="A2739">
            <v>533186</v>
          </cell>
          <cell r="B2739">
            <v>41579</v>
          </cell>
        </row>
        <row r="2740">
          <cell r="A2740">
            <v>533146</v>
          </cell>
          <cell r="B2740">
            <v>41579</v>
          </cell>
        </row>
        <row r="2741">
          <cell r="A2741">
            <v>532954</v>
          </cell>
          <cell r="B2741">
            <v>41579</v>
          </cell>
        </row>
        <row r="2742">
          <cell r="A2742">
            <v>532952</v>
          </cell>
          <cell r="B2742">
            <v>41579</v>
          </cell>
        </row>
        <row r="2743">
          <cell r="A2743">
            <v>532877</v>
          </cell>
          <cell r="B2743">
            <v>41579</v>
          </cell>
        </row>
        <row r="2744">
          <cell r="A2744">
            <v>532876</v>
          </cell>
          <cell r="B2744">
            <v>41579</v>
          </cell>
        </row>
        <row r="2745">
          <cell r="A2745">
            <v>532861</v>
          </cell>
          <cell r="B2745">
            <v>41579</v>
          </cell>
        </row>
        <row r="2746">
          <cell r="A2746">
            <v>532742</v>
          </cell>
          <cell r="B2746">
            <v>41579</v>
          </cell>
        </row>
        <row r="2747">
          <cell r="A2747">
            <v>532639</v>
          </cell>
          <cell r="B2747">
            <v>41579</v>
          </cell>
        </row>
        <row r="2748">
          <cell r="A2748">
            <v>532583</v>
          </cell>
          <cell r="B2748">
            <v>41579</v>
          </cell>
        </row>
        <row r="2749">
          <cell r="A2749">
            <v>532583</v>
          </cell>
          <cell r="B2749">
            <v>41579</v>
          </cell>
        </row>
        <row r="2750">
          <cell r="A2750">
            <v>532565</v>
          </cell>
          <cell r="B2750">
            <v>41579</v>
          </cell>
        </row>
        <row r="2751">
          <cell r="A2751">
            <v>532211</v>
          </cell>
          <cell r="B2751">
            <v>41579</v>
          </cell>
        </row>
        <row r="2752">
          <cell r="A2752">
            <v>532170</v>
          </cell>
          <cell r="B2752">
            <v>41640</v>
          </cell>
        </row>
        <row r="2753">
          <cell r="A2753">
            <v>531908</v>
          </cell>
          <cell r="B2753">
            <v>41579</v>
          </cell>
        </row>
        <row r="2754">
          <cell r="A2754">
            <v>531881</v>
          </cell>
          <cell r="B2754">
            <v>41579</v>
          </cell>
        </row>
        <row r="2755">
          <cell r="A2755">
            <v>531817</v>
          </cell>
          <cell r="B2755">
            <v>41579</v>
          </cell>
        </row>
        <row r="2756">
          <cell r="A2756">
            <v>531743</v>
          </cell>
          <cell r="B2756">
            <v>41579</v>
          </cell>
        </row>
        <row r="2757">
          <cell r="A2757">
            <v>531703</v>
          </cell>
          <cell r="B2757">
            <v>41579</v>
          </cell>
        </row>
        <row r="2758">
          <cell r="A2758">
            <v>531696</v>
          </cell>
          <cell r="B2758">
            <v>41579</v>
          </cell>
        </row>
        <row r="2759">
          <cell r="A2759">
            <v>531692</v>
          </cell>
          <cell r="B2759">
            <v>41579</v>
          </cell>
        </row>
        <row r="2760">
          <cell r="A2760">
            <v>531513</v>
          </cell>
          <cell r="B2760">
            <v>41579</v>
          </cell>
        </row>
        <row r="2761">
          <cell r="A2761">
            <v>531472</v>
          </cell>
          <cell r="B2761">
            <v>41579</v>
          </cell>
        </row>
        <row r="2762">
          <cell r="A2762">
            <v>531420</v>
          </cell>
          <cell r="B2762">
            <v>41579</v>
          </cell>
        </row>
        <row r="2763">
          <cell r="A2763">
            <v>530803</v>
          </cell>
          <cell r="B2763">
            <v>41579</v>
          </cell>
        </row>
        <row r="2764">
          <cell r="A2764">
            <v>530618</v>
          </cell>
          <cell r="B2764">
            <v>41579</v>
          </cell>
        </row>
        <row r="2765">
          <cell r="A2765">
            <v>530352</v>
          </cell>
          <cell r="B2765">
            <v>41579</v>
          </cell>
        </row>
        <row r="2766">
          <cell r="A2766">
            <v>530347</v>
          </cell>
          <cell r="B2766">
            <v>41579</v>
          </cell>
        </row>
        <row r="2767">
          <cell r="A2767">
            <v>530300</v>
          </cell>
          <cell r="B2767">
            <v>41579</v>
          </cell>
        </row>
        <row r="2768">
          <cell r="A2768">
            <v>530030</v>
          </cell>
          <cell r="B2768">
            <v>41579</v>
          </cell>
        </row>
        <row r="2769">
          <cell r="A2769">
            <v>529962</v>
          </cell>
          <cell r="B2769">
            <v>41579</v>
          </cell>
        </row>
        <row r="2770">
          <cell r="A2770">
            <v>529879</v>
          </cell>
          <cell r="B2770">
            <v>41579</v>
          </cell>
        </row>
        <row r="2771">
          <cell r="A2771">
            <v>529302</v>
          </cell>
          <cell r="B2771">
            <v>41579</v>
          </cell>
        </row>
        <row r="2772">
          <cell r="A2772">
            <v>529141</v>
          </cell>
          <cell r="B2772">
            <v>41579</v>
          </cell>
        </row>
        <row r="2773">
          <cell r="A2773">
            <v>529034</v>
          </cell>
          <cell r="B2773">
            <v>41579</v>
          </cell>
        </row>
        <row r="2774">
          <cell r="A2774">
            <v>528981</v>
          </cell>
          <cell r="B2774">
            <v>41579</v>
          </cell>
        </row>
        <row r="2775">
          <cell r="A2775">
            <v>528883</v>
          </cell>
          <cell r="B2775">
            <v>41579</v>
          </cell>
        </row>
        <row r="2776">
          <cell r="A2776">
            <v>528763</v>
          </cell>
          <cell r="B2776">
            <v>41579</v>
          </cell>
        </row>
        <row r="2777">
          <cell r="A2777">
            <v>528696</v>
          </cell>
          <cell r="B2777">
            <v>41579</v>
          </cell>
        </row>
        <row r="2778">
          <cell r="A2778">
            <v>528693</v>
          </cell>
          <cell r="B2778">
            <v>41579</v>
          </cell>
        </row>
        <row r="2779">
          <cell r="A2779">
            <v>528679</v>
          </cell>
          <cell r="B2779">
            <v>41579</v>
          </cell>
        </row>
        <row r="2780">
          <cell r="A2780">
            <v>528524</v>
          </cell>
          <cell r="B2780">
            <v>41579</v>
          </cell>
        </row>
        <row r="2781">
          <cell r="A2781">
            <v>528050</v>
          </cell>
          <cell r="B2781">
            <v>41579</v>
          </cell>
        </row>
        <row r="2782">
          <cell r="A2782">
            <v>527879</v>
          </cell>
          <cell r="B2782">
            <v>41579</v>
          </cell>
        </row>
        <row r="2783">
          <cell r="A2783">
            <v>527857</v>
          </cell>
          <cell r="B2783">
            <v>41579</v>
          </cell>
        </row>
        <row r="2784">
          <cell r="A2784">
            <v>527750</v>
          </cell>
          <cell r="B2784">
            <v>41579</v>
          </cell>
        </row>
        <row r="2785">
          <cell r="A2785">
            <v>527680</v>
          </cell>
          <cell r="B2785">
            <v>41579</v>
          </cell>
        </row>
        <row r="2786">
          <cell r="A2786">
            <v>527659</v>
          </cell>
          <cell r="B2786">
            <v>41579</v>
          </cell>
        </row>
        <row r="2787">
          <cell r="A2787">
            <v>527631</v>
          </cell>
          <cell r="B2787">
            <v>41579</v>
          </cell>
        </row>
        <row r="2788">
          <cell r="A2788">
            <v>526676</v>
          </cell>
          <cell r="B2788">
            <v>41579</v>
          </cell>
        </row>
        <row r="2789">
          <cell r="A2789">
            <v>526178</v>
          </cell>
          <cell r="B2789">
            <v>41579</v>
          </cell>
        </row>
        <row r="2790">
          <cell r="A2790">
            <v>526165</v>
          </cell>
          <cell r="B2790">
            <v>41579</v>
          </cell>
        </row>
        <row r="2791">
          <cell r="A2791">
            <v>526052</v>
          </cell>
          <cell r="B2791">
            <v>41579</v>
          </cell>
        </row>
        <row r="2792">
          <cell r="A2792">
            <v>526047</v>
          </cell>
          <cell r="B2792">
            <v>41579</v>
          </cell>
        </row>
        <row r="2793">
          <cell r="A2793">
            <v>525609</v>
          </cell>
          <cell r="B2793">
            <v>41579</v>
          </cell>
        </row>
        <row r="2794">
          <cell r="A2794">
            <v>525391</v>
          </cell>
          <cell r="B2794">
            <v>41579</v>
          </cell>
        </row>
        <row r="2795">
          <cell r="A2795">
            <v>525249</v>
          </cell>
          <cell r="B2795">
            <v>41579</v>
          </cell>
        </row>
        <row r="2796">
          <cell r="A2796">
            <v>525249</v>
          </cell>
          <cell r="B2796">
            <v>41579</v>
          </cell>
        </row>
        <row r="2797">
          <cell r="A2797">
            <v>525119</v>
          </cell>
          <cell r="B2797">
            <v>41579</v>
          </cell>
        </row>
        <row r="2798">
          <cell r="A2798">
            <v>524925</v>
          </cell>
          <cell r="B2798">
            <v>41579</v>
          </cell>
        </row>
        <row r="2799">
          <cell r="A2799">
            <v>524733</v>
          </cell>
          <cell r="B2799">
            <v>41579</v>
          </cell>
        </row>
        <row r="2800">
          <cell r="A2800">
            <v>524716</v>
          </cell>
          <cell r="B2800">
            <v>41579</v>
          </cell>
        </row>
        <row r="2801">
          <cell r="A2801">
            <v>524611</v>
          </cell>
          <cell r="B2801">
            <v>41579</v>
          </cell>
        </row>
        <row r="2802">
          <cell r="A2802">
            <v>524512</v>
          </cell>
          <cell r="B2802">
            <v>41579</v>
          </cell>
        </row>
        <row r="2803">
          <cell r="A2803">
            <v>524390</v>
          </cell>
          <cell r="B2803">
            <v>41579</v>
          </cell>
        </row>
        <row r="2804">
          <cell r="A2804">
            <v>524354</v>
          </cell>
          <cell r="B2804">
            <v>41579</v>
          </cell>
        </row>
        <row r="2805">
          <cell r="A2805">
            <v>524260</v>
          </cell>
          <cell r="B2805">
            <v>41579</v>
          </cell>
        </row>
        <row r="2806">
          <cell r="A2806">
            <v>524090</v>
          </cell>
          <cell r="B2806">
            <v>41579</v>
          </cell>
        </row>
        <row r="2807">
          <cell r="A2807">
            <v>524090</v>
          </cell>
          <cell r="B2807">
            <v>41579</v>
          </cell>
        </row>
        <row r="2808">
          <cell r="A2808">
            <v>523852</v>
          </cell>
          <cell r="B2808">
            <v>41579</v>
          </cell>
        </row>
        <row r="2809">
          <cell r="A2809">
            <v>523804</v>
          </cell>
          <cell r="B2809">
            <v>41579</v>
          </cell>
        </row>
        <row r="2810">
          <cell r="A2810">
            <v>523707</v>
          </cell>
          <cell r="B2810">
            <v>41579</v>
          </cell>
        </row>
        <row r="2811">
          <cell r="A2811">
            <v>523649</v>
          </cell>
          <cell r="B2811">
            <v>41579</v>
          </cell>
        </row>
        <row r="2812">
          <cell r="A2812">
            <v>523244</v>
          </cell>
          <cell r="B2812">
            <v>41579</v>
          </cell>
        </row>
        <row r="2813">
          <cell r="A2813">
            <v>523194</v>
          </cell>
          <cell r="B2813">
            <v>41579</v>
          </cell>
        </row>
        <row r="2814">
          <cell r="A2814">
            <v>522890</v>
          </cell>
          <cell r="B2814">
            <v>41579</v>
          </cell>
        </row>
        <row r="2815">
          <cell r="A2815">
            <v>522847</v>
          </cell>
          <cell r="B2815">
            <v>41579</v>
          </cell>
        </row>
        <row r="2816">
          <cell r="A2816">
            <v>522782</v>
          </cell>
          <cell r="B2816">
            <v>41579</v>
          </cell>
        </row>
        <row r="2817">
          <cell r="A2817">
            <v>522779</v>
          </cell>
          <cell r="B2817">
            <v>41579</v>
          </cell>
        </row>
        <row r="2818">
          <cell r="A2818">
            <v>522506</v>
          </cell>
          <cell r="B2818">
            <v>41579</v>
          </cell>
        </row>
        <row r="2819">
          <cell r="A2819">
            <v>522420</v>
          </cell>
          <cell r="B2819">
            <v>41579</v>
          </cell>
        </row>
        <row r="2820">
          <cell r="A2820">
            <v>522412</v>
          </cell>
          <cell r="B2820">
            <v>41579</v>
          </cell>
        </row>
        <row r="2821">
          <cell r="A2821">
            <v>522346</v>
          </cell>
          <cell r="B2821">
            <v>41579</v>
          </cell>
        </row>
        <row r="2822">
          <cell r="A2822">
            <v>522027</v>
          </cell>
          <cell r="B2822">
            <v>41579</v>
          </cell>
        </row>
        <row r="2823">
          <cell r="A2823">
            <v>521985</v>
          </cell>
          <cell r="B2823">
            <v>41579</v>
          </cell>
        </row>
        <row r="2824">
          <cell r="A2824">
            <v>521805</v>
          </cell>
          <cell r="B2824">
            <v>41579</v>
          </cell>
        </row>
        <row r="2825">
          <cell r="A2825">
            <v>521674</v>
          </cell>
          <cell r="B2825">
            <v>41579</v>
          </cell>
        </row>
        <row r="2826">
          <cell r="A2826">
            <v>521631</v>
          </cell>
          <cell r="B2826">
            <v>41579</v>
          </cell>
        </row>
        <row r="2827">
          <cell r="A2827">
            <v>521626</v>
          </cell>
          <cell r="B2827">
            <v>41579</v>
          </cell>
        </row>
        <row r="2828">
          <cell r="A2828">
            <v>521537</v>
          </cell>
          <cell r="B2828">
            <v>41579</v>
          </cell>
        </row>
        <row r="2829">
          <cell r="A2829">
            <v>521520</v>
          </cell>
          <cell r="B2829">
            <v>41579</v>
          </cell>
        </row>
        <row r="2830">
          <cell r="A2830">
            <v>521520</v>
          </cell>
          <cell r="B2830">
            <v>41579</v>
          </cell>
        </row>
        <row r="2831">
          <cell r="A2831">
            <v>521294</v>
          </cell>
          <cell r="B2831">
            <v>41579</v>
          </cell>
        </row>
        <row r="2832">
          <cell r="A2832">
            <v>521285</v>
          </cell>
          <cell r="B2832">
            <v>41579</v>
          </cell>
        </row>
        <row r="2833">
          <cell r="A2833">
            <v>521225</v>
          </cell>
          <cell r="B2833">
            <v>41579</v>
          </cell>
        </row>
        <row r="2834">
          <cell r="A2834">
            <v>521089</v>
          </cell>
          <cell r="B2834">
            <v>41579</v>
          </cell>
        </row>
        <row r="2835">
          <cell r="A2835">
            <v>521010</v>
          </cell>
          <cell r="B2835">
            <v>41579</v>
          </cell>
        </row>
        <row r="2836">
          <cell r="A2836">
            <v>520919</v>
          </cell>
          <cell r="B2836">
            <v>41579</v>
          </cell>
        </row>
        <row r="2837">
          <cell r="A2837">
            <v>520668</v>
          </cell>
          <cell r="B2837">
            <v>41579</v>
          </cell>
        </row>
        <row r="2838">
          <cell r="A2838">
            <v>520651</v>
          </cell>
          <cell r="B2838">
            <v>41579</v>
          </cell>
        </row>
        <row r="2839">
          <cell r="A2839">
            <v>520636</v>
          </cell>
          <cell r="B2839">
            <v>41579</v>
          </cell>
        </row>
        <row r="2840">
          <cell r="A2840">
            <v>520422</v>
          </cell>
          <cell r="B2840">
            <v>41579</v>
          </cell>
        </row>
        <row r="2841">
          <cell r="A2841">
            <v>520404</v>
          </cell>
          <cell r="B2841">
            <v>41579</v>
          </cell>
        </row>
        <row r="2842">
          <cell r="A2842">
            <v>520184</v>
          </cell>
          <cell r="B2842">
            <v>41579</v>
          </cell>
        </row>
        <row r="2843">
          <cell r="A2843">
            <v>520143</v>
          </cell>
          <cell r="B2843">
            <v>41579</v>
          </cell>
        </row>
        <row r="2844">
          <cell r="A2844">
            <v>520073</v>
          </cell>
          <cell r="B2844">
            <v>41579</v>
          </cell>
        </row>
        <row r="2845">
          <cell r="A2845">
            <v>519312</v>
          </cell>
          <cell r="B2845">
            <v>41579</v>
          </cell>
        </row>
        <row r="2846">
          <cell r="A2846">
            <v>519312</v>
          </cell>
          <cell r="B2846">
            <v>41579</v>
          </cell>
        </row>
        <row r="2847">
          <cell r="A2847">
            <v>519183</v>
          </cell>
          <cell r="B2847">
            <v>41579</v>
          </cell>
        </row>
        <row r="2848">
          <cell r="A2848">
            <v>519010</v>
          </cell>
          <cell r="B2848">
            <v>41579</v>
          </cell>
        </row>
        <row r="2849">
          <cell r="A2849">
            <v>518933</v>
          </cell>
          <cell r="B2849">
            <v>41579</v>
          </cell>
        </row>
        <row r="2850">
          <cell r="A2850">
            <v>518887</v>
          </cell>
          <cell r="B2850">
            <v>41579</v>
          </cell>
        </row>
        <row r="2851">
          <cell r="A2851">
            <v>518831</v>
          </cell>
          <cell r="B2851">
            <v>41579</v>
          </cell>
        </row>
        <row r="2852">
          <cell r="A2852">
            <v>518753</v>
          </cell>
          <cell r="B2852">
            <v>41579</v>
          </cell>
        </row>
        <row r="2853">
          <cell r="A2853">
            <v>518714</v>
          </cell>
          <cell r="B2853">
            <v>41579</v>
          </cell>
        </row>
        <row r="2854">
          <cell r="A2854">
            <v>518598</v>
          </cell>
          <cell r="B2854">
            <v>41579</v>
          </cell>
        </row>
        <row r="2855">
          <cell r="A2855">
            <v>518538</v>
          </cell>
          <cell r="B2855">
            <v>41579</v>
          </cell>
        </row>
        <row r="2856">
          <cell r="A2856">
            <v>518380</v>
          </cell>
          <cell r="B2856">
            <v>41579</v>
          </cell>
        </row>
        <row r="2857">
          <cell r="A2857">
            <v>518151</v>
          </cell>
          <cell r="B2857">
            <v>41579</v>
          </cell>
        </row>
        <row r="2858">
          <cell r="A2858">
            <v>518066</v>
          </cell>
          <cell r="B2858">
            <v>41579</v>
          </cell>
        </row>
        <row r="2859">
          <cell r="A2859">
            <v>517973</v>
          </cell>
          <cell r="B2859">
            <v>41579</v>
          </cell>
        </row>
        <row r="2860">
          <cell r="A2860">
            <v>517795</v>
          </cell>
          <cell r="B2860">
            <v>41579</v>
          </cell>
        </row>
        <row r="2861">
          <cell r="A2861">
            <v>517662</v>
          </cell>
          <cell r="B2861">
            <v>41579</v>
          </cell>
        </row>
        <row r="2862">
          <cell r="A2862">
            <v>517502</v>
          </cell>
          <cell r="B2862">
            <v>41579</v>
          </cell>
        </row>
        <row r="2863">
          <cell r="A2863">
            <v>517088</v>
          </cell>
          <cell r="B2863">
            <v>41579</v>
          </cell>
        </row>
        <row r="2864">
          <cell r="A2864">
            <v>516980</v>
          </cell>
          <cell r="B2864">
            <v>41579</v>
          </cell>
        </row>
        <row r="2865">
          <cell r="A2865">
            <v>516839</v>
          </cell>
          <cell r="B2865">
            <v>41579</v>
          </cell>
        </row>
        <row r="2866">
          <cell r="A2866">
            <v>516719</v>
          </cell>
          <cell r="B2866">
            <v>41579</v>
          </cell>
        </row>
        <row r="2867">
          <cell r="A2867">
            <v>516613</v>
          </cell>
          <cell r="B2867">
            <v>41579</v>
          </cell>
        </row>
        <row r="2868">
          <cell r="A2868">
            <v>516204</v>
          </cell>
          <cell r="B2868">
            <v>41579</v>
          </cell>
        </row>
        <row r="2869">
          <cell r="A2869">
            <v>516055</v>
          </cell>
          <cell r="B2869">
            <v>41579</v>
          </cell>
        </row>
        <row r="2870">
          <cell r="A2870">
            <v>515718</v>
          </cell>
          <cell r="B2870">
            <v>41579</v>
          </cell>
        </row>
        <row r="2871">
          <cell r="A2871">
            <v>515583</v>
          </cell>
          <cell r="B2871">
            <v>41579</v>
          </cell>
        </row>
        <row r="2872">
          <cell r="A2872">
            <v>515432</v>
          </cell>
          <cell r="B2872">
            <v>41640</v>
          </cell>
        </row>
        <row r="2873">
          <cell r="A2873">
            <v>515423</v>
          </cell>
          <cell r="B2873">
            <v>41579</v>
          </cell>
        </row>
        <row r="2874">
          <cell r="A2874">
            <v>515221</v>
          </cell>
          <cell r="B2874">
            <v>41579</v>
          </cell>
        </row>
        <row r="2875">
          <cell r="A2875">
            <v>514711</v>
          </cell>
          <cell r="B2875">
            <v>41579</v>
          </cell>
        </row>
        <row r="2876">
          <cell r="A2876">
            <v>514639</v>
          </cell>
          <cell r="B2876">
            <v>41579</v>
          </cell>
        </row>
        <row r="2877">
          <cell r="A2877">
            <v>514528</v>
          </cell>
          <cell r="B2877">
            <v>41579</v>
          </cell>
        </row>
        <row r="2878">
          <cell r="A2878">
            <v>514276</v>
          </cell>
          <cell r="B2878">
            <v>41579</v>
          </cell>
        </row>
        <row r="2879">
          <cell r="A2879">
            <v>513723</v>
          </cell>
          <cell r="B2879">
            <v>41640</v>
          </cell>
        </row>
        <row r="2880">
          <cell r="A2880">
            <v>513308</v>
          </cell>
          <cell r="B2880">
            <v>41579</v>
          </cell>
        </row>
        <row r="2881">
          <cell r="A2881">
            <v>513203</v>
          </cell>
          <cell r="B2881">
            <v>41579</v>
          </cell>
        </row>
        <row r="2882">
          <cell r="A2882">
            <v>513156</v>
          </cell>
          <cell r="B2882">
            <v>41579</v>
          </cell>
        </row>
        <row r="2883">
          <cell r="A2883">
            <v>513149</v>
          </cell>
          <cell r="B2883">
            <v>41579</v>
          </cell>
        </row>
        <row r="2884">
          <cell r="A2884">
            <v>513146</v>
          </cell>
          <cell r="B2884">
            <v>41579</v>
          </cell>
        </row>
        <row r="2885">
          <cell r="A2885">
            <v>513076</v>
          </cell>
          <cell r="B2885">
            <v>41579</v>
          </cell>
        </row>
        <row r="2886">
          <cell r="A2886">
            <v>512868</v>
          </cell>
          <cell r="B2886">
            <v>41579</v>
          </cell>
        </row>
        <row r="2887">
          <cell r="A2887">
            <v>512750</v>
          </cell>
          <cell r="B2887">
            <v>41579</v>
          </cell>
        </row>
        <row r="2888">
          <cell r="A2888">
            <v>512458</v>
          </cell>
          <cell r="B2888">
            <v>41579</v>
          </cell>
        </row>
        <row r="2889">
          <cell r="A2889">
            <v>512434</v>
          </cell>
          <cell r="B2889">
            <v>41579</v>
          </cell>
        </row>
        <row r="2890">
          <cell r="A2890">
            <v>512260</v>
          </cell>
          <cell r="B2890">
            <v>41579</v>
          </cell>
        </row>
        <row r="2891">
          <cell r="A2891">
            <v>512156</v>
          </cell>
          <cell r="B2891">
            <v>41579</v>
          </cell>
        </row>
        <row r="2892">
          <cell r="A2892">
            <v>512156</v>
          </cell>
          <cell r="B2892">
            <v>41579</v>
          </cell>
        </row>
        <row r="2893">
          <cell r="A2893">
            <v>511977</v>
          </cell>
          <cell r="B2893">
            <v>41579</v>
          </cell>
        </row>
        <row r="2894">
          <cell r="A2894">
            <v>511926</v>
          </cell>
          <cell r="B2894">
            <v>41579</v>
          </cell>
        </row>
        <row r="2895">
          <cell r="A2895">
            <v>511849</v>
          </cell>
          <cell r="B2895">
            <v>41579</v>
          </cell>
        </row>
        <row r="2896">
          <cell r="A2896">
            <v>511848</v>
          </cell>
          <cell r="B2896">
            <v>41579</v>
          </cell>
        </row>
        <row r="2897">
          <cell r="A2897">
            <v>511605</v>
          </cell>
          <cell r="B2897">
            <v>41579</v>
          </cell>
        </row>
        <row r="2898">
          <cell r="A2898">
            <v>511418</v>
          </cell>
          <cell r="B2898">
            <v>41579</v>
          </cell>
        </row>
        <row r="2899">
          <cell r="A2899">
            <v>511300</v>
          </cell>
          <cell r="B2899">
            <v>41579</v>
          </cell>
        </row>
        <row r="2900">
          <cell r="A2900">
            <v>511111</v>
          </cell>
          <cell r="B2900">
            <v>41579</v>
          </cell>
        </row>
        <row r="2901">
          <cell r="A2901">
            <v>511108</v>
          </cell>
          <cell r="B2901">
            <v>41579</v>
          </cell>
        </row>
        <row r="2902">
          <cell r="A2902">
            <v>510896</v>
          </cell>
          <cell r="B2902">
            <v>41579</v>
          </cell>
        </row>
        <row r="2903">
          <cell r="A2903">
            <v>510587</v>
          </cell>
          <cell r="B2903">
            <v>41579</v>
          </cell>
        </row>
        <row r="2904">
          <cell r="A2904">
            <v>510495</v>
          </cell>
          <cell r="B2904">
            <v>41579</v>
          </cell>
        </row>
        <row r="2905">
          <cell r="A2905">
            <v>510365</v>
          </cell>
          <cell r="B2905">
            <v>41579</v>
          </cell>
        </row>
        <row r="2906">
          <cell r="A2906">
            <v>509820</v>
          </cell>
          <cell r="B2906">
            <v>41579</v>
          </cell>
        </row>
        <row r="2907">
          <cell r="A2907">
            <v>509516</v>
          </cell>
          <cell r="B2907">
            <v>41579</v>
          </cell>
        </row>
        <row r="2908">
          <cell r="A2908">
            <v>509354</v>
          </cell>
          <cell r="B2908">
            <v>41579</v>
          </cell>
        </row>
        <row r="2909">
          <cell r="A2909">
            <v>509310</v>
          </cell>
          <cell r="B2909">
            <v>41579</v>
          </cell>
        </row>
        <row r="2910">
          <cell r="A2910">
            <v>509288</v>
          </cell>
          <cell r="B2910">
            <v>41579</v>
          </cell>
        </row>
        <row r="2911">
          <cell r="A2911">
            <v>509288</v>
          </cell>
          <cell r="B2911">
            <v>41579</v>
          </cell>
        </row>
        <row r="2912">
          <cell r="A2912">
            <v>509225</v>
          </cell>
          <cell r="B2912">
            <v>41579</v>
          </cell>
        </row>
        <row r="2913">
          <cell r="A2913">
            <v>509205</v>
          </cell>
          <cell r="B2913">
            <v>41579</v>
          </cell>
        </row>
        <row r="2914">
          <cell r="A2914">
            <v>509130</v>
          </cell>
          <cell r="B2914">
            <v>41579</v>
          </cell>
        </row>
        <row r="2915">
          <cell r="A2915">
            <v>508673</v>
          </cell>
          <cell r="B2915">
            <v>41579</v>
          </cell>
        </row>
        <row r="2916">
          <cell r="A2916">
            <v>508664</v>
          </cell>
          <cell r="B2916">
            <v>41579</v>
          </cell>
        </row>
        <row r="2917">
          <cell r="A2917">
            <v>508570</v>
          </cell>
          <cell r="B2917">
            <v>41579</v>
          </cell>
        </row>
        <row r="2918">
          <cell r="A2918">
            <v>508569</v>
          </cell>
          <cell r="B2918">
            <v>41640</v>
          </cell>
        </row>
        <row r="2919">
          <cell r="A2919">
            <v>508518</v>
          </cell>
          <cell r="B2919">
            <v>41579</v>
          </cell>
        </row>
        <row r="2920">
          <cell r="A2920">
            <v>508462</v>
          </cell>
          <cell r="B2920">
            <v>41579</v>
          </cell>
        </row>
        <row r="2921">
          <cell r="A2921">
            <v>508459</v>
          </cell>
          <cell r="B2921">
            <v>41579</v>
          </cell>
        </row>
        <row r="2922">
          <cell r="A2922">
            <v>508459</v>
          </cell>
          <cell r="B2922">
            <v>41579</v>
          </cell>
        </row>
        <row r="2923">
          <cell r="A2923">
            <v>508277</v>
          </cell>
          <cell r="B2923">
            <v>41579</v>
          </cell>
        </row>
        <row r="2924">
          <cell r="A2924">
            <v>508144</v>
          </cell>
          <cell r="B2924">
            <v>41579</v>
          </cell>
        </row>
        <row r="2925">
          <cell r="A2925">
            <v>508144</v>
          </cell>
          <cell r="B2925">
            <v>41579</v>
          </cell>
        </row>
        <row r="2926">
          <cell r="A2926">
            <v>507775</v>
          </cell>
          <cell r="B2926">
            <v>41579</v>
          </cell>
        </row>
        <row r="2927">
          <cell r="A2927">
            <v>507739</v>
          </cell>
          <cell r="B2927">
            <v>41579</v>
          </cell>
        </row>
        <row r="2928">
          <cell r="A2928">
            <v>507714</v>
          </cell>
          <cell r="B2928">
            <v>41579</v>
          </cell>
        </row>
        <row r="2929">
          <cell r="A2929">
            <v>507655</v>
          </cell>
          <cell r="B2929">
            <v>41640</v>
          </cell>
        </row>
        <row r="2930">
          <cell r="A2930">
            <v>507655</v>
          </cell>
          <cell r="B2930">
            <v>41640</v>
          </cell>
        </row>
        <row r="2931">
          <cell r="A2931">
            <v>507646</v>
          </cell>
          <cell r="B2931">
            <v>41579</v>
          </cell>
        </row>
        <row r="2932">
          <cell r="A2932">
            <v>507374</v>
          </cell>
          <cell r="B2932">
            <v>41579</v>
          </cell>
        </row>
        <row r="2933">
          <cell r="A2933">
            <v>507372</v>
          </cell>
          <cell r="B2933">
            <v>41579</v>
          </cell>
        </row>
        <row r="2934">
          <cell r="A2934">
            <v>507329</v>
          </cell>
          <cell r="B2934">
            <v>41579</v>
          </cell>
        </row>
        <row r="2935">
          <cell r="A2935">
            <v>507309</v>
          </cell>
          <cell r="B2935">
            <v>41579</v>
          </cell>
        </row>
        <row r="2936">
          <cell r="A2936">
            <v>507309</v>
          </cell>
          <cell r="B2936">
            <v>41579</v>
          </cell>
        </row>
        <row r="2937">
          <cell r="A2937">
            <v>507288</v>
          </cell>
          <cell r="B2937">
            <v>41579</v>
          </cell>
        </row>
        <row r="2938">
          <cell r="A2938">
            <v>507200</v>
          </cell>
          <cell r="B2938">
            <v>41579</v>
          </cell>
        </row>
        <row r="2939">
          <cell r="A2939">
            <v>507105</v>
          </cell>
          <cell r="B2939">
            <v>41579</v>
          </cell>
        </row>
        <row r="2940">
          <cell r="A2940">
            <v>507002</v>
          </cell>
          <cell r="B2940">
            <v>41579</v>
          </cell>
        </row>
        <row r="2941">
          <cell r="A2941">
            <v>506801</v>
          </cell>
          <cell r="B2941">
            <v>41579</v>
          </cell>
        </row>
        <row r="2942">
          <cell r="A2942">
            <v>506579</v>
          </cell>
          <cell r="B2942">
            <v>41579</v>
          </cell>
        </row>
        <row r="2943">
          <cell r="A2943">
            <v>506487</v>
          </cell>
          <cell r="B2943">
            <v>41579</v>
          </cell>
        </row>
        <row r="2944">
          <cell r="A2944">
            <v>506468</v>
          </cell>
          <cell r="B2944">
            <v>41579</v>
          </cell>
        </row>
        <row r="2945">
          <cell r="A2945">
            <v>506423</v>
          </cell>
          <cell r="B2945">
            <v>41579</v>
          </cell>
        </row>
        <row r="2946">
          <cell r="A2946">
            <v>506391</v>
          </cell>
          <cell r="B2946">
            <v>41579</v>
          </cell>
        </row>
        <row r="2947">
          <cell r="A2947">
            <v>506115</v>
          </cell>
          <cell r="B2947">
            <v>41579</v>
          </cell>
        </row>
        <row r="2948">
          <cell r="A2948">
            <v>506039</v>
          </cell>
          <cell r="B2948">
            <v>41579</v>
          </cell>
        </row>
        <row r="2949">
          <cell r="A2949">
            <v>505841</v>
          </cell>
          <cell r="B2949">
            <v>41579</v>
          </cell>
        </row>
        <row r="2950">
          <cell r="A2950">
            <v>505629</v>
          </cell>
          <cell r="B2950">
            <v>41579</v>
          </cell>
        </row>
        <row r="2951">
          <cell r="A2951">
            <v>505278</v>
          </cell>
          <cell r="B2951">
            <v>41579</v>
          </cell>
        </row>
        <row r="2952">
          <cell r="A2952">
            <v>505275</v>
          </cell>
          <cell r="B2952">
            <v>41579</v>
          </cell>
        </row>
        <row r="2953">
          <cell r="A2953">
            <v>505199</v>
          </cell>
          <cell r="B2953">
            <v>41579</v>
          </cell>
        </row>
        <row r="2954">
          <cell r="A2954">
            <v>505165</v>
          </cell>
          <cell r="B2954">
            <v>41579</v>
          </cell>
        </row>
        <row r="2955">
          <cell r="A2955">
            <v>504923</v>
          </cell>
          <cell r="B2955">
            <v>41579</v>
          </cell>
        </row>
        <row r="2956">
          <cell r="A2956">
            <v>504899</v>
          </cell>
          <cell r="B2956">
            <v>41579</v>
          </cell>
        </row>
        <row r="2957">
          <cell r="A2957">
            <v>504894</v>
          </cell>
          <cell r="B2957">
            <v>41579</v>
          </cell>
        </row>
        <row r="2958">
          <cell r="A2958">
            <v>504691</v>
          </cell>
          <cell r="B2958">
            <v>41579</v>
          </cell>
        </row>
        <row r="2959">
          <cell r="A2959">
            <v>504690</v>
          </cell>
          <cell r="B2959">
            <v>41579</v>
          </cell>
        </row>
        <row r="2960">
          <cell r="A2960">
            <v>504675</v>
          </cell>
          <cell r="B2960">
            <v>41579</v>
          </cell>
        </row>
        <row r="2961">
          <cell r="A2961">
            <v>504311</v>
          </cell>
          <cell r="B2961">
            <v>41579</v>
          </cell>
        </row>
        <row r="2962">
          <cell r="A2962">
            <v>504139</v>
          </cell>
          <cell r="B2962">
            <v>41579</v>
          </cell>
        </row>
        <row r="2963">
          <cell r="A2963">
            <v>504138</v>
          </cell>
          <cell r="B2963">
            <v>41579</v>
          </cell>
        </row>
        <row r="2964">
          <cell r="A2964">
            <v>504112</v>
          </cell>
          <cell r="B2964">
            <v>41579</v>
          </cell>
        </row>
        <row r="2965">
          <cell r="A2965">
            <v>504081</v>
          </cell>
          <cell r="B2965">
            <v>41579</v>
          </cell>
        </row>
        <row r="2966">
          <cell r="A2966">
            <v>504001</v>
          </cell>
          <cell r="B2966">
            <v>41579</v>
          </cell>
        </row>
        <row r="2967">
          <cell r="A2967">
            <v>503983</v>
          </cell>
          <cell r="B2967">
            <v>41579</v>
          </cell>
        </row>
        <row r="2968">
          <cell r="A2968">
            <v>503566</v>
          </cell>
          <cell r="B2968">
            <v>41579</v>
          </cell>
        </row>
        <row r="2969">
          <cell r="A2969">
            <v>503410</v>
          </cell>
          <cell r="B2969">
            <v>41579</v>
          </cell>
        </row>
        <row r="2970">
          <cell r="A2970">
            <v>503311</v>
          </cell>
          <cell r="B2970">
            <v>41579</v>
          </cell>
        </row>
        <row r="2971">
          <cell r="A2971">
            <v>503311</v>
          </cell>
          <cell r="B2971">
            <v>41579</v>
          </cell>
        </row>
        <row r="2972">
          <cell r="A2972">
            <v>503225</v>
          </cell>
          <cell r="B2972">
            <v>41579</v>
          </cell>
        </row>
        <row r="2973">
          <cell r="A2973">
            <v>502723</v>
          </cell>
          <cell r="B2973">
            <v>41579</v>
          </cell>
        </row>
        <row r="2974">
          <cell r="A2974">
            <v>502634</v>
          </cell>
          <cell r="B2974">
            <v>41579</v>
          </cell>
        </row>
        <row r="2975">
          <cell r="A2975">
            <v>502626</v>
          </cell>
          <cell r="B2975">
            <v>41579</v>
          </cell>
        </row>
        <row r="2976">
          <cell r="A2976">
            <v>502552</v>
          </cell>
          <cell r="B2976">
            <v>41579</v>
          </cell>
        </row>
        <row r="2977">
          <cell r="A2977">
            <v>502551</v>
          </cell>
          <cell r="B2977">
            <v>41579</v>
          </cell>
        </row>
        <row r="2978">
          <cell r="A2978">
            <v>502051</v>
          </cell>
          <cell r="B2978">
            <v>41579</v>
          </cell>
        </row>
        <row r="2979">
          <cell r="A2979">
            <v>502049</v>
          </cell>
          <cell r="B2979">
            <v>41579</v>
          </cell>
        </row>
        <row r="2980">
          <cell r="A2980">
            <v>501626</v>
          </cell>
          <cell r="B2980">
            <v>41579</v>
          </cell>
        </row>
        <row r="2981">
          <cell r="A2981">
            <v>501200</v>
          </cell>
          <cell r="B2981">
            <v>41579</v>
          </cell>
        </row>
        <row r="2982">
          <cell r="A2982">
            <v>501192</v>
          </cell>
          <cell r="B2982">
            <v>41579</v>
          </cell>
        </row>
        <row r="2983">
          <cell r="A2983">
            <v>501175</v>
          </cell>
          <cell r="B2983">
            <v>41579</v>
          </cell>
        </row>
        <row r="2984">
          <cell r="A2984">
            <v>501059</v>
          </cell>
          <cell r="B2984">
            <v>41579</v>
          </cell>
        </row>
        <row r="2985">
          <cell r="A2985">
            <v>500726</v>
          </cell>
          <cell r="B2985">
            <v>41579</v>
          </cell>
        </row>
        <row r="2986">
          <cell r="A2986">
            <v>500521</v>
          </cell>
          <cell r="B2986">
            <v>41579</v>
          </cell>
        </row>
        <row r="2987">
          <cell r="A2987">
            <v>500492</v>
          </cell>
          <cell r="B2987">
            <v>41579</v>
          </cell>
        </row>
        <row r="2988">
          <cell r="A2988">
            <v>500284</v>
          </cell>
          <cell r="B2988">
            <v>41579</v>
          </cell>
        </row>
        <row r="2989">
          <cell r="A2989">
            <v>500270</v>
          </cell>
          <cell r="B2989">
            <v>41579</v>
          </cell>
        </row>
        <row r="2990">
          <cell r="A2990">
            <v>500269</v>
          </cell>
          <cell r="B2990">
            <v>41579</v>
          </cell>
        </row>
        <row r="2991">
          <cell r="A2991">
            <v>500178</v>
          </cell>
          <cell r="B2991">
            <v>41579</v>
          </cell>
        </row>
        <row r="2992">
          <cell r="A2992">
            <v>500092</v>
          </cell>
          <cell r="B2992">
            <v>41579</v>
          </cell>
        </row>
        <row r="2993">
          <cell r="A2993">
            <v>500064</v>
          </cell>
          <cell r="B2993">
            <v>41579</v>
          </cell>
        </row>
        <row r="2994">
          <cell r="A2994">
            <v>499927</v>
          </cell>
          <cell r="B2994">
            <v>41579</v>
          </cell>
        </row>
        <row r="2995">
          <cell r="A2995">
            <v>499745</v>
          </cell>
          <cell r="B2995">
            <v>41579</v>
          </cell>
        </row>
        <row r="2996">
          <cell r="A2996">
            <v>499657</v>
          </cell>
          <cell r="B2996">
            <v>41579</v>
          </cell>
        </row>
        <row r="2997">
          <cell r="A2997">
            <v>499646</v>
          </cell>
          <cell r="B2997">
            <v>41579</v>
          </cell>
        </row>
        <row r="2998">
          <cell r="A2998">
            <v>499559</v>
          </cell>
          <cell r="B2998">
            <v>41579</v>
          </cell>
        </row>
        <row r="2999">
          <cell r="A2999">
            <v>499149</v>
          </cell>
          <cell r="B2999">
            <v>41579</v>
          </cell>
        </row>
        <row r="3000">
          <cell r="A3000">
            <v>499029</v>
          </cell>
          <cell r="B3000">
            <v>41579</v>
          </cell>
        </row>
        <row r="3001">
          <cell r="A3001">
            <v>498822</v>
          </cell>
          <cell r="B3001">
            <v>41579</v>
          </cell>
        </row>
        <row r="3002">
          <cell r="A3002">
            <v>498765</v>
          </cell>
          <cell r="B3002">
            <v>41579</v>
          </cell>
        </row>
        <row r="3003">
          <cell r="A3003">
            <v>498518</v>
          </cell>
          <cell r="B3003">
            <v>41579</v>
          </cell>
        </row>
        <row r="3004">
          <cell r="A3004">
            <v>497982</v>
          </cell>
          <cell r="B3004">
            <v>41579</v>
          </cell>
        </row>
        <row r="3005">
          <cell r="A3005">
            <v>497865</v>
          </cell>
          <cell r="B3005">
            <v>41579</v>
          </cell>
        </row>
        <row r="3006">
          <cell r="A3006">
            <v>497864</v>
          </cell>
          <cell r="B3006">
            <v>41579</v>
          </cell>
        </row>
        <row r="3007">
          <cell r="A3007">
            <v>497781</v>
          </cell>
          <cell r="B3007">
            <v>41579</v>
          </cell>
        </row>
        <row r="3008">
          <cell r="A3008">
            <v>497693</v>
          </cell>
          <cell r="B3008">
            <v>41579</v>
          </cell>
        </row>
        <row r="3009">
          <cell r="A3009">
            <v>497679</v>
          </cell>
          <cell r="B3009">
            <v>41579</v>
          </cell>
        </row>
        <row r="3010">
          <cell r="A3010">
            <v>497569</v>
          </cell>
          <cell r="B3010">
            <v>41579</v>
          </cell>
        </row>
        <row r="3011">
          <cell r="A3011">
            <v>497299</v>
          </cell>
          <cell r="B3011">
            <v>41579</v>
          </cell>
        </row>
        <row r="3012">
          <cell r="A3012">
            <v>497195</v>
          </cell>
          <cell r="B3012">
            <v>41579</v>
          </cell>
        </row>
        <row r="3013">
          <cell r="A3013">
            <v>497149</v>
          </cell>
          <cell r="B3013">
            <v>41579</v>
          </cell>
        </row>
        <row r="3014">
          <cell r="A3014">
            <v>496943</v>
          </cell>
          <cell r="B3014">
            <v>41579</v>
          </cell>
        </row>
        <row r="3015">
          <cell r="A3015">
            <v>496707</v>
          </cell>
          <cell r="B3015">
            <v>41579</v>
          </cell>
        </row>
        <row r="3016">
          <cell r="A3016">
            <v>496595</v>
          </cell>
          <cell r="B3016">
            <v>41579</v>
          </cell>
        </row>
        <row r="3017">
          <cell r="A3017">
            <v>496445</v>
          </cell>
          <cell r="B3017">
            <v>41579</v>
          </cell>
        </row>
        <row r="3018">
          <cell r="A3018">
            <v>496411</v>
          </cell>
          <cell r="B3018">
            <v>41579</v>
          </cell>
        </row>
        <row r="3019">
          <cell r="A3019">
            <v>496238</v>
          </cell>
          <cell r="B3019">
            <v>41579</v>
          </cell>
        </row>
        <row r="3020">
          <cell r="A3020">
            <v>496236</v>
          </cell>
          <cell r="B3020">
            <v>41579</v>
          </cell>
        </row>
        <row r="3021">
          <cell r="A3021">
            <v>496236</v>
          </cell>
          <cell r="B3021">
            <v>41579</v>
          </cell>
        </row>
        <row r="3022">
          <cell r="A3022">
            <v>495610</v>
          </cell>
          <cell r="B3022">
            <v>41579</v>
          </cell>
        </row>
        <row r="3023">
          <cell r="A3023">
            <v>495573</v>
          </cell>
          <cell r="B3023">
            <v>41579</v>
          </cell>
        </row>
        <row r="3024">
          <cell r="A3024">
            <v>495566</v>
          </cell>
          <cell r="B3024">
            <v>41579</v>
          </cell>
        </row>
        <row r="3025">
          <cell r="A3025">
            <v>495465</v>
          </cell>
          <cell r="B3025">
            <v>41579</v>
          </cell>
        </row>
        <row r="3026">
          <cell r="A3026">
            <v>495464</v>
          </cell>
          <cell r="B3026">
            <v>41579</v>
          </cell>
        </row>
        <row r="3027">
          <cell r="A3027">
            <v>495334</v>
          </cell>
          <cell r="B3027">
            <v>41579</v>
          </cell>
        </row>
        <row r="3028">
          <cell r="A3028">
            <v>495334</v>
          </cell>
          <cell r="B3028">
            <v>41579</v>
          </cell>
        </row>
        <row r="3029">
          <cell r="A3029">
            <v>495308</v>
          </cell>
          <cell r="B3029">
            <v>41579</v>
          </cell>
        </row>
        <row r="3030">
          <cell r="A3030">
            <v>495272</v>
          </cell>
          <cell r="B3030">
            <v>41579</v>
          </cell>
        </row>
        <row r="3031">
          <cell r="A3031">
            <v>495205</v>
          </cell>
          <cell r="B3031">
            <v>41579</v>
          </cell>
        </row>
        <row r="3032">
          <cell r="A3032">
            <v>495185</v>
          </cell>
          <cell r="B3032">
            <v>41579</v>
          </cell>
        </row>
        <row r="3033">
          <cell r="A3033">
            <v>495000</v>
          </cell>
          <cell r="B3033">
            <v>41579</v>
          </cell>
        </row>
        <row r="3034">
          <cell r="A3034">
            <v>494979</v>
          </cell>
          <cell r="B3034">
            <v>41579</v>
          </cell>
        </row>
        <row r="3035">
          <cell r="A3035">
            <v>494794</v>
          </cell>
          <cell r="B3035">
            <v>41640</v>
          </cell>
        </row>
        <row r="3036">
          <cell r="A3036">
            <v>494562</v>
          </cell>
          <cell r="B3036">
            <v>41579</v>
          </cell>
        </row>
        <row r="3037">
          <cell r="A3037">
            <v>494429</v>
          </cell>
          <cell r="B3037">
            <v>41579</v>
          </cell>
        </row>
        <row r="3038">
          <cell r="A3038">
            <v>494389</v>
          </cell>
          <cell r="B3038">
            <v>41579</v>
          </cell>
        </row>
        <row r="3039">
          <cell r="A3039">
            <v>494260</v>
          </cell>
          <cell r="B3039">
            <v>41579</v>
          </cell>
        </row>
        <row r="3040">
          <cell r="A3040">
            <v>494186</v>
          </cell>
          <cell r="B3040">
            <v>41579</v>
          </cell>
        </row>
        <row r="3041">
          <cell r="A3041">
            <v>494166</v>
          </cell>
          <cell r="B3041">
            <v>41579</v>
          </cell>
        </row>
        <row r="3042">
          <cell r="A3042">
            <v>494165</v>
          </cell>
          <cell r="B3042">
            <v>41579</v>
          </cell>
        </row>
        <row r="3043">
          <cell r="A3043">
            <v>493680</v>
          </cell>
          <cell r="B3043">
            <v>41579</v>
          </cell>
        </row>
        <row r="3044">
          <cell r="A3044">
            <v>493679</v>
          </cell>
          <cell r="B3044">
            <v>41579</v>
          </cell>
        </row>
        <row r="3045">
          <cell r="A3045">
            <v>493311</v>
          </cell>
          <cell r="B3045">
            <v>41579</v>
          </cell>
        </row>
        <row r="3046">
          <cell r="A3046">
            <v>493150</v>
          </cell>
          <cell r="B3046">
            <v>41579</v>
          </cell>
        </row>
        <row r="3047">
          <cell r="A3047">
            <v>493004</v>
          </cell>
          <cell r="B3047">
            <v>41579</v>
          </cell>
        </row>
        <row r="3048">
          <cell r="A3048">
            <v>492928</v>
          </cell>
          <cell r="B3048">
            <v>41579</v>
          </cell>
        </row>
        <row r="3049">
          <cell r="A3049">
            <v>492852</v>
          </cell>
          <cell r="B3049">
            <v>41579</v>
          </cell>
        </row>
        <row r="3050">
          <cell r="A3050">
            <v>492514</v>
          </cell>
          <cell r="B3050">
            <v>41579</v>
          </cell>
        </row>
        <row r="3051">
          <cell r="A3051">
            <v>492216</v>
          </cell>
          <cell r="B3051">
            <v>41579</v>
          </cell>
        </row>
        <row r="3052">
          <cell r="A3052">
            <v>492177</v>
          </cell>
          <cell r="B3052">
            <v>41579</v>
          </cell>
        </row>
        <row r="3053">
          <cell r="A3053">
            <v>492129</v>
          </cell>
          <cell r="B3053">
            <v>41579</v>
          </cell>
        </row>
        <row r="3054">
          <cell r="A3054">
            <v>492127</v>
          </cell>
          <cell r="B3054">
            <v>41579</v>
          </cell>
        </row>
        <row r="3055">
          <cell r="A3055">
            <v>491886</v>
          </cell>
          <cell r="B3055">
            <v>41579</v>
          </cell>
        </row>
        <row r="3056">
          <cell r="A3056">
            <v>491866</v>
          </cell>
          <cell r="B3056">
            <v>41579</v>
          </cell>
        </row>
        <row r="3057">
          <cell r="A3057">
            <v>491866</v>
          </cell>
          <cell r="B3057">
            <v>41579</v>
          </cell>
        </row>
        <row r="3058">
          <cell r="A3058">
            <v>491825</v>
          </cell>
          <cell r="B3058">
            <v>41579</v>
          </cell>
        </row>
        <row r="3059">
          <cell r="A3059">
            <v>491694</v>
          </cell>
          <cell r="B3059">
            <v>41579</v>
          </cell>
        </row>
        <row r="3060">
          <cell r="A3060">
            <v>491693</v>
          </cell>
          <cell r="B3060">
            <v>41579</v>
          </cell>
        </row>
        <row r="3061">
          <cell r="A3061">
            <v>491613</v>
          </cell>
          <cell r="B3061">
            <v>41579</v>
          </cell>
        </row>
        <row r="3062">
          <cell r="A3062">
            <v>491466</v>
          </cell>
          <cell r="B3062">
            <v>41579</v>
          </cell>
        </row>
        <row r="3063">
          <cell r="A3063">
            <v>491377</v>
          </cell>
          <cell r="B3063">
            <v>41579</v>
          </cell>
        </row>
        <row r="3064">
          <cell r="A3064">
            <v>490855</v>
          </cell>
          <cell r="B3064">
            <v>41579</v>
          </cell>
        </row>
        <row r="3065">
          <cell r="A3065">
            <v>490562</v>
          </cell>
          <cell r="B3065">
            <v>41579</v>
          </cell>
        </row>
        <row r="3066">
          <cell r="A3066">
            <v>490245</v>
          </cell>
          <cell r="B3066">
            <v>41579</v>
          </cell>
        </row>
        <row r="3067">
          <cell r="A3067">
            <v>490210</v>
          </cell>
          <cell r="B3067">
            <v>41579</v>
          </cell>
        </row>
        <row r="3068">
          <cell r="A3068">
            <v>490164</v>
          </cell>
          <cell r="B3068">
            <v>41579</v>
          </cell>
        </row>
        <row r="3069">
          <cell r="A3069">
            <v>490082</v>
          </cell>
          <cell r="B3069">
            <v>41579</v>
          </cell>
        </row>
        <row r="3070">
          <cell r="A3070">
            <v>489974</v>
          </cell>
          <cell r="B3070">
            <v>41579</v>
          </cell>
        </row>
        <row r="3071">
          <cell r="A3071">
            <v>489902</v>
          </cell>
          <cell r="B3071">
            <v>41579</v>
          </cell>
        </row>
        <row r="3072">
          <cell r="A3072">
            <v>489640</v>
          </cell>
          <cell r="B3072">
            <v>41579</v>
          </cell>
        </row>
        <row r="3073">
          <cell r="A3073">
            <v>489575</v>
          </cell>
          <cell r="B3073">
            <v>41579</v>
          </cell>
        </row>
        <row r="3074">
          <cell r="A3074">
            <v>489530</v>
          </cell>
          <cell r="B3074">
            <v>41579</v>
          </cell>
        </row>
        <row r="3075">
          <cell r="A3075">
            <v>489511</v>
          </cell>
          <cell r="B3075">
            <v>41579</v>
          </cell>
        </row>
        <row r="3076">
          <cell r="A3076">
            <v>489017</v>
          </cell>
          <cell r="B3076">
            <v>41579</v>
          </cell>
        </row>
        <row r="3077">
          <cell r="A3077">
            <v>489009</v>
          </cell>
          <cell r="B3077">
            <v>41579</v>
          </cell>
        </row>
        <row r="3078">
          <cell r="A3078">
            <v>488220</v>
          </cell>
          <cell r="B3078">
            <v>41579</v>
          </cell>
        </row>
        <row r="3079">
          <cell r="A3079">
            <v>488152</v>
          </cell>
          <cell r="B3079">
            <v>41579</v>
          </cell>
        </row>
        <row r="3080">
          <cell r="A3080">
            <v>488150</v>
          </cell>
          <cell r="B3080">
            <v>41579</v>
          </cell>
        </row>
        <row r="3081">
          <cell r="A3081">
            <v>488117</v>
          </cell>
          <cell r="B3081">
            <v>41579</v>
          </cell>
        </row>
        <row r="3082">
          <cell r="A3082">
            <v>488080</v>
          </cell>
          <cell r="B3082">
            <v>41579</v>
          </cell>
        </row>
        <row r="3083">
          <cell r="A3083">
            <v>487505</v>
          </cell>
          <cell r="B3083">
            <v>41579</v>
          </cell>
        </row>
        <row r="3084">
          <cell r="A3084">
            <v>487503</v>
          </cell>
          <cell r="B3084">
            <v>41640</v>
          </cell>
        </row>
        <row r="3085">
          <cell r="A3085">
            <v>487502</v>
          </cell>
          <cell r="B3085">
            <v>41579</v>
          </cell>
        </row>
        <row r="3086">
          <cell r="A3086">
            <v>487424</v>
          </cell>
          <cell r="B3086">
            <v>41579</v>
          </cell>
        </row>
        <row r="3087">
          <cell r="A3087">
            <v>487407</v>
          </cell>
          <cell r="B3087">
            <v>41579</v>
          </cell>
        </row>
        <row r="3088">
          <cell r="A3088">
            <v>487395</v>
          </cell>
          <cell r="B3088">
            <v>41579</v>
          </cell>
        </row>
        <row r="3089">
          <cell r="A3089">
            <v>487387</v>
          </cell>
          <cell r="B3089">
            <v>41579</v>
          </cell>
        </row>
        <row r="3090">
          <cell r="A3090">
            <v>487367</v>
          </cell>
          <cell r="B3090">
            <v>41579</v>
          </cell>
        </row>
        <row r="3091">
          <cell r="A3091">
            <v>487290</v>
          </cell>
          <cell r="B3091">
            <v>41579</v>
          </cell>
        </row>
        <row r="3092">
          <cell r="A3092">
            <v>487056</v>
          </cell>
          <cell r="B3092">
            <v>41579</v>
          </cell>
        </row>
        <row r="3093">
          <cell r="A3093">
            <v>487054</v>
          </cell>
          <cell r="B3093">
            <v>41579</v>
          </cell>
        </row>
        <row r="3094">
          <cell r="A3094">
            <v>486802</v>
          </cell>
          <cell r="B3094">
            <v>41579</v>
          </cell>
        </row>
        <row r="3095">
          <cell r="A3095">
            <v>486779</v>
          </cell>
          <cell r="B3095">
            <v>41579</v>
          </cell>
        </row>
        <row r="3096">
          <cell r="A3096">
            <v>486742</v>
          </cell>
          <cell r="B3096">
            <v>41579</v>
          </cell>
        </row>
        <row r="3097">
          <cell r="A3097">
            <v>486696</v>
          </cell>
          <cell r="B3097">
            <v>41579</v>
          </cell>
        </row>
        <row r="3098">
          <cell r="A3098">
            <v>486688</v>
          </cell>
          <cell r="B3098">
            <v>41579</v>
          </cell>
        </row>
        <row r="3099">
          <cell r="A3099">
            <v>486512</v>
          </cell>
          <cell r="B3099">
            <v>41579</v>
          </cell>
        </row>
        <row r="3100">
          <cell r="A3100">
            <v>486416</v>
          </cell>
          <cell r="B3100">
            <v>41579</v>
          </cell>
        </row>
        <row r="3101">
          <cell r="A3101">
            <v>486369</v>
          </cell>
          <cell r="B3101">
            <v>41579</v>
          </cell>
        </row>
        <row r="3102">
          <cell r="A3102">
            <v>486347</v>
          </cell>
          <cell r="B3102">
            <v>41579</v>
          </cell>
        </row>
        <row r="3103">
          <cell r="A3103">
            <v>486208</v>
          </cell>
          <cell r="B3103">
            <v>41579</v>
          </cell>
        </row>
        <row r="3104">
          <cell r="A3104">
            <v>486208</v>
          </cell>
          <cell r="B3104">
            <v>41579</v>
          </cell>
        </row>
        <row r="3105">
          <cell r="A3105">
            <v>486199</v>
          </cell>
          <cell r="B3105">
            <v>41579</v>
          </cell>
        </row>
        <row r="3106">
          <cell r="A3106">
            <v>486075</v>
          </cell>
          <cell r="B3106">
            <v>41579</v>
          </cell>
        </row>
        <row r="3107">
          <cell r="A3107">
            <v>486075</v>
          </cell>
          <cell r="B3107">
            <v>41579</v>
          </cell>
        </row>
        <row r="3108">
          <cell r="A3108">
            <v>486000</v>
          </cell>
          <cell r="B3108">
            <v>41579</v>
          </cell>
        </row>
        <row r="3109">
          <cell r="A3109">
            <v>485986</v>
          </cell>
          <cell r="B3109">
            <v>41579</v>
          </cell>
        </row>
        <row r="3110">
          <cell r="A3110">
            <v>485853</v>
          </cell>
          <cell r="B3110">
            <v>41579</v>
          </cell>
        </row>
        <row r="3111">
          <cell r="A3111">
            <v>485816</v>
          </cell>
          <cell r="B3111">
            <v>41579</v>
          </cell>
        </row>
        <row r="3112">
          <cell r="A3112">
            <v>485724</v>
          </cell>
          <cell r="B3112">
            <v>41579</v>
          </cell>
        </row>
        <row r="3113">
          <cell r="A3113">
            <v>485693</v>
          </cell>
          <cell r="B3113">
            <v>41579</v>
          </cell>
        </row>
        <row r="3114">
          <cell r="A3114">
            <v>485680</v>
          </cell>
          <cell r="B3114">
            <v>41579</v>
          </cell>
        </row>
        <row r="3115">
          <cell r="A3115">
            <v>485679</v>
          </cell>
          <cell r="B3115">
            <v>41640</v>
          </cell>
        </row>
        <row r="3116">
          <cell r="A3116">
            <v>485640</v>
          </cell>
          <cell r="B3116">
            <v>41579</v>
          </cell>
        </row>
        <row r="3117">
          <cell r="A3117">
            <v>485554</v>
          </cell>
          <cell r="B3117">
            <v>41579</v>
          </cell>
        </row>
        <row r="3118">
          <cell r="A3118">
            <v>485530</v>
          </cell>
          <cell r="B3118">
            <v>41579</v>
          </cell>
        </row>
        <row r="3119">
          <cell r="A3119">
            <v>485223</v>
          </cell>
          <cell r="B3119">
            <v>41579</v>
          </cell>
        </row>
        <row r="3120">
          <cell r="A3120">
            <v>484956</v>
          </cell>
          <cell r="B3120">
            <v>41579</v>
          </cell>
        </row>
        <row r="3121">
          <cell r="A3121">
            <v>484568</v>
          </cell>
          <cell r="B3121">
            <v>41579</v>
          </cell>
        </row>
        <row r="3122">
          <cell r="A3122">
            <v>484343</v>
          </cell>
          <cell r="B3122">
            <v>41579</v>
          </cell>
        </row>
        <row r="3123">
          <cell r="A3123">
            <v>484341</v>
          </cell>
          <cell r="B3123">
            <v>41579</v>
          </cell>
        </row>
        <row r="3124">
          <cell r="A3124">
            <v>484334</v>
          </cell>
          <cell r="B3124">
            <v>41579</v>
          </cell>
        </row>
        <row r="3125">
          <cell r="A3125">
            <v>484313</v>
          </cell>
          <cell r="B3125">
            <v>41579</v>
          </cell>
        </row>
        <row r="3126">
          <cell r="A3126">
            <v>484305</v>
          </cell>
          <cell r="B3126">
            <v>41579</v>
          </cell>
        </row>
        <row r="3127">
          <cell r="A3127">
            <v>484301</v>
          </cell>
          <cell r="B3127">
            <v>41579</v>
          </cell>
        </row>
        <row r="3128">
          <cell r="A3128">
            <v>484111</v>
          </cell>
          <cell r="B3128">
            <v>41579</v>
          </cell>
        </row>
        <row r="3129">
          <cell r="A3129">
            <v>484092</v>
          </cell>
          <cell r="B3129">
            <v>41579</v>
          </cell>
        </row>
        <row r="3130">
          <cell r="A3130">
            <v>483987</v>
          </cell>
          <cell r="B3130">
            <v>41579</v>
          </cell>
        </row>
        <row r="3131">
          <cell r="A3131">
            <v>483838</v>
          </cell>
          <cell r="B3131">
            <v>41579</v>
          </cell>
        </row>
        <row r="3132">
          <cell r="A3132">
            <v>483671</v>
          </cell>
          <cell r="B3132">
            <v>41579</v>
          </cell>
        </row>
        <row r="3133">
          <cell r="A3133">
            <v>483497</v>
          </cell>
          <cell r="B3133">
            <v>41579</v>
          </cell>
        </row>
        <row r="3134">
          <cell r="A3134">
            <v>483496</v>
          </cell>
          <cell r="B3134">
            <v>41579</v>
          </cell>
        </row>
        <row r="3135">
          <cell r="A3135">
            <v>483494</v>
          </cell>
          <cell r="B3135">
            <v>41579</v>
          </cell>
        </row>
        <row r="3136">
          <cell r="A3136">
            <v>483157</v>
          </cell>
          <cell r="B3136">
            <v>41579</v>
          </cell>
        </row>
        <row r="3137">
          <cell r="A3137">
            <v>482958</v>
          </cell>
          <cell r="B3137">
            <v>41579</v>
          </cell>
        </row>
        <row r="3138">
          <cell r="A3138">
            <v>482938</v>
          </cell>
          <cell r="B3138">
            <v>41579</v>
          </cell>
        </row>
        <row r="3139">
          <cell r="A3139">
            <v>482889</v>
          </cell>
          <cell r="B3139">
            <v>41579</v>
          </cell>
        </row>
        <row r="3140">
          <cell r="A3140">
            <v>482887</v>
          </cell>
          <cell r="B3140">
            <v>41579</v>
          </cell>
        </row>
        <row r="3141">
          <cell r="A3141">
            <v>482875</v>
          </cell>
          <cell r="B3141">
            <v>41579</v>
          </cell>
        </row>
        <row r="3142">
          <cell r="A3142">
            <v>482764</v>
          </cell>
          <cell r="B3142">
            <v>41579</v>
          </cell>
        </row>
        <row r="3143">
          <cell r="A3143">
            <v>482699</v>
          </cell>
          <cell r="B3143">
            <v>41579</v>
          </cell>
        </row>
        <row r="3144">
          <cell r="A3144">
            <v>482673</v>
          </cell>
          <cell r="B3144">
            <v>41579</v>
          </cell>
        </row>
        <row r="3145">
          <cell r="A3145">
            <v>482634</v>
          </cell>
          <cell r="B3145">
            <v>41579</v>
          </cell>
        </row>
        <row r="3146">
          <cell r="A3146">
            <v>482488</v>
          </cell>
          <cell r="B3146">
            <v>41579</v>
          </cell>
        </row>
        <row r="3147">
          <cell r="A3147">
            <v>482487</v>
          </cell>
          <cell r="B3147">
            <v>41579</v>
          </cell>
        </row>
        <row r="3148">
          <cell r="A3148">
            <v>482434</v>
          </cell>
          <cell r="B3148">
            <v>41579</v>
          </cell>
        </row>
        <row r="3149">
          <cell r="A3149">
            <v>482263</v>
          </cell>
          <cell r="B3149">
            <v>41579</v>
          </cell>
        </row>
        <row r="3150">
          <cell r="A3150">
            <v>482137</v>
          </cell>
          <cell r="B3150">
            <v>41579</v>
          </cell>
        </row>
        <row r="3151">
          <cell r="A3151">
            <v>482134</v>
          </cell>
          <cell r="B3151">
            <v>41640</v>
          </cell>
        </row>
        <row r="3152">
          <cell r="A3152">
            <v>482035</v>
          </cell>
          <cell r="B3152">
            <v>41579</v>
          </cell>
        </row>
        <row r="3153">
          <cell r="A3153">
            <v>481961</v>
          </cell>
          <cell r="B3153">
            <v>41579</v>
          </cell>
        </row>
        <row r="3154">
          <cell r="A3154">
            <v>481959</v>
          </cell>
          <cell r="B3154">
            <v>41579</v>
          </cell>
        </row>
        <row r="3155">
          <cell r="A3155">
            <v>481889</v>
          </cell>
          <cell r="B3155">
            <v>41579</v>
          </cell>
        </row>
        <row r="3156">
          <cell r="A3156">
            <v>481850</v>
          </cell>
          <cell r="B3156">
            <v>41579</v>
          </cell>
        </row>
        <row r="3157">
          <cell r="A3157">
            <v>481832</v>
          </cell>
          <cell r="B3157">
            <v>41579</v>
          </cell>
        </row>
        <row r="3158">
          <cell r="A3158">
            <v>481659</v>
          </cell>
          <cell r="B3158">
            <v>41579</v>
          </cell>
        </row>
        <row r="3159">
          <cell r="A3159">
            <v>481658</v>
          </cell>
          <cell r="B3159">
            <v>41579</v>
          </cell>
        </row>
        <row r="3160">
          <cell r="A3160">
            <v>481618</v>
          </cell>
          <cell r="B3160">
            <v>41579</v>
          </cell>
        </row>
        <row r="3161">
          <cell r="A3161">
            <v>481502</v>
          </cell>
          <cell r="B3161">
            <v>41579</v>
          </cell>
        </row>
        <row r="3162">
          <cell r="A3162">
            <v>481468</v>
          </cell>
          <cell r="B3162">
            <v>41579</v>
          </cell>
        </row>
        <row r="3163">
          <cell r="A3163">
            <v>481467</v>
          </cell>
          <cell r="B3163">
            <v>41579</v>
          </cell>
        </row>
        <row r="3164">
          <cell r="A3164">
            <v>481466</v>
          </cell>
          <cell r="B3164">
            <v>41579</v>
          </cell>
        </row>
        <row r="3165">
          <cell r="A3165">
            <v>481218</v>
          </cell>
          <cell r="B3165">
            <v>41579</v>
          </cell>
        </row>
        <row r="3166">
          <cell r="A3166">
            <v>481137</v>
          </cell>
          <cell r="B3166">
            <v>41579</v>
          </cell>
        </row>
        <row r="3167">
          <cell r="A3167">
            <v>480963</v>
          </cell>
          <cell r="B3167">
            <v>41579</v>
          </cell>
        </row>
        <row r="3168">
          <cell r="A3168">
            <v>480839</v>
          </cell>
          <cell r="B3168">
            <v>41579</v>
          </cell>
        </row>
        <row r="3169">
          <cell r="A3169">
            <v>480688</v>
          </cell>
          <cell r="B3169">
            <v>41579</v>
          </cell>
        </row>
        <row r="3170">
          <cell r="A3170">
            <v>480674</v>
          </cell>
          <cell r="B3170">
            <v>41579</v>
          </cell>
        </row>
        <row r="3171">
          <cell r="A3171">
            <v>480667</v>
          </cell>
          <cell r="B3171">
            <v>41579</v>
          </cell>
        </row>
        <row r="3172">
          <cell r="A3172">
            <v>480658</v>
          </cell>
          <cell r="B3172">
            <v>41579</v>
          </cell>
        </row>
        <row r="3173">
          <cell r="A3173">
            <v>480553</v>
          </cell>
          <cell r="B3173">
            <v>41579</v>
          </cell>
        </row>
        <row r="3174">
          <cell r="A3174">
            <v>480552</v>
          </cell>
          <cell r="B3174">
            <v>41579</v>
          </cell>
        </row>
        <row r="3175">
          <cell r="A3175">
            <v>480518</v>
          </cell>
          <cell r="B3175">
            <v>41579</v>
          </cell>
        </row>
        <row r="3176">
          <cell r="A3176">
            <v>480371</v>
          </cell>
          <cell r="B3176">
            <v>41579</v>
          </cell>
        </row>
        <row r="3177">
          <cell r="A3177">
            <v>480242</v>
          </cell>
          <cell r="B3177">
            <v>41579</v>
          </cell>
        </row>
        <row r="3178">
          <cell r="A3178">
            <v>480241</v>
          </cell>
          <cell r="B3178">
            <v>41579</v>
          </cell>
        </row>
        <row r="3179">
          <cell r="A3179">
            <v>480238</v>
          </cell>
          <cell r="B3179">
            <v>41579</v>
          </cell>
        </row>
        <row r="3180">
          <cell r="A3180">
            <v>480080</v>
          </cell>
          <cell r="B3180">
            <v>41579</v>
          </cell>
        </row>
        <row r="3181">
          <cell r="A3181">
            <v>479956</v>
          </cell>
          <cell r="B3181">
            <v>41579</v>
          </cell>
        </row>
        <row r="3182">
          <cell r="A3182">
            <v>479931</v>
          </cell>
          <cell r="B3182">
            <v>41579</v>
          </cell>
        </row>
        <row r="3183">
          <cell r="A3183">
            <v>479928</v>
          </cell>
          <cell r="B3183">
            <v>41579</v>
          </cell>
        </row>
        <row r="3184">
          <cell r="A3184">
            <v>479874</v>
          </cell>
          <cell r="B3184">
            <v>41579</v>
          </cell>
        </row>
        <row r="3185">
          <cell r="A3185">
            <v>479782</v>
          </cell>
          <cell r="B3185">
            <v>41579</v>
          </cell>
        </row>
        <row r="3186">
          <cell r="A3186">
            <v>479312</v>
          </cell>
          <cell r="B3186">
            <v>41579</v>
          </cell>
        </row>
        <row r="3187">
          <cell r="A3187">
            <v>479236</v>
          </cell>
          <cell r="B3187">
            <v>41579</v>
          </cell>
        </row>
        <row r="3188">
          <cell r="A3188">
            <v>479230</v>
          </cell>
          <cell r="B3188">
            <v>41579</v>
          </cell>
        </row>
        <row r="3189">
          <cell r="A3189">
            <v>479215</v>
          </cell>
          <cell r="B3189">
            <v>41579</v>
          </cell>
        </row>
        <row r="3190">
          <cell r="A3190">
            <v>479055</v>
          </cell>
          <cell r="B3190">
            <v>41579</v>
          </cell>
        </row>
        <row r="3191">
          <cell r="A3191">
            <v>478981</v>
          </cell>
          <cell r="B3191">
            <v>41579</v>
          </cell>
        </row>
        <row r="3192">
          <cell r="A3192">
            <v>478979</v>
          </cell>
          <cell r="B3192">
            <v>41579</v>
          </cell>
        </row>
        <row r="3193">
          <cell r="A3193">
            <v>478921</v>
          </cell>
          <cell r="B3193">
            <v>41579</v>
          </cell>
        </row>
        <row r="3194">
          <cell r="A3194">
            <v>478492</v>
          </cell>
          <cell r="B3194">
            <v>41579</v>
          </cell>
        </row>
        <row r="3195">
          <cell r="A3195">
            <v>478353</v>
          </cell>
          <cell r="B3195">
            <v>41579</v>
          </cell>
        </row>
        <row r="3196">
          <cell r="A3196">
            <v>478214</v>
          </cell>
          <cell r="B3196">
            <v>41579</v>
          </cell>
        </row>
        <row r="3197">
          <cell r="A3197">
            <v>478095</v>
          </cell>
          <cell r="B3197">
            <v>41579</v>
          </cell>
        </row>
        <row r="3198">
          <cell r="A3198">
            <v>478042</v>
          </cell>
          <cell r="B3198">
            <v>41579</v>
          </cell>
        </row>
        <row r="3199">
          <cell r="A3199">
            <v>477905</v>
          </cell>
          <cell r="B3199">
            <v>41579</v>
          </cell>
        </row>
        <row r="3200">
          <cell r="A3200">
            <v>477905</v>
          </cell>
          <cell r="B3200">
            <v>41579</v>
          </cell>
        </row>
        <row r="3201">
          <cell r="A3201">
            <v>477829</v>
          </cell>
          <cell r="B3201">
            <v>41579</v>
          </cell>
        </row>
        <row r="3202">
          <cell r="A3202">
            <v>477805</v>
          </cell>
          <cell r="B3202">
            <v>41579</v>
          </cell>
        </row>
        <row r="3203">
          <cell r="A3203">
            <v>477622</v>
          </cell>
          <cell r="B3203">
            <v>41579</v>
          </cell>
        </row>
        <row r="3204">
          <cell r="A3204">
            <v>477549</v>
          </cell>
          <cell r="B3204">
            <v>41579</v>
          </cell>
        </row>
        <row r="3205">
          <cell r="A3205">
            <v>477545</v>
          </cell>
          <cell r="B3205">
            <v>41579</v>
          </cell>
        </row>
        <row r="3206">
          <cell r="A3206">
            <v>477535</v>
          </cell>
          <cell r="B3206">
            <v>41579</v>
          </cell>
        </row>
        <row r="3207">
          <cell r="A3207">
            <v>477475</v>
          </cell>
          <cell r="B3207">
            <v>41579</v>
          </cell>
        </row>
        <row r="3208">
          <cell r="A3208">
            <v>477454</v>
          </cell>
          <cell r="B3208">
            <v>41579</v>
          </cell>
        </row>
        <row r="3209">
          <cell r="A3209">
            <v>477425</v>
          </cell>
          <cell r="B3209">
            <v>41579</v>
          </cell>
        </row>
        <row r="3210">
          <cell r="A3210">
            <v>477424</v>
          </cell>
          <cell r="B3210">
            <v>41579</v>
          </cell>
        </row>
        <row r="3211">
          <cell r="A3211">
            <v>477375</v>
          </cell>
          <cell r="B3211">
            <v>41579</v>
          </cell>
        </row>
        <row r="3212">
          <cell r="A3212">
            <v>477304</v>
          </cell>
          <cell r="B3212">
            <v>41579</v>
          </cell>
        </row>
        <row r="3213">
          <cell r="A3213">
            <v>477293</v>
          </cell>
          <cell r="B3213">
            <v>41579</v>
          </cell>
        </row>
        <row r="3214">
          <cell r="A3214">
            <v>477291</v>
          </cell>
          <cell r="B3214">
            <v>41579</v>
          </cell>
        </row>
        <row r="3215">
          <cell r="A3215">
            <v>477190</v>
          </cell>
          <cell r="B3215">
            <v>41579</v>
          </cell>
        </row>
        <row r="3216">
          <cell r="A3216">
            <v>477140</v>
          </cell>
          <cell r="B3216">
            <v>41579</v>
          </cell>
        </row>
        <row r="3217">
          <cell r="A3217">
            <v>477095</v>
          </cell>
          <cell r="B3217">
            <v>41579</v>
          </cell>
        </row>
        <row r="3218">
          <cell r="A3218">
            <v>476932</v>
          </cell>
          <cell r="B3218">
            <v>41579</v>
          </cell>
        </row>
        <row r="3219">
          <cell r="A3219">
            <v>476889</v>
          </cell>
          <cell r="B3219">
            <v>41579</v>
          </cell>
        </row>
        <row r="3220">
          <cell r="A3220">
            <v>476880</v>
          </cell>
          <cell r="B3220">
            <v>41579</v>
          </cell>
        </row>
        <row r="3221">
          <cell r="A3221">
            <v>476840</v>
          </cell>
          <cell r="B3221">
            <v>41579</v>
          </cell>
        </row>
        <row r="3222">
          <cell r="A3222">
            <v>476815</v>
          </cell>
          <cell r="B3222">
            <v>41579</v>
          </cell>
        </row>
        <row r="3223">
          <cell r="A3223">
            <v>476706</v>
          </cell>
          <cell r="B3223">
            <v>41579</v>
          </cell>
        </row>
        <row r="3224">
          <cell r="A3224">
            <v>476569</v>
          </cell>
          <cell r="B3224">
            <v>41579</v>
          </cell>
        </row>
        <row r="3225">
          <cell r="A3225">
            <v>476422</v>
          </cell>
          <cell r="B3225">
            <v>41579</v>
          </cell>
        </row>
        <row r="3226">
          <cell r="A3226">
            <v>476379</v>
          </cell>
          <cell r="B3226">
            <v>41579</v>
          </cell>
        </row>
        <row r="3227">
          <cell r="A3227">
            <v>476316</v>
          </cell>
          <cell r="B3227">
            <v>41579</v>
          </cell>
        </row>
        <row r="3228">
          <cell r="A3228">
            <v>476017</v>
          </cell>
          <cell r="B3228">
            <v>41579</v>
          </cell>
        </row>
        <row r="3229">
          <cell r="A3229">
            <v>475762</v>
          </cell>
          <cell r="B3229">
            <v>41579</v>
          </cell>
        </row>
        <row r="3230">
          <cell r="A3230">
            <v>475725</v>
          </cell>
          <cell r="B3230">
            <v>41579</v>
          </cell>
        </row>
        <row r="3231">
          <cell r="A3231">
            <v>475711</v>
          </cell>
          <cell r="B3231">
            <v>41579</v>
          </cell>
        </row>
        <row r="3232">
          <cell r="A3232">
            <v>475674</v>
          </cell>
          <cell r="B3232">
            <v>41579</v>
          </cell>
        </row>
        <row r="3233">
          <cell r="A3233">
            <v>475324</v>
          </cell>
          <cell r="B3233">
            <v>41579</v>
          </cell>
        </row>
        <row r="3234">
          <cell r="A3234">
            <v>475241</v>
          </cell>
          <cell r="B3234">
            <v>41640</v>
          </cell>
        </row>
        <row r="3235">
          <cell r="A3235">
            <v>475106</v>
          </cell>
          <cell r="B3235">
            <v>41579</v>
          </cell>
        </row>
        <row r="3236">
          <cell r="A3236">
            <v>475080</v>
          </cell>
          <cell r="B3236">
            <v>41579</v>
          </cell>
        </row>
        <row r="3237">
          <cell r="A3237">
            <v>475079</v>
          </cell>
          <cell r="B3237">
            <v>41579</v>
          </cell>
        </row>
        <row r="3238">
          <cell r="A3238">
            <v>475078</v>
          </cell>
          <cell r="B3238">
            <v>41579</v>
          </cell>
        </row>
        <row r="3239">
          <cell r="A3239">
            <v>474977</v>
          </cell>
          <cell r="B3239">
            <v>41579</v>
          </cell>
        </row>
        <row r="3240">
          <cell r="A3240">
            <v>474746</v>
          </cell>
          <cell r="B3240">
            <v>41579</v>
          </cell>
        </row>
        <row r="3241">
          <cell r="A3241">
            <v>474745</v>
          </cell>
          <cell r="B3241">
            <v>41579</v>
          </cell>
        </row>
        <row r="3242">
          <cell r="A3242">
            <v>474525</v>
          </cell>
          <cell r="B3242">
            <v>41579</v>
          </cell>
        </row>
        <row r="3243">
          <cell r="A3243">
            <v>474443</v>
          </cell>
          <cell r="B3243">
            <v>41579</v>
          </cell>
        </row>
        <row r="3244">
          <cell r="A3244">
            <v>474274</v>
          </cell>
          <cell r="B3244">
            <v>41579</v>
          </cell>
        </row>
        <row r="3245">
          <cell r="A3245">
            <v>474273</v>
          </cell>
          <cell r="B3245">
            <v>41579</v>
          </cell>
        </row>
        <row r="3246">
          <cell r="A3246">
            <v>474271</v>
          </cell>
          <cell r="B3246">
            <v>41579</v>
          </cell>
        </row>
        <row r="3247">
          <cell r="A3247">
            <v>474245</v>
          </cell>
          <cell r="B3247">
            <v>41579</v>
          </cell>
        </row>
        <row r="3248">
          <cell r="A3248">
            <v>474181</v>
          </cell>
          <cell r="B3248">
            <v>41579</v>
          </cell>
        </row>
        <row r="3249">
          <cell r="A3249">
            <v>474088</v>
          </cell>
          <cell r="B3249">
            <v>41579</v>
          </cell>
        </row>
        <row r="3250">
          <cell r="A3250">
            <v>469962</v>
          </cell>
          <cell r="B3250">
            <v>41579</v>
          </cell>
        </row>
        <row r="3251">
          <cell r="A3251">
            <v>469777</v>
          </cell>
          <cell r="B3251">
            <v>41579</v>
          </cell>
        </row>
        <row r="3252">
          <cell r="A3252">
            <v>469677</v>
          </cell>
          <cell r="B3252">
            <v>41579</v>
          </cell>
        </row>
        <row r="3253">
          <cell r="A3253">
            <v>469615</v>
          </cell>
          <cell r="B3253">
            <v>41579</v>
          </cell>
        </row>
        <row r="3254">
          <cell r="A3254">
            <v>469425</v>
          </cell>
          <cell r="B3254">
            <v>41579</v>
          </cell>
        </row>
        <row r="3255">
          <cell r="A3255">
            <v>469424</v>
          </cell>
          <cell r="B3255">
            <v>41579</v>
          </cell>
        </row>
        <row r="3256">
          <cell r="A3256">
            <v>469323</v>
          </cell>
          <cell r="B3256">
            <v>41579</v>
          </cell>
        </row>
        <row r="3257">
          <cell r="A3257">
            <v>469043</v>
          </cell>
          <cell r="B3257">
            <v>41579</v>
          </cell>
        </row>
        <row r="3258">
          <cell r="A3258">
            <v>468907</v>
          </cell>
          <cell r="B3258">
            <v>41579</v>
          </cell>
        </row>
        <row r="3259">
          <cell r="A3259">
            <v>468761</v>
          </cell>
          <cell r="B3259">
            <v>41579</v>
          </cell>
        </row>
        <row r="3260">
          <cell r="A3260">
            <v>468759</v>
          </cell>
          <cell r="B3260">
            <v>41579</v>
          </cell>
        </row>
        <row r="3261">
          <cell r="A3261">
            <v>468666</v>
          </cell>
          <cell r="B3261">
            <v>41579</v>
          </cell>
        </row>
        <row r="3262">
          <cell r="A3262">
            <v>468666</v>
          </cell>
          <cell r="B3262">
            <v>41579</v>
          </cell>
        </row>
        <row r="3263">
          <cell r="A3263">
            <v>467723</v>
          </cell>
          <cell r="B3263">
            <v>41579</v>
          </cell>
        </row>
        <row r="3264">
          <cell r="A3264">
            <v>467691</v>
          </cell>
          <cell r="B3264">
            <v>41579</v>
          </cell>
        </row>
        <row r="3265">
          <cell r="A3265">
            <v>467646</v>
          </cell>
          <cell r="B3265">
            <v>41640</v>
          </cell>
        </row>
        <row r="3266">
          <cell r="A3266">
            <v>467645</v>
          </cell>
          <cell r="B3266">
            <v>41579</v>
          </cell>
        </row>
        <row r="3267">
          <cell r="A3267">
            <v>467612</v>
          </cell>
          <cell r="B3267">
            <v>41579</v>
          </cell>
        </row>
        <row r="3268">
          <cell r="A3268">
            <v>467590</v>
          </cell>
          <cell r="B3268">
            <v>41579</v>
          </cell>
        </row>
        <row r="3269">
          <cell r="A3269">
            <v>467013</v>
          </cell>
          <cell r="B3269">
            <v>41579</v>
          </cell>
        </row>
        <row r="3270">
          <cell r="A3270">
            <v>467005</v>
          </cell>
          <cell r="B3270">
            <v>41579</v>
          </cell>
        </row>
        <row r="3271">
          <cell r="A3271">
            <v>466940</v>
          </cell>
          <cell r="B3271">
            <v>41579</v>
          </cell>
        </row>
        <row r="3272">
          <cell r="A3272">
            <v>466828</v>
          </cell>
          <cell r="B3272">
            <v>41579</v>
          </cell>
        </row>
        <row r="3273">
          <cell r="A3273">
            <v>466659</v>
          </cell>
          <cell r="B3273">
            <v>41579</v>
          </cell>
        </row>
        <row r="3274">
          <cell r="A3274">
            <v>466658</v>
          </cell>
          <cell r="B3274">
            <v>41579</v>
          </cell>
        </row>
        <row r="3275">
          <cell r="A3275">
            <v>466627</v>
          </cell>
          <cell r="B3275">
            <v>41579</v>
          </cell>
        </row>
        <row r="3276">
          <cell r="A3276">
            <v>466538</v>
          </cell>
          <cell r="B3276">
            <v>41579</v>
          </cell>
        </row>
        <row r="3277">
          <cell r="A3277">
            <v>466472</v>
          </cell>
          <cell r="B3277">
            <v>41579</v>
          </cell>
        </row>
        <row r="3278">
          <cell r="A3278">
            <v>466176</v>
          </cell>
          <cell r="B3278">
            <v>41579</v>
          </cell>
        </row>
        <row r="3279">
          <cell r="A3279">
            <v>465817</v>
          </cell>
          <cell r="B3279">
            <v>41579</v>
          </cell>
        </row>
        <row r="3280">
          <cell r="A3280">
            <v>465817</v>
          </cell>
          <cell r="B3280">
            <v>41579</v>
          </cell>
        </row>
        <row r="3281">
          <cell r="A3281">
            <v>465817</v>
          </cell>
          <cell r="B3281">
            <v>41579</v>
          </cell>
        </row>
        <row r="3282">
          <cell r="A3282">
            <v>465220</v>
          </cell>
          <cell r="B3282">
            <v>41579</v>
          </cell>
        </row>
        <row r="3283">
          <cell r="A3283">
            <v>464978</v>
          </cell>
          <cell r="B3283">
            <v>41579</v>
          </cell>
        </row>
        <row r="3284">
          <cell r="A3284">
            <v>464963</v>
          </cell>
          <cell r="B3284">
            <v>41579</v>
          </cell>
        </row>
        <row r="3285">
          <cell r="A3285">
            <v>464658</v>
          </cell>
          <cell r="B3285">
            <v>41579</v>
          </cell>
        </row>
        <row r="3286">
          <cell r="A3286">
            <v>464580</v>
          </cell>
          <cell r="B3286">
            <v>41579</v>
          </cell>
        </row>
        <row r="3287">
          <cell r="A3287">
            <v>464579</v>
          </cell>
          <cell r="B3287">
            <v>41579</v>
          </cell>
        </row>
        <row r="3288">
          <cell r="A3288">
            <v>464490</v>
          </cell>
          <cell r="B3288">
            <v>41579</v>
          </cell>
        </row>
        <row r="3289">
          <cell r="A3289">
            <v>464489</v>
          </cell>
          <cell r="B3289">
            <v>41579</v>
          </cell>
        </row>
        <row r="3290">
          <cell r="A3290">
            <v>464417</v>
          </cell>
          <cell r="B3290">
            <v>41579</v>
          </cell>
        </row>
        <row r="3291">
          <cell r="A3291">
            <v>464288</v>
          </cell>
          <cell r="B3291">
            <v>41579</v>
          </cell>
        </row>
        <row r="3292">
          <cell r="A3292">
            <v>464241</v>
          </cell>
          <cell r="B3292">
            <v>41579</v>
          </cell>
        </row>
        <row r="3293">
          <cell r="A3293">
            <v>464175</v>
          </cell>
          <cell r="B3293">
            <v>41579</v>
          </cell>
        </row>
        <row r="3294">
          <cell r="A3294">
            <v>463216</v>
          </cell>
          <cell r="B3294">
            <v>41579</v>
          </cell>
        </row>
        <row r="3295">
          <cell r="A3295">
            <v>463088</v>
          </cell>
          <cell r="B3295">
            <v>41579</v>
          </cell>
        </row>
        <row r="3296">
          <cell r="A3296">
            <v>462028</v>
          </cell>
          <cell r="B3296">
            <v>41579</v>
          </cell>
        </row>
        <row r="3297">
          <cell r="A3297">
            <v>461967</v>
          </cell>
          <cell r="B3297">
            <v>41579</v>
          </cell>
        </row>
        <row r="3298">
          <cell r="A3298">
            <v>461683</v>
          </cell>
          <cell r="B3298">
            <v>41579</v>
          </cell>
        </row>
        <row r="3299">
          <cell r="A3299">
            <v>461679</v>
          </cell>
          <cell r="B3299">
            <v>41579</v>
          </cell>
        </row>
        <row r="3300">
          <cell r="A3300">
            <v>461540</v>
          </cell>
          <cell r="B3300">
            <v>41579</v>
          </cell>
        </row>
        <row r="3301">
          <cell r="A3301">
            <v>461340</v>
          </cell>
          <cell r="B3301">
            <v>41579</v>
          </cell>
        </row>
        <row r="3302">
          <cell r="A3302">
            <v>461020</v>
          </cell>
          <cell r="B3302">
            <v>41579</v>
          </cell>
        </row>
        <row r="3303">
          <cell r="A3303">
            <v>460864</v>
          </cell>
          <cell r="B3303">
            <v>41579</v>
          </cell>
        </row>
        <row r="3304">
          <cell r="A3304">
            <v>454921</v>
          </cell>
          <cell r="B3304">
            <v>41579</v>
          </cell>
        </row>
        <row r="3305">
          <cell r="A3305">
            <v>449908</v>
          </cell>
          <cell r="B3305">
            <v>41579</v>
          </cell>
        </row>
        <row r="3306">
          <cell r="A3306">
            <v>449833</v>
          </cell>
          <cell r="B3306">
            <v>41579</v>
          </cell>
        </row>
        <row r="3307">
          <cell r="A3307">
            <v>449722</v>
          </cell>
          <cell r="B3307">
            <v>41579</v>
          </cell>
        </row>
        <row r="3308">
          <cell r="A3308">
            <v>449701</v>
          </cell>
          <cell r="B3308">
            <v>41579</v>
          </cell>
        </row>
        <row r="3309">
          <cell r="A3309">
            <v>449666</v>
          </cell>
          <cell r="B3309">
            <v>41579</v>
          </cell>
        </row>
        <row r="3310">
          <cell r="A3310">
            <v>449664</v>
          </cell>
          <cell r="B3310">
            <v>41579</v>
          </cell>
        </row>
        <row r="3311">
          <cell r="A3311">
            <v>449661</v>
          </cell>
          <cell r="B3311">
            <v>41579</v>
          </cell>
        </row>
        <row r="3312">
          <cell r="A3312">
            <v>449660</v>
          </cell>
          <cell r="B3312">
            <v>41579</v>
          </cell>
        </row>
        <row r="3313">
          <cell r="A3313">
            <v>449658</v>
          </cell>
          <cell r="B3313">
            <v>41579</v>
          </cell>
        </row>
        <row r="3314">
          <cell r="A3314">
            <v>449509</v>
          </cell>
          <cell r="B3314">
            <v>41579</v>
          </cell>
        </row>
        <row r="3315">
          <cell r="A3315">
            <v>449331</v>
          </cell>
          <cell r="B3315">
            <v>41579</v>
          </cell>
        </row>
        <row r="3316">
          <cell r="A3316">
            <v>449331</v>
          </cell>
          <cell r="B3316">
            <v>41579</v>
          </cell>
        </row>
        <row r="3317">
          <cell r="A3317">
            <v>449029</v>
          </cell>
          <cell r="B3317">
            <v>41579</v>
          </cell>
        </row>
        <row r="3318">
          <cell r="A3318">
            <v>449029</v>
          </cell>
          <cell r="B3318">
            <v>41579</v>
          </cell>
        </row>
        <row r="3319">
          <cell r="A3319">
            <v>449013</v>
          </cell>
          <cell r="B3319">
            <v>41579</v>
          </cell>
        </row>
        <row r="3320">
          <cell r="A3320">
            <v>448437</v>
          </cell>
          <cell r="B3320">
            <v>41579</v>
          </cell>
        </row>
        <row r="3321">
          <cell r="A3321">
            <v>447853</v>
          </cell>
          <cell r="B3321">
            <v>41579</v>
          </cell>
        </row>
        <row r="3322">
          <cell r="A3322">
            <v>447852</v>
          </cell>
          <cell r="B3322">
            <v>41579</v>
          </cell>
        </row>
        <row r="3323">
          <cell r="A3323">
            <v>447522</v>
          </cell>
          <cell r="B3323">
            <v>41579</v>
          </cell>
        </row>
        <row r="3324">
          <cell r="A3324">
            <v>447174</v>
          </cell>
          <cell r="B3324">
            <v>41579</v>
          </cell>
        </row>
        <row r="3325">
          <cell r="A3325">
            <v>447152</v>
          </cell>
          <cell r="B3325">
            <v>41579</v>
          </cell>
        </row>
        <row r="3326">
          <cell r="A3326">
            <v>446855</v>
          </cell>
          <cell r="B3326">
            <v>41579</v>
          </cell>
        </row>
        <row r="3327">
          <cell r="A3327">
            <v>446561</v>
          </cell>
          <cell r="B3327">
            <v>41579</v>
          </cell>
        </row>
        <row r="3328">
          <cell r="A3328">
            <v>446560</v>
          </cell>
          <cell r="B3328">
            <v>41579</v>
          </cell>
        </row>
        <row r="3329">
          <cell r="A3329">
            <v>446045</v>
          </cell>
          <cell r="B3329">
            <v>41579</v>
          </cell>
        </row>
        <row r="3330">
          <cell r="A3330">
            <v>445587</v>
          </cell>
          <cell r="B3330">
            <v>41579</v>
          </cell>
        </row>
        <row r="3331">
          <cell r="A3331">
            <v>445516</v>
          </cell>
          <cell r="B3331">
            <v>41579</v>
          </cell>
        </row>
        <row r="3332">
          <cell r="A3332">
            <v>445498</v>
          </cell>
          <cell r="B3332">
            <v>41579</v>
          </cell>
        </row>
        <row r="3333">
          <cell r="A3333">
            <v>445307</v>
          </cell>
          <cell r="B3333">
            <v>41579</v>
          </cell>
        </row>
        <row r="3334">
          <cell r="A3334">
            <v>445044</v>
          </cell>
          <cell r="B3334">
            <v>41640</v>
          </cell>
        </row>
        <row r="3335">
          <cell r="A3335">
            <v>444945</v>
          </cell>
          <cell r="B3335">
            <v>41579</v>
          </cell>
        </row>
        <row r="3336">
          <cell r="A3336">
            <v>444579</v>
          </cell>
          <cell r="B3336">
            <v>41579</v>
          </cell>
        </row>
        <row r="3337">
          <cell r="A3337">
            <v>444578</v>
          </cell>
          <cell r="B3337">
            <v>41579</v>
          </cell>
        </row>
        <row r="3338">
          <cell r="A3338">
            <v>444171</v>
          </cell>
          <cell r="B3338">
            <v>41579</v>
          </cell>
        </row>
        <row r="3339">
          <cell r="A3339">
            <v>444049</v>
          </cell>
          <cell r="B3339">
            <v>41579</v>
          </cell>
        </row>
        <row r="3340">
          <cell r="A3340">
            <v>443847</v>
          </cell>
          <cell r="B3340">
            <v>41579</v>
          </cell>
        </row>
        <row r="3341">
          <cell r="A3341">
            <v>443639</v>
          </cell>
          <cell r="B3341">
            <v>41579</v>
          </cell>
        </row>
        <row r="3342">
          <cell r="A3342">
            <v>443226</v>
          </cell>
          <cell r="B3342">
            <v>41579</v>
          </cell>
        </row>
        <row r="3343">
          <cell r="A3343">
            <v>443056</v>
          </cell>
          <cell r="B3343">
            <v>41579</v>
          </cell>
        </row>
        <row r="3344">
          <cell r="A3344">
            <v>442811</v>
          </cell>
          <cell r="B3344">
            <v>41579</v>
          </cell>
        </row>
        <row r="3345">
          <cell r="A3345">
            <v>442680</v>
          </cell>
          <cell r="B3345">
            <v>41579</v>
          </cell>
        </row>
        <row r="3346">
          <cell r="A3346">
            <v>442069</v>
          </cell>
          <cell r="B3346">
            <v>41579</v>
          </cell>
        </row>
        <row r="3347">
          <cell r="A3347">
            <v>442037</v>
          </cell>
          <cell r="B3347">
            <v>41579</v>
          </cell>
        </row>
        <row r="3348">
          <cell r="A3348">
            <v>441445</v>
          </cell>
          <cell r="B3348">
            <v>41579</v>
          </cell>
        </row>
        <row r="3349">
          <cell r="A3349">
            <v>441444</v>
          </cell>
          <cell r="B3349">
            <v>41579</v>
          </cell>
        </row>
        <row r="3350">
          <cell r="A3350">
            <v>441443</v>
          </cell>
          <cell r="B3350">
            <v>41579</v>
          </cell>
        </row>
        <row r="3351">
          <cell r="A3351">
            <v>441145</v>
          </cell>
          <cell r="B3351">
            <v>41579</v>
          </cell>
        </row>
        <row r="3352">
          <cell r="A3352">
            <v>441004</v>
          </cell>
          <cell r="B3352">
            <v>41579</v>
          </cell>
        </row>
        <row r="3353">
          <cell r="A3353">
            <v>440849</v>
          </cell>
          <cell r="B3353">
            <v>41579</v>
          </cell>
        </row>
        <row r="3354">
          <cell r="A3354">
            <v>440847</v>
          </cell>
          <cell r="B3354">
            <v>41579</v>
          </cell>
        </row>
        <row r="3355">
          <cell r="A3355">
            <v>440835</v>
          </cell>
          <cell r="B3355">
            <v>41579</v>
          </cell>
        </row>
        <row r="3356">
          <cell r="A3356">
            <v>440260</v>
          </cell>
          <cell r="B3356">
            <v>41579</v>
          </cell>
        </row>
        <row r="3357">
          <cell r="A3357">
            <v>439757</v>
          </cell>
          <cell r="B3357">
            <v>41579</v>
          </cell>
        </row>
        <row r="3358">
          <cell r="A3358">
            <v>439453</v>
          </cell>
          <cell r="B3358">
            <v>41579</v>
          </cell>
        </row>
        <row r="3359">
          <cell r="A3359">
            <v>439177</v>
          </cell>
          <cell r="B3359">
            <v>41579</v>
          </cell>
        </row>
        <row r="3360">
          <cell r="A3360">
            <v>438935</v>
          </cell>
          <cell r="B3360">
            <v>41579</v>
          </cell>
        </row>
        <row r="3361">
          <cell r="A3361">
            <v>438884</v>
          </cell>
          <cell r="B3361">
            <v>41579</v>
          </cell>
        </row>
        <row r="3362">
          <cell r="A3362">
            <v>438685</v>
          </cell>
          <cell r="B3362">
            <v>41579</v>
          </cell>
        </row>
        <row r="3363">
          <cell r="A3363">
            <v>438490</v>
          </cell>
          <cell r="B3363">
            <v>41579</v>
          </cell>
        </row>
        <row r="3364">
          <cell r="A3364">
            <v>438472</v>
          </cell>
          <cell r="B3364">
            <v>41579</v>
          </cell>
        </row>
        <row r="3365">
          <cell r="A3365">
            <v>438354</v>
          </cell>
          <cell r="B3365">
            <v>41579</v>
          </cell>
        </row>
        <row r="3366">
          <cell r="A3366">
            <v>438098</v>
          </cell>
          <cell r="B3366">
            <v>41579</v>
          </cell>
        </row>
        <row r="3367">
          <cell r="A3367">
            <v>437793</v>
          </cell>
          <cell r="B3367">
            <v>41579</v>
          </cell>
        </row>
        <row r="3368">
          <cell r="A3368">
            <v>437792</v>
          </cell>
          <cell r="B3368">
            <v>41579</v>
          </cell>
        </row>
        <row r="3369">
          <cell r="A3369">
            <v>437740</v>
          </cell>
          <cell r="B3369">
            <v>41579</v>
          </cell>
        </row>
        <row r="3370">
          <cell r="A3370">
            <v>437598</v>
          </cell>
          <cell r="B3370">
            <v>41579</v>
          </cell>
        </row>
        <row r="3371">
          <cell r="A3371">
            <v>437541</v>
          </cell>
          <cell r="B3371">
            <v>41579</v>
          </cell>
        </row>
        <row r="3372">
          <cell r="A3372">
            <v>437534</v>
          </cell>
          <cell r="B3372">
            <v>41579</v>
          </cell>
        </row>
        <row r="3373">
          <cell r="A3373">
            <v>437207</v>
          </cell>
          <cell r="B3373">
            <v>41579</v>
          </cell>
        </row>
        <row r="3374">
          <cell r="A3374">
            <v>437102</v>
          </cell>
          <cell r="B3374">
            <v>41579</v>
          </cell>
        </row>
        <row r="3375">
          <cell r="A3375">
            <v>436994</v>
          </cell>
          <cell r="B3375">
            <v>41579</v>
          </cell>
        </row>
        <row r="3376">
          <cell r="A3376">
            <v>436734</v>
          </cell>
          <cell r="B3376">
            <v>41579</v>
          </cell>
        </row>
        <row r="3377">
          <cell r="A3377">
            <v>436729</v>
          </cell>
          <cell r="B3377">
            <v>41579</v>
          </cell>
        </row>
        <row r="3378">
          <cell r="A3378">
            <v>436728</v>
          </cell>
          <cell r="B3378">
            <v>41579</v>
          </cell>
        </row>
        <row r="3379">
          <cell r="A3379">
            <v>436726</v>
          </cell>
          <cell r="B3379">
            <v>41579</v>
          </cell>
        </row>
        <row r="3380">
          <cell r="A3380">
            <v>436622</v>
          </cell>
          <cell r="B3380">
            <v>41579</v>
          </cell>
        </row>
        <row r="3381">
          <cell r="A3381">
            <v>436575</v>
          </cell>
          <cell r="B3381">
            <v>41579</v>
          </cell>
        </row>
        <row r="3382">
          <cell r="A3382">
            <v>436497</v>
          </cell>
          <cell r="B3382">
            <v>41579</v>
          </cell>
        </row>
        <row r="3383">
          <cell r="A3383">
            <v>436496</v>
          </cell>
          <cell r="B3383">
            <v>41579</v>
          </cell>
        </row>
        <row r="3384">
          <cell r="A3384">
            <v>436326</v>
          </cell>
          <cell r="B3384">
            <v>41579</v>
          </cell>
        </row>
        <row r="3385">
          <cell r="A3385">
            <v>436044</v>
          </cell>
          <cell r="B3385">
            <v>41579</v>
          </cell>
        </row>
        <row r="3386">
          <cell r="A3386">
            <v>435524</v>
          </cell>
          <cell r="B3386">
            <v>41579</v>
          </cell>
        </row>
        <row r="3387">
          <cell r="A3387">
            <v>435472</v>
          </cell>
          <cell r="B3387">
            <v>41579</v>
          </cell>
        </row>
        <row r="3388">
          <cell r="A3388">
            <v>435186</v>
          </cell>
          <cell r="B3388">
            <v>41579</v>
          </cell>
        </row>
        <row r="3389">
          <cell r="A3389">
            <v>434565</v>
          </cell>
          <cell r="B3389">
            <v>41579</v>
          </cell>
        </row>
        <row r="3390">
          <cell r="A3390">
            <v>434238</v>
          </cell>
          <cell r="B3390">
            <v>41579</v>
          </cell>
        </row>
        <row r="3391">
          <cell r="A3391">
            <v>434040</v>
          </cell>
          <cell r="B3391">
            <v>41579</v>
          </cell>
        </row>
        <row r="3392">
          <cell r="A3392">
            <v>434038</v>
          </cell>
          <cell r="B3392">
            <v>41579</v>
          </cell>
        </row>
        <row r="3393">
          <cell r="A3393">
            <v>434023</v>
          </cell>
          <cell r="B3393">
            <v>41579</v>
          </cell>
        </row>
        <row r="3394">
          <cell r="A3394">
            <v>399820</v>
          </cell>
          <cell r="B3394">
            <v>41579</v>
          </cell>
        </row>
        <row r="3395">
          <cell r="A3395">
            <v>399125</v>
          </cell>
          <cell r="B3395">
            <v>41579</v>
          </cell>
        </row>
        <row r="3396">
          <cell r="A3396">
            <v>399124</v>
          </cell>
          <cell r="B3396">
            <v>41579</v>
          </cell>
        </row>
        <row r="3397">
          <cell r="A3397">
            <v>398713</v>
          </cell>
          <cell r="B3397">
            <v>41579</v>
          </cell>
        </row>
        <row r="3398">
          <cell r="A3398">
            <v>398711</v>
          </cell>
          <cell r="B3398">
            <v>41579</v>
          </cell>
        </row>
        <row r="3399">
          <cell r="A3399">
            <v>398709</v>
          </cell>
          <cell r="B3399">
            <v>41579</v>
          </cell>
        </row>
        <row r="3400">
          <cell r="A3400">
            <v>398624</v>
          </cell>
          <cell r="B3400">
            <v>41579</v>
          </cell>
        </row>
        <row r="3401">
          <cell r="A3401">
            <v>398236</v>
          </cell>
          <cell r="B3401">
            <v>41579</v>
          </cell>
        </row>
        <row r="3402">
          <cell r="A3402">
            <v>398142</v>
          </cell>
          <cell r="B3402">
            <v>41579</v>
          </cell>
        </row>
        <row r="3403">
          <cell r="A3403">
            <v>398141</v>
          </cell>
          <cell r="B3403">
            <v>41579</v>
          </cell>
        </row>
        <row r="3404">
          <cell r="A3404">
            <v>398054</v>
          </cell>
          <cell r="B3404">
            <v>41579</v>
          </cell>
        </row>
        <row r="3405">
          <cell r="A3405">
            <v>398053</v>
          </cell>
          <cell r="B3405">
            <v>41579</v>
          </cell>
        </row>
        <row r="3406">
          <cell r="A3406">
            <v>398052</v>
          </cell>
          <cell r="B3406">
            <v>41579</v>
          </cell>
        </row>
        <row r="3407">
          <cell r="A3407">
            <v>397751</v>
          </cell>
          <cell r="B3407">
            <v>41579</v>
          </cell>
        </row>
        <row r="3408">
          <cell r="A3408">
            <v>397718</v>
          </cell>
          <cell r="B3408">
            <v>41579</v>
          </cell>
        </row>
        <row r="3409">
          <cell r="A3409">
            <v>397592</v>
          </cell>
          <cell r="B3409">
            <v>41579</v>
          </cell>
        </row>
        <row r="3410">
          <cell r="A3410">
            <v>397562</v>
          </cell>
          <cell r="B3410">
            <v>41579</v>
          </cell>
        </row>
        <row r="3411">
          <cell r="A3411">
            <v>397561</v>
          </cell>
          <cell r="B3411">
            <v>41579</v>
          </cell>
        </row>
        <row r="3412">
          <cell r="A3412">
            <v>397555</v>
          </cell>
          <cell r="B3412">
            <v>41579</v>
          </cell>
        </row>
        <row r="3413">
          <cell r="A3413">
            <v>397553</v>
          </cell>
          <cell r="B3413">
            <v>41579</v>
          </cell>
        </row>
        <row r="3414">
          <cell r="A3414">
            <v>397202</v>
          </cell>
          <cell r="B3414">
            <v>41579</v>
          </cell>
        </row>
        <row r="3415">
          <cell r="A3415">
            <v>397180</v>
          </cell>
          <cell r="B3415">
            <v>41579</v>
          </cell>
        </row>
        <row r="3416">
          <cell r="A3416">
            <v>397161</v>
          </cell>
          <cell r="B3416">
            <v>41579</v>
          </cell>
        </row>
        <row r="3417">
          <cell r="A3417">
            <v>396906</v>
          </cell>
          <cell r="B3417">
            <v>41579</v>
          </cell>
        </row>
        <row r="3418">
          <cell r="A3418">
            <v>396268</v>
          </cell>
          <cell r="B3418">
            <v>41579</v>
          </cell>
        </row>
        <row r="3419">
          <cell r="A3419">
            <v>396104</v>
          </cell>
          <cell r="B3419">
            <v>41579</v>
          </cell>
        </row>
        <row r="3420">
          <cell r="A3420">
            <v>396103</v>
          </cell>
          <cell r="B3420">
            <v>41579</v>
          </cell>
        </row>
        <row r="3421">
          <cell r="A3421">
            <v>396102</v>
          </cell>
          <cell r="B3421">
            <v>41579</v>
          </cell>
        </row>
        <row r="3422">
          <cell r="A3422">
            <v>396101</v>
          </cell>
          <cell r="B3422">
            <v>41579</v>
          </cell>
        </row>
        <row r="3423">
          <cell r="A3423">
            <v>396100</v>
          </cell>
          <cell r="B3423">
            <v>41579</v>
          </cell>
        </row>
        <row r="3424">
          <cell r="A3424">
            <v>396038</v>
          </cell>
          <cell r="B3424">
            <v>41579</v>
          </cell>
        </row>
        <row r="3425">
          <cell r="A3425">
            <v>395927</v>
          </cell>
          <cell r="B3425">
            <v>41579</v>
          </cell>
        </row>
        <row r="3426">
          <cell r="A3426">
            <v>395916</v>
          </cell>
          <cell r="B3426">
            <v>41579</v>
          </cell>
        </row>
        <row r="3427">
          <cell r="A3427">
            <v>395906</v>
          </cell>
          <cell r="B3427">
            <v>41579</v>
          </cell>
        </row>
        <row r="3428">
          <cell r="A3428">
            <v>395461</v>
          </cell>
          <cell r="B3428">
            <v>41579</v>
          </cell>
        </row>
        <row r="3429">
          <cell r="A3429">
            <v>395426</v>
          </cell>
          <cell r="B3429">
            <v>41579</v>
          </cell>
        </row>
        <row r="3430">
          <cell r="A3430">
            <v>395425</v>
          </cell>
          <cell r="B3430">
            <v>41579</v>
          </cell>
        </row>
        <row r="3431">
          <cell r="A3431">
            <v>395385</v>
          </cell>
          <cell r="B3431">
            <v>41579</v>
          </cell>
        </row>
        <row r="3432">
          <cell r="A3432">
            <v>395366</v>
          </cell>
          <cell r="B3432">
            <v>41579</v>
          </cell>
        </row>
        <row r="3433">
          <cell r="A3433">
            <v>395265</v>
          </cell>
          <cell r="B3433">
            <v>41579</v>
          </cell>
        </row>
        <row r="3434">
          <cell r="A3434">
            <v>395047</v>
          </cell>
          <cell r="B3434">
            <v>41579</v>
          </cell>
        </row>
        <row r="3435">
          <cell r="A3435">
            <v>394921</v>
          </cell>
          <cell r="B3435">
            <v>41579</v>
          </cell>
        </row>
        <row r="3436">
          <cell r="A3436">
            <v>394185</v>
          </cell>
          <cell r="B3436">
            <v>41579</v>
          </cell>
        </row>
        <row r="3437">
          <cell r="A3437">
            <v>393712</v>
          </cell>
          <cell r="B3437">
            <v>41579</v>
          </cell>
        </row>
        <row r="3438">
          <cell r="A3438">
            <v>393438</v>
          </cell>
          <cell r="B3438">
            <v>41579</v>
          </cell>
        </row>
        <row r="3439">
          <cell r="A3439">
            <v>393323</v>
          </cell>
          <cell r="B3439">
            <v>41579</v>
          </cell>
        </row>
        <row r="3440">
          <cell r="A3440">
            <v>393267</v>
          </cell>
          <cell r="B3440">
            <v>41579</v>
          </cell>
        </row>
        <row r="3441">
          <cell r="A3441">
            <v>393120</v>
          </cell>
          <cell r="B3441">
            <v>41579</v>
          </cell>
        </row>
        <row r="3442">
          <cell r="A3442">
            <v>392816</v>
          </cell>
          <cell r="B3442">
            <v>41579</v>
          </cell>
        </row>
        <row r="3443">
          <cell r="A3443">
            <v>392737</v>
          </cell>
          <cell r="B3443">
            <v>41579</v>
          </cell>
        </row>
        <row r="3444">
          <cell r="A3444">
            <v>392425</v>
          </cell>
          <cell r="B3444">
            <v>41579</v>
          </cell>
        </row>
        <row r="3445">
          <cell r="A3445">
            <v>392333</v>
          </cell>
          <cell r="B3445">
            <v>41579</v>
          </cell>
        </row>
        <row r="3446">
          <cell r="A3446">
            <v>392332</v>
          </cell>
          <cell r="B3446">
            <v>41579</v>
          </cell>
        </row>
        <row r="3447">
          <cell r="A3447">
            <v>392133</v>
          </cell>
          <cell r="B3447">
            <v>41579</v>
          </cell>
        </row>
        <row r="3448">
          <cell r="A3448">
            <v>392083</v>
          </cell>
          <cell r="B3448">
            <v>41579</v>
          </cell>
        </row>
        <row r="3449">
          <cell r="A3449">
            <v>392005</v>
          </cell>
          <cell r="B3449">
            <v>41579</v>
          </cell>
        </row>
        <row r="3450">
          <cell r="A3450">
            <v>392005</v>
          </cell>
          <cell r="B3450">
            <v>41579</v>
          </cell>
        </row>
        <row r="3451">
          <cell r="A3451">
            <v>392003</v>
          </cell>
          <cell r="B3451">
            <v>41579</v>
          </cell>
        </row>
        <row r="3452">
          <cell r="A3452">
            <v>391905</v>
          </cell>
          <cell r="B3452">
            <v>41579</v>
          </cell>
        </row>
        <row r="3453">
          <cell r="A3453">
            <v>391748</v>
          </cell>
          <cell r="B3453">
            <v>41579</v>
          </cell>
        </row>
        <row r="3454">
          <cell r="A3454">
            <v>391746</v>
          </cell>
          <cell r="B3454">
            <v>41579</v>
          </cell>
        </row>
        <row r="3455">
          <cell r="A3455">
            <v>391389</v>
          </cell>
          <cell r="B3455">
            <v>41579</v>
          </cell>
        </row>
        <row r="3456">
          <cell r="A3456">
            <v>391388</v>
          </cell>
          <cell r="B3456">
            <v>41579</v>
          </cell>
        </row>
        <row r="3457">
          <cell r="A3457">
            <v>391387</v>
          </cell>
          <cell r="B3457">
            <v>41579</v>
          </cell>
        </row>
        <row r="3458">
          <cell r="A3458">
            <v>390799</v>
          </cell>
          <cell r="B3458">
            <v>41579</v>
          </cell>
        </row>
        <row r="3459">
          <cell r="A3459">
            <v>390772</v>
          </cell>
          <cell r="B3459">
            <v>41579</v>
          </cell>
        </row>
        <row r="3460">
          <cell r="A3460">
            <v>390663</v>
          </cell>
          <cell r="B3460">
            <v>41579</v>
          </cell>
        </row>
        <row r="3461">
          <cell r="A3461">
            <v>390663</v>
          </cell>
          <cell r="B3461">
            <v>41579</v>
          </cell>
        </row>
        <row r="3462">
          <cell r="A3462">
            <v>390508</v>
          </cell>
          <cell r="B3462">
            <v>41579</v>
          </cell>
        </row>
        <row r="3463">
          <cell r="A3463">
            <v>390486</v>
          </cell>
          <cell r="B3463">
            <v>41579</v>
          </cell>
        </row>
        <row r="3464">
          <cell r="A3464">
            <v>390412</v>
          </cell>
          <cell r="B3464">
            <v>41579</v>
          </cell>
        </row>
        <row r="3465">
          <cell r="A3465">
            <v>390336</v>
          </cell>
          <cell r="B3465">
            <v>41579</v>
          </cell>
        </row>
        <row r="3466">
          <cell r="A3466">
            <v>390185</v>
          </cell>
          <cell r="B3466">
            <v>41579</v>
          </cell>
        </row>
        <row r="3467">
          <cell r="A3467">
            <v>390171</v>
          </cell>
          <cell r="B3467">
            <v>41579</v>
          </cell>
        </row>
        <row r="3468">
          <cell r="A3468">
            <v>390080</v>
          </cell>
          <cell r="B3468">
            <v>41579</v>
          </cell>
        </row>
        <row r="3469">
          <cell r="A3469">
            <v>390077</v>
          </cell>
          <cell r="B3469">
            <v>41579</v>
          </cell>
        </row>
        <row r="3470">
          <cell r="A3470">
            <v>390076</v>
          </cell>
          <cell r="B3470">
            <v>41579</v>
          </cell>
        </row>
        <row r="3471">
          <cell r="A3471">
            <v>390046</v>
          </cell>
          <cell r="B3471">
            <v>41579</v>
          </cell>
        </row>
        <row r="3472">
          <cell r="A3472">
            <v>390035</v>
          </cell>
          <cell r="B3472">
            <v>41579</v>
          </cell>
        </row>
        <row r="3473">
          <cell r="A3473">
            <v>390000</v>
          </cell>
          <cell r="B3473">
            <v>41579</v>
          </cell>
        </row>
        <row r="3474">
          <cell r="A3474">
            <v>390000</v>
          </cell>
          <cell r="B3474">
            <v>41579</v>
          </cell>
        </row>
        <row r="3475">
          <cell r="A3475">
            <v>389774</v>
          </cell>
          <cell r="B3475">
            <v>41579</v>
          </cell>
        </row>
        <row r="3476">
          <cell r="A3476">
            <v>389552</v>
          </cell>
          <cell r="B3476">
            <v>41579</v>
          </cell>
        </row>
        <row r="3477">
          <cell r="A3477">
            <v>389276</v>
          </cell>
          <cell r="B3477">
            <v>41579</v>
          </cell>
        </row>
        <row r="3478">
          <cell r="A3478">
            <v>389163</v>
          </cell>
          <cell r="B3478">
            <v>41579</v>
          </cell>
        </row>
        <row r="3479">
          <cell r="A3479">
            <v>388179</v>
          </cell>
          <cell r="B3479">
            <v>41579</v>
          </cell>
        </row>
        <row r="3480">
          <cell r="A3480">
            <v>388178</v>
          </cell>
          <cell r="B3480">
            <v>41579</v>
          </cell>
        </row>
        <row r="3481">
          <cell r="A3481">
            <v>388161</v>
          </cell>
          <cell r="B3481">
            <v>41579</v>
          </cell>
        </row>
        <row r="3482">
          <cell r="A3482">
            <v>388062</v>
          </cell>
          <cell r="B3482">
            <v>41579</v>
          </cell>
        </row>
        <row r="3483">
          <cell r="A3483">
            <v>387996</v>
          </cell>
          <cell r="B3483">
            <v>41579</v>
          </cell>
        </row>
        <row r="3484">
          <cell r="A3484">
            <v>387959</v>
          </cell>
          <cell r="B3484">
            <v>41579</v>
          </cell>
        </row>
        <row r="3485">
          <cell r="A3485">
            <v>387742</v>
          </cell>
          <cell r="B3485">
            <v>41579</v>
          </cell>
        </row>
        <row r="3486">
          <cell r="A3486">
            <v>387661</v>
          </cell>
          <cell r="B3486">
            <v>41579</v>
          </cell>
        </row>
        <row r="3487">
          <cell r="A3487">
            <v>387654</v>
          </cell>
          <cell r="B3487">
            <v>41579</v>
          </cell>
        </row>
        <row r="3488">
          <cell r="A3488">
            <v>387441</v>
          </cell>
          <cell r="B3488">
            <v>41579</v>
          </cell>
        </row>
        <row r="3489">
          <cell r="A3489">
            <v>387439</v>
          </cell>
          <cell r="B3489">
            <v>41579</v>
          </cell>
        </row>
        <row r="3490">
          <cell r="A3490">
            <v>387365</v>
          </cell>
          <cell r="B3490">
            <v>41579</v>
          </cell>
        </row>
        <row r="3491">
          <cell r="A3491">
            <v>387322</v>
          </cell>
          <cell r="B3491">
            <v>41579</v>
          </cell>
        </row>
        <row r="3492">
          <cell r="A3492">
            <v>387010</v>
          </cell>
          <cell r="B3492">
            <v>41579</v>
          </cell>
        </row>
        <row r="3493">
          <cell r="A3493">
            <v>387001</v>
          </cell>
          <cell r="B3493">
            <v>41579</v>
          </cell>
        </row>
        <row r="3494">
          <cell r="A3494">
            <v>386835</v>
          </cell>
          <cell r="B3494">
            <v>41579</v>
          </cell>
        </row>
        <row r="3495">
          <cell r="A3495">
            <v>386821</v>
          </cell>
          <cell r="B3495">
            <v>41579</v>
          </cell>
        </row>
        <row r="3496">
          <cell r="A3496">
            <v>386748</v>
          </cell>
          <cell r="B3496">
            <v>41579</v>
          </cell>
        </row>
        <row r="3497">
          <cell r="A3497">
            <v>386746</v>
          </cell>
          <cell r="B3497">
            <v>41579</v>
          </cell>
        </row>
        <row r="3498">
          <cell r="A3498">
            <v>386512</v>
          </cell>
          <cell r="B3498">
            <v>41579</v>
          </cell>
        </row>
        <row r="3499">
          <cell r="A3499">
            <v>386406</v>
          </cell>
          <cell r="B3499">
            <v>41579</v>
          </cell>
        </row>
        <row r="3500">
          <cell r="A3500">
            <v>386334</v>
          </cell>
          <cell r="B3500">
            <v>41579</v>
          </cell>
        </row>
        <row r="3501">
          <cell r="A3501">
            <v>386304</v>
          </cell>
          <cell r="B3501">
            <v>41579</v>
          </cell>
        </row>
        <row r="3502">
          <cell r="A3502">
            <v>386247</v>
          </cell>
          <cell r="B3502">
            <v>41579</v>
          </cell>
        </row>
        <row r="3503">
          <cell r="A3503">
            <v>386170</v>
          </cell>
          <cell r="B3503">
            <v>41579</v>
          </cell>
        </row>
        <row r="3504">
          <cell r="A3504">
            <v>386155</v>
          </cell>
          <cell r="B3504">
            <v>41579</v>
          </cell>
        </row>
        <row r="3505">
          <cell r="A3505">
            <v>386155</v>
          </cell>
          <cell r="B3505">
            <v>41579</v>
          </cell>
        </row>
        <row r="3506">
          <cell r="A3506">
            <v>386117</v>
          </cell>
          <cell r="B3506">
            <v>41579</v>
          </cell>
        </row>
        <row r="3507">
          <cell r="A3507">
            <v>385976</v>
          </cell>
          <cell r="B3507">
            <v>41579</v>
          </cell>
        </row>
        <row r="3508">
          <cell r="A3508">
            <v>385874</v>
          </cell>
          <cell r="B3508">
            <v>41579</v>
          </cell>
        </row>
        <row r="3509">
          <cell r="A3509">
            <v>385826</v>
          </cell>
          <cell r="B3509">
            <v>41579</v>
          </cell>
        </row>
        <row r="3510">
          <cell r="A3510">
            <v>385804</v>
          </cell>
          <cell r="B3510">
            <v>41579</v>
          </cell>
        </row>
        <row r="3511">
          <cell r="A3511">
            <v>385772</v>
          </cell>
          <cell r="B3511">
            <v>41579</v>
          </cell>
        </row>
        <row r="3512">
          <cell r="A3512">
            <v>385729</v>
          </cell>
          <cell r="B3512">
            <v>41579</v>
          </cell>
        </row>
        <row r="3513">
          <cell r="A3513">
            <v>385689</v>
          </cell>
          <cell r="B3513">
            <v>41579</v>
          </cell>
        </row>
        <row r="3514">
          <cell r="A3514">
            <v>385673</v>
          </cell>
          <cell r="B3514">
            <v>41579</v>
          </cell>
        </row>
        <row r="3515">
          <cell r="A3515">
            <v>385408</v>
          </cell>
          <cell r="B3515">
            <v>41579</v>
          </cell>
        </row>
        <row r="3516">
          <cell r="A3516">
            <v>385399</v>
          </cell>
          <cell r="B3516">
            <v>41579</v>
          </cell>
        </row>
        <row r="3517">
          <cell r="A3517">
            <v>385278</v>
          </cell>
          <cell r="B3517">
            <v>41579</v>
          </cell>
        </row>
        <row r="3518">
          <cell r="A3518">
            <v>385276</v>
          </cell>
          <cell r="B3518">
            <v>41579</v>
          </cell>
        </row>
        <row r="3519">
          <cell r="A3519">
            <v>385273</v>
          </cell>
          <cell r="B3519">
            <v>41579</v>
          </cell>
        </row>
        <row r="3520">
          <cell r="A3520">
            <v>385174</v>
          </cell>
          <cell r="B3520">
            <v>41579</v>
          </cell>
        </row>
        <row r="3521">
          <cell r="A3521">
            <v>385148</v>
          </cell>
          <cell r="B3521">
            <v>41579</v>
          </cell>
        </row>
        <row r="3522">
          <cell r="A3522">
            <v>384849</v>
          </cell>
          <cell r="B3522">
            <v>41579</v>
          </cell>
        </row>
        <row r="3523">
          <cell r="A3523">
            <v>384669</v>
          </cell>
          <cell r="B3523">
            <v>41579</v>
          </cell>
        </row>
        <row r="3524">
          <cell r="A3524">
            <v>384652</v>
          </cell>
          <cell r="B3524">
            <v>41579</v>
          </cell>
        </row>
        <row r="3525">
          <cell r="A3525">
            <v>384584</v>
          </cell>
          <cell r="B3525">
            <v>41579</v>
          </cell>
        </row>
        <row r="3526">
          <cell r="A3526">
            <v>384583</v>
          </cell>
          <cell r="B3526">
            <v>41579</v>
          </cell>
        </row>
        <row r="3527">
          <cell r="A3527">
            <v>384583</v>
          </cell>
          <cell r="B3527">
            <v>41579</v>
          </cell>
        </row>
        <row r="3528">
          <cell r="A3528">
            <v>384515</v>
          </cell>
          <cell r="B3528">
            <v>41579</v>
          </cell>
        </row>
        <row r="3529">
          <cell r="A3529">
            <v>384377</v>
          </cell>
          <cell r="B3529">
            <v>41579</v>
          </cell>
        </row>
        <row r="3530">
          <cell r="A3530">
            <v>384375</v>
          </cell>
          <cell r="B3530">
            <v>41579</v>
          </cell>
        </row>
        <row r="3531">
          <cell r="A3531">
            <v>384373</v>
          </cell>
          <cell r="B3531">
            <v>41579</v>
          </cell>
        </row>
        <row r="3532">
          <cell r="A3532">
            <v>384348</v>
          </cell>
          <cell r="B3532">
            <v>41579</v>
          </cell>
        </row>
        <row r="3533">
          <cell r="A3533">
            <v>384152</v>
          </cell>
          <cell r="B3533">
            <v>41579</v>
          </cell>
        </row>
        <row r="3534">
          <cell r="A3534">
            <v>384148</v>
          </cell>
          <cell r="B3534">
            <v>41579</v>
          </cell>
        </row>
        <row r="3535">
          <cell r="A3535">
            <v>384145</v>
          </cell>
          <cell r="B3535">
            <v>41579</v>
          </cell>
        </row>
        <row r="3536">
          <cell r="A3536">
            <v>384144</v>
          </cell>
          <cell r="B3536">
            <v>41579</v>
          </cell>
        </row>
        <row r="3537">
          <cell r="A3537">
            <v>383824</v>
          </cell>
          <cell r="B3537">
            <v>41579</v>
          </cell>
        </row>
        <row r="3538">
          <cell r="A3538">
            <v>383823</v>
          </cell>
          <cell r="B3538">
            <v>41579</v>
          </cell>
        </row>
        <row r="3539">
          <cell r="A3539">
            <v>383597</v>
          </cell>
          <cell r="B3539">
            <v>41579</v>
          </cell>
        </row>
        <row r="3540">
          <cell r="A3540">
            <v>383543</v>
          </cell>
          <cell r="B3540">
            <v>41579</v>
          </cell>
        </row>
        <row r="3541">
          <cell r="A3541">
            <v>383502</v>
          </cell>
          <cell r="B3541">
            <v>41579</v>
          </cell>
        </row>
        <row r="3542">
          <cell r="A3542">
            <v>383276</v>
          </cell>
          <cell r="B3542">
            <v>41579</v>
          </cell>
        </row>
        <row r="3543">
          <cell r="A3543">
            <v>382906</v>
          </cell>
          <cell r="B3543">
            <v>41579</v>
          </cell>
        </row>
        <row r="3544">
          <cell r="A3544">
            <v>382867</v>
          </cell>
          <cell r="B3544">
            <v>41579</v>
          </cell>
        </row>
        <row r="3545">
          <cell r="A3545">
            <v>382768</v>
          </cell>
          <cell r="B3545">
            <v>41579</v>
          </cell>
        </row>
        <row r="3546">
          <cell r="A3546">
            <v>382256</v>
          </cell>
          <cell r="B3546">
            <v>41579</v>
          </cell>
        </row>
        <row r="3547">
          <cell r="A3547">
            <v>382203</v>
          </cell>
          <cell r="B3547">
            <v>41579</v>
          </cell>
        </row>
        <row r="3548">
          <cell r="A3548">
            <v>381938</v>
          </cell>
          <cell r="B3548">
            <v>41579</v>
          </cell>
        </row>
        <row r="3549">
          <cell r="A3549">
            <v>381792</v>
          </cell>
          <cell r="B3549">
            <v>41579</v>
          </cell>
        </row>
        <row r="3550">
          <cell r="A3550">
            <v>381786</v>
          </cell>
          <cell r="B3550">
            <v>41579</v>
          </cell>
        </row>
        <row r="3551">
          <cell r="A3551">
            <v>381677</v>
          </cell>
          <cell r="B3551">
            <v>41579</v>
          </cell>
        </row>
        <row r="3552">
          <cell r="A3552">
            <v>381593</v>
          </cell>
          <cell r="B3552">
            <v>41579</v>
          </cell>
        </row>
        <row r="3553">
          <cell r="A3553">
            <v>381493</v>
          </cell>
          <cell r="B3553">
            <v>41579</v>
          </cell>
        </row>
        <row r="3554">
          <cell r="A3554">
            <v>381491</v>
          </cell>
          <cell r="B3554">
            <v>41579</v>
          </cell>
        </row>
        <row r="3555">
          <cell r="A3555">
            <v>381439</v>
          </cell>
          <cell r="B3555">
            <v>41579</v>
          </cell>
        </row>
        <row r="3556">
          <cell r="A3556">
            <v>381437</v>
          </cell>
          <cell r="B3556">
            <v>41579</v>
          </cell>
        </row>
        <row r="3557">
          <cell r="A3557">
            <v>381436</v>
          </cell>
          <cell r="B3557">
            <v>41579</v>
          </cell>
        </row>
        <row r="3558">
          <cell r="A3558">
            <v>381434</v>
          </cell>
          <cell r="B3558">
            <v>41579</v>
          </cell>
        </row>
        <row r="3559">
          <cell r="A3559">
            <v>381393</v>
          </cell>
          <cell r="B3559">
            <v>41579</v>
          </cell>
        </row>
        <row r="3560">
          <cell r="A3560">
            <v>381360</v>
          </cell>
          <cell r="B3560">
            <v>41579</v>
          </cell>
        </row>
        <row r="3561">
          <cell r="A3561">
            <v>381161</v>
          </cell>
          <cell r="B3561">
            <v>41579</v>
          </cell>
        </row>
        <row r="3562">
          <cell r="A3562">
            <v>381094</v>
          </cell>
          <cell r="B3562">
            <v>41579</v>
          </cell>
        </row>
        <row r="3563">
          <cell r="A3563">
            <v>381069</v>
          </cell>
          <cell r="B3563">
            <v>41579</v>
          </cell>
        </row>
        <row r="3564">
          <cell r="A3564">
            <v>381032</v>
          </cell>
          <cell r="B3564">
            <v>41579</v>
          </cell>
        </row>
        <row r="3565">
          <cell r="A3565">
            <v>381032</v>
          </cell>
          <cell r="B3565">
            <v>41579</v>
          </cell>
        </row>
        <row r="3566">
          <cell r="A3566">
            <v>381030</v>
          </cell>
          <cell r="B3566">
            <v>41579</v>
          </cell>
        </row>
        <row r="3567">
          <cell r="A3567">
            <v>380985</v>
          </cell>
          <cell r="B3567">
            <v>41579</v>
          </cell>
        </row>
        <row r="3568">
          <cell r="A3568">
            <v>380985</v>
          </cell>
          <cell r="B3568">
            <v>41579</v>
          </cell>
        </row>
        <row r="3569">
          <cell r="A3569">
            <v>380900</v>
          </cell>
          <cell r="B3569">
            <v>41579</v>
          </cell>
        </row>
        <row r="3570">
          <cell r="A3570">
            <v>380852</v>
          </cell>
          <cell r="B3570">
            <v>41579</v>
          </cell>
        </row>
        <row r="3571">
          <cell r="A3571">
            <v>380765</v>
          </cell>
          <cell r="B3571">
            <v>41579</v>
          </cell>
        </row>
        <row r="3572">
          <cell r="A3572">
            <v>380334</v>
          </cell>
          <cell r="B3572">
            <v>41579</v>
          </cell>
        </row>
        <row r="3573">
          <cell r="A3573">
            <v>380324</v>
          </cell>
          <cell r="B3573">
            <v>41579</v>
          </cell>
        </row>
        <row r="3574">
          <cell r="A3574">
            <v>380112</v>
          </cell>
          <cell r="B3574">
            <v>41579</v>
          </cell>
        </row>
        <row r="3575">
          <cell r="A3575">
            <v>380003</v>
          </cell>
          <cell r="B3575">
            <v>41579</v>
          </cell>
        </row>
        <row r="3576">
          <cell r="A3576">
            <v>380000</v>
          </cell>
          <cell r="B3576">
            <v>41579</v>
          </cell>
        </row>
        <row r="3577">
          <cell r="A3577">
            <v>380000</v>
          </cell>
          <cell r="B3577">
            <v>41579</v>
          </cell>
        </row>
        <row r="3578">
          <cell r="A3578">
            <v>379901</v>
          </cell>
          <cell r="B3578">
            <v>41579</v>
          </cell>
        </row>
        <row r="3579">
          <cell r="A3579">
            <v>379862</v>
          </cell>
          <cell r="B3579">
            <v>41579</v>
          </cell>
        </row>
        <row r="3580">
          <cell r="A3580">
            <v>379797</v>
          </cell>
          <cell r="B3580">
            <v>41579</v>
          </cell>
        </row>
        <row r="3581">
          <cell r="A3581">
            <v>379789</v>
          </cell>
          <cell r="B3581">
            <v>41579</v>
          </cell>
        </row>
        <row r="3582">
          <cell r="A3582">
            <v>379706</v>
          </cell>
          <cell r="B3582">
            <v>41579</v>
          </cell>
        </row>
        <row r="3583">
          <cell r="A3583">
            <v>379571</v>
          </cell>
          <cell r="B3583">
            <v>41579</v>
          </cell>
        </row>
        <row r="3584">
          <cell r="A3584">
            <v>379414</v>
          </cell>
          <cell r="B3584">
            <v>41579</v>
          </cell>
        </row>
        <row r="3585">
          <cell r="A3585">
            <v>379414</v>
          </cell>
          <cell r="B3585">
            <v>41579</v>
          </cell>
        </row>
        <row r="3586">
          <cell r="A3586">
            <v>379119</v>
          </cell>
          <cell r="B3586">
            <v>41579</v>
          </cell>
        </row>
        <row r="3587">
          <cell r="A3587">
            <v>378971</v>
          </cell>
          <cell r="B3587">
            <v>41579</v>
          </cell>
        </row>
        <row r="3588">
          <cell r="A3588">
            <v>378959</v>
          </cell>
          <cell r="B3588">
            <v>41579</v>
          </cell>
        </row>
        <row r="3589">
          <cell r="A3589">
            <v>378959</v>
          </cell>
          <cell r="B3589">
            <v>41579</v>
          </cell>
        </row>
        <row r="3590">
          <cell r="A3590">
            <v>378926</v>
          </cell>
          <cell r="B3590">
            <v>41579</v>
          </cell>
        </row>
        <row r="3591">
          <cell r="A3591">
            <v>378925</v>
          </cell>
          <cell r="B3591">
            <v>41579</v>
          </cell>
        </row>
        <row r="3592">
          <cell r="A3592">
            <v>378914</v>
          </cell>
          <cell r="B3592">
            <v>41579</v>
          </cell>
        </row>
        <row r="3593">
          <cell r="A3593">
            <v>378886</v>
          </cell>
          <cell r="B3593">
            <v>41579</v>
          </cell>
        </row>
        <row r="3594">
          <cell r="A3594">
            <v>378800</v>
          </cell>
          <cell r="B3594">
            <v>41579</v>
          </cell>
        </row>
        <row r="3595">
          <cell r="A3595">
            <v>378677</v>
          </cell>
          <cell r="B3595">
            <v>41579</v>
          </cell>
        </row>
        <row r="3596">
          <cell r="A3596">
            <v>378598</v>
          </cell>
          <cell r="B3596">
            <v>41579</v>
          </cell>
        </row>
        <row r="3597">
          <cell r="A3597">
            <v>378269</v>
          </cell>
          <cell r="B3597">
            <v>41640</v>
          </cell>
        </row>
        <row r="3598">
          <cell r="A3598">
            <v>378269</v>
          </cell>
          <cell r="B3598">
            <v>41640</v>
          </cell>
        </row>
        <row r="3599">
          <cell r="A3599">
            <v>378268</v>
          </cell>
          <cell r="B3599">
            <v>41579</v>
          </cell>
        </row>
        <row r="3600">
          <cell r="A3600">
            <v>378266</v>
          </cell>
          <cell r="B3600">
            <v>41579</v>
          </cell>
        </row>
        <row r="3601">
          <cell r="A3601">
            <v>378222</v>
          </cell>
          <cell r="B3601">
            <v>41579</v>
          </cell>
        </row>
        <row r="3602">
          <cell r="A3602">
            <v>378155</v>
          </cell>
          <cell r="B3602">
            <v>41579</v>
          </cell>
        </row>
        <row r="3603">
          <cell r="A3603">
            <v>378151</v>
          </cell>
          <cell r="B3603">
            <v>41579</v>
          </cell>
        </row>
        <row r="3604">
          <cell r="A3604">
            <v>378043</v>
          </cell>
          <cell r="B3604">
            <v>41579</v>
          </cell>
        </row>
        <row r="3605">
          <cell r="A3605">
            <v>378033</v>
          </cell>
          <cell r="B3605">
            <v>41579</v>
          </cell>
        </row>
        <row r="3606">
          <cell r="A3606">
            <v>377801</v>
          </cell>
          <cell r="B3606">
            <v>41579</v>
          </cell>
        </row>
        <row r="3607">
          <cell r="A3607">
            <v>377737</v>
          </cell>
          <cell r="B3607">
            <v>41579</v>
          </cell>
        </row>
        <row r="3608">
          <cell r="A3608">
            <v>377687</v>
          </cell>
          <cell r="B3608">
            <v>41579</v>
          </cell>
        </row>
        <row r="3609">
          <cell r="A3609">
            <v>377563</v>
          </cell>
          <cell r="B3609">
            <v>41579</v>
          </cell>
        </row>
        <row r="3610">
          <cell r="A3610">
            <v>377505</v>
          </cell>
          <cell r="B3610">
            <v>41579</v>
          </cell>
        </row>
        <row r="3611">
          <cell r="A3611">
            <v>377385</v>
          </cell>
          <cell r="B3611">
            <v>41579</v>
          </cell>
        </row>
        <row r="3612">
          <cell r="A3612">
            <v>377352</v>
          </cell>
          <cell r="B3612">
            <v>41579</v>
          </cell>
        </row>
        <row r="3613">
          <cell r="A3613">
            <v>377334</v>
          </cell>
          <cell r="B3613">
            <v>41579</v>
          </cell>
        </row>
        <row r="3614">
          <cell r="A3614">
            <v>377287</v>
          </cell>
          <cell r="B3614">
            <v>41579</v>
          </cell>
        </row>
        <row r="3615">
          <cell r="A3615">
            <v>377227</v>
          </cell>
          <cell r="B3615">
            <v>41579</v>
          </cell>
        </row>
        <row r="3616">
          <cell r="A3616">
            <v>377122</v>
          </cell>
          <cell r="B3616">
            <v>41579</v>
          </cell>
        </row>
        <row r="3617">
          <cell r="A3617">
            <v>377061</v>
          </cell>
          <cell r="B3617">
            <v>41579</v>
          </cell>
        </row>
        <row r="3618">
          <cell r="A3618">
            <v>377055</v>
          </cell>
          <cell r="B3618">
            <v>41579</v>
          </cell>
        </row>
        <row r="3619">
          <cell r="A3619">
            <v>376949</v>
          </cell>
          <cell r="B3619">
            <v>41579</v>
          </cell>
        </row>
        <row r="3620">
          <cell r="A3620">
            <v>376940</v>
          </cell>
          <cell r="B3620">
            <v>41579</v>
          </cell>
        </row>
        <row r="3621">
          <cell r="A3621">
            <v>376876</v>
          </cell>
          <cell r="B3621">
            <v>41579</v>
          </cell>
        </row>
        <row r="3622">
          <cell r="A3622">
            <v>376840</v>
          </cell>
          <cell r="B3622">
            <v>41579</v>
          </cell>
        </row>
        <row r="3623">
          <cell r="A3623">
            <v>376837</v>
          </cell>
          <cell r="B3623">
            <v>41579</v>
          </cell>
        </row>
        <row r="3624">
          <cell r="A3624">
            <v>376718</v>
          </cell>
          <cell r="B3624">
            <v>41579</v>
          </cell>
        </row>
        <row r="3625">
          <cell r="A3625">
            <v>376368</v>
          </cell>
          <cell r="B3625">
            <v>41579</v>
          </cell>
        </row>
        <row r="3626">
          <cell r="A3626">
            <v>376302</v>
          </cell>
          <cell r="B3626">
            <v>41579</v>
          </cell>
        </row>
        <row r="3627">
          <cell r="A3627">
            <v>376240</v>
          </cell>
          <cell r="B3627">
            <v>41579</v>
          </cell>
        </row>
        <row r="3628">
          <cell r="A3628">
            <v>366283</v>
          </cell>
          <cell r="B3628">
            <v>41579</v>
          </cell>
        </row>
        <row r="3629">
          <cell r="A3629">
            <v>350306</v>
          </cell>
          <cell r="B3629">
            <v>41579</v>
          </cell>
        </row>
        <row r="3630">
          <cell r="A3630">
            <v>350263</v>
          </cell>
          <cell r="B3630">
            <v>41579</v>
          </cell>
        </row>
        <row r="3631">
          <cell r="A3631">
            <v>350263</v>
          </cell>
          <cell r="B3631">
            <v>41579</v>
          </cell>
        </row>
        <row r="3632">
          <cell r="A3632">
            <v>350261</v>
          </cell>
          <cell r="B3632">
            <v>41579</v>
          </cell>
        </row>
        <row r="3633">
          <cell r="A3633">
            <v>350258</v>
          </cell>
          <cell r="B3633">
            <v>41579</v>
          </cell>
        </row>
        <row r="3634">
          <cell r="A3634">
            <v>350257</v>
          </cell>
          <cell r="B3634">
            <v>41579</v>
          </cell>
        </row>
        <row r="3635">
          <cell r="A3635">
            <v>350256</v>
          </cell>
          <cell r="B3635">
            <v>41579</v>
          </cell>
        </row>
        <row r="3636">
          <cell r="A3636">
            <v>350256</v>
          </cell>
          <cell r="B3636">
            <v>41579</v>
          </cell>
        </row>
        <row r="3637">
          <cell r="A3637">
            <v>350255</v>
          </cell>
          <cell r="B3637">
            <v>41579</v>
          </cell>
        </row>
        <row r="3638">
          <cell r="A3638">
            <v>350254</v>
          </cell>
          <cell r="B3638">
            <v>41579</v>
          </cell>
        </row>
        <row r="3639">
          <cell r="A3639">
            <v>350252</v>
          </cell>
          <cell r="B3639">
            <v>41579</v>
          </cell>
        </row>
        <row r="3640">
          <cell r="A3640">
            <v>350251</v>
          </cell>
          <cell r="B3640">
            <v>41579</v>
          </cell>
        </row>
        <row r="3641">
          <cell r="A3641">
            <v>350248</v>
          </cell>
          <cell r="B3641">
            <v>41579</v>
          </cell>
        </row>
        <row r="3642">
          <cell r="A3642">
            <v>350245</v>
          </cell>
          <cell r="B3642">
            <v>41579</v>
          </cell>
        </row>
        <row r="3643">
          <cell r="A3643">
            <v>347799</v>
          </cell>
          <cell r="B3643">
            <v>41579</v>
          </cell>
        </row>
        <row r="3644">
          <cell r="A3644">
            <v>347676</v>
          </cell>
          <cell r="B3644">
            <v>41579</v>
          </cell>
        </row>
        <row r="3645">
          <cell r="A3645">
            <v>347655</v>
          </cell>
          <cell r="B3645">
            <v>41579</v>
          </cell>
        </row>
        <row r="3646">
          <cell r="A3646">
            <v>305093</v>
          </cell>
          <cell r="B3646">
            <v>41579</v>
          </cell>
        </row>
        <row r="3647">
          <cell r="A3647">
            <v>304880</v>
          </cell>
          <cell r="B3647">
            <v>41579</v>
          </cell>
        </row>
        <row r="3648">
          <cell r="A3648">
            <v>304726</v>
          </cell>
          <cell r="B3648">
            <v>41579</v>
          </cell>
        </row>
        <row r="3649">
          <cell r="A3649">
            <v>304643</v>
          </cell>
          <cell r="B3649">
            <v>41579</v>
          </cell>
        </row>
        <row r="3650">
          <cell r="A3650">
            <v>304496</v>
          </cell>
          <cell r="B3650">
            <v>41579</v>
          </cell>
        </row>
        <row r="3651">
          <cell r="A3651">
            <v>304097</v>
          </cell>
          <cell r="B3651">
            <v>41579</v>
          </cell>
        </row>
        <row r="3652">
          <cell r="A3652">
            <v>303778</v>
          </cell>
          <cell r="B3652">
            <v>41579</v>
          </cell>
        </row>
        <row r="3653">
          <cell r="A3653">
            <v>303339</v>
          </cell>
          <cell r="B3653">
            <v>41579</v>
          </cell>
        </row>
        <row r="3654">
          <cell r="A3654">
            <v>303323</v>
          </cell>
          <cell r="B3654">
            <v>41579</v>
          </cell>
        </row>
        <row r="3655">
          <cell r="A3655">
            <v>303277</v>
          </cell>
          <cell r="B3655">
            <v>41579</v>
          </cell>
        </row>
        <row r="3656">
          <cell r="A3656">
            <v>303247</v>
          </cell>
          <cell r="B3656">
            <v>41579</v>
          </cell>
        </row>
        <row r="3657">
          <cell r="A3657">
            <v>303207</v>
          </cell>
          <cell r="B3657">
            <v>41579</v>
          </cell>
        </row>
        <row r="3658">
          <cell r="A3658">
            <v>303196</v>
          </cell>
          <cell r="B3658">
            <v>41579</v>
          </cell>
        </row>
        <row r="3659">
          <cell r="A3659">
            <v>303170</v>
          </cell>
          <cell r="B3659">
            <v>41579</v>
          </cell>
        </row>
        <row r="3660">
          <cell r="A3660">
            <v>303019</v>
          </cell>
          <cell r="B3660">
            <v>41579</v>
          </cell>
        </row>
        <row r="3661">
          <cell r="A3661">
            <v>302831</v>
          </cell>
          <cell r="B3661">
            <v>41579</v>
          </cell>
        </row>
        <row r="3662">
          <cell r="A3662">
            <v>302831</v>
          </cell>
          <cell r="B3662">
            <v>41579</v>
          </cell>
        </row>
        <row r="3663">
          <cell r="A3663">
            <v>302831</v>
          </cell>
          <cell r="B3663">
            <v>41579</v>
          </cell>
        </row>
        <row r="3664">
          <cell r="A3664">
            <v>302831</v>
          </cell>
          <cell r="B3664">
            <v>41579</v>
          </cell>
        </row>
        <row r="3665">
          <cell r="A3665">
            <v>302763</v>
          </cell>
          <cell r="B3665">
            <v>41579</v>
          </cell>
        </row>
        <row r="3666">
          <cell r="A3666">
            <v>302760</v>
          </cell>
          <cell r="B3666">
            <v>41579</v>
          </cell>
        </row>
        <row r="3667">
          <cell r="A3667">
            <v>302707</v>
          </cell>
          <cell r="B3667">
            <v>41579</v>
          </cell>
        </row>
        <row r="3668">
          <cell r="A3668">
            <v>302476</v>
          </cell>
          <cell r="B3668">
            <v>41579</v>
          </cell>
        </row>
        <row r="3669">
          <cell r="A3669">
            <v>302457</v>
          </cell>
          <cell r="B3669">
            <v>41579</v>
          </cell>
        </row>
        <row r="3670">
          <cell r="A3670">
            <v>302441</v>
          </cell>
          <cell r="B3670">
            <v>41579</v>
          </cell>
        </row>
        <row r="3671">
          <cell r="A3671">
            <v>302439</v>
          </cell>
          <cell r="B3671">
            <v>41579</v>
          </cell>
        </row>
        <row r="3672">
          <cell r="A3672">
            <v>302418</v>
          </cell>
          <cell r="B3672">
            <v>41579</v>
          </cell>
        </row>
        <row r="3673">
          <cell r="A3673">
            <v>302377</v>
          </cell>
          <cell r="B3673">
            <v>41579</v>
          </cell>
        </row>
        <row r="3674">
          <cell r="A3674">
            <v>302377</v>
          </cell>
          <cell r="B3674">
            <v>41579</v>
          </cell>
        </row>
        <row r="3675">
          <cell r="A3675">
            <v>302377</v>
          </cell>
          <cell r="B3675">
            <v>41579</v>
          </cell>
        </row>
        <row r="3676">
          <cell r="A3676">
            <v>302377</v>
          </cell>
          <cell r="B3676">
            <v>41579</v>
          </cell>
        </row>
        <row r="3677">
          <cell r="A3677">
            <v>302377</v>
          </cell>
          <cell r="B3677">
            <v>41579</v>
          </cell>
        </row>
        <row r="3678">
          <cell r="A3678">
            <v>302377</v>
          </cell>
          <cell r="B3678">
            <v>41579</v>
          </cell>
        </row>
        <row r="3679">
          <cell r="A3679">
            <v>302377</v>
          </cell>
          <cell r="B3679">
            <v>41579</v>
          </cell>
        </row>
        <row r="3680">
          <cell r="A3680">
            <v>302377</v>
          </cell>
          <cell r="B3680">
            <v>41579</v>
          </cell>
        </row>
        <row r="3681">
          <cell r="A3681">
            <v>302377</v>
          </cell>
          <cell r="B3681">
            <v>41579</v>
          </cell>
        </row>
        <row r="3682">
          <cell r="A3682">
            <v>302377</v>
          </cell>
          <cell r="B3682">
            <v>41579</v>
          </cell>
        </row>
        <row r="3683">
          <cell r="A3683">
            <v>302191</v>
          </cell>
          <cell r="B3683">
            <v>41579</v>
          </cell>
        </row>
        <row r="3684">
          <cell r="A3684">
            <v>302171</v>
          </cell>
          <cell r="B3684" t="str">
            <v>PAS DE COUT ADDITIONNEL</v>
          </cell>
        </row>
        <row r="3685">
          <cell r="A3685">
            <v>302068</v>
          </cell>
          <cell r="B3685">
            <v>41579</v>
          </cell>
        </row>
        <row r="3686">
          <cell r="A3686">
            <v>302055</v>
          </cell>
          <cell r="B3686">
            <v>41579</v>
          </cell>
        </row>
        <row r="3687">
          <cell r="A3687">
            <v>302052</v>
          </cell>
          <cell r="B3687">
            <v>41579</v>
          </cell>
        </row>
        <row r="3688">
          <cell r="A3688">
            <v>301969</v>
          </cell>
          <cell r="B3688">
            <v>41579</v>
          </cell>
        </row>
        <row r="3689">
          <cell r="A3689">
            <v>301898</v>
          </cell>
          <cell r="B3689">
            <v>41579</v>
          </cell>
        </row>
        <row r="3690">
          <cell r="A3690">
            <v>301871</v>
          </cell>
          <cell r="B3690">
            <v>41579</v>
          </cell>
        </row>
        <row r="3691">
          <cell r="A3691">
            <v>301850</v>
          </cell>
          <cell r="B3691">
            <v>41579</v>
          </cell>
        </row>
        <row r="3692">
          <cell r="A3692">
            <v>301833</v>
          </cell>
          <cell r="B3692">
            <v>41579</v>
          </cell>
        </row>
        <row r="3693">
          <cell r="A3693">
            <v>301699</v>
          </cell>
          <cell r="B3693">
            <v>41579</v>
          </cell>
        </row>
        <row r="3694">
          <cell r="A3694">
            <v>301512</v>
          </cell>
          <cell r="B3694">
            <v>41579</v>
          </cell>
        </row>
        <row r="3695">
          <cell r="A3695">
            <v>301287</v>
          </cell>
          <cell r="B3695">
            <v>41579</v>
          </cell>
        </row>
        <row r="3696">
          <cell r="A3696">
            <v>301258</v>
          </cell>
          <cell r="B3696">
            <v>41579</v>
          </cell>
        </row>
        <row r="3697">
          <cell r="A3697">
            <v>301240</v>
          </cell>
          <cell r="B3697">
            <v>41579</v>
          </cell>
        </row>
        <row r="3698">
          <cell r="A3698">
            <v>301202</v>
          </cell>
          <cell r="B3698">
            <v>41579</v>
          </cell>
        </row>
        <row r="3699">
          <cell r="A3699">
            <v>301138</v>
          </cell>
          <cell r="B3699">
            <v>41579</v>
          </cell>
        </row>
        <row r="3700">
          <cell r="A3700">
            <v>301138</v>
          </cell>
          <cell r="B3700">
            <v>41579</v>
          </cell>
        </row>
        <row r="3701">
          <cell r="A3701">
            <v>301034</v>
          </cell>
          <cell r="B3701">
            <v>41579</v>
          </cell>
        </row>
        <row r="3702">
          <cell r="A3702">
            <v>301023</v>
          </cell>
          <cell r="B3702">
            <v>41579</v>
          </cell>
        </row>
        <row r="3703">
          <cell r="A3703">
            <v>300869</v>
          </cell>
          <cell r="B3703">
            <v>41579</v>
          </cell>
        </row>
        <row r="3704">
          <cell r="A3704">
            <v>300869</v>
          </cell>
          <cell r="B3704">
            <v>41579</v>
          </cell>
        </row>
        <row r="3705">
          <cell r="A3705">
            <v>300860</v>
          </cell>
          <cell r="B3705">
            <v>41579</v>
          </cell>
        </row>
        <row r="3706">
          <cell r="A3706">
            <v>300407</v>
          </cell>
          <cell r="B3706">
            <v>41579</v>
          </cell>
        </row>
        <row r="3707">
          <cell r="A3707">
            <v>300238</v>
          </cell>
          <cell r="B3707">
            <v>41640</v>
          </cell>
        </row>
        <row r="3708">
          <cell r="A3708">
            <v>300174</v>
          </cell>
          <cell r="B3708">
            <v>41579</v>
          </cell>
        </row>
        <row r="3709">
          <cell r="A3709">
            <v>300098</v>
          </cell>
          <cell r="B3709">
            <v>41579</v>
          </cell>
        </row>
        <row r="3710">
          <cell r="A3710">
            <v>300036</v>
          </cell>
          <cell r="B3710">
            <v>41579</v>
          </cell>
        </row>
        <row r="3711">
          <cell r="A3711">
            <v>250515</v>
          </cell>
          <cell r="B3711">
            <v>41579</v>
          </cell>
        </row>
        <row r="3712">
          <cell r="A3712">
            <v>250385</v>
          </cell>
          <cell r="B3712">
            <v>41579</v>
          </cell>
        </row>
        <row r="3713">
          <cell r="A3713">
            <v>250366</v>
          </cell>
          <cell r="B3713">
            <v>41579</v>
          </cell>
        </row>
        <row r="3714">
          <cell r="A3714">
            <v>208620</v>
          </cell>
          <cell r="B3714">
            <v>41579</v>
          </cell>
        </row>
        <row r="3715">
          <cell r="A3715">
            <v>208124</v>
          </cell>
          <cell r="B3715">
            <v>41579</v>
          </cell>
        </row>
        <row r="3716">
          <cell r="A3716">
            <v>207881</v>
          </cell>
          <cell r="B3716">
            <v>41579</v>
          </cell>
        </row>
        <row r="3717">
          <cell r="A3717">
            <v>207810</v>
          </cell>
          <cell r="B3717">
            <v>41579</v>
          </cell>
        </row>
        <row r="3718">
          <cell r="A3718">
            <v>207650</v>
          </cell>
          <cell r="B3718">
            <v>41579</v>
          </cell>
        </row>
        <row r="3719">
          <cell r="A3719">
            <v>207506</v>
          </cell>
          <cell r="B3719">
            <v>41579</v>
          </cell>
        </row>
        <row r="3720">
          <cell r="A3720">
            <v>207502</v>
          </cell>
          <cell r="B3720">
            <v>41579</v>
          </cell>
        </row>
        <row r="3721">
          <cell r="A3721">
            <v>207409</v>
          </cell>
          <cell r="B3721">
            <v>41579</v>
          </cell>
        </row>
        <row r="3722">
          <cell r="A3722">
            <v>207100</v>
          </cell>
          <cell r="B3722">
            <v>41579</v>
          </cell>
        </row>
        <row r="3723">
          <cell r="A3723">
            <v>207018</v>
          </cell>
          <cell r="B3723">
            <v>41579</v>
          </cell>
        </row>
        <row r="3724">
          <cell r="A3724">
            <v>206998</v>
          </cell>
          <cell r="B3724">
            <v>41579</v>
          </cell>
        </row>
        <row r="3725">
          <cell r="A3725">
            <v>206887</v>
          </cell>
          <cell r="B3725">
            <v>41579</v>
          </cell>
        </row>
        <row r="3726">
          <cell r="A3726">
            <v>206879</v>
          </cell>
          <cell r="B3726">
            <v>41579</v>
          </cell>
        </row>
        <row r="3727">
          <cell r="A3727">
            <v>206739</v>
          </cell>
          <cell r="B3727">
            <v>41579</v>
          </cell>
        </row>
        <row r="3728">
          <cell r="A3728">
            <v>206716</v>
          </cell>
          <cell r="B3728">
            <v>41579</v>
          </cell>
        </row>
        <row r="3729">
          <cell r="A3729">
            <v>206545</v>
          </cell>
          <cell r="B3729">
            <v>41579</v>
          </cell>
        </row>
        <row r="3730">
          <cell r="A3730">
            <v>206545</v>
          </cell>
          <cell r="B3730">
            <v>41579</v>
          </cell>
        </row>
        <row r="3731">
          <cell r="A3731">
            <v>206531</v>
          </cell>
          <cell r="B3731">
            <v>41579</v>
          </cell>
        </row>
        <row r="3732">
          <cell r="A3732">
            <v>206525</v>
          </cell>
          <cell r="B3732">
            <v>41579</v>
          </cell>
        </row>
        <row r="3733">
          <cell r="A3733">
            <v>206524</v>
          </cell>
          <cell r="B3733">
            <v>41579</v>
          </cell>
        </row>
        <row r="3734">
          <cell r="A3734">
            <v>206230</v>
          </cell>
          <cell r="B3734">
            <v>41579</v>
          </cell>
        </row>
        <row r="3735">
          <cell r="A3735">
            <v>206210</v>
          </cell>
          <cell r="B3735">
            <v>41579</v>
          </cell>
        </row>
        <row r="3736">
          <cell r="A3736">
            <v>206021</v>
          </cell>
          <cell r="B3736">
            <v>41579</v>
          </cell>
        </row>
        <row r="3737">
          <cell r="A3737">
            <v>206017</v>
          </cell>
          <cell r="B3737">
            <v>41579</v>
          </cell>
        </row>
        <row r="3738">
          <cell r="A3738">
            <v>205733</v>
          </cell>
          <cell r="B3738">
            <v>41579</v>
          </cell>
        </row>
        <row r="3739">
          <cell r="A3739">
            <v>205671</v>
          </cell>
          <cell r="B3739">
            <v>41579</v>
          </cell>
        </row>
        <row r="3740">
          <cell r="A3740">
            <v>205595</v>
          </cell>
          <cell r="B3740">
            <v>41579</v>
          </cell>
        </row>
        <row r="3741">
          <cell r="A3741">
            <v>205495</v>
          </cell>
          <cell r="B3741">
            <v>41579</v>
          </cell>
        </row>
        <row r="3742">
          <cell r="A3742">
            <v>205447</v>
          </cell>
          <cell r="B3742">
            <v>41579</v>
          </cell>
        </row>
        <row r="3743">
          <cell r="A3743">
            <v>205106</v>
          </cell>
          <cell r="B3743">
            <v>41579</v>
          </cell>
        </row>
        <row r="3744">
          <cell r="A3744">
            <v>204953</v>
          </cell>
          <cell r="B3744">
            <v>41579</v>
          </cell>
        </row>
        <row r="3745">
          <cell r="A3745">
            <v>204772</v>
          </cell>
          <cell r="B3745">
            <v>41579</v>
          </cell>
        </row>
        <row r="3746">
          <cell r="A3746">
            <v>204672</v>
          </cell>
          <cell r="B3746">
            <v>41579</v>
          </cell>
        </row>
        <row r="3747">
          <cell r="A3747">
            <v>204556</v>
          </cell>
          <cell r="B3747">
            <v>41579</v>
          </cell>
        </row>
        <row r="3748">
          <cell r="A3748">
            <v>204355</v>
          </cell>
          <cell r="B3748">
            <v>41579</v>
          </cell>
        </row>
        <row r="3749">
          <cell r="A3749">
            <v>204150</v>
          </cell>
          <cell r="B3749">
            <v>41579</v>
          </cell>
        </row>
        <row r="3750">
          <cell r="A3750">
            <v>203773</v>
          </cell>
          <cell r="B3750">
            <v>41579</v>
          </cell>
        </row>
        <row r="3751">
          <cell r="A3751">
            <v>203461</v>
          </cell>
          <cell r="B3751">
            <v>41579</v>
          </cell>
        </row>
        <row r="3752">
          <cell r="A3752">
            <v>203428</v>
          </cell>
          <cell r="B3752">
            <v>41579</v>
          </cell>
        </row>
        <row r="3753">
          <cell r="A3753">
            <v>203382</v>
          </cell>
          <cell r="B3753">
            <v>41579</v>
          </cell>
        </row>
        <row r="3754">
          <cell r="A3754">
            <v>203381</v>
          </cell>
          <cell r="B3754">
            <v>41579</v>
          </cell>
        </row>
        <row r="3755">
          <cell r="A3755">
            <v>203341</v>
          </cell>
          <cell r="B3755">
            <v>41579</v>
          </cell>
        </row>
        <row r="3756">
          <cell r="A3756">
            <v>203337</v>
          </cell>
          <cell r="B3756">
            <v>41579</v>
          </cell>
        </row>
        <row r="3757">
          <cell r="A3757">
            <v>203266</v>
          </cell>
          <cell r="B3757">
            <v>41579</v>
          </cell>
        </row>
        <row r="3758">
          <cell r="A3758">
            <v>203118</v>
          </cell>
          <cell r="B3758">
            <v>41579</v>
          </cell>
        </row>
        <row r="3759">
          <cell r="A3759">
            <v>202959</v>
          </cell>
          <cell r="B3759">
            <v>41579</v>
          </cell>
        </row>
        <row r="3760">
          <cell r="A3760">
            <v>202907</v>
          </cell>
          <cell r="B3760">
            <v>41579</v>
          </cell>
        </row>
        <row r="3761">
          <cell r="A3761">
            <v>202495</v>
          </cell>
          <cell r="B3761">
            <v>41579</v>
          </cell>
        </row>
        <row r="3762">
          <cell r="A3762">
            <v>202431</v>
          </cell>
          <cell r="B3762">
            <v>41579</v>
          </cell>
        </row>
        <row r="3763">
          <cell r="A3763">
            <v>202398</v>
          </cell>
          <cell r="B3763">
            <v>41579</v>
          </cell>
        </row>
        <row r="3764">
          <cell r="A3764">
            <v>202397</v>
          </cell>
          <cell r="B3764">
            <v>41579</v>
          </cell>
        </row>
        <row r="3765">
          <cell r="A3765">
            <v>202375</v>
          </cell>
          <cell r="B3765">
            <v>41579</v>
          </cell>
        </row>
        <row r="3766">
          <cell r="A3766">
            <v>202368</v>
          </cell>
          <cell r="B3766">
            <v>41579</v>
          </cell>
        </row>
        <row r="3767">
          <cell r="A3767">
            <v>202341</v>
          </cell>
          <cell r="B3767">
            <v>41579</v>
          </cell>
        </row>
        <row r="3768">
          <cell r="A3768">
            <v>202132</v>
          </cell>
          <cell r="B3768">
            <v>41579</v>
          </cell>
        </row>
        <row r="3769">
          <cell r="A3769">
            <v>202048</v>
          </cell>
          <cell r="B3769">
            <v>41579</v>
          </cell>
        </row>
        <row r="3770">
          <cell r="A3770">
            <v>201989</v>
          </cell>
          <cell r="B3770">
            <v>41579</v>
          </cell>
        </row>
        <row r="3771">
          <cell r="A3771">
            <v>201852</v>
          </cell>
          <cell r="B3771">
            <v>41579</v>
          </cell>
        </row>
        <row r="3772">
          <cell r="A3772">
            <v>201820</v>
          </cell>
          <cell r="B3772">
            <v>41579</v>
          </cell>
        </row>
        <row r="3773">
          <cell r="A3773">
            <v>201761</v>
          </cell>
          <cell r="B3773">
            <v>41579</v>
          </cell>
        </row>
        <row r="3774">
          <cell r="A3774">
            <v>201716</v>
          </cell>
          <cell r="B3774">
            <v>41579</v>
          </cell>
        </row>
        <row r="3775">
          <cell r="A3775">
            <v>201597</v>
          </cell>
          <cell r="B3775">
            <v>41579</v>
          </cell>
        </row>
        <row r="3776">
          <cell r="A3776">
            <v>201352</v>
          </cell>
          <cell r="B3776">
            <v>41579</v>
          </cell>
        </row>
        <row r="3777">
          <cell r="A3777">
            <v>201350</v>
          </cell>
          <cell r="B3777">
            <v>41579</v>
          </cell>
        </row>
        <row r="3778">
          <cell r="A3778">
            <v>201231</v>
          </cell>
          <cell r="B3778">
            <v>41579</v>
          </cell>
        </row>
        <row r="3779">
          <cell r="A3779">
            <v>201211</v>
          </cell>
          <cell r="B3779">
            <v>41579</v>
          </cell>
        </row>
        <row r="3780">
          <cell r="A3780">
            <v>201198</v>
          </cell>
          <cell r="B3780">
            <v>41579</v>
          </cell>
        </row>
        <row r="3781">
          <cell r="A3781">
            <v>201188</v>
          </cell>
          <cell r="B3781">
            <v>41579</v>
          </cell>
        </row>
        <row r="3782">
          <cell r="A3782">
            <v>201151</v>
          </cell>
          <cell r="B3782">
            <v>41579</v>
          </cell>
        </row>
        <row r="3783">
          <cell r="A3783">
            <v>201139</v>
          </cell>
          <cell r="B3783">
            <v>41579</v>
          </cell>
        </row>
        <row r="3784">
          <cell r="A3784">
            <v>201137</v>
          </cell>
          <cell r="B3784">
            <v>41579</v>
          </cell>
        </row>
        <row r="3785">
          <cell r="A3785">
            <v>201136</v>
          </cell>
          <cell r="B3785">
            <v>41579</v>
          </cell>
        </row>
        <row r="3786">
          <cell r="A3786">
            <v>200993</v>
          </cell>
          <cell r="B3786">
            <v>41579</v>
          </cell>
        </row>
        <row r="3787">
          <cell r="A3787">
            <v>200907</v>
          </cell>
          <cell r="B3787">
            <v>41579</v>
          </cell>
        </row>
        <row r="3788">
          <cell r="A3788">
            <v>200906</v>
          </cell>
          <cell r="B3788">
            <v>41579</v>
          </cell>
        </row>
        <row r="3789">
          <cell r="A3789">
            <v>200898</v>
          </cell>
          <cell r="B3789">
            <v>41579</v>
          </cell>
        </row>
        <row r="3790">
          <cell r="A3790">
            <v>200874</v>
          </cell>
          <cell r="B3790">
            <v>41579</v>
          </cell>
        </row>
        <row r="3791">
          <cell r="A3791">
            <v>200867</v>
          </cell>
          <cell r="B3791">
            <v>41579</v>
          </cell>
        </row>
        <row r="3792">
          <cell r="A3792">
            <v>200837</v>
          </cell>
          <cell r="B3792">
            <v>41579</v>
          </cell>
        </row>
        <row r="3793">
          <cell r="A3793">
            <v>200834</v>
          </cell>
          <cell r="B3793">
            <v>41579</v>
          </cell>
        </row>
        <row r="3794">
          <cell r="A3794">
            <v>200825</v>
          </cell>
          <cell r="B3794">
            <v>41579</v>
          </cell>
        </row>
        <row r="3795">
          <cell r="A3795">
            <v>200797</v>
          </cell>
          <cell r="B3795">
            <v>41579</v>
          </cell>
        </row>
        <row r="3796">
          <cell r="A3796">
            <v>200791</v>
          </cell>
          <cell r="B3796">
            <v>41579</v>
          </cell>
        </row>
        <row r="3797">
          <cell r="A3797">
            <v>200787</v>
          </cell>
          <cell r="B3797">
            <v>41579</v>
          </cell>
        </row>
        <row r="3798">
          <cell r="A3798">
            <v>200777</v>
          </cell>
          <cell r="B3798">
            <v>41579</v>
          </cell>
        </row>
        <row r="3799">
          <cell r="A3799">
            <v>200755</v>
          </cell>
          <cell r="B3799">
            <v>41579</v>
          </cell>
        </row>
        <row r="3800">
          <cell r="A3800">
            <v>200746</v>
          </cell>
          <cell r="B3800">
            <v>41579</v>
          </cell>
        </row>
        <row r="3801">
          <cell r="A3801">
            <v>200745</v>
          </cell>
          <cell r="B3801">
            <v>41579</v>
          </cell>
        </row>
        <row r="3802">
          <cell r="A3802">
            <v>200742</v>
          </cell>
          <cell r="B3802">
            <v>41579</v>
          </cell>
        </row>
        <row r="3803">
          <cell r="A3803">
            <v>200710</v>
          </cell>
          <cell r="B3803">
            <v>41579</v>
          </cell>
        </row>
        <row r="3804">
          <cell r="A3804">
            <v>200692</v>
          </cell>
          <cell r="B3804">
            <v>41579</v>
          </cell>
        </row>
        <row r="3805">
          <cell r="A3805">
            <v>200691</v>
          </cell>
          <cell r="B3805">
            <v>41579</v>
          </cell>
        </row>
        <row r="3806">
          <cell r="A3806">
            <v>200690</v>
          </cell>
          <cell r="B3806">
            <v>41579</v>
          </cell>
        </row>
        <row r="3807">
          <cell r="A3807">
            <v>200684</v>
          </cell>
          <cell r="B3807">
            <v>41579</v>
          </cell>
        </row>
        <row r="3808">
          <cell r="A3808">
            <v>200683</v>
          </cell>
          <cell r="B3808">
            <v>41579</v>
          </cell>
        </row>
        <row r="3809">
          <cell r="A3809">
            <v>200683</v>
          </cell>
          <cell r="B3809">
            <v>41579</v>
          </cell>
        </row>
        <row r="3810">
          <cell r="A3810">
            <v>200683</v>
          </cell>
          <cell r="B3810">
            <v>41579</v>
          </cell>
        </row>
        <row r="3811">
          <cell r="A3811">
            <v>200681</v>
          </cell>
          <cell r="B3811">
            <v>41579</v>
          </cell>
        </row>
        <row r="3812">
          <cell r="A3812">
            <v>200657</v>
          </cell>
          <cell r="B3812">
            <v>41579</v>
          </cell>
        </row>
        <row r="3813">
          <cell r="A3813">
            <v>200646</v>
          </cell>
          <cell r="B3813">
            <v>41579</v>
          </cell>
        </row>
        <row r="3814">
          <cell r="A3814">
            <v>200635</v>
          </cell>
          <cell r="B3814">
            <v>41579</v>
          </cell>
        </row>
        <row r="3815">
          <cell r="A3815">
            <v>200629</v>
          </cell>
          <cell r="B3815">
            <v>41579</v>
          </cell>
        </row>
        <row r="3816">
          <cell r="A3816">
            <v>200622</v>
          </cell>
          <cell r="B3816">
            <v>41579</v>
          </cell>
        </row>
        <row r="3817">
          <cell r="A3817">
            <v>200607</v>
          </cell>
          <cell r="B3817">
            <v>41579</v>
          </cell>
        </row>
        <row r="3818">
          <cell r="A3818">
            <v>200606</v>
          </cell>
          <cell r="B3818">
            <v>41579</v>
          </cell>
        </row>
        <row r="3819">
          <cell r="A3819">
            <v>200599</v>
          </cell>
          <cell r="B3819">
            <v>41579</v>
          </cell>
        </row>
        <row r="3820">
          <cell r="A3820">
            <v>200597</v>
          </cell>
          <cell r="B3820">
            <v>41579</v>
          </cell>
        </row>
        <row r="3821">
          <cell r="A3821">
            <v>200596</v>
          </cell>
          <cell r="B3821">
            <v>41579</v>
          </cell>
        </row>
        <row r="3822">
          <cell r="A3822">
            <v>200593</v>
          </cell>
          <cell r="B3822">
            <v>41579</v>
          </cell>
        </row>
        <row r="3823">
          <cell r="A3823">
            <v>200592</v>
          </cell>
          <cell r="B3823">
            <v>41579</v>
          </cell>
        </row>
        <row r="3824">
          <cell r="A3824">
            <v>200514</v>
          </cell>
          <cell r="B3824">
            <v>41579</v>
          </cell>
        </row>
        <row r="3825">
          <cell r="A3825">
            <v>181843</v>
          </cell>
          <cell r="B3825">
            <v>41579</v>
          </cell>
        </row>
        <row r="3826">
          <cell r="A3826">
            <v>111111</v>
          </cell>
          <cell r="B3826">
            <v>41579</v>
          </cell>
        </row>
        <row r="3827">
          <cell r="A3827">
            <v>99998</v>
          </cell>
          <cell r="B3827">
            <v>41579</v>
          </cell>
        </row>
        <row r="3828">
          <cell r="A3828">
            <v>99998</v>
          </cell>
          <cell r="B3828">
            <v>41640</v>
          </cell>
        </row>
        <row r="3829">
          <cell r="A3829">
            <v>99998</v>
          </cell>
          <cell r="B3829">
            <v>41579</v>
          </cell>
        </row>
        <row r="3830">
          <cell r="A3830">
            <v>99997</v>
          </cell>
          <cell r="B3830">
            <v>41579</v>
          </cell>
        </row>
        <row r="3831">
          <cell r="A3831">
            <v>89953</v>
          </cell>
          <cell r="B3831">
            <v>41579</v>
          </cell>
        </row>
        <row r="3832">
          <cell r="A3832">
            <v>89934</v>
          </cell>
          <cell r="B3832">
            <v>41579</v>
          </cell>
        </row>
        <row r="3833">
          <cell r="A3833">
            <v>89830</v>
          </cell>
          <cell r="B3833">
            <v>41579</v>
          </cell>
        </row>
        <row r="3834">
          <cell r="A3834">
            <v>89209</v>
          </cell>
          <cell r="B3834">
            <v>41579</v>
          </cell>
        </row>
        <row r="3835">
          <cell r="A3835">
            <v>88996</v>
          </cell>
          <cell r="B3835">
            <v>41579</v>
          </cell>
        </row>
        <row r="3836">
          <cell r="A3836">
            <v>88947</v>
          </cell>
          <cell r="B3836">
            <v>41579</v>
          </cell>
        </row>
        <row r="3837">
          <cell r="A3837">
            <v>88889</v>
          </cell>
          <cell r="B3837">
            <v>41579</v>
          </cell>
        </row>
        <row r="3838">
          <cell r="A3838">
            <v>88788</v>
          </cell>
          <cell r="B3838">
            <v>41579</v>
          </cell>
        </row>
        <row r="3839">
          <cell r="A3839">
            <v>88364</v>
          </cell>
          <cell r="B3839">
            <v>41579</v>
          </cell>
        </row>
        <row r="3840">
          <cell r="A3840">
            <v>88092</v>
          </cell>
          <cell r="B3840">
            <v>41579</v>
          </cell>
        </row>
        <row r="3841">
          <cell r="A3841">
            <v>87777</v>
          </cell>
          <cell r="B3841">
            <v>41579</v>
          </cell>
        </row>
        <row r="3842">
          <cell r="A3842">
            <v>87624</v>
          </cell>
          <cell r="B3842">
            <v>41579</v>
          </cell>
        </row>
        <row r="3843">
          <cell r="A3843">
            <v>87621</v>
          </cell>
          <cell r="B3843">
            <v>41579</v>
          </cell>
        </row>
        <row r="3844">
          <cell r="A3844">
            <v>87620</v>
          </cell>
          <cell r="B3844">
            <v>41579</v>
          </cell>
        </row>
        <row r="3845">
          <cell r="A3845">
            <v>87487</v>
          </cell>
          <cell r="B3845">
            <v>41579</v>
          </cell>
        </row>
        <row r="3846">
          <cell r="A3846">
            <v>87161</v>
          </cell>
          <cell r="B3846">
            <v>41579</v>
          </cell>
        </row>
        <row r="3847">
          <cell r="A3847">
            <v>86940</v>
          </cell>
          <cell r="B3847">
            <v>41579</v>
          </cell>
        </row>
        <row r="3848">
          <cell r="A3848">
            <v>86678</v>
          </cell>
          <cell r="B3848">
            <v>41579</v>
          </cell>
        </row>
        <row r="3849">
          <cell r="A3849">
            <v>86583</v>
          </cell>
          <cell r="B3849">
            <v>41579</v>
          </cell>
        </row>
        <row r="3850">
          <cell r="A3850">
            <v>86262</v>
          </cell>
          <cell r="B3850">
            <v>41579</v>
          </cell>
        </row>
        <row r="3851">
          <cell r="A3851">
            <v>86233</v>
          </cell>
          <cell r="B3851">
            <v>41579</v>
          </cell>
        </row>
        <row r="3852">
          <cell r="A3852">
            <v>86188</v>
          </cell>
          <cell r="B3852">
            <v>41579</v>
          </cell>
        </row>
        <row r="3853">
          <cell r="A3853">
            <v>85823</v>
          </cell>
          <cell r="B3853">
            <v>41579</v>
          </cell>
        </row>
        <row r="3854">
          <cell r="A3854">
            <v>85810</v>
          </cell>
          <cell r="B3854">
            <v>41579</v>
          </cell>
        </row>
        <row r="3855">
          <cell r="A3855">
            <v>85576</v>
          </cell>
          <cell r="B3855">
            <v>41579</v>
          </cell>
        </row>
        <row r="3856">
          <cell r="A3856">
            <v>85339</v>
          </cell>
          <cell r="B3856">
            <v>41579</v>
          </cell>
        </row>
        <row r="3857">
          <cell r="A3857">
            <v>85242</v>
          </cell>
          <cell r="B3857">
            <v>41579</v>
          </cell>
        </row>
        <row r="3858">
          <cell r="A3858">
            <v>85210</v>
          </cell>
          <cell r="B3858">
            <v>41579</v>
          </cell>
        </row>
        <row r="3859">
          <cell r="A3859">
            <v>85173</v>
          </cell>
          <cell r="B3859">
            <v>41579</v>
          </cell>
        </row>
        <row r="3860">
          <cell r="A3860">
            <v>85022</v>
          </cell>
          <cell r="B3860">
            <v>41579</v>
          </cell>
        </row>
        <row r="3861">
          <cell r="A3861">
            <v>85007</v>
          </cell>
          <cell r="B3861">
            <v>41579</v>
          </cell>
        </row>
        <row r="3862">
          <cell r="A3862">
            <v>84841</v>
          </cell>
          <cell r="B3862">
            <v>41579</v>
          </cell>
        </row>
        <row r="3863">
          <cell r="A3863">
            <v>84572</v>
          </cell>
          <cell r="B3863">
            <v>41579</v>
          </cell>
        </row>
        <row r="3864">
          <cell r="A3864">
            <v>83930</v>
          </cell>
          <cell r="B3864">
            <v>41579</v>
          </cell>
        </row>
        <row r="3865">
          <cell r="A3865">
            <v>83832</v>
          </cell>
          <cell r="B3865">
            <v>41579</v>
          </cell>
        </row>
        <row r="3866">
          <cell r="A3866">
            <v>83587</v>
          </cell>
          <cell r="B3866">
            <v>41579</v>
          </cell>
        </row>
        <row r="3867">
          <cell r="A3867">
            <v>83587</v>
          </cell>
          <cell r="B3867">
            <v>41579</v>
          </cell>
        </row>
        <row r="3868">
          <cell r="A3868">
            <v>83295</v>
          </cell>
          <cell r="B3868">
            <v>41579</v>
          </cell>
        </row>
        <row r="3869">
          <cell r="A3869">
            <v>83058</v>
          </cell>
          <cell r="B3869">
            <v>41579</v>
          </cell>
        </row>
        <row r="3870">
          <cell r="A3870">
            <v>82998</v>
          </cell>
          <cell r="B3870">
            <v>41579</v>
          </cell>
        </row>
        <row r="3871">
          <cell r="A3871">
            <v>82795</v>
          </cell>
          <cell r="B3871">
            <v>41579</v>
          </cell>
        </row>
        <row r="3872">
          <cell r="A3872">
            <v>82775</v>
          </cell>
          <cell r="B3872">
            <v>41579</v>
          </cell>
        </row>
        <row r="3873">
          <cell r="A3873">
            <v>82692</v>
          </cell>
          <cell r="B3873">
            <v>41579</v>
          </cell>
        </row>
        <row r="3874">
          <cell r="A3874">
            <v>82499</v>
          </cell>
          <cell r="B3874">
            <v>41579</v>
          </cell>
        </row>
        <row r="3875">
          <cell r="A3875">
            <v>82120</v>
          </cell>
          <cell r="B3875">
            <v>41579</v>
          </cell>
        </row>
        <row r="3876">
          <cell r="A3876">
            <v>81870</v>
          </cell>
          <cell r="B3876">
            <v>41579</v>
          </cell>
        </row>
        <row r="3877">
          <cell r="A3877">
            <v>81759</v>
          </cell>
          <cell r="B3877">
            <v>41579</v>
          </cell>
        </row>
        <row r="3878">
          <cell r="A3878">
            <v>81744</v>
          </cell>
          <cell r="B3878">
            <v>41579</v>
          </cell>
        </row>
        <row r="3879">
          <cell r="A3879">
            <v>81677</v>
          </cell>
          <cell r="B3879">
            <v>41579</v>
          </cell>
        </row>
        <row r="3880">
          <cell r="A3880">
            <v>81662</v>
          </cell>
          <cell r="B3880">
            <v>41579</v>
          </cell>
        </row>
        <row r="3881">
          <cell r="A3881">
            <v>81095</v>
          </cell>
          <cell r="B3881">
            <v>41579</v>
          </cell>
        </row>
        <row r="3882">
          <cell r="A3882">
            <v>81035</v>
          </cell>
          <cell r="B3882">
            <v>41579</v>
          </cell>
        </row>
        <row r="3883">
          <cell r="A3883">
            <v>81030</v>
          </cell>
          <cell r="B3883">
            <v>41579</v>
          </cell>
        </row>
        <row r="3884">
          <cell r="A3884">
            <v>80747</v>
          </cell>
          <cell r="B3884">
            <v>41579</v>
          </cell>
        </row>
        <row r="3885">
          <cell r="A3885">
            <v>80732</v>
          </cell>
          <cell r="B3885">
            <v>41579</v>
          </cell>
        </row>
        <row r="3886">
          <cell r="A3886">
            <v>79861</v>
          </cell>
          <cell r="B3886">
            <v>41579</v>
          </cell>
        </row>
        <row r="3887">
          <cell r="A3887">
            <v>79252</v>
          </cell>
          <cell r="B3887">
            <v>41579</v>
          </cell>
        </row>
        <row r="3888">
          <cell r="A3888">
            <v>78657</v>
          </cell>
          <cell r="B3888">
            <v>41579</v>
          </cell>
        </row>
        <row r="3889">
          <cell r="A3889">
            <v>78626</v>
          </cell>
          <cell r="B3889">
            <v>41579</v>
          </cell>
        </row>
        <row r="3890">
          <cell r="A3890">
            <v>78507</v>
          </cell>
          <cell r="B3890">
            <v>41579</v>
          </cell>
        </row>
        <row r="3891">
          <cell r="A3891">
            <v>78445</v>
          </cell>
          <cell r="B3891">
            <v>41579</v>
          </cell>
        </row>
        <row r="3892">
          <cell r="A3892">
            <v>78244</v>
          </cell>
          <cell r="B3892">
            <v>41579</v>
          </cell>
        </row>
        <row r="3893">
          <cell r="A3893">
            <v>78214</v>
          </cell>
          <cell r="B3893">
            <v>41579</v>
          </cell>
        </row>
        <row r="3894">
          <cell r="A3894">
            <v>77996</v>
          </cell>
          <cell r="B3894">
            <v>41579</v>
          </cell>
        </row>
        <row r="3895">
          <cell r="A3895">
            <v>77860</v>
          </cell>
          <cell r="B3895">
            <v>41579</v>
          </cell>
        </row>
        <row r="3896">
          <cell r="A3896">
            <v>77753</v>
          </cell>
          <cell r="B3896">
            <v>41579</v>
          </cell>
        </row>
        <row r="3897">
          <cell r="A3897">
            <v>77742</v>
          </cell>
          <cell r="B3897">
            <v>41579</v>
          </cell>
        </row>
        <row r="3898">
          <cell r="A3898">
            <v>77318</v>
          </cell>
          <cell r="B3898">
            <v>41579</v>
          </cell>
        </row>
        <row r="3899">
          <cell r="A3899">
            <v>77248</v>
          </cell>
          <cell r="B3899">
            <v>41579</v>
          </cell>
        </row>
        <row r="3900">
          <cell r="A3900">
            <v>77012</v>
          </cell>
          <cell r="B3900">
            <v>41579</v>
          </cell>
        </row>
        <row r="3901">
          <cell r="A3901">
            <v>76898</v>
          </cell>
          <cell r="B3901">
            <v>41579</v>
          </cell>
        </row>
        <row r="3902">
          <cell r="A3902">
            <v>76766</v>
          </cell>
          <cell r="B3902">
            <v>41579</v>
          </cell>
        </row>
        <row r="3903">
          <cell r="A3903">
            <v>76743</v>
          </cell>
          <cell r="B3903">
            <v>41579</v>
          </cell>
        </row>
        <row r="3904">
          <cell r="A3904">
            <v>76714</v>
          </cell>
          <cell r="B3904">
            <v>41640</v>
          </cell>
        </row>
        <row r="3905">
          <cell r="A3905">
            <v>76569</v>
          </cell>
          <cell r="B3905">
            <v>41579</v>
          </cell>
        </row>
        <row r="3906">
          <cell r="A3906">
            <v>76486</v>
          </cell>
          <cell r="B3906">
            <v>41579</v>
          </cell>
        </row>
        <row r="3907">
          <cell r="A3907">
            <v>76347</v>
          </cell>
          <cell r="B3907">
            <v>41579</v>
          </cell>
        </row>
        <row r="3908">
          <cell r="A3908">
            <v>75915</v>
          </cell>
          <cell r="B3908">
            <v>41579</v>
          </cell>
        </row>
        <row r="3909">
          <cell r="A3909">
            <v>75770</v>
          </cell>
          <cell r="B3909">
            <v>41640</v>
          </cell>
        </row>
        <row r="3910">
          <cell r="A3910">
            <v>75555</v>
          </cell>
          <cell r="B3910">
            <v>41579</v>
          </cell>
        </row>
        <row r="3911">
          <cell r="A3911">
            <v>75118</v>
          </cell>
          <cell r="B3911">
            <v>41579</v>
          </cell>
        </row>
        <row r="3912">
          <cell r="A3912">
            <v>74842</v>
          </cell>
          <cell r="B3912">
            <v>41579</v>
          </cell>
        </row>
        <row r="3913">
          <cell r="A3913">
            <v>74693</v>
          </cell>
          <cell r="B3913">
            <v>41579</v>
          </cell>
        </row>
        <row r="3914">
          <cell r="A3914">
            <v>74626</v>
          </cell>
          <cell r="B3914">
            <v>41579</v>
          </cell>
        </row>
        <row r="3915">
          <cell r="A3915">
            <v>74609</v>
          </cell>
          <cell r="B3915">
            <v>41579</v>
          </cell>
        </row>
        <row r="3916">
          <cell r="A3916">
            <v>74408</v>
          </cell>
          <cell r="B3916">
            <v>41579</v>
          </cell>
        </row>
        <row r="3917">
          <cell r="A3917">
            <v>74373</v>
          </cell>
          <cell r="B3917">
            <v>41579</v>
          </cell>
        </row>
        <row r="3918">
          <cell r="A3918">
            <v>74109</v>
          </cell>
          <cell r="B3918">
            <v>41579</v>
          </cell>
        </row>
        <row r="3919">
          <cell r="A3919">
            <v>74064</v>
          </cell>
          <cell r="B3919">
            <v>41579</v>
          </cell>
        </row>
        <row r="3920">
          <cell r="A3920">
            <v>74035</v>
          </cell>
          <cell r="B3920">
            <v>41579</v>
          </cell>
        </row>
        <row r="3921">
          <cell r="A3921">
            <v>73917</v>
          </cell>
          <cell r="B3921">
            <v>41579</v>
          </cell>
        </row>
        <row r="3922">
          <cell r="A3922">
            <v>73851</v>
          </cell>
          <cell r="B3922">
            <v>41579</v>
          </cell>
        </row>
        <row r="3923">
          <cell r="A3923">
            <v>73827</v>
          </cell>
          <cell r="B3923">
            <v>41579</v>
          </cell>
        </row>
        <row r="3924">
          <cell r="A3924">
            <v>73732</v>
          </cell>
          <cell r="B3924">
            <v>41579</v>
          </cell>
        </row>
        <row r="3925">
          <cell r="A3925">
            <v>73637</v>
          </cell>
          <cell r="B3925">
            <v>41579</v>
          </cell>
        </row>
        <row r="3926">
          <cell r="A3926">
            <v>73461</v>
          </cell>
          <cell r="B3926">
            <v>41579</v>
          </cell>
        </row>
        <row r="3927">
          <cell r="A3927">
            <v>73461</v>
          </cell>
          <cell r="B3927">
            <v>41579</v>
          </cell>
        </row>
        <row r="3928">
          <cell r="A3928">
            <v>73314</v>
          </cell>
          <cell r="B3928">
            <v>41579</v>
          </cell>
        </row>
        <row r="3929">
          <cell r="A3929">
            <v>72707</v>
          </cell>
          <cell r="B3929">
            <v>41579</v>
          </cell>
        </row>
        <row r="3930">
          <cell r="A3930">
            <v>72193</v>
          </cell>
          <cell r="B3930">
            <v>41579</v>
          </cell>
        </row>
        <row r="3931">
          <cell r="A3931">
            <v>72052</v>
          </cell>
          <cell r="B3931">
            <v>41579</v>
          </cell>
        </row>
        <row r="3932">
          <cell r="A3932">
            <v>71895</v>
          </cell>
          <cell r="B3932">
            <v>41579</v>
          </cell>
        </row>
        <row r="3933">
          <cell r="A3933">
            <v>71825</v>
          </cell>
          <cell r="B3933">
            <v>41579</v>
          </cell>
        </row>
        <row r="3934">
          <cell r="A3934">
            <v>71528</v>
          </cell>
          <cell r="B3934">
            <v>41579</v>
          </cell>
        </row>
        <row r="3935">
          <cell r="A3935">
            <v>71165</v>
          </cell>
          <cell r="B3935">
            <v>41579</v>
          </cell>
        </row>
        <row r="3936">
          <cell r="A3936">
            <v>71036</v>
          </cell>
          <cell r="B3936">
            <v>41640</v>
          </cell>
        </row>
        <row r="3937">
          <cell r="A3937">
            <v>70890</v>
          </cell>
          <cell r="B3937">
            <v>41579</v>
          </cell>
        </row>
        <row r="3938">
          <cell r="A3938">
            <v>70490</v>
          </cell>
          <cell r="B3938">
            <v>41579</v>
          </cell>
        </row>
        <row r="3939">
          <cell r="A3939">
            <v>70270</v>
          </cell>
          <cell r="B3939">
            <v>41579</v>
          </cell>
        </row>
        <row r="3940">
          <cell r="A3940">
            <v>70182</v>
          </cell>
          <cell r="B3940">
            <v>41579</v>
          </cell>
        </row>
        <row r="3941">
          <cell r="A3941">
            <v>70180</v>
          </cell>
          <cell r="B3941">
            <v>41579</v>
          </cell>
        </row>
        <row r="3942">
          <cell r="A3942">
            <v>70068</v>
          </cell>
          <cell r="B3942">
            <v>41579</v>
          </cell>
        </row>
        <row r="3943">
          <cell r="A3943">
            <v>69953</v>
          </cell>
          <cell r="B3943">
            <v>41579</v>
          </cell>
        </row>
        <row r="3944">
          <cell r="A3944">
            <v>69864</v>
          </cell>
          <cell r="B3944">
            <v>41579</v>
          </cell>
        </row>
        <row r="3945">
          <cell r="A3945">
            <v>69725</v>
          </cell>
          <cell r="B3945">
            <v>41579</v>
          </cell>
        </row>
        <row r="3946">
          <cell r="A3946">
            <v>69684</v>
          </cell>
          <cell r="B3946">
            <v>41579</v>
          </cell>
        </row>
        <row r="3947">
          <cell r="A3947">
            <v>69684</v>
          </cell>
          <cell r="B3947">
            <v>41579</v>
          </cell>
        </row>
        <row r="3948">
          <cell r="A3948">
            <v>69684</v>
          </cell>
          <cell r="B3948">
            <v>41579</v>
          </cell>
        </row>
        <row r="3949">
          <cell r="A3949">
            <v>68975</v>
          </cell>
          <cell r="B3949">
            <v>41579</v>
          </cell>
        </row>
        <row r="3950">
          <cell r="A3950">
            <v>68882</v>
          </cell>
          <cell r="B3950">
            <v>41579</v>
          </cell>
        </row>
        <row r="3951">
          <cell r="A3951">
            <v>68443</v>
          </cell>
          <cell r="B3951">
            <v>41579</v>
          </cell>
        </row>
        <row r="3952">
          <cell r="A3952">
            <v>68073</v>
          </cell>
          <cell r="B3952">
            <v>41579</v>
          </cell>
        </row>
        <row r="3953">
          <cell r="A3953">
            <v>67802</v>
          </cell>
          <cell r="B3953">
            <v>41640</v>
          </cell>
        </row>
        <row r="3954">
          <cell r="A3954">
            <v>67435</v>
          </cell>
          <cell r="B3954">
            <v>41579</v>
          </cell>
        </row>
        <row r="3955">
          <cell r="A3955">
            <v>67430</v>
          </cell>
          <cell r="B3955">
            <v>41579</v>
          </cell>
        </row>
        <row r="3956">
          <cell r="A3956">
            <v>67073</v>
          </cell>
          <cell r="B3956">
            <v>41579</v>
          </cell>
        </row>
        <row r="3957">
          <cell r="A3957">
            <v>66586</v>
          </cell>
          <cell r="B3957">
            <v>41579</v>
          </cell>
        </row>
        <row r="3958">
          <cell r="A3958">
            <v>66257</v>
          </cell>
          <cell r="B3958">
            <v>41579</v>
          </cell>
        </row>
        <row r="3959">
          <cell r="A3959">
            <v>66105</v>
          </cell>
          <cell r="B3959">
            <v>41579</v>
          </cell>
        </row>
        <row r="3960">
          <cell r="A3960">
            <v>66105</v>
          </cell>
          <cell r="B3960">
            <v>41579</v>
          </cell>
        </row>
        <row r="3961">
          <cell r="A3961">
            <v>65652</v>
          </cell>
          <cell r="B3961">
            <v>41579</v>
          </cell>
        </row>
        <row r="3962">
          <cell r="A3962">
            <v>65608</v>
          </cell>
          <cell r="B3962">
            <v>41579</v>
          </cell>
        </row>
        <row r="3963">
          <cell r="A3963">
            <v>65578</v>
          </cell>
          <cell r="B3963">
            <v>41579</v>
          </cell>
        </row>
        <row r="3964">
          <cell r="A3964">
            <v>65550</v>
          </cell>
          <cell r="B3964">
            <v>41579</v>
          </cell>
        </row>
        <row r="3965">
          <cell r="A3965">
            <v>64758</v>
          </cell>
          <cell r="B3965">
            <v>41579</v>
          </cell>
        </row>
        <row r="3966">
          <cell r="A3966">
            <v>64458</v>
          </cell>
          <cell r="B3966">
            <v>41640</v>
          </cell>
        </row>
        <row r="3967">
          <cell r="A3967">
            <v>64438</v>
          </cell>
          <cell r="B3967">
            <v>41579</v>
          </cell>
        </row>
        <row r="3968">
          <cell r="A3968">
            <v>64432</v>
          </cell>
          <cell r="B3968">
            <v>41579</v>
          </cell>
        </row>
        <row r="3969">
          <cell r="A3969">
            <v>64368</v>
          </cell>
          <cell r="B3969">
            <v>41579</v>
          </cell>
        </row>
        <row r="3970">
          <cell r="A3970">
            <v>64090</v>
          </cell>
          <cell r="B3970">
            <v>41579</v>
          </cell>
        </row>
        <row r="3971">
          <cell r="A3971">
            <v>64043</v>
          </cell>
          <cell r="B3971">
            <v>41579</v>
          </cell>
        </row>
        <row r="3972">
          <cell r="A3972">
            <v>64010</v>
          </cell>
          <cell r="B3972">
            <v>41579</v>
          </cell>
        </row>
        <row r="3973">
          <cell r="A3973">
            <v>63965</v>
          </cell>
          <cell r="B3973">
            <v>41579</v>
          </cell>
        </row>
        <row r="3974">
          <cell r="A3974">
            <v>63741</v>
          </cell>
          <cell r="B3974">
            <v>41579</v>
          </cell>
        </row>
        <row r="3975">
          <cell r="A3975">
            <v>63333</v>
          </cell>
          <cell r="B3975">
            <v>41579</v>
          </cell>
        </row>
        <row r="3976">
          <cell r="A3976">
            <v>62677</v>
          </cell>
          <cell r="B3976">
            <v>41579</v>
          </cell>
        </row>
        <row r="3977">
          <cell r="A3977">
            <v>62553</v>
          </cell>
          <cell r="B3977">
            <v>41579</v>
          </cell>
        </row>
        <row r="3978">
          <cell r="A3978">
            <v>61870</v>
          </cell>
          <cell r="B3978">
            <v>41579</v>
          </cell>
        </row>
        <row r="3979">
          <cell r="A3979">
            <v>61490</v>
          </cell>
          <cell r="B3979">
            <v>41579</v>
          </cell>
        </row>
        <row r="3980">
          <cell r="A3980">
            <v>61335</v>
          </cell>
          <cell r="B3980">
            <v>41579</v>
          </cell>
        </row>
        <row r="3981">
          <cell r="A3981">
            <v>61085</v>
          </cell>
          <cell r="B3981">
            <v>41579</v>
          </cell>
        </row>
        <row r="3982">
          <cell r="A3982">
            <v>60883</v>
          </cell>
          <cell r="B3982">
            <v>41640</v>
          </cell>
        </row>
        <row r="3983">
          <cell r="A3983">
            <v>60883</v>
          </cell>
          <cell r="B3983">
            <v>41579</v>
          </cell>
        </row>
        <row r="3984">
          <cell r="A3984">
            <v>60788</v>
          </cell>
          <cell r="B3984">
            <v>41579</v>
          </cell>
        </row>
        <row r="3985">
          <cell r="A3985">
            <v>60611</v>
          </cell>
          <cell r="B3985">
            <v>41579</v>
          </cell>
        </row>
        <row r="3986">
          <cell r="A3986">
            <v>60349</v>
          </cell>
          <cell r="B3986">
            <v>41579</v>
          </cell>
        </row>
        <row r="3987">
          <cell r="A3987">
            <v>59943</v>
          </cell>
          <cell r="B3987">
            <v>41579</v>
          </cell>
        </row>
        <row r="3988">
          <cell r="A3988">
            <v>59444</v>
          </cell>
          <cell r="B3988">
            <v>41579</v>
          </cell>
        </row>
        <row r="3989">
          <cell r="A3989">
            <v>58847</v>
          </cell>
          <cell r="B3989">
            <v>41579</v>
          </cell>
        </row>
        <row r="3990">
          <cell r="A3990">
            <v>58766</v>
          </cell>
          <cell r="B3990">
            <v>41579</v>
          </cell>
        </row>
        <row r="3991">
          <cell r="A3991">
            <v>58529</v>
          </cell>
          <cell r="B3991">
            <v>41579</v>
          </cell>
        </row>
        <row r="3992">
          <cell r="A3992">
            <v>58481</v>
          </cell>
          <cell r="B3992">
            <v>41579</v>
          </cell>
        </row>
        <row r="3993">
          <cell r="A3993">
            <v>58149</v>
          </cell>
          <cell r="B3993">
            <v>41579</v>
          </cell>
        </row>
        <row r="3994">
          <cell r="A3994">
            <v>57980</v>
          </cell>
          <cell r="B3994">
            <v>41579</v>
          </cell>
        </row>
        <row r="3995">
          <cell r="A3995">
            <v>57937</v>
          </cell>
          <cell r="B3995">
            <v>41579</v>
          </cell>
        </row>
        <row r="3996">
          <cell r="A3996">
            <v>57778</v>
          </cell>
          <cell r="B3996">
            <v>41579</v>
          </cell>
        </row>
        <row r="3997">
          <cell r="A3997">
            <v>57462</v>
          </cell>
          <cell r="B3997">
            <v>41579</v>
          </cell>
        </row>
        <row r="3998">
          <cell r="A3998">
            <v>57071</v>
          </cell>
          <cell r="B3998">
            <v>41579</v>
          </cell>
        </row>
        <row r="3999">
          <cell r="A3999">
            <v>57002</v>
          </cell>
          <cell r="B3999">
            <v>41579</v>
          </cell>
        </row>
        <row r="4000">
          <cell r="A4000">
            <v>56876</v>
          </cell>
          <cell r="B4000">
            <v>41579</v>
          </cell>
        </row>
        <row r="4001">
          <cell r="A4001">
            <v>56649</v>
          </cell>
          <cell r="B4001">
            <v>41579</v>
          </cell>
        </row>
        <row r="4002">
          <cell r="A4002">
            <v>56146</v>
          </cell>
          <cell r="B4002">
            <v>41579</v>
          </cell>
        </row>
        <row r="4003">
          <cell r="A4003">
            <v>55558</v>
          </cell>
          <cell r="B4003">
            <v>41640</v>
          </cell>
        </row>
        <row r="4004">
          <cell r="A4004">
            <v>55501</v>
          </cell>
          <cell r="B4004">
            <v>41579</v>
          </cell>
        </row>
        <row r="4005">
          <cell r="A4005">
            <v>55137</v>
          </cell>
          <cell r="B4005">
            <v>41579</v>
          </cell>
        </row>
        <row r="4006">
          <cell r="A4006">
            <v>54980</v>
          </cell>
          <cell r="B4006">
            <v>41579</v>
          </cell>
        </row>
        <row r="4007">
          <cell r="A4007">
            <v>54814</v>
          </cell>
          <cell r="B4007">
            <v>41579</v>
          </cell>
        </row>
        <row r="4008">
          <cell r="A4008">
            <v>54452</v>
          </cell>
          <cell r="B4008">
            <v>41579</v>
          </cell>
        </row>
        <row r="4009">
          <cell r="A4009">
            <v>54181</v>
          </cell>
          <cell r="B4009">
            <v>41579</v>
          </cell>
        </row>
        <row r="4010">
          <cell r="A4010">
            <v>54175</v>
          </cell>
          <cell r="B4010">
            <v>41579</v>
          </cell>
        </row>
        <row r="4011">
          <cell r="A4011">
            <v>53978</v>
          </cell>
          <cell r="B4011">
            <v>41579</v>
          </cell>
        </row>
        <row r="4012">
          <cell r="A4012">
            <v>53972</v>
          </cell>
          <cell r="B4012">
            <v>41640</v>
          </cell>
        </row>
        <row r="4013">
          <cell r="A4013">
            <v>53545</v>
          </cell>
          <cell r="B4013">
            <v>41579</v>
          </cell>
        </row>
        <row r="4014">
          <cell r="A4014">
            <v>53407</v>
          </cell>
          <cell r="B4014">
            <v>41579</v>
          </cell>
        </row>
        <row r="4015">
          <cell r="A4015">
            <v>53202</v>
          </cell>
          <cell r="B4015">
            <v>41579</v>
          </cell>
        </row>
        <row r="4016">
          <cell r="A4016">
            <v>52784</v>
          </cell>
          <cell r="B4016">
            <v>41579</v>
          </cell>
        </row>
        <row r="4017">
          <cell r="A4017">
            <v>52693</v>
          </cell>
          <cell r="B4017">
            <v>41579</v>
          </cell>
        </row>
        <row r="4018">
          <cell r="A4018">
            <v>52441</v>
          </cell>
          <cell r="B4018">
            <v>41579</v>
          </cell>
        </row>
        <row r="4019">
          <cell r="A4019">
            <v>52018</v>
          </cell>
          <cell r="B4019">
            <v>41579</v>
          </cell>
        </row>
        <row r="4020">
          <cell r="A4020">
            <v>51080</v>
          </cell>
          <cell r="B4020">
            <v>41579</v>
          </cell>
        </row>
        <row r="4021">
          <cell r="A4021">
            <v>50326</v>
          </cell>
          <cell r="B4021">
            <v>41640</v>
          </cell>
        </row>
        <row r="4022">
          <cell r="A4022">
            <v>50212</v>
          </cell>
          <cell r="B4022">
            <v>41579</v>
          </cell>
        </row>
        <row r="4023">
          <cell r="A4023">
            <v>49785</v>
          </cell>
          <cell r="B4023">
            <v>41579</v>
          </cell>
        </row>
        <row r="4024">
          <cell r="A4024">
            <v>49785</v>
          </cell>
          <cell r="B4024">
            <v>41579</v>
          </cell>
        </row>
        <row r="4025">
          <cell r="A4025">
            <v>49785</v>
          </cell>
          <cell r="B4025">
            <v>41579</v>
          </cell>
        </row>
        <row r="4026">
          <cell r="A4026">
            <v>49785</v>
          </cell>
          <cell r="B4026">
            <v>41579</v>
          </cell>
        </row>
        <row r="4027">
          <cell r="A4027">
            <v>49785</v>
          </cell>
          <cell r="B4027">
            <v>41579</v>
          </cell>
        </row>
        <row r="4028">
          <cell r="A4028">
            <v>49781</v>
          </cell>
          <cell r="B4028">
            <v>41579</v>
          </cell>
        </row>
        <row r="4029">
          <cell r="A4029">
            <v>49659</v>
          </cell>
          <cell r="B4029">
            <v>41579</v>
          </cell>
        </row>
        <row r="4030">
          <cell r="A4030">
            <v>49659</v>
          </cell>
          <cell r="B4030">
            <v>41579</v>
          </cell>
        </row>
        <row r="4031">
          <cell r="A4031">
            <v>48639</v>
          </cell>
          <cell r="B4031">
            <v>41579</v>
          </cell>
        </row>
        <row r="4032">
          <cell r="A4032">
            <v>48553</v>
          </cell>
          <cell r="B4032">
            <v>41579</v>
          </cell>
        </row>
        <row r="4033">
          <cell r="A4033">
            <v>48451</v>
          </cell>
          <cell r="B4033">
            <v>41579</v>
          </cell>
        </row>
        <row r="4034">
          <cell r="A4034">
            <v>48433</v>
          </cell>
          <cell r="B4034">
            <v>41579</v>
          </cell>
        </row>
        <row r="4035">
          <cell r="A4035">
            <v>48304</v>
          </cell>
          <cell r="B4035">
            <v>41579</v>
          </cell>
        </row>
        <row r="4036">
          <cell r="A4036">
            <v>48082</v>
          </cell>
          <cell r="B4036">
            <v>41579</v>
          </cell>
        </row>
        <row r="4037">
          <cell r="A4037">
            <v>47851</v>
          </cell>
          <cell r="B4037">
            <v>41579</v>
          </cell>
        </row>
        <row r="4038">
          <cell r="A4038">
            <v>47818</v>
          </cell>
          <cell r="B4038">
            <v>41579</v>
          </cell>
        </row>
        <row r="4039">
          <cell r="A4039">
            <v>47780</v>
          </cell>
          <cell r="B4039">
            <v>41579</v>
          </cell>
        </row>
        <row r="4040">
          <cell r="A4040">
            <v>47691</v>
          </cell>
          <cell r="B4040">
            <v>41579</v>
          </cell>
        </row>
        <row r="4041">
          <cell r="A4041">
            <v>47282</v>
          </cell>
          <cell r="B4041">
            <v>41579</v>
          </cell>
        </row>
        <row r="4042">
          <cell r="A4042">
            <v>47140</v>
          </cell>
          <cell r="B4042">
            <v>41579</v>
          </cell>
        </row>
        <row r="4043">
          <cell r="A4043">
            <v>46954</v>
          </cell>
          <cell r="B4043">
            <v>41579</v>
          </cell>
        </row>
        <row r="4044">
          <cell r="A4044">
            <v>46947</v>
          </cell>
          <cell r="B4044">
            <v>41579</v>
          </cell>
        </row>
        <row r="4045">
          <cell r="A4045">
            <v>46635</v>
          </cell>
          <cell r="B4045">
            <v>41579</v>
          </cell>
        </row>
        <row r="4046">
          <cell r="A4046">
            <v>46499</v>
          </cell>
          <cell r="B4046">
            <v>41579</v>
          </cell>
        </row>
        <row r="4047">
          <cell r="A4047">
            <v>46251</v>
          </cell>
          <cell r="B4047">
            <v>41579</v>
          </cell>
        </row>
        <row r="4048">
          <cell r="A4048">
            <v>46251</v>
          </cell>
          <cell r="B4048">
            <v>41579</v>
          </cell>
        </row>
        <row r="4049">
          <cell r="A4049">
            <v>45992</v>
          </cell>
          <cell r="B4049">
            <v>41579</v>
          </cell>
        </row>
        <row r="4050">
          <cell r="A4050">
            <v>45962</v>
          </cell>
          <cell r="B4050">
            <v>41579</v>
          </cell>
        </row>
        <row r="4051">
          <cell r="A4051">
            <v>45958</v>
          </cell>
          <cell r="B4051">
            <v>41579</v>
          </cell>
        </row>
        <row r="4052">
          <cell r="A4052">
            <v>45642</v>
          </cell>
          <cell r="B4052">
            <v>41579</v>
          </cell>
        </row>
        <row r="4053">
          <cell r="A4053">
            <v>45365</v>
          </cell>
          <cell r="B4053">
            <v>41579</v>
          </cell>
        </row>
        <row r="4054">
          <cell r="A4054">
            <v>45343</v>
          </cell>
          <cell r="B4054">
            <v>41579</v>
          </cell>
        </row>
        <row r="4055">
          <cell r="A4055">
            <v>45217</v>
          </cell>
          <cell r="B4055">
            <v>41579</v>
          </cell>
        </row>
        <row r="4056">
          <cell r="A4056">
            <v>45078</v>
          </cell>
          <cell r="B4056">
            <v>41579</v>
          </cell>
        </row>
        <row r="4057">
          <cell r="A4057">
            <v>44793</v>
          </cell>
          <cell r="B4057">
            <v>41579</v>
          </cell>
        </row>
        <row r="4058">
          <cell r="A4058">
            <v>44615</v>
          </cell>
          <cell r="B4058">
            <v>41579</v>
          </cell>
        </row>
        <row r="4059">
          <cell r="A4059">
            <v>44546</v>
          </cell>
          <cell r="B4059">
            <v>41579</v>
          </cell>
        </row>
        <row r="4060">
          <cell r="A4060">
            <v>44352</v>
          </cell>
          <cell r="B4060">
            <v>41579</v>
          </cell>
        </row>
        <row r="4061">
          <cell r="A4061">
            <v>44317</v>
          </cell>
          <cell r="B4061">
            <v>41579</v>
          </cell>
        </row>
        <row r="4062">
          <cell r="A4062">
            <v>43928</v>
          </cell>
          <cell r="B4062">
            <v>41640</v>
          </cell>
        </row>
        <row r="4063">
          <cell r="A4063">
            <v>43825</v>
          </cell>
          <cell r="B4063">
            <v>41579</v>
          </cell>
        </row>
        <row r="4064">
          <cell r="A4064">
            <v>43649</v>
          </cell>
          <cell r="B4064">
            <v>41579</v>
          </cell>
        </row>
        <row r="4065">
          <cell r="A4065">
            <v>43126</v>
          </cell>
          <cell r="B4065">
            <v>41579</v>
          </cell>
        </row>
        <row r="4066">
          <cell r="A4066">
            <v>43059</v>
          </cell>
          <cell r="B4066">
            <v>41579</v>
          </cell>
        </row>
        <row r="4067">
          <cell r="A4067">
            <v>42947</v>
          </cell>
          <cell r="B4067">
            <v>41579</v>
          </cell>
        </row>
        <row r="4068">
          <cell r="A4068">
            <v>42878</v>
          </cell>
          <cell r="B4068">
            <v>41579</v>
          </cell>
        </row>
        <row r="4069">
          <cell r="A4069">
            <v>42878</v>
          </cell>
          <cell r="B4069">
            <v>41579</v>
          </cell>
        </row>
        <row r="4070">
          <cell r="A4070">
            <v>42802</v>
          </cell>
          <cell r="B4070">
            <v>41579</v>
          </cell>
        </row>
        <row r="4071">
          <cell r="A4071">
            <v>42308</v>
          </cell>
          <cell r="B4071">
            <v>41579</v>
          </cell>
        </row>
        <row r="4072">
          <cell r="A4072">
            <v>42217</v>
          </cell>
          <cell r="B4072">
            <v>41579</v>
          </cell>
        </row>
        <row r="4073">
          <cell r="A4073">
            <v>42212</v>
          </cell>
          <cell r="B4073">
            <v>41579</v>
          </cell>
        </row>
        <row r="4074">
          <cell r="A4074">
            <v>42201</v>
          </cell>
          <cell r="B4074">
            <v>41579</v>
          </cell>
        </row>
        <row r="4075">
          <cell r="A4075">
            <v>41879</v>
          </cell>
          <cell r="B4075">
            <v>41579</v>
          </cell>
        </row>
        <row r="4076">
          <cell r="A4076">
            <v>41584</v>
          </cell>
          <cell r="B4076">
            <v>41579</v>
          </cell>
        </row>
        <row r="4077">
          <cell r="A4077">
            <v>41041</v>
          </cell>
          <cell r="B4077">
            <v>41579</v>
          </cell>
        </row>
        <row r="4078">
          <cell r="A4078">
            <v>40466</v>
          </cell>
          <cell r="B4078" t="str">
            <v>PAS DE COUT ADDITIONNEL</v>
          </cell>
        </row>
        <row r="4079">
          <cell r="A4079">
            <v>39953</v>
          </cell>
          <cell r="B4079">
            <v>41579</v>
          </cell>
        </row>
        <row r="4080">
          <cell r="A4080">
            <v>39493</v>
          </cell>
          <cell r="B4080">
            <v>41579</v>
          </cell>
        </row>
        <row r="4081">
          <cell r="A4081">
            <v>38442</v>
          </cell>
          <cell r="B4081">
            <v>41579</v>
          </cell>
        </row>
        <row r="4082">
          <cell r="A4082">
            <v>38422</v>
          </cell>
          <cell r="B4082">
            <v>41579</v>
          </cell>
        </row>
        <row r="4083">
          <cell r="A4083">
            <v>37920</v>
          </cell>
          <cell r="B4083">
            <v>41579</v>
          </cell>
        </row>
        <row r="4084">
          <cell r="A4084">
            <v>37500</v>
          </cell>
          <cell r="B4084">
            <v>41579</v>
          </cell>
        </row>
        <row r="4085">
          <cell r="A4085">
            <v>37475</v>
          </cell>
          <cell r="B4085">
            <v>41579</v>
          </cell>
        </row>
        <row r="4086">
          <cell r="A4086">
            <v>37400</v>
          </cell>
          <cell r="B4086">
            <v>41579</v>
          </cell>
        </row>
        <row r="4087">
          <cell r="A4087">
            <v>37060</v>
          </cell>
          <cell r="B4087">
            <v>41579</v>
          </cell>
        </row>
        <row r="4088">
          <cell r="A4088">
            <v>36798</v>
          </cell>
          <cell r="B4088">
            <v>41579</v>
          </cell>
        </row>
        <row r="4089">
          <cell r="A4089">
            <v>36769</v>
          </cell>
          <cell r="B4089">
            <v>41579</v>
          </cell>
        </row>
        <row r="4090">
          <cell r="A4090">
            <v>36639</v>
          </cell>
          <cell r="B4090">
            <v>41579</v>
          </cell>
        </row>
        <row r="4091">
          <cell r="A4091">
            <v>36439</v>
          </cell>
          <cell r="B4091">
            <v>41579</v>
          </cell>
        </row>
        <row r="4092">
          <cell r="A4092">
            <v>36120</v>
          </cell>
          <cell r="B4092">
            <v>41579</v>
          </cell>
        </row>
        <row r="4093">
          <cell r="A4093">
            <v>35924</v>
          </cell>
          <cell r="B4093">
            <v>41579</v>
          </cell>
        </row>
        <row r="4094">
          <cell r="A4094">
            <v>35780</v>
          </cell>
          <cell r="B4094">
            <v>41579</v>
          </cell>
        </row>
        <row r="4095">
          <cell r="A4095">
            <v>35628</v>
          </cell>
          <cell r="B4095">
            <v>41579</v>
          </cell>
        </row>
        <row r="4096">
          <cell r="A4096">
            <v>35565</v>
          </cell>
          <cell r="B4096">
            <v>41579</v>
          </cell>
        </row>
        <row r="4097">
          <cell r="A4097">
            <v>35551</v>
          </cell>
          <cell r="B4097">
            <v>41579</v>
          </cell>
        </row>
        <row r="4098">
          <cell r="A4098">
            <v>35549</v>
          </cell>
          <cell r="B4098">
            <v>41579</v>
          </cell>
        </row>
        <row r="4099">
          <cell r="A4099">
            <v>35472</v>
          </cell>
          <cell r="B4099">
            <v>41579</v>
          </cell>
        </row>
        <row r="4100">
          <cell r="A4100">
            <v>35457</v>
          </cell>
          <cell r="B4100">
            <v>41579</v>
          </cell>
        </row>
        <row r="4101">
          <cell r="A4101">
            <v>35095</v>
          </cell>
          <cell r="B4101">
            <v>41579</v>
          </cell>
        </row>
        <row r="4102">
          <cell r="A4102">
            <v>35028</v>
          </cell>
          <cell r="B4102">
            <v>41579</v>
          </cell>
        </row>
        <row r="4103">
          <cell r="A4103">
            <v>34754</v>
          </cell>
          <cell r="B4103">
            <v>41579</v>
          </cell>
        </row>
        <row r="4104">
          <cell r="A4104">
            <v>34723</v>
          </cell>
          <cell r="B4104">
            <v>41579</v>
          </cell>
        </row>
        <row r="4105">
          <cell r="A4105">
            <v>34723</v>
          </cell>
          <cell r="B4105">
            <v>41579</v>
          </cell>
        </row>
        <row r="4106">
          <cell r="A4106">
            <v>34707</v>
          </cell>
          <cell r="B4106">
            <v>41579</v>
          </cell>
        </row>
        <row r="4107">
          <cell r="A4107">
            <v>34466</v>
          </cell>
          <cell r="B4107">
            <v>41579</v>
          </cell>
        </row>
        <row r="4108">
          <cell r="A4108">
            <v>34348</v>
          </cell>
          <cell r="B4108">
            <v>41579</v>
          </cell>
        </row>
        <row r="4109">
          <cell r="A4109">
            <v>34170</v>
          </cell>
          <cell r="B4109">
            <v>41579</v>
          </cell>
        </row>
        <row r="4110">
          <cell r="A4110">
            <v>34166</v>
          </cell>
          <cell r="B4110">
            <v>41579</v>
          </cell>
        </row>
        <row r="4111">
          <cell r="A4111">
            <v>33758</v>
          </cell>
          <cell r="B4111">
            <v>41579</v>
          </cell>
        </row>
        <row r="4112">
          <cell r="A4112">
            <v>33669</v>
          </cell>
          <cell r="B4112">
            <v>41579</v>
          </cell>
        </row>
        <row r="4113">
          <cell r="A4113">
            <v>33579</v>
          </cell>
          <cell r="B4113">
            <v>41579</v>
          </cell>
        </row>
        <row r="4114">
          <cell r="A4114">
            <v>33528</v>
          </cell>
          <cell r="B4114">
            <v>41579</v>
          </cell>
        </row>
        <row r="4115">
          <cell r="A4115">
            <v>33511</v>
          </cell>
          <cell r="B4115">
            <v>41579</v>
          </cell>
        </row>
        <row r="4116">
          <cell r="A4116">
            <v>33102</v>
          </cell>
          <cell r="B4116">
            <v>41579</v>
          </cell>
        </row>
        <row r="4117">
          <cell r="A4117">
            <v>33067</v>
          </cell>
          <cell r="B4117">
            <v>41579</v>
          </cell>
        </row>
        <row r="4118">
          <cell r="A4118">
            <v>32919</v>
          </cell>
          <cell r="B4118">
            <v>41579</v>
          </cell>
        </row>
        <row r="4119">
          <cell r="A4119">
            <v>32808</v>
          </cell>
          <cell r="B4119">
            <v>41579</v>
          </cell>
        </row>
        <row r="4120">
          <cell r="A4120">
            <v>32750</v>
          </cell>
          <cell r="B4120">
            <v>41579</v>
          </cell>
        </row>
        <row r="4121">
          <cell r="A4121">
            <v>32570</v>
          </cell>
          <cell r="B4121">
            <v>41579</v>
          </cell>
        </row>
        <row r="4122">
          <cell r="A4122">
            <v>32360</v>
          </cell>
          <cell r="B4122">
            <v>41579</v>
          </cell>
        </row>
        <row r="4123">
          <cell r="A4123">
            <v>32229</v>
          </cell>
          <cell r="B4123">
            <v>41579</v>
          </cell>
        </row>
        <row r="4124">
          <cell r="A4124">
            <v>32201</v>
          </cell>
          <cell r="B4124">
            <v>41579</v>
          </cell>
        </row>
        <row r="4125">
          <cell r="A4125">
            <v>32201</v>
          </cell>
          <cell r="B4125">
            <v>41579</v>
          </cell>
        </row>
        <row r="4126">
          <cell r="A4126">
            <v>31945</v>
          </cell>
          <cell r="B4126">
            <v>41579</v>
          </cell>
        </row>
        <row r="4127">
          <cell r="A4127">
            <v>31668</v>
          </cell>
          <cell r="B4127">
            <v>41579</v>
          </cell>
        </row>
        <row r="4128">
          <cell r="A4128">
            <v>31483</v>
          </cell>
          <cell r="B4128">
            <v>41579</v>
          </cell>
        </row>
        <row r="4129">
          <cell r="A4129">
            <v>31446</v>
          </cell>
          <cell r="B4129">
            <v>41579</v>
          </cell>
        </row>
        <row r="4130">
          <cell r="A4130">
            <v>31403</v>
          </cell>
          <cell r="B4130">
            <v>41579</v>
          </cell>
        </row>
        <row r="4131">
          <cell r="A4131">
            <v>31207</v>
          </cell>
          <cell r="B4131">
            <v>41579</v>
          </cell>
        </row>
        <row r="4132">
          <cell r="A4132">
            <v>30916</v>
          </cell>
          <cell r="B4132">
            <v>41579</v>
          </cell>
        </row>
        <row r="4133">
          <cell r="A4133">
            <v>30836</v>
          </cell>
          <cell r="B4133">
            <v>41579</v>
          </cell>
        </row>
        <row r="4134">
          <cell r="A4134">
            <v>30739</v>
          </cell>
          <cell r="B4134">
            <v>41579</v>
          </cell>
        </row>
        <row r="4135">
          <cell r="A4135">
            <v>30623</v>
          </cell>
          <cell r="B4135">
            <v>41579</v>
          </cell>
        </row>
        <row r="4136">
          <cell r="A4136">
            <v>30440</v>
          </cell>
          <cell r="B4136">
            <v>41579</v>
          </cell>
        </row>
        <row r="4137">
          <cell r="A4137">
            <v>30431</v>
          </cell>
          <cell r="B4137">
            <v>41579</v>
          </cell>
        </row>
        <row r="4138">
          <cell r="A4138">
            <v>30342</v>
          </cell>
          <cell r="B4138">
            <v>41579</v>
          </cell>
        </row>
        <row r="4139">
          <cell r="A4139">
            <v>30164</v>
          </cell>
          <cell r="B4139">
            <v>41579</v>
          </cell>
        </row>
        <row r="4140">
          <cell r="A4140">
            <v>30142</v>
          </cell>
          <cell r="B4140">
            <v>41579</v>
          </cell>
        </row>
        <row r="4141">
          <cell r="A4141">
            <v>30104</v>
          </cell>
          <cell r="B4141">
            <v>41579</v>
          </cell>
        </row>
        <row r="4142">
          <cell r="A4142">
            <v>29810</v>
          </cell>
          <cell r="B4142">
            <v>41579</v>
          </cell>
        </row>
        <row r="4143">
          <cell r="A4143">
            <v>29728</v>
          </cell>
          <cell r="B4143">
            <v>41579</v>
          </cell>
        </row>
        <row r="4144">
          <cell r="A4144">
            <v>29410</v>
          </cell>
          <cell r="B4144">
            <v>41579</v>
          </cell>
        </row>
        <row r="4145">
          <cell r="A4145">
            <v>29350</v>
          </cell>
          <cell r="B4145">
            <v>41579</v>
          </cell>
        </row>
        <row r="4146">
          <cell r="A4146">
            <v>28896</v>
          </cell>
          <cell r="B4146">
            <v>41579</v>
          </cell>
        </row>
        <row r="4147">
          <cell r="A4147">
            <v>28798</v>
          </cell>
          <cell r="B4147">
            <v>41579</v>
          </cell>
        </row>
        <row r="4148">
          <cell r="A4148">
            <v>28757</v>
          </cell>
          <cell r="B4148">
            <v>41579</v>
          </cell>
        </row>
        <row r="4149">
          <cell r="A4149">
            <v>28680</v>
          </cell>
          <cell r="B4149">
            <v>41579</v>
          </cell>
        </row>
        <row r="4150">
          <cell r="A4150">
            <v>28440</v>
          </cell>
          <cell r="B4150">
            <v>41579</v>
          </cell>
        </row>
        <row r="4151">
          <cell r="A4151">
            <v>28089</v>
          </cell>
          <cell r="B4151">
            <v>41579</v>
          </cell>
        </row>
        <row r="4152">
          <cell r="A4152">
            <v>28089</v>
          </cell>
          <cell r="B4152">
            <v>41579</v>
          </cell>
        </row>
        <row r="4153">
          <cell r="A4153">
            <v>27712</v>
          </cell>
          <cell r="B4153">
            <v>41579</v>
          </cell>
        </row>
        <row r="4154">
          <cell r="A4154">
            <v>27660</v>
          </cell>
          <cell r="B4154">
            <v>41579</v>
          </cell>
        </row>
        <row r="4155">
          <cell r="A4155">
            <v>27660</v>
          </cell>
          <cell r="B4155">
            <v>41579</v>
          </cell>
        </row>
        <row r="4156">
          <cell r="A4156">
            <v>27221</v>
          </cell>
          <cell r="B4156">
            <v>41579</v>
          </cell>
        </row>
        <row r="4157">
          <cell r="A4157">
            <v>27079</v>
          </cell>
          <cell r="B4157">
            <v>41579</v>
          </cell>
        </row>
        <row r="4158">
          <cell r="A4158">
            <v>27073</v>
          </cell>
          <cell r="B4158">
            <v>41579</v>
          </cell>
        </row>
        <row r="4159">
          <cell r="A4159">
            <v>27073</v>
          </cell>
          <cell r="B4159">
            <v>41579</v>
          </cell>
        </row>
        <row r="4160">
          <cell r="A4160">
            <v>26008</v>
          </cell>
          <cell r="B4160">
            <v>41640</v>
          </cell>
        </row>
        <row r="4161">
          <cell r="A4161">
            <v>25818</v>
          </cell>
          <cell r="B4161">
            <v>41579</v>
          </cell>
        </row>
        <row r="4162">
          <cell r="A4162">
            <v>25810</v>
          </cell>
          <cell r="B4162">
            <v>41579</v>
          </cell>
        </row>
        <row r="4163">
          <cell r="A4163">
            <v>25423</v>
          </cell>
          <cell r="B4163">
            <v>41579</v>
          </cell>
        </row>
        <row r="4164">
          <cell r="A4164">
            <v>25200</v>
          </cell>
          <cell r="B4164">
            <v>41579</v>
          </cell>
        </row>
        <row r="4165">
          <cell r="A4165">
            <v>24748</v>
          </cell>
          <cell r="B4165">
            <v>41579</v>
          </cell>
        </row>
        <row r="4166">
          <cell r="A4166">
            <v>24745</v>
          </cell>
          <cell r="B4166">
            <v>41579</v>
          </cell>
        </row>
        <row r="4167">
          <cell r="A4167">
            <v>24455</v>
          </cell>
          <cell r="B4167">
            <v>41579</v>
          </cell>
        </row>
        <row r="4168">
          <cell r="A4168">
            <v>24454</v>
          </cell>
          <cell r="B4168">
            <v>41579</v>
          </cell>
        </row>
        <row r="4169">
          <cell r="A4169">
            <v>24420</v>
          </cell>
          <cell r="B4169">
            <v>41579</v>
          </cell>
        </row>
        <row r="4170">
          <cell r="A4170">
            <v>24326</v>
          </cell>
          <cell r="B4170">
            <v>41579</v>
          </cell>
        </row>
        <row r="4171">
          <cell r="A4171">
            <v>24230</v>
          </cell>
          <cell r="B4171">
            <v>41579</v>
          </cell>
        </row>
        <row r="4172">
          <cell r="A4172">
            <v>23968</v>
          </cell>
          <cell r="B4172">
            <v>41579</v>
          </cell>
        </row>
        <row r="4173">
          <cell r="A4173">
            <v>23678</v>
          </cell>
          <cell r="B4173">
            <v>41579</v>
          </cell>
        </row>
        <row r="4174">
          <cell r="A4174">
            <v>23466</v>
          </cell>
          <cell r="B4174">
            <v>41579</v>
          </cell>
        </row>
        <row r="4175">
          <cell r="A4175">
            <v>23199</v>
          </cell>
          <cell r="B4175">
            <v>41579</v>
          </cell>
        </row>
        <row r="4176">
          <cell r="A4176">
            <v>23157</v>
          </cell>
          <cell r="B4176">
            <v>41579</v>
          </cell>
        </row>
        <row r="4177">
          <cell r="A4177">
            <v>22806</v>
          </cell>
          <cell r="B4177">
            <v>41579</v>
          </cell>
        </row>
        <row r="4178">
          <cell r="A4178">
            <v>22785</v>
          </cell>
          <cell r="B4178">
            <v>41579</v>
          </cell>
        </row>
        <row r="4179">
          <cell r="A4179">
            <v>22712</v>
          </cell>
          <cell r="B4179">
            <v>41579</v>
          </cell>
        </row>
        <row r="4180">
          <cell r="A4180">
            <v>22379</v>
          </cell>
          <cell r="B4180">
            <v>41579</v>
          </cell>
        </row>
        <row r="4181">
          <cell r="A4181">
            <v>22188</v>
          </cell>
          <cell r="B4181">
            <v>41579</v>
          </cell>
        </row>
        <row r="4182">
          <cell r="A4182">
            <v>21787</v>
          </cell>
          <cell r="B4182">
            <v>41579</v>
          </cell>
        </row>
        <row r="4183">
          <cell r="A4183">
            <v>21784</v>
          </cell>
          <cell r="B4183">
            <v>41579</v>
          </cell>
        </row>
        <row r="4184">
          <cell r="A4184">
            <v>21260</v>
          </cell>
          <cell r="B4184">
            <v>41579</v>
          </cell>
        </row>
        <row r="4185">
          <cell r="A4185">
            <v>21158</v>
          </cell>
          <cell r="B4185">
            <v>41579</v>
          </cell>
        </row>
        <row r="4186">
          <cell r="A4186">
            <v>21129</v>
          </cell>
          <cell r="B4186">
            <v>41579</v>
          </cell>
        </row>
        <row r="4187">
          <cell r="A4187">
            <v>20960</v>
          </cell>
          <cell r="B4187">
            <v>41579</v>
          </cell>
        </row>
        <row r="4188">
          <cell r="A4188">
            <v>20915</v>
          </cell>
          <cell r="B4188">
            <v>41579</v>
          </cell>
        </row>
        <row r="4189">
          <cell r="A4189">
            <v>20891</v>
          </cell>
          <cell r="B4189">
            <v>41579</v>
          </cell>
        </row>
        <row r="4190">
          <cell r="A4190">
            <v>20696</v>
          </cell>
          <cell r="B4190">
            <v>41579</v>
          </cell>
        </row>
        <row r="4191">
          <cell r="A4191">
            <v>19972</v>
          </cell>
          <cell r="B4191">
            <v>41640</v>
          </cell>
        </row>
        <row r="4192">
          <cell r="A4192">
            <v>19681</v>
          </cell>
          <cell r="B4192">
            <v>41579</v>
          </cell>
        </row>
        <row r="4193">
          <cell r="A4193">
            <v>19635</v>
          </cell>
          <cell r="B4193">
            <v>41579</v>
          </cell>
        </row>
        <row r="4194">
          <cell r="A4194">
            <v>19486</v>
          </cell>
          <cell r="B4194">
            <v>41579</v>
          </cell>
        </row>
        <row r="4195">
          <cell r="A4195">
            <v>19439</v>
          </cell>
          <cell r="B4195">
            <v>41579</v>
          </cell>
        </row>
        <row r="4196">
          <cell r="A4196">
            <v>19212</v>
          </cell>
          <cell r="B4196">
            <v>41579</v>
          </cell>
        </row>
        <row r="4197">
          <cell r="A4197">
            <v>18915</v>
          </cell>
          <cell r="B4197">
            <v>41579</v>
          </cell>
        </row>
        <row r="4198">
          <cell r="A4198">
            <v>18603</v>
          </cell>
          <cell r="B4198">
            <v>41579</v>
          </cell>
        </row>
        <row r="4199">
          <cell r="A4199">
            <v>18538</v>
          </cell>
          <cell r="B4199">
            <v>41579</v>
          </cell>
        </row>
        <row r="4200">
          <cell r="A4200">
            <v>18252</v>
          </cell>
          <cell r="B4200">
            <v>41579</v>
          </cell>
        </row>
        <row r="4201">
          <cell r="A4201">
            <v>18252</v>
          </cell>
          <cell r="B4201">
            <v>41579</v>
          </cell>
        </row>
        <row r="4202">
          <cell r="A4202">
            <v>17926</v>
          </cell>
          <cell r="B4202">
            <v>41579</v>
          </cell>
        </row>
        <row r="4203">
          <cell r="A4203">
            <v>17772</v>
          </cell>
          <cell r="B4203">
            <v>41579</v>
          </cell>
        </row>
        <row r="4204">
          <cell r="A4204">
            <v>17477</v>
          </cell>
          <cell r="B4204">
            <v>41579</v>
          </cell>
        </row>
        <row r="4205">
          <cell r="A4205">
            <v>17450</v>
          </cell>
          <cell r="B4205">
            <v>41579</v>
          </cell>
        </row>
        <row r="4206">
          <cell r="A4206">
            <v>16910</v>
          </cell>
          <cell r="B4206">
            <v>41579</v>
          </cell>
        </row>
        <row r="4207">
          <cell r="A4207">
            <v>16270</v>
          </cell>
          <cell r="B4207">
            <v>41579</v>
          </cell>
        </row>
        <row r="4208">
          <cell r="A4208">
            <v>16223</v>
          </cell>
          <cell r="B4208">
            <v>41579</v>
          </cell>
        </row>
        <row r="4209">
          <cell r="A4209">
            <v>15182</v>
          </cell>
          <cell r="B4209">
            <v>41640</v>
          </cell>
        </row>
        <row r="4210">
          <cell r="A4210">
            <v>14756</v>
          </cell>
          <cell r="B4210">
            <v>41579</v>
          </cell>
        </row>
        <row r="4211">
          <cell r="A4211">
            <v>14749</v>
          </cell>
          <cell r="B4211">
            <v>41579</v>
          </cell>
        </row>
        <row r="4212">
          <cell r="A4212">
            <v>14735</v>
          </cell>
          <cell r="B4212">
            <v>41579</v>
          </cell>
        </row>
        <row r="4213">
          <cell r="A4213">
            <v>14573</v>
          </cell>
          <cell r="B4213">
            <v>41579</v>
          </cell>
        </row>
        <row r="4214">
          <cell r="A4214">
            <v>14456</v>
          </cell>
          <cell r="B4214">
            <v>41579</v>
          </cell>
        </row>
        <row r="4215">
          <cell r="A4215">
            <v>14291</v>
          </cell>
          <cell r="B4215">
            <v>41579</v>
          </cell>
        </row>
        <row r="4216">
          <cell r="A4216">
            <v>14172</v>
          </cell>
          <cell r="B4216">
            <v>41579</v>
          </cell>
        </row>
        <row r="4217">
          <cell r="A4217">
            <v>14172</v>
          </cell>
          <cell r="B4217">
            <v>41579</v>
          </cell>
        </row>
        <row r="4218">
          <cell r="A4218">
            <v>13806</v>
          </cell>
          <cell r="B4218">
            <v>41579</v>
          </cell>
        </row>
        <row r="4219">
          <cell r="A4219">
            <v>13670</v>
          </cell>
          <cell r="B4219">
            <v>41579</v>
          </cell>
        </row>
        <row r="4220">
          <cell r="A4220">
            <v>13596</v>
          </cell>
          <cell r="B4220">
            <v>41579</v>
          </cell>
        </row>
        <row r="4221">
          <cell r="A4221">
            <v>13550</v>
          </cell>
          <cell r="B4221">
            <v>41579</v>
          </cell>
        </row>
        <row r="4222">
          <cell r="A4222">
            <v>13502</v>
          </cell>
          <cell r="B4222">
            <v>41579</v>
          </cell>
        </row>
        <row r="4223">
          <cell r="A4223">
            <v>12808</v>
          </cell>
          <cell r="B4223">
            <v>41579</v>
          </cell>
        </row>
        <row r="4224">
          <cell r="A4224">
            <v>12423</v>
          </cell>
          <cell r="B4224">
            <v>41579</v>
          </cell>
        </row>
        <row r="4225">
          <cell r="A4225">
            <v>12388</v>
          </cell>
          <cell r="B4225">
            <v>41579</v>
          </cell>
        </row>
        <row r="4226">
          <cell r="A4226">
            <v>12086</v>
          </cell>
          <cell r="B4226">
            <v>41579</v>
          </cell>
        </row>
        <row r="4227">
          <cell r="A4227">
            <v>12029</v>
          </cell>
          <cell r="B4227">
            <v>41579</v>
          </cell>
        </row>
        <row r="4228">
          <cell r="A4228">
            <v>11817</v>
          </cell>
          <cell r="B4228">
            <v>41579</v>
          </cell>
        </row>
        <row r="4229">
          <cell r="A4229">
            <v>11433</v>
          </cell>
          <cell r="B4229">
            <v>41579</v>
          </cell>
        </row>
        <row r="4230">
          <cell r="A4230">
            <v>11189</v>
          </cell>
          <cell r="B4230">
            <v>41579</v>
          </cell>
        </row>
        <row r="4231">
          <cell r="A4231">
            <v>10734</v>
          </cell>
          <cell r="B4231">
            <v>41579</v>
          </cell>
        </row>
        <row r="4232">
          <cell r="A4232">
            <v>10456</v>
          </cell>
          <cell r="B4232">
            <v>41579</v>
          </cell>
        </row>
        <row r="4233">
          <cell r="A4233">
            <v>10418</v>
          </cell>
          <cell r="B4233">
            <v>41579</v>
          </cell>
        </row>
        <row r="4234">
          <cell r="A4234">
            <v>9993</v>
          </cell>
          <cell r="B4234">
            <v>41579</v>
          </cell>
        </row>
        <row r="4235">
          <cell r="A4235">
            <v>9710</v>
          </cell>
          <cell r="B4235">
            <v>41579</v>
          </cell>
        </row>
        <row r="4236">
          <cell r="A4236">
            <v>9619</v>
          </cell>
          <cell r="B4236">
            <v>41579</v>
          </cell>
        </row>
        <row r="4237">
          <cell r="A4237">
            <v>9610</v>
          </cell>
          <cell r="B4237">
            <v>41579</v>
          </cell>
        </row>
        <row r="4238">
          <cell r="A4238">
            <v>9376</v>
          </cell>
          <cell r="B4238">
            <v>41579</v>
          </cell>
        </row>
        <row r="4239">
          <cell r="A4239">
            <v>9129</v>
          </cell>
          <cell r="B4239">
            <v>41579</v>
          </cell>
        </row>
        <row r="4240">
          <cell r="A4240">
            <v>9106</v>
          </cell>
          <cell r="B4240">
            <v>41579</v>
          </cell>
        </row>
        <row r="4241">
          <cell r="A4241">
            <v>9004</v>
          </cell>
          <cell r="B4241">
            <v>41579</v>
          </cell>
        </row>
        <row r="4242">
          <cell r="A4242">
            <v>8619</v>
          </cell>
          <cell r="B4242">
            <v>41579</v>
          </cell>
        </row>
        <row r="4243">
          <cell r="A4243">
            <v>8214</v>
          </cell>
          <cell r="B4243">
            <v>41579</v>
          </cell>
        </row>
        <row r="4244">
          <cell r="A4244">
            <v>7802</v>
          </cell>
          <cell r="B4244">
            <v>41579</v>
          </cell>
        </row>
        <row r="4245">
          <cell r="A4245">
            <v>7490</v>
          </cell>
          <cell r="B4245">
            <v>41579</v>
          </cell>
        </row>
        <row r="4246">
          <cell r="A4246">
            <v>7420</v>
          </cell>
          <cell r="B4246">
            <v>41579</v>
          </cell>
        </row>
        <row r="4247">
          <cell r="A4247">
            <v>6929</v>
          </cell>
          <cell r="B4247">
            <v>41579</v>
          </cell>
        </row>
        <row r="4248">
          <cell r="A4248">
            <v>6841</v>
          </cell>
          <cell r="B4248">
            <v>41579</v>
          </cell>
        </row>
        <row r="4249">
          <cell r="A4249">
            <v>6703</v>
          </cell>
          <cell r="B4249">
            <v>41579</v>
          </cell>
        </row>
        <row r="4250">
          <cell r="A4250">
            <v>6444</v>
          </cell>
          <cell r="B4250">
            <v>41579</v>
          </cell>
        </row>
        <row r="4251">
          <cell r="A4251">
            <v>6349</v>
          </cell>
          <cell r="B4251">
            <v>41579</v>
          </cell>
        </row>
        <row r="4252">
          <cell r="A4252">
            <v>6274</v>
          </cell>
          <cell r="B4252">
            <v>41640</v>
          </cell>
        </row>
        <row r="4253">
          <cell r="A4253">
            <v>6146</v>
          </cell>
          <cell r="B4253">
            <v>41579</v>
          </cell>
        </row>
        <row r="4254">
          <cell r="A4254">
            <v>6108</v>
          </cell>
          <cell r="B4254">
            <v>41579</v>
          </cell>
        </row>
        <row r="4255">
          <cell r="A4255">
            <v>5911</v>
          </cell>
          <cell r="B4255">
            <v>41579</v>
          </cell>
        </row>
        <row r="4256">
          <cell r="A4256">
            <v>5902</v>
          </cell>
          <cell r="B4256">
            <v>41579</v>
          </cell>
        </row>
        <row r="4257">
          <cell r="A4257">
            <v>5897</v>
          </cell>
          <cell r="B4257">
            <v>41579</v>
          </cell>
        </row>
        <row r="4258">
          <cell r="A4258">
            <v>5508</v>
          </cell>
          <cell r="B4258">
            <v>41579</v>
          </cell>
        </row>
        <row r="4259">
          <cell r="A4259">
            <v>5364</v>
          </cell>
          <cell r="B4259">
            <v>41579</v>
          </cell>
        </row>
        <row r="4260">
          <cell r="A4260">
            <v>5135</v>
          </cell>
          <cell r="B4260">
            <v>41579</v>
          </cell>
        </row>
        <row r="4261">
          <cell r="A4261">
            <v>4851</v>
          </cell>
          <cell r="B4261">
            <v>41640</v>
          </cell>
        </row>
        <row r="4262">
          <cell r="A4262">
            <v>4780</v>
          </cell>
          <cell r="B4262">
            <v>41579</v>
          </cell>
        </row>
        <row r="4263">
          <cell r="A4263">
            <v>4697</v>
          </cell>
          <cell r="B4263">
            <v>41579</v>
          </cell>
        </row>
        <row r="4264">
          <cell r="A4264">
            <v>4607</v>
          </cell>
          <cell r="B4264">
            <v>41579</v>
          </cell>
        </row>
        <row r="4265">
          <cell r="A4265">
            <v>4571</v>
          </cell>
          <cell r="B4265">
            <v>41579</v>
          </cell>
        </row>
        <row r="4266">
          <cell r="A4266">
            <v>4500</v>
          </cell>
          <cell r="B4266">
            <v>41579</v>
          </cell>
        </row>
        <row r="4267">
          <cell r="A4267">
            <v>4420</v>
          </cell>
          <cell r="B4267">
            <v>41579</v>
          </cell>
        </row>
        <row r="4268">
          <cell r="A4268">
            <v>4351</v>
          </cell>
          <cell r="B4268">
            <v>41579</v>
          </cell>
        </row>
        <row r="4269">
          <cell r="A4269">
            <v>4346</v>
          </cell>
          <cell r="B4269">
            <v>41579</v>
          </cell>
        </row>
        <row r="4270">
          <cell r="A4270">
            <v>4206</v>
          </cell>
          <cell r="B4270">
            <v>41579</v>
          </cell>
        </row>
        <row r="4271">
          <cell r="A4271">
            <v>4043</v>
          </cell>
          <cell r="B4271">
            <v>41579</v>
          </cell>
        </row>
        <row r="4272">
          <cell r="A4272">
            <v>4038</v>
          </cell>
          <cell r="B4272">
            <v>41579</v>
          </cell>
        </row>
        <row r="4273">
          <cell r="A4273">
            <v>3918</v>
          </cell>
          <cell r="B4273">
            <v>41640</v>
          </cell>
        </row>
        <row r="4274">
          <cell r="A4274">
            <v>3676</v>
          </cell>
          <cell r="B4274">
            <v>41579</v>
          </cell>
        </row>
        <row r="4275">
          <cell r="A4275">
            <v>3611</v>
          </cell>
          <cell r="B4275">
            <v>41579</v>
          </cell>
        </row>
        <row r="4276">
          <cell r="A4276">
            <v>3576</v>
          </cell>
          <cell r="B4276">
            <v>41579</v>
          </cell>
        </row>
        <row r="4277">
          <cell r="A4277">
            <v>3193</v>
          </cell>
          <cell r="B4277">
            <v>41579</v>
          </cell>
        </row>
        <row r="4278">
          <cell r="A4278">
            <v>3168</v>
          </cell>
          <cell r="B4278">
            <v>41579</v>
          </cell>
        </row>
        <row r="4279">
          <cell r="A4279">
            <v>3127</v>
          </cell>
          <cell r="B4279">
            <v>41579</v>
          </cell>
        </row>
        <row r="4280">
          <cell r="A4280">
            <v>2694</v>
          </cell>
          <cell r="B4280">
            <v>41579</v>
          </cell>
        </row>
        <row r="4281">
          <cell r="A4281">
            <v>1856</v>
          </cell>
          <cell r="B4281" t="str">
            <v xml:space="preserve"> NE CONCERNE PAS REGION IDF</v>
          </cell>
        </row>
        <row r="4282">
          <cell r="A4282">
            <v>1776</v>
          </cell>
          <cell r="B4282">
            <v>41579</v>
          </cell>
        </row>
        <row r="4283">
          <cell r="A4283">
            <v>1767</v>
          </cell>
          <cell r="B4283">
            <v>41579</v>
          </cell>
        </row>
        <row r="4284">
          <cell r="A4284">
            <v>1758</v>
          </cell>
          <cell r="B4284">
            <v>41579</v>
          </cell>
        </row>
        <row r="4285">
          <cell r="A4285">
            <v>1748</v>
          </cell>
          <cell r="B4285">
            <v>41579</v>
          </cell>
        </row>
        <row r="4286">
          <cell r="A4286">
            <v>1733</v>
          </cell>
          <cell r="B4286">
            <v>41579</v>
          </cell>
        </row>
        <row r="4287">
          <cell r="A4287">
            <v>1481</v>
          </cell>
          <cell r="B4287">
            <v>41579</v>
          </cell>
        </row>
        <row r="4288">
          <cell r="A4288">
            <v>1380</v>
          </cell>
          <cell r="B4288">
            <v>41579</v>
          </cell>
        </row>
        <row r="4289">
          <cell r="A4289">
            <v>1112</v>
          </cell>
          <cell r="B4289">
            <v>41579</v>
          </cell>
        </row>
        <row r="4290">
          <cell r="A4290">
            <v>950</v>
          </cell>
          <cell r="B4290">
            <v>41579</v>
          </cell>
        </row>
        <row r="4291">
          <cell r="A4291">
            <v>915</v>
          </cell>
          <cell r="B4291">
            <v>41579</v>
          </cell>
        </row>
        <row r="4292">
          <cell r="A4292">
            <v>874</v>
          </cell>
          <cell r="B4292">
            <v>41579</v>
          </cell>
        </row>
        <row r="4293">
          <cell r="A4293">
            <v>701</v>
          </cell>
          <cell r="B4293">
            <v>41640</v>
          </cell>
        </row>
        <row r="4294">
          <cell r="A4294">
            <v>225</v>
          </cell>
          <cell r="B4294">
            <v>41579</v>
          </cell>
        </row>
        <row r="4295">
          <cell r="A4295">
            <v>48</v>
          </cell>
          <cell r="B4295">
            <v>41579</v>
          </cell>
        </row>
        <row r="4296">
          <cell r="A4296">
            <v>480001</v>
          </cell>
          <cell r="B4296">
            <v>41579</v>
          </cell>
        </row>
        <row r="4297">
          <cell r="A4297" t="str">
            <v>trouvé</v>
          </cell>
          <cell r="B4297">
            <v>41579</v>
          </cell>
        </row>
        <row r="4298">
          <cell r="A4298" t="str">
            <v>trouvé</v>
          </cell>
          <cell r="B4298">
            <v>41579</v>
          </cell>
        </row>
        <row r="4299">
          <cell r="A4299" t="str">
            <v>trouvé</v>
          </cell>
          <cell r="B4299">
            <v>41579</v>
          </cell>
        </row>
        <row r="4300">
          <cell r="A4300" t="str">
            <v>trouvé</v>
          </cell>
          <cell r="B4300">
            <v>41579</v>
          </cell>
        </row>
        <row r="4301">
          <cell r="A4301">
            <v>14174</v>
          </cell>
          <cell r="B4301">
            <v>41579</v>
          </cell>
        </row>
        <row r="4302">
          <cell r="A4302" t="str">
            <v>trouvé</v>
          </cell>
          <cell r="B4302">
            <v>41579</v>
          </cell>
        </row>
        <row r="4303">
          <cell r="A4303" t="str">
            <v>trouvé</v>
          </cell>
          <cell r="B4303">
            <v>41579</v>
          </cell>
        </row>
        <row r="4304">
          <cell r="A4304" t="str">
            <v>trouvé</v>
          </cell>
          <cell r="B4304">
            <v>41579</v>
          </cell>
        </row>
        <row r="4305">
          <cell r="A4305" t="str">
            <v>trouvé</v>
          </cell>
          <cell r="B4305">
            <v>41579</v>
          </cell>
        </row>
        <row r="4306">
          <cell r="A4306" t="str">
            <v>trouvé</v>
          </cell>
          <cell r="B4306">
            <v>41579</v>
          </cell>
        </row>
        <row r="4307">
          <cell r="A4307" t="str">
            <v>trouvé</v>
          </cell>
          <cell r="B4307">
            <v>41579</v>
          </cell>
        </row>
        <row r="4308">
          <cell r="A4308" t="str">
            <v>trouvé</v>
          </cell>
          <cell r="B4308">
            <v>41579</v>
          </cell>
        </row>
        <row r="4309">
          <cell r="A4309" t="str">
            <v>trouvé</v>
          </cell>
          <cell r="B4309">
            <v>41579</v>
          </cell>
        </row>
        <row r="4310">
          <cell r="A4310" t="str">
            <v>trouvé</v>
          </cell>
          <cell r="B4310">
            <v>41579</v>
          </cell>
        </row>
        <row r="4311">
          <cell r="A4311" t="str">
            <v>trouvé</v>
          </cell>
          <cell r="B4311">
            <v>41579</v>
          </cell>
        </row>
        <row r="4312">
          <cell r="A4312" t="e">
            <v>#N/A</v>
          </cell>
          <cell r="B4312" t="str">
            <v xml:space="preserve"> NE CONCERNE PAS REGION IDF</v>
          </cell>
        </row>
        <row r="4313">
          <cell r="A4313" t="e">
            <v>#N/A</v>
          </cell>
          <cell r="B4313" t="str">
            <v xml:space="preserve"> NE CONCERNE PAS REGION IDF</v>
          </cell>
        </row>
        <row r="4314">
          <cell r="A4314" t="e">
            <v>#N/A</v>
          </cell>
          <cell r="B4314" t="str">
            <v xml:space="preserve"> NE CONCERNE PAS REGION IDF</v>
          </cell>
        </row>
        <row r="4315">
          <cell r="A4315" t="e">
            <v>#N/A</v>
          </cell>
          <cell r="B4315" t="str">
            <v xml:space="preserve"> NE CONCERNE PAS REGION IDF</v>
          </cell>
        </row>
        <row r="4316">
          <cell r="A4316" t="e">
            <v>#N/A</v>
          </cell>
          <cell r="B4316" t="str">
            <v xml:space="preserve"> NE CONCERNE PAS REGION IDF</v>
          </cell>
        </row>
        <row r="4317">
          <cell r="A4317" t="e">
            <v>#N/A</v>
          </cell>
          <cell r="B4317" t="str">
            <v xml:space="preserve"> NE CONCERNE PAS REGION IDF</v>
          </cell>
        </row>
        <row r="4318">
          <cell r="A4318" t="e">
            <v>#N/A</v>
          </cell>
          <cell r="B4318" t="str">
            <v xml:space="preserve"> NE CONCERNE PAS REGION IDF</v>
          </cell>
        </row>
        <row r="4319">
          <cell r="A4319" t="e">
            <v>#N/A</v>
          </cell>
          <cell r="B4319" t="str">
            <v xml:space="preserve"> NE CONCERNE PAS REGION IDF</v>
          </cell>
        </row>
        <row r="4320">
          <cell r="A4320" t="e">
            <v>#N/A</v>
          </cell>
          <cell r="B4320" t="str">
            <v xml:space="preserve"> NE CONCERNE PAS REGION IDF</v>
          </cell>
        </row>
        <row r="4321">
          <cell r="A4321" t="e">
            <v>#N/A</v>
          </cell>
          <cell r="B4321" t="str">
            <v xml:space="preserve"> NE CONCERNE PAS REGION IDF</v>
          </cell>
        </row>
        <row r="4322">
          <cell r="A4322" t="e">
            <v>#N/A</v>
          </cell>
          <cell r="B4322" t="str">
            <v xml:space="preserve"> NE CONCERNE PAS REGION IDF</v>
          </cell>
        </row>
        <row r="4323">
          <cell r="A4323" t="e">
            <v>#N/A</v>
          </cell>
          <cell r="B4323" t="str">
            <v xml:space="preserve"> NE CONCERNE PAS REGION IDF</v>
          </cell>
        </row>
        <row r="4324">
          <cell r="A4324" t="e">
            <v>#N/A</v>
          </cell>
          <cell r="B4324" t="str">
            <v xml:space="preserve"> NE CONCERNE PAS REGION IDF</v>
          </cell>
        </row>
        <row r="4325">
          <cell r="A4325" t="e">
            <v>#N/A</v>
          </cell>
          <cell r="B4325" t="str">
            <v xml:space="preserve"> NE CONCERNE PAS REGION IDF</v>
          </cell>
        </row>
        <row r="4326">
          <cell r="A4326" t="e">
            <v>#N/A</v>
          </cell>
          <cell r="B4326" t="str">
            <v xml:space="preserve"> NE CONCERNE PAS REGION IDF</v>
          </cell>
        </row>
        <row r="4327">
          <cell r="A4327" t="e">
            <v>#N/A</v>
          </cell>
          <cell r="B4327" t="str">
            <v xml:space="preserve"> NE CONCERNE PAS REGION IDF</v>
          </cell>
        </row>
        <row r="4328">
          <cell r="A4328" t="e">
            <v>#N/A</v>
          </cell>
          <cell r="B4328" t="str">
            <v xml:space="preserve"> NE CONCERNE PAS REGION IDF</v>
          </cell>
        </row>
        <row r="4329">
          <cell r="A4329" t="e">
            <v>#N/A</v>
          </cell>
          <cell r="B4329" t="str">
            <v xml:space="preserve"> NE CONCERNE PAS REGION IDF</v>
          </cell>
        </row>
        <row r="4330">
          <cell r="A4330" t="e">
            <v>#N/A</v>
          </cell>
          <cell r="B4330" t="str">
            <v xml:space="preserve"> NE CONCERNE PAS REGION IDF</v>
          </cell>
        </row>
        <row r="4331">
          <cell r="A4331" t="e">
            <v>#N/A</v>
          </cell>
          <cell r="B4331" t="str">
            <v xml:space="preserve"> NE CONCERNE PAS REGION IDF</v>
          </cell>
        </row>
        <row r="4332">
          <cell r="A4332" t="e">
            <v>#N/A</v>
          </cell>
          <cell r="B4332" t="str">
            <v xml:space="preserve"> NE CONCERNE PAS REGION IDF</v>
          </cell>
        </row>
        <row r="4333">
          <cell r="A4333" t="e">
            <v>#N/A</v>
          </cell>
          <cell r="B4333" t="str">
            <v xml:space="preserve"> NE CONCERNE PAS REGION IDF</v>
          </cell>
        </row>
        <row r="4334">
          <cell r="A4334" t="e">
            <v>#N/A</v>
          </cell>
          <cell r="B4334" t="str">
            <v xml:space="preserve"> NE CONCERNE PAS REGION IDF</v>
          </cell>
        </row>
        <row r="4335">
          <cell r="A4335" t="e">
            <v>#N/A</v>
          </cell>
          <cell r="B4335" t="str">
            <v xml:space="preserve"> NE CONCERNE PAS REGION IDF</v>
          </cell>
        </row>
        <row r="4336">
          <cell r="A4336" t="e">
            <v>#N/A</v>
          </cell>
          <cell r="B4336" t="str">
            <v xml:space="preserve"> NE CONCERNE PAS REGION IDF</v>
          </cell>
        </row>
        <row r="4337">
          <cell r="A4337" t="e">
            <v>#N/A</v>
          </cell>
          <cell r="B4337" t="str">
            <v xml:space="preserve"> NE CONCERNE PAS REGION IDF</v>
          </cell>
        </row>
        <row r="4338">
          <cell r="A4338" t="e">
            <v>#N/A</v>
          </cell>
          <cell r="B4338" t="str">
            <v xml:space="preserve"> NE CONCERNE PAS REGION IDF</v>
          </cell>
        </row>
        <row r="4339">
          <cell r="A4339" t="e">
            <v>#N/A</v>
          </cell>
          <cell r="B4339" t="str">
            <v xml:space="preserve"> NE CONCERNE PAS REGION IDF</v>
          </cell>
        </row>
        <row r="4340">
          <cell r="A4340" t="e">
            <v>#N/A</v>
          </cell>
          <cell r="B4340" t="str">
            <v xml:space="preserve"> NE CONCERNE PAS REGION IDF</v>
          </cell>
        </row>
        <row r="4341">
          <cell r="A4341" t="e">
            <v>#N/A</v>
          </cell>
          <cell r="B4341" t="str">
            <v xml:space="preserve"> NE CONCERNE PAS REGION IDF</v>
          </cell>
        </row>
        <row r="4342">
          <cell r="A4342" t="e">
            <v>#N/A</v>
          </cell>
          <cell r="B4342" t="str">
            <v xml:space="preserve"> NE CONCERNE PAS REGION IDF</v>
          </cell>
        </row>
        <row r="4343">
          <cell r="A4343" t="e">
            <v>#N/A</v>
          </cell>
          <cell r="B4343" t="str">
            <v xml:space="preserve"> NE CONCERNE PAS REGION IDF</v>
          </cell>
        </row>
        <row r="4344">
          <cell r="A4344" t="e">
            <v>#N/A</v>
          </cell>
          <cell r="B4344" t="str">
            <v xml:space="preserve"> NE CONCERNE PAS REGION IDF</v>
          </cell>
        </row>
        <row r="4345">
          <cell r="A4345" t="e">
            <v>#N/A</v>
          </cell>
          <cell r="B4345" t="str">
            <v xml:space="preserve"> NE CONCERNE PAS REGION IDF</v>
          </cell>
        </row>
        <row r="4346">
          <cell r="A4346" t="e">
            <v>#N/A</v>
          </cell>
          <cell r="B4346" t="str">
            <v xml:space="preserve"> NE CONCERNE PAS REGION IDF</v>
          </cell>
        </row>
        <row r="4347">
          <cell r="A4347" t="e">
            <v>#N/A</v>
          </cell>
          <cell r="B4347" t="str">
            <v xml:space="preserve"> NE CONCERNE PAS REGION IDF</v>
          </cell>
        </row>
        <row r="4348">
          <cell r="A4348" t="e">
            <v>#N/A</v>
          </cell>
          <cell r="B4348" t="str">
            <v xml:space="preserve"> NE CONCERNE PAS REGION IDF</v>
          </cell>
        </row>
        <row r="4349">
          <cell r="A4349" t="e">
            <v>#N/A</v>
          </cell>
          <cell r="B4349" t="str">
            <v xml:space="preserve"> NE CONCERNE PAS REGION IDF</v>
          </cell>
        </row>
        <row r="4350">
          <cell r="A4350" t="e">
            <v>#N/A</v>
          </cell>
          <cell r="B4350" t="str">
            <v xml:space="preserve"> NE CONCERNE PAS REGION IDF</v>
          </cell>
        </row>
        <row r="4351">
          <cell r="A4351" t="e">
            <v>#N/A</v>
          </cell>
          <cell r="B4351" t="str">
            <v xml:space="preserve"> NE CONCERNE PAS REGION IDF</v>
          </cell>
        </row>
        <row r="4352">
          <cell r="A4352" t="e">
            <v>#N/A</v>
          </cell>
          <cell r="B4352" t="str">
            <v xml:space="preserve"> NE CONCERNE PAS REGION IDF</v>
          </cell>
        </row>
        <row r="4353">
          <cell r="A4353" t="e">
            <v>#N/A</v>
          </cell>
          <cell r="B4353" t="str">
            <v xml:space="preserve"> NE CONCERNE PAS REGION IDF</v>
          </cell>
        </row>
        <row r="4354">
          <cell r="A4354" t="e">
            <v>#N/A</v>
          </cell>
          <cell r="B4354" t="str">
            <v xml:space="preserve"> NE CONCERNE PAS REGION IDF</v>
          </cell>
        </row>
        <row r="4355">
          <cell r="A4355" t="e">
            <v>#N/A</v>
          </cell>
          <cell r="B4355" t="str">
            <v xml:space="preserve"> NE CONCERNE PAS REGION IDF</v>
          </cell>
        </row>
        <row r="4356">
          <cell r="A4356" t="e">
            <v>#N/A</v>
          </cell>
          <cell r="B4356" t="str">
            <v xml:space="preserve"> NE CONCERNE PAS REGION IDF</v>
          </cell>
        </row>
        <row r="4357">
          <cell r="A4357" t="e">
            <v>#N/A</v>
          </cell>
          <cell r="B4357" t="str">
            <v xml:space="preserve"> NE CONCERNE PAS REGION IDF</v>
          </cell>
        </row>
        <row r="4358">
          <cell r="A4358" t="e">
            <v>#N/A</v>
          </cell>
          <cell r="B4358" t="str">
            <v xml:space="preserve"> NE CONCERNE PAS REGION IDF</v>
          </cell>
        </row>
        <row r="4359">
          <cell r="A4359" t="e">
            <v>#N/A</v>
          </cell>
          <cell r="B4359" t="str">
            <v xml:space="preserve"> NE CONCERNE PAS REGION IDF</v>
          </cell>
        </row>
        <row r="4360">
          <cell r="A4360" t="e">
            <v>#N/A</v>
          </cell>
          <cell r="B4360" t="str">
            <v xml:space="preserve"> NE CONCERNE PAS REGION IDF</v>
          </cell>
        </row>
        <row r="4361">
          <cell r="A4361" t="e">
            <v>#N/A</v>
          </cell>
          <cell r="B4361" t="str">
            <v xml:space="preserve"> NE CONCERNE PAS REGION IDF</v>
          </cell>
        </row>
        <row r="4362">
          <cell r="A4362" t="e">
            <v>#N/A</v>
          </cell>
          <cell r="B4362" t="str">
            <v xml:space="preserve"> NE CONCERNE PAS REGION IDF</v>
          </cell>
        </row>
        <row r="4363">
          <cell r="A4363" t="e">
            <v>#N/A</v>
          </cell>
          <cell r="B4363" t="str">
            <v xml:space="preserve"> NE CONCERNE PAS REGION IDF</v>
          </cell>
        </row>
        <row r="4364">
          <cell r="A4364" t="e">
            <v>#N/A</v>
          </cell>
          <cell r="B4364" t="str">
            <v xml:space="preserve"> NE CONCERNE PAS REGION IDF</v>
          </cell>
        </row>
        <row r="4365">
          <cell r="A4365" t="e">
            <v>#N/A</v>
          </cell>
          <cell r="B4365" t="str">
            <v xml:space="preserve"> NE CONCERNE PAS REGION IDF</v>
          </cell>
        </row>
        <row r="4366">
          <cell r="A4366" t="e">
            <v>#N/A</v>
          </cell>
          <cell r="B4366" t="str">
            <v xml:space="preserve"> NE CONCERNE PAS REGION IDF</v>
          </cell>
        </row>
        <row r="4367">
          <cell r="A4367" t="e">
            <v>#N/A</v>
          </cell>
          <cell r="B4367" t="str">
            <v xml:space="preserve"> NE CONCERNE PAS REGION IDF</v>
          </cell>
        </row>
        <row r="4368">
          <cell r="A4368" t="e">
            <v>#N/A</v>
          </cell>
          <cell r="B4368" t="str">
            <v xml:space="preserve"> NE CONCERNE PAS REGION IDF</v>
          </cell>
        </row>
        <row r="4369">
          <cell r="A4369" t="e">
            <v>#N/A</v>
          </cell>
          <cell r="B4369" t="str">
            <v xml:space="preserve"> NE CONCERNE PAS REGION IDF</v>
          </cell>
        </row>
        <row r="4370">
          <cell r="A4370" t="e">
            <v>#N/A</v>
          </cell>
          <cell r="B4370" t="str">
            <v xml:space="preserve"> NE CONCERNE PAS REGION IDF</v>
          </cell>
        </row>
        <row r="4371">
          <cell r="A4371" t="e">
            <v>#N/A</v>
          </cell>
          <cell r="B4371" t="str">
            <v xml:space="preserve"> NE CONCERNE PAS REGION IDF</v>
          </cell>
        </row>
        <row r="4372">
          <cell r="A4372" t="e">
            <v>#N/A</v>
          </cell>
          <cell r="B4372" t="str">
            <v xml:space="preserve"> NE CONCERNE PAS REGION IDF</v>
          </cell>
        </row>
        <row r="4373">
          <cell r="A4373" t="e">
            <v>#N/A</v>
          </cell>
          <cell r="B4373" t="str">
            <v xml:space="preserve"> NE CONCERNE PAS REGION IDF</v>
          </cell>
        </row>
        <row r="4374">
          <cell r="A4374" t="e">
            <v>#N/A</v>
          </cell>
          <cell r="B4374" t="str">
            <v xml:space="preserve"> NE CONCERNE PAS REGION IDF</v>
          </cell>
        </row>
        <row r="4375">
          <cell r="A4375" t="e">
            <v>#N/A</v>
          </cell>
          <cell r="B4375" t="str">
            <v xml:space="preserve"> NE CONCERNE PAS REGION IDF</v>
          </cell>
        </row>
        <row r="4376">
          <cell r="A4376" t="e">
            <v>#N/A</v>
          </cell>
          <cell r="B4376" t="str">
            <v xml:space="preserve"> NE CONCERNE PAS REGION IDF</v>
          </cell>
        </row>
        <row r="4377">
          <cell r="A4377" t="e">
            <v>#N/A</v>
          </cell>
          <cell r="B4377" t="str">
            <v xml:space="preserve"> NE CONCERNE PAS REGION IDF</v>
          </cell>
        </row>
        <row r="4378">
          <cell r="A4378" t="e">
            <v>#N/A</v>
          </cell>
          <cell r="B4378" t="str">
            <v xml:space="preserve"> NE CONCERNE PAS REGION IDF</v>
          </cell>
        </row>
        <row r="4379">
          <cell r="A4379" t="e">
            <v>#N/A</v>
          </cell>
          <cell r="B4379" t="str">
            <v xml:space="preserve"> NE CONCERNE PAS REGION IDF</v>
          </cell>
        </row>
        <row r="4380">
          <cell r="A4380" t="e">
            <v>#N/A</v>
          </cell>
          <cell r="B4380" t="str">
            <v xml:space="preserve"> NE CONCERNE PAS REGION IDF</v>
          </cell>
        </row>
        <row r="4381">
          <cell r="A4381" t="e">
            <v>#N/A</v>
          </cell>
          <cell r="B4381" t="str">
            <v xml:space="preserve"> NE CONCERNE PAS REGION IDF</v>
          </cell>
        </row>
        <row r="4382">
          <cell r="A4382" t="e">
            <v>#N/A</v>
          </cell>
          <cell r="B4382" t="str">
            <v xml:space="preserve"> NE CONCERNE PAS REGION IDF</v>
          </cell>
        </row>
        <row r="4383">
          <cell r="A4383" t="e">
            <v>#N/A</v>
          </cell>
          <cell r="B4383" t="str">
            <v xml:space="preserve"> NE CONCERNE PAS REGION IDF</v>
          </cell>
        </row>
        <row r="4384">
          <cell r="A4384" t="e">
            <v>#N/A</v>
          </cell>
          <cell r="B4384" t="str">
            <v xml:space="preserve"> NE CONCERNE PAS REGION IDF</v>
          </cell>
        </row>
        <row r="4385">
          <cell r="A4385" t="e">
            <v>#N/A</v>
          </cell>
          <cell r="B4385" t="str">
            <v xml:space="preserve"> NE CONCERNE PAS REGION IDF</v>
          </cell>
        </row>
        <row r="4386">
          <cell r="A4386" t="e">
            <v>#N/A</v>
          </cell>
          <cell r="B4386" t="str">
            <v xml:space="preserve"> NE CONCERNE PAS REGION IDF</v>
          </cell>
        </row>
        <row r="4387">
          <cell r="A4387" t="e">
            <v>#N/A</v>
          </cell>
          <cell r="B4387" t="str">
            <v xml:space="preserve"> NE CONCERNE PAS REGION IDF</v>
          </cell>
        </row>
        <row r="4388">
          <cell r="A4388" t="e">
            <v>#N/A</v>
          </cell>
          <cell r="B4388" t="str">
            <v xml:space="preserve"> NE CONCERNE PAS REGION IDF</v>
          </cell>
        </row>
        <row r="4389">
          <cell r="A4389" t="e">
            <v>#N/A</v>
          </cell>
          <cell r="B4389" t="str">
            <v xml:space="preserve"> NE CONCERNE PAS REGION IDF</v>
          </cell>
        </row>
        <row r="4390">
          <cell r="A4390" t="e">
            <v>#N/A</v>
          </cell>
          <cell r="B4390" t="str">
            <v xml:space="preserve"> NE CONCERNE PAS REGION IDF</v>
          </cell>
        </row>
        <row r="4391">
          <cell r="A4391" t="e">
            <v>#N/A</v>
          </cell>
          <cell r="B4391" t="str">
            <v xml:space="preserve"> NE CONCERNE PAS REGION IDF</v>
          </cell>
        </row>
        <row r="4392">
          <cell r="A4392" t="e">
            <v>#N/A</v>
          </cell>
          <cell r="B4392" t="str">
            <v xml:space="preserve"> NE CONCERNE PAS REGION IDF</v>
          </cell>
        </row>
        <row r="4393">
          <cell r="A4393" t="e">
            <v>#N/A</v>
          </cell>
          <cell r="B4393" t="str">
            <v xml:space="preserve"> NE CONCERNE PAS REGION IDF</v>
          </cell>
        </row>
        <row r="4394">
          <cell r="A4394" t="e">
            <v>#N/A</v>
          </cell>
          <cell r="B4394" t="str">
            <v xml:space="preserve"> NE CONCERNE PAS REGION IDF</v>
          </cell>
        </row>
        <row r="4395">
          <cell r="A4395" t="e">
            <v>#N/A</v>
          </cell>
          <cell r="B4395" t="str">
            <v xml:space="preserve"> NE CONCERNE PAS REGION IDF</v>
          </cell>
        </row>
        <row r="4396">
          <cell r="A4396">
            <v>645322</v>
          </cell>
          <cell r="B4396">
            <v>41579</v>
          </cell>
        </row>
        <row r="4397">
          <cell r="A4397" t="str">
            <v>trouvé</v>
          </cell>
          <cell r="B4397">
            <v>41579</v>
          </cell>
        </row>
        <row r="4398">
          <cell r="A4398">
            <v>465946</v>
          </cell>
          <cell r="B4398">
            <v>41579</v>
          </cell>
        </row>
        <row r="4399">
          <cell r="A4399" t="str">
            <v>trouvé</v>
          </cell>
          <cell r="B4399">
            <v>41579</v>
          </cell>
        </row>
        <row r="4400">
          <cell r="A4400">
            <v>552557</v>
          </cell>
          <cell r="B4400">
            <v>41579</v>
          </cell>
        </row>
        <row r="4401">
          <cell r="A4401">
            <v>481243</v>
          </cell>
          <cell r="B4401">
            <v>41579</v>
          </cell>
        </row>
        <row r="4402">
          <cell r="A4402">
            <v>511159</v>
          </cell>
          <cell r="B4402">
            <v>41579</v>
          </cell>
        </row>
        <row r="4403">
          <cell r="A4403">
            <v>499872</v>
          </cell>
          <cell r="B4403">
            <v>41579</v>
          </cell>
        </row>
        <row r="4404">
          <cell r="A4404">
            <v>696620</v>
          </cell>
          <cell r="B4404">
            <v>41579</v>
          </cell>
        </row>
        <row r="4405">
          <cell r="A4405">
            <v>302189</v>
          </cell>
          <cell r="B4405">
            <v>41579</v>
          </cell>
        </row>
        <row r="4406">
          <cell r="A4406">
            <v>697924</v>
          </cell>
          <cell r="B4406">
            <v>41579</v>
          </cell>
        </row>
        <row r="4407">
          <cell r="A4407">
            <v>548950</v>
          </cell>
          <cell r="B4407">
            <v>41579</v>
          </cell>
        </row>
        <row r="4408">
          <cell r="A4408">
            <v>496442</v>
          </cell>
          <cell r="B4408">
            <v>41579</v>
          </cell>
        </row>
        <row r="4409">
          <cell r="A4409">
            <v>533076</v>
          </cell>
          <cell r="B4409">
            <v>41579</v>
          </cell>
        </row>
        <row r="4410">
          <cell r="A4410">
            <v>646712</v>
          </cell>
          <cell r="B4410">
            <v>41579</v>
          </cell>
        </row>
        <row r="4411">
          <cell r="A4411">
            <v>678168</v>
          </cell>
          <cell r="B4411">
            <v>41579</v>
          </cell>
        </row>
        <row r="4412">
          <cell r="A4412">
            <v>695779</v>
          </cell>
          <cell r="B4412">
            <v>41579</v>
          </cell>
        </row>
        <row r="4413">
          <cell r="A4413">
            <v>680419</v>
          </cell>
          <cell r="B4413">
            <v>41579</v>
          </cell>
        </row>
        <row r="4414">
          <cell r="A4414">
            <v>490872</v>
          </cell>
          <cell r="B4414">
            <v>41579</v>
          </cell>
        </row>
        <row r="4415">
          <cell r="A4415">
            <v>438125</v>
          </cell>
          <cell r="B4415">
            <v>41579</v>
          </cell>
        </row>
        <row r="4416">
          <cell r="A4416" t="str">
            <v>trouvé</v>
          </cell>
          <cell r="B4416">
            <v>41579</v>
          </cell>
        </row>
        <row r="4417">
          <cell r="A4417">
            <v>376295</v>
          </cell>
          <cell r="B4417">
            <v>41579</v>
          </cell>
        </row>
        <row r="4418">
          <cell r="A4418">
            <v>847121</v>
          </cell>
          <cell r="B4418">
            <v>41579</v>
          </cell>
        </row>
        <row r="4419">
          <cell r="A4419">
            <v>377004</v>
          </cell>
          <cell r="B4419">
            <v>41579</v>
          </cell>
        </row>
        <row r="4420">
          <cell r="A4420">
            <v>442820</v>
          </cell>
          <cell r="B4420">
            <v>41579</v>
          </cell>
        </row>
        <row r="4421">
          <cell r="A4421">
            <v>54604</v>
          </cell>
          <cell r="B4421">
            <v>41579</v>
          </cell>
        </row>
        <row r="4422">
          <cell r="A4422">
            <v>54604</v>
          </cell>
          <cell r="B4422">
            <v>41579</v>
          </cell>
        </row>
        <row r="4423">
          <cell r="A4423">
            <v>54604</v>
          </cell>
          <cell r="B4423">
            <v>41579</v>
          </cell>
        </row>
        <row r="4424">
          <cell r="A4424">
            <v>54604</v>
          </cell>
          <cell r="B4424">
            <v>41579</v>
          </cell>
        </row>
        <row r="4425">
          <cell r="A4425">
            <v>9570</v>
          </cell>
          <cell r="B4425">
            <v>41579</v>
          </cell>
        </row>
        <row r="4426">
          <cell r="A4426" t="str">
            <v>trouvé</v>
          </cell>
          <cell r="B4426">
            <v>41579</v>
          </cell>
        </row>
        <row r="4427">
          <cell r="A4427">
            <v>847121</v>
          </cell>
          <cell r="B4427">
            <v>41579</v>
          </cell>
        </row>
        <row r="4428">
          <cell r="A4428">
            <v>301982</v>
          </cell>
          <cell r="B4428">
            <v>41579</v>
          </cell>
        </row>
        <row r="4429">
          <cell r="A4429">
            <v>475045</v>
          </cell>
          <cell r="B4429">
            <v>41579</v>
          </cell>
        </row>
        <row r="4430">
          <cell r="A4430">
            <v>639099</v>
          </cell>
          <cell r="B4430">
            <v>41579</v>
          </cell>
        </row>
        <row r="4431">
          <cell r="A4431">
            <v>825396</v>
          </cell>
          <cell r="B4431">
            <v>41579</v>
          </cell>
        </row>
        <row r="4432">
          <cell r="A4432" t="str">
            <v>trouvé</v>
          </cell>
          <cell r="B4432">
            <v>41579</v>
          </cell>
        </row>
        <row r="4433">
          <cell r="A4433">
            <v>803810</v>
          </cell>
          <cell r="B4433">
            <v>41579</v>
          </cell>
        </row>
        <row r="4434">
          <cell r="A4434">
            <v>475046</v>
          </cell>
          <cell r="B4434">
            <v>41579</v>
          </cell>
        </row>
        <row r="4435">
          <cell r="A4435">
            <v>817960</v>
          </cell>
          <cell r="B4435">
            <v>41579</v>
          </cell>
        </row>
        <row r="4436">
          <cell r="A4436">
            <v>461429</v>
          </cell>
          <cell r="B4436">
            <v>41579</v>
          </cell>
        </row>
        <row r="4437">
          <cell r="A4437">
            <v>480086</v>
          </cell>
          <cell r="B4437">
            <v>41579</v>
          </cell>
        </row>
        <row r="4438">
          <cell r="A4438">
            <v>399022</v>
          </cell>
          <cell r="B4438">
            <v>41579</v>
          </cell>
        </row>
        <row r="4439">
          <cell r="A4439" t="str">
            <v>trouvé</v>
          </cell>
          <cell r="B4439">
            <v>41579</v>
          </cell>
        </row>
        <row r="4440">
          <cell r="A4440">
            <v>833452</v>
          </cell>
          <cell r="B4440">
            <v>41579</v>
          </cell>
        </row>
        <row r="4441">
          <cell r="A4441">
            <v>300410</v>
          </cell>
          <cell r="B4441">
            <v>41579</v>
          </cell>
        </row>
        <row r="4442">
          <cell r="A4442" t="str">
            <v>trouvé</v>
          </cell>
          <cell r="B4442">
            <v>41579</v>
          </cell>
        </row>
        <row r="4443">
          <cell r="A4443" t="str">
            <v>trouvé</v>
          </cell>
          <cell r="B4443">
            <v>41579</v>
          </cell>
        </row>
        <row r="4444">
          <cell r="A4444">
            <v>839765</v>
          </cell>
          <cell r="B4444">
            <v>41579</v>
          </cell>
        </row>
        <row r="4445">
          <cell r="A4445" t="str">
            <v>trouvé</v>
          </cell>
          <cell r="B4445">
            <v>41579</v>
          </cell>
        </row>
        <row r="4446">
          <cell r="A4446">
            <v>552626</v>
          </cell>
          <cell r="B4446">
            <v>41579</v>
          </cell>
        </row>
        <row r="4447">
          <cell r="A4447">
            <v>386461</v>
          </cell>
          <cell r="B4447">
            <v>41579</v>
          </cell>
        </row>
        <row r="4448">
          <cell r="A4448">
            <v>845624</v>
          </cell>
          <cell r="B4448">
            <v>41579</v>
          </cell>
        </row>
        <row r="4449">
          <cell r="A4449">
            <v>302177</v>
          </cell>
          <cell r="B4449">
            <v>41579</v>
          </cell>
        </row>
        <row r="4450">
          <cell r="A4450">
            <v>302177</v>
          </cell>
          <cell r="B4450">
            <v>41579</v>
          </cell>
        </row>
        <row r="4451">
          <cell r="A4451">
            <v>302177</v>
          </cell>
          <cell r="B4451">
            <v>41579</v>
          </cell>
        </row>
        <row r="4452">
          <cell r="A4452" t="str">
            <v>trouvé</v>
          </cell>
          <cell r="B4452">
            <v>41579</v>
          </cell>
        </row>
        <row r="4453">
          <cell r="A4453" t="str">
            <v>trouvé</v>
          </cell>
          <cell r="B4453">
            <v>41579</v>
          </cell>
        </row>
        <row r="4454">
          <cell r="A4454">
            <v>806537</v>
          </cell>
          <cell r="B4454">
            <v>41579</v>
          </cell>
        </row>
        <row r="4455">
          <cell r="A4455">
            <v>302264</v>
          </cell>
          <cell r="B4455">
            <v>41579</v>
          </cell>
        </row>
        <row r="4456">
          <cell r="A4456">
            <v>20009</v>
          </cell>
          <cell r="B4456">
            <v>41579</v>
          </cell>
        </row>
        <row r="4457">
          <cell r="A4457">
            <v>445073</v>
          </cell>
          <cell r="B4457">
            <v>41579</v>
          </cell>
        </row>
        <row r="4458">
          <cell r="A4458">
            <v>595508</v>
          </cell>
          <cell r="B4458">
            <v>41579</v>
          </cell>
        </row>
        <row r="4459">
          <cell r="A4459">
            <v>810654</v>
          </cell>
          <cell r="B4459">
            <v>41579</v>
          </cell>
        </row>
        <row r="4460">
          <cell r="A4460">
            <v>302385</v>
          </cell>
          <cell r="B4460">
            <v>41579</v>
          </cell>
        </row>
        <row r="4461">
          <cell r="A4461">
            <v>523209</v>
          </cell>
          <cell r="B4461">
            <v>41579</v>
          </cell>
        </row>
        <row r="4462">
          <cell r="A4462">
            <v>492490</v>
          </cell>
          <cell r="B4462">
            <v>41579</v>
          </cell>
        </row>
        <row r="4463">
          <cell r="A4463" t="str">
            <v>trouvé</v>
          </cell>
          <cell r="B4463">
            <v>41579</v>
          </cell>
        </row>
        <row r="4464">
          <cell r="A4464">
            <v>476529</v>
          </cell>
          <cell r="B4464">
            <v>41579</v>
          </cell>
        </row>
        <row r="4465">
          <cell r="A4465">
            <v>476529</v>
          </cell>
          <cell r="B4465">
            <v>41579</v>
          </cell>
        </row>
        <row r="4466">
          <cell r="A4466">
            <v>379508</v>
          </cell>
          <cell r="B4466">
            <v>41579</v>
          </cell>
        </row>
        <row r="4467">
          <cell r="A4467">
            <v>834328</v>
          </cell>
          <cell r="B4467">
            <v>41579</v>
          </cell>
        </row>
        <row r="4468">
          <cell r="A4468">
            <v>564293</v>
          </cell>
          <cell r="B4468">
            <v>41579</v>
          </cell>
        </row>
        <row r="4469">
          <cell r="A4469">
            <v>476222</v>
          </cell>
          <cell r="B4469">
            <v>41579</v>
          </cell>
        </row>
        <row r="4470">
          <cell r="A4470">
            <v>909300</v>
          </cell>
          <cell r="B4470">
            <v>41579</v>
          </cell>
        </row>
        <row r="4471">
          <cell r="A4471">
            <v>909300</v>
          </cell>
          <cell r="B4471">
            <v>41579</v>
          </cell>
        </row>
        <row r="4472">
          <cell r="A4472">
            <v>537682</v>
          </cell>
          <cell r="B4472">
            <v>41579</v>
          </cell>
        </row>
        <row r="4473">
          <cell r="A4473">
            <v>587942</v>
          </cell>
          <cell r="B4473">
            <v>41579</v>
          </cell>
        </row>
        <row r="4474">
          <cell r="A4474">
            <v>681995</v>
          </cell>
          <cell r="B4474">
            <v>41579</v>
          </cell>
        </row>
        <row r="4475">
          <cell r="A4475">
            <v>476529</v>
          </cell>
          <cell r="B4475">
            <v>41579</v>
          </cell>
        </row>
        <row r="4476">
          <cell r="A4476">
            <v>533425</v>
          </cell>
          <cell r="B4476">
            <v>41579</v>
          </cell>
        </row>
        <row r="4477">
          <cell r="A4477">
            <v>533425</v>
          </cell>
          <cell r="B4477">
            <v>41579</v>
          </cell>
        </row>
        <row r="4478">
          <cell r="A4478">
            <v>675112</v>
          </cell>
          <cell r="B4478">
            <v>41579</v>
          </cell>
        </row>
        <row r="4479">
          <cell r="A4479">
            <v>559444</v>
          </cell>
          <cell r="B4479">
            <v>41579</v>
          </cell>
        </row>
        <row r="4480">
          <cell r="A4480">
            <v>15899</v>
          </cell>
          <cell r="B4480">
            <v>41579</v>
          </cell>
        </row>
        <row r="4481">
          <cell r="A4481">
            <v>15899</v>
          </cell>
          <cell r="B4481">
            <v>41579</v>
          </cell>
        </row>
        <row r="4482">
          <cell r="A4482">
            <v>15899</v>
          </cell>
          <cell r="B4482">
            <v>41579</v>
          </cell>
        </row>
        <row r="4483">
          <cell r="A4483">
            <v>567317</v>
          </cell>
          <cell r="B4483">
            <v>41579</v>
          </cell>
        </row>
        <row r="4484">
          <cell r="A4484">
            <v>302563</v>
          </cell>
          <cell r="B4484">
            <v>41579</v>
          </cell>
        </row>
        <row r="4485">
          <cell r="A4485">
            <v>881142</v>
          </cell>
          <cell r="B4485" t="str">
            <v>PAS DE COUT ADDITIONNEL</v>
          </cell>
        </row>
        <row r="4486">
          <cell r="A4486">
            <v>645186</v>
          </cell>
          <cell r="B4486">
            <v>41579</v>
          </cell>
        </row>
        <row r="4487">
          <cell r="A4487">
            <v>377417</v>
          </cell>
          <cell r="B4487">
            <v>41579</v>
          </cell>
        </row>
        <row r="4488">
          <cell r="A4488">
            <v>391097</v>
          </cell>
          <cell r="B4488">
            <v>41579</v>
          </cell>
        </row>
        <row r="4489">
          <cell r="A4489">
            <v>591829</v>
          </cell>
          <cell r="B4489">
            <v>41579</v>
          </cell>
        </row>
        <row r="4490">
          <cell r="A4490">
            <v>41369</v>
          </cell>
          <cell r="B4490">
            <v>41579</v>
          </cell>
        </row>
        <row r="4491">
          <cell r="A4491">
            <v>41369</v>
          </cell>
          <cell r="B4491">
            <v>41579</v>
          </cell>
        </row>
        <row r="4492">
          <cell r="A4492">
            <v>383536</v>
          </cell>
          <cell r="B4492">
            <v>41579</v>
          </cell>
        </row>
        <row r="4493">
          <cell r="A4493" t="str">
            <v>trouvé</v>
          </cell>
          <cell r="B4493">
            <v>41579</v>
          </cell>
        </row>
        <row r="4494">
          <cell r="A4494">
            <v>467325</v>
          </cell>
          <cell r="B4494">
            <v>41579</v>
          </cell>
        </row>
        <row r="4495">
          <cell r="A4495">
            <v>399070</v>
          </cell>
          <cell r="B4495">
            <v>41579</v>
          </cell>
        </row>
        <row r="4496">
          <cell r="A4496" t="str">
            <v>trouvé</v>
          </cell>
          <cell r="B4496">
            <v>41579</v>
          </cell>
        </row>
        <row r="4497">
          <cell r="A4497">
            <v>380212</v>
          </cell>
          <cell r="B4497">
            <v>41579</v>
          </cell>
        </row>
        <row r="4498">
          <cell r="A4498">
            <v>397350</v>
          </cell>
          <cell r="B4498">
            <v>41579</v>
          </cell>
        </row>
        <row r="4499">
          <cell r="A4499">
            <v>17868</v>
          </cell>
          <cell r="B4499">
            <v>41579</v>
          </cell>
        </row>
        <row r="4500">
          <cell r="A4500">
            <v>17868</v>
          </cell>
          <cell r="B4500">
            <v>41579</v>
          </cell>
        </row>
        <row r="4501">
          <cell r="A4501" t="str">
            <v>trouvé</v>
          </cell>
          <cell r="B4501">
            <v>41579</v>
          </cell>
        </row>
        <row r="4502">
          <cell r="A4502">
            <v>586561</v>
          </cell>
          <cell r="B4502">
            <v>41579</v>
          </cell>
        </row>
        <row r="4503">
          <cell r="A4503">
            <v>865236</v>
          </cell>
          <cell r="B4503">
            <v>41579</v>
          </cell>
        </row>
        <row r="4504">
          <cell r="A4504">
            <v>569774</v>
          </cell>
          <cell r="B4504">
            <v>41579</v>
          </cell>
        </row>
        <row r="4505">
          <cell r="A4505">
            <v>812059</v>
          </cell>
          <cell r="B4505">
            <v>41579</v>
          </cell>
        </row>
        <row r="4506">
          <cell r="A4506">
            <v>302709</v>
          </cell>
          <cell r="B4506">
            <v>41579</v>
          </cell>
        </row>
        <row r="4507">
          <cell r="A4507">
            <v>623293</v>
          </cell>
          <cell r="B4507">
            <v>41579</v>
          </cell>
        </row>
        <row r="4508">
          <cell r="A4508">
            <v>639125</v>
          </cell>
          <cell r="B4508">
            <v>41579</v>
          </cell>
        </row>
        <row r="4509">
          <cell r="A4509" t="str">
            <v>trouvé</v>
          </cell>
          <cell r="B4509">
            <v>41579</v>
          </cell>
        </row>
        <row r="4510">
          <cell r="A4510">
            <v>674727</v>
          </cell>
          <cell r="B4510">
            <v>41579</v>
          </cell>
        </row>
        <row r="4511">
          <cell r="A4511">
            <v>537172</v>
          </cell>
          <cell r="B4511">
            <v>41579</v>
          </cell>
        </row>
        <row r="4512">
          <cell r="A4512">
            <v>808878</v>
          </cell>
          <cell r="B4512">
            <v>41579</v>
          </cell>
        </row>
        <row r="4513">
          <cell r="A4513">
            <v>808878</v>
          </cell>
          <cell r="B4513">
            <v>41579</v>
          </cell>
        </row>
        <row r="4514">
          <cell r="A4514">
            <v>808878</v>
          </cell>
          <cell r="B4514">
            <v>41579</v>
          </cell>
        </row>
        <row r="4515">
          <cell r="A4515">
            <v>808878</v>
          </cell>
          <cell r="B4515">
            <v>41579</v>
          </cell>
        </row>
        <row r="4516">
          <cell r="A4516">
            <v>469590</v>
          </cell>
          <cell r="B4516">
            <v>41579</v>
          </cell>
        </row>
        <row r="4517">
          <cell r="A4517">
            <v>567263</v>
          </cell>
          <cell r="B4517">
            <v>41579</v>
          </cell>
        </row>
        <row r="4518">
          <cell r="A4518">
            <v>469598</v>
          </cell>
          <cell r="B4518">
            <v>41579</v>
          </cell>
        </row>
        <row r="4519">
          <cell r="A4519">
            <v>395682</v>
          </cell>
          <cell r="B4519">
            <v>41579</v>
          </cell>
        </row>
        <row r="4520">
          <cell r="A4520">
            <v>494510</v>
          </cell>
          <cell r="B4520">
            <v>41579</v>
          </cell>
        </row>
        <row r="4521">
          <cell r="A4521">
            <v>499943</v>
          </cell>
          <cell r="B4521">
            <v>41579</v>
          </cell>
        </row>
        <row r="4522">
          <cell r="A4522">
            <v>639098</v>
          </cell>
          <cell r="B4522">
            <v>41579</v>
          </cell>
        </row>
        <row r="4523">
          <cell r="A4523">
            <v>494888</v>
          </cell>
          <cell r="B4523">
            <v>41579</v>
          </cell>
        </row>
        <row r="4524">
          <cell r="A4524">
            <v>541724</v>
          </cell>
          <cell r="B4524">
            <v>41579</v>
          </cell>
        </row>
        <row r="4525">
          <cell r="A4525">
            <v>640064</v>
          </cell>
          <cell r="B4525">
            <v>41579</v>
          </cell>
        </row>
        <row r="4526">
          <cell r="A4526">
            <v>807642</v>
          </cell>
          <cell r="B4526">
            <v>41579</v>
          </cell>
        </row>
        <row r="4527">
          <cell r="A4527">
            <v>830219</v>
          </cell>
          <cell r="B4527">
            <v>41579</v>
          </cell>
        </row>
        <row r="4528">
          <cell r="A4528">
            <v>640064</v>
          </cell>
          <cell r="B4528">
            <v>41579</v>
          </cell>
        </row>
        <row r="4529">
          <cell r="A4529">
            <v>493522</v>
          </cell>
          <cell r="B4529">
            <v>41579</v>
          </cell>
        </row>
        <row r="4530">
          <cell r="A4530">
            <v>302148</v>
          </cell>
          <cell r="B4530">
            <v>41579</v>
          </cell>
        </row>
        <row r="4531">
          <cell r="A4531">
            <v>686118</v>
          </cell>
          <cell r="B4531" t="str">
            <v>PAS DE COUT ADDITIONNEL</v>
          </cell>
        </row>
        <row r="4532">
          <cell r="A4532">
            <v>525022</v>
          </cell>
          <cell r="B4532">
            <v>41579</v>
          </cell>
        </row>
        <row r="4533">
          <cell r="A4533">
            <v>553290</v>
          </cell>
          <cell r="B4533">
            <v>41579</v>
          </cell>
        </row>
        <row r="4534">
          <cell r="A4534">
            <v>871759</v>
          </cell>
          <cell r="B4534">
            <v>41579</v>
          </cell>
        </row>
        <row r="4535">
          <cell r="A4535">
            <v>553290</v>
          </cell>
          <cell r="B4535">
            <v>41579</v>
          </cell>
        </row>
        <row r="4536">
          <cell r="A4536">
            <v>88713</v>
          </cell>
          <cell r="B4536">
            <v>41579</v>
          </cell>
        </row>
        <row r="4537">
          <cell r="A4537" t="str">
            <v>trouvé</v>
          </cell>
          <cell r="B4537">
            <v>41579</v>
          </cell>
        </row>
        <row r="4538">
          <cell r="A4538">
            <v>448142</v>
          </cell>
          <cell r="B4538">
            <v>41579</v>
          </cell>
        </row>
        <row r="4539">
          <cell r="A4539">
            <v>870303</v>
          </cell>
          <cell r="B4539">
            <v>41579</v>
          </cell>
        </row>
        <row r="4540">
          <cell r="A4540">
            <v>871225</v>
          </cell>
          <cell r="B4540">
            <v>41579</v>
          </cell>
        </row>
        <row r="4541">
          <cell r="A4541">
            <v>870302</v>
          </cell>
          <cell r="B4541">
            <v>41579</v>
          </cell>
        </row>
        <row r="4542">
          <cell r="A4542">
            <v>518944</v>
          </cell>
          <cell r="B4542">
            <v>41579</v>
          </cell>
        </row>
        <row r="4543">
          <cell r="A4543">
            <v>537694</v>
          </cell>
          <cell r="B4543">
            <v>41579</v>
          </cell>
        </row>
        <row r="4544">
          <cell r="A4544">
            <v>302953</v>
          </cell>
          <cell r="B4544">
            <v>41579</v>
          </cell>
        </row>
        <row r="4545">
          <cell r="A4545">
            <v>302953</v>
          </cell>
          <cell r="B4545">
            <v>41579</v>
          </cell>
        </row>
        <row r="4546">
          <cell r="A4546">
            <v>533319</v>
          </cell>
          <cell r="B4546">
            <v>41579</v>
          </cell>
        </row>
        <row r="4547">
          <cell r="A4547">
            <v>68661</v>
          </cell>
          <cell r="B4547">
            <v>41579</v>
          </cell>
        </row>
        <row r="4548">
          <cell r="A4548">
            <v>394273</v>
          </cell>
          <cell r="B4548">
            <v>41579</v>
          </cell>
        </row>
        <row r="4549">
          <cell r="A4549">
            <v>499860</v>
          </cell>
          <cell r="B4549">
            <v>41579</v>
          </cell>
        </row>
        <row r="4550">
          <cell r="A4550">
            <v>558463</v>
          </cell>
          <cell r="B4550">
            <v>41579</v>
          </cell>
        </row>
        <row r="4551">
          <cell r="A4551">
            <v>504986</v>
          </cell>
          <cell r="B4551">
            <v>41579</v>
          </cell>
        </row>
        <row r="4552">
          <cell r="A4552" t="str">
            <v>trouvé</v>
          </cell>
          <cell r="B4552">
            <v>41579</v>
          </cell>
        </row>
        <row r="4553">
          <cell r="A4553">
            <v>20998</v>
          </cell>
          <cell r="B4553">
            <v>41579</v>
          </cell>
        </row>
        <row r="4554">
          <cell r="A4554">
            <v>20998</v>
          </cell>
          <cell r="B4554">
            <v>41579</v>
          </cell>
        </row>
        <row r="4555">
          <cell r="A4555">
            <v>20998</v>
          </cell>
          <cell r="B4555">
            <v>41579</v>
          </cell>
        </row>
        <row r="4556">
          <cell r="A4556">
            <v>20998</v>
          </cell>
          <cell r="B4556">
            <v>41579</v>
          </cell>
        </row>
        <row r="4557">
          <cell r="A4557">
            <v>564673</v>
          </cell>
          <cell r="B4557">
            <v>41579</v>
          </cell>
        </row>
        <row r="4558">
          <cell r="A4558">
            <v>811301</v>
          </cell>
          <cell r="B4558">
            <v>41579</v>
          </cell>
        </row>
        <row r="4559">
          <cell r="A4559">
            <v>585163</v>
          </cell>
          <cell r="B4559">
            <v>41579</v>
          </cell>
        </row>
        <row r="4560">
          <cell r="A4560">
            <v>585163</v>
          </cell>
          <cell r="B4560">
            <v>41579</v>
          </cell>
        </row>
        <row r="4561">
          <cell r="A4561">
            <v>585163</v>
          </cell>
          <cell r="B4561">
            <v>41579</v>
          </cell>
        </row>
        <row r="4562">
          <cell r="A4562">
            <v>381919</v>
          </cell>
          <cell r="B4562">
            <v>41579</v>
          </cell>
        </row>
        <row r="4563">
          <cell r="A4563">
            <v>476524</v>
          </cell>
          <cell r="B4563">
            <v>41579</v>
          </cell>
        </row>
        <row r="4564">
          <cell r="A4564">
            <v>801162</v>
          </cell>
          <cell r="B4564">
            <v>41579</v>
          </cell>
        </row>
        <row r="4565">
          <cell r="A4565">
            <v>833616</v>
          </cell>
          <cell r="B4565">
            <v>41579</v>
          </cell>
        </row>
        <row r="4566">
          <cell r="A4566">
            <v>303225</v>
          </cell>
          <cell r="B4566">
            <v>41579</v>
          </cell>
        </row>
        <row r="4567">
          <cell r="A4567">
            <v>300714</v>
          </cell>
          <cell r="B4567">
            <v>41579</v>
          </cell>
        </row>
        <row r="4568">
          <cell r="A4568">
            <v>584365</v>
          </cell>
          <cell r="B4568">
            <v>41579</v>
          </cell>
        </row>
        <row r="4569">
          <cell r="A4569">
            <v>685832</v>
          </cell>
          <cell r="B4569">
            <v>41579</v>
          </cell>
        </row>
        <row r="4570">
          <cell r="A4570">
            <v>685832</v>
          </cell>
          <cell r="B4570">
            <v>41579</v>
          </cell>
        </row>
        <row r="4571">
          <cell r="A4571">
            <v>555916</v>
          </cell>
          <cell r="B4571">
            <v>41579</v>
          </cell>
        </row>
        <row r="4572">
          <cell r="A4572">
            <v>480836</v>
          </cell>
          <cell r="B4572">
            <v>41579</v>
          </cell>
        </row>
        <row r="4573">
          <cell r="A4573">
            <v>480836</v>
          </cell>
          <cell r="B4573">
            <v>41579</v>
          </cell>
        </row>
        <row r="4574">
          <cell r="A4574">
            <v>480836</v>
          </cell>
          <cell r="B4574">
            <v>41579</v>
          </cell>
        </row>
        <row r="4575">
          <cell r="A4575">
            <v>386521</v>
          </cell>
          <cell r="B4575">
            <v>41579</v>
          </cell>
        </row>
        <row r="4576">
          <cell r="A4576" t="str">
            <v>trouvé</v>
          </cell>
          <cell r="B4576">
            <v>41579</v>
          </cell>
        </row>
        <row r="4577">
          <cell r="A4577">
            <v>699413</v>
          </cell>
          <cell r="B4577">
            <v>41579</v>
          </cell>
        </row>
        <row r="4578">
          <cell r="A4578">
            <v>499059</v>
          </cell>
          <cell r="B4578">
            <v>41579</v>
          </cell>
        </row>
        <row r="4579">
          <cell r="A4579" t="str">
            <v>trouvé</v>
          </cell>
          <cell r="B4579">
            <v>41579</v>
          </cell>
        </row>
        <row r="4580">
          <cell r="A4580">
            <v>468894</v>
          </cell>
          <cell r="B4580">
            <v>41579</v>
          </cell>
        </row>
        <row r="4581">
          <cell r="A4581">
            <v>555968</v>
          </cell>
          <cell r="B4581">
            <v>41579</v>
          </cell>
        </row>
        <row r="4582">
          <cell r="A4582" t="str">
            <v>trouvé</v>
          </cell>
          <cell r="B4582">
            <v>41579</v>
          </cell>
        </row>
        <row r="4583">
          <cell r="A4583">
            <v>523209</v>
          </cell>
          <cell r="B4583">
            <v>41579</v>
          </cell>
        </row>
        <row r="4584">
          <cell r="A4584">
            <v>300393</v>
          </cell>
          <cell r="B4584">
            <v>41579</v>
          </cell>
        </row>
        <row r="4585">
          <cell r="A4585">
            <v>835695</v>
          </cell>
          <cell r="B4585">
            <v>41579</v>
          </cell>
        </row>
        <row r="4586">
          <cell r="A4586">
            <v>14200</v>
          </cell>
          <cell r="B4586">
            <v>41579</v>
          </cell>
        </row>
        <row r="4587">
          <cell r="A4587">
            <v>22193</v>
          </cell>
          <cell r="B4587">
            <v>41579</v>
          </cell>
        </row>
        <row r="4588">
          <cell r="A4588">
            <v>10021</v>
          </cell>
          <cell r="B4588">
            <v>41579</v>
          </cell>
        </row>
        <row r="4589">
          <cell r="A4589">
            <v>22193</v>
          </cell>
          <cell r="B4589">
            <v>41579</v>
          </cell>
        </row>
        <row r="4590">
          <cell r="A4590">
            <v>476900</v>
          </cell>
          <cell r="B4590">
            <v>41579</v>
          </cell>
        </row>
        <row r="4591">
          <cell r="A4591">
            <v>883370</v>
          </cell>
          <cell r="B4591">
            <v>41579</v>
          </cell>
        </row>
        <row r="4592">
          <cell r="A4592">
            <v>606760</v>
          </cell>
          <cell r="B4592">
            <v>41579</v>
          </cell>
        </row>
        <row r="4593">
          <cell r="A4593">
            <v>524946</v>
          </cell>
          <cell r="B4593">
            <v>41579</v>
          </cell>
        </row>
        <row r="4594">
          <cell r="A4594">
            <v>629106</v>
          </cell>
          <cell r="B4594">
            <v>41579</v>
          </cell>
        </row>
        <row r="4595">
          <cell r="A4595">
            <v>48815</v>
          </cell>
          <cell r="B4595">
            <v>41579</v>
          </cell>
        </row>
        <row r="4596">
          <cell r="A4596">
            <v>625119</v>
          </cell>
          <cell r="B4596">
            <v>41579</v>
          </cell>
        </row>
        <row r="4597">
          <cell r="A4597">
            <v>845100</v>
          </cell>
          <cell r="B4597">
            <v>41579</v>
          </cell>
        </row>
        <row r="4598">
          <cell r="A4598">
            <v>532399</v>
          </cell>
          <cell r="B4598">
            <v>41579</v>
          </cell>
        </row>
        <row r="4599">
          <cell r="A4599">
            <v>58160</v>
          </cell>
          <cell r="B4599">
            <v>41579</v>
          </cell>
        </row>
        <row r="4600">
          <cell r="A4600">
            <v>612174</v>
          </cell>
          <cell r="B4600">
            <v>41579</v>
          </cell>
        </row>
        <row r="4601">
          <cell r="A4601">
            <v>473843</v>
          </cell>
          <cell r="B4601">
            <v>41579</v>
          </cell>
        </row>
        <row r="4602">
          <cell r="A4602">
            <v>586230</v>
          </cell>
          <cell r="B4602">
            <v>41579</v>
          </cell>
        </row>
        <row r="4603">
          <cell r="A4603">
            <v>586230</v>
          </cell>
          <cell r="B4603">
            <v>41579</v>
          </cell>
        </row>
        <row r="4604">
          <cell r="A4604" t="str">
            <v>trouvé</v>
          </cell>
          <cell r="B4604">
            <v>41579</v>
          </cell>
        </row>
        <row r="4605">
          <cell r="A4605">
            <v>99998</v>
          </cell>
          <cell r="B4605">
            <v>41579</v>
          </cell>
        </row>
        <row r="4606">
          <cell r="A4606">
            <v>871759</v>
          </cell>
          <cell r="B4606">
            <v>41579</v>
          </cell>
        </row>
        <row r="4607">
          <cell r="A4607">
            <v>871759</v>
          </cell>
          <cell r="B4607">
            <v>41579</v>
          </cell>
        </row>
        <row r="4608">
          <cell r="A4608">
            <v>678197</v>
          </cell>
          <cell r="B4608">
            <v>41579</v>
          </cell>
        </row>
        <row r="4609">
          <cell r="A4609">
            <v>499132</v>
          </cell>
          <cell r="B4609">
            <v>41579</v>
          </cell>
        </row>
        <row r="4610">
          <cell r="A4610">
            <v>2692</v>
          </cell>
          <cell r="B4610">
            <v>41579</v>
          </cell>
        </row>
        <row r="4611">
          <cell r="A4611">
            <v>809155</v>
          </cell>
          <cell r="B4611">
            <v>41579</v>
          </cell>
        </row>
        <row r="4612">
          <cell r="A4612">
            <v>553463</v>
          </cell>
          <cell r="B4612">
            <v>41579</v>
          </cell>
        </row>
        <row r="4613">
          <cell r="A4613">
            <v>553463</v>
          </cell>
          <cell r="B4613">
            <v>41579</v>
          </cell>
        </row>
        <row r="4614">
          <cell r="A4614">
            <v>42680</v>
          </cell>
          <cell r="B4614">
            <v>41579</v>
          </cell>
        </row>
        <row r="4615">
          <cell r="A4615">
            <v>513655</v>
          </cell>
          <cell r="B4615">
            <v>41579</v>
          </cell>
        </row>
        <row r="4616">
          <cell r="A4616">
            <v>872841</v>
          </cell>
          <cell r="B4616">
            <v>41579</v>
          </cell>
        </row>
        <row r="4617">
          <cell r="A4617">
            <v>874416</v>
          </cell>
          <cell r="B4617">
            <v>41579</v>
          </cell>
        </row>
        <row r="4618">
          <cell r="A4618">
            <v>872630</v>
          </cell>
          <cell r="B4618">
            <v>41579</v>
          </cell>
        </row>
        <row r="4619">
          <cell r="A4619">
            <v>841776</v>
          </cell>
          <cell r="B4619">
            <v>41579</v>
          </cell>
        </row>
        <row r="4620">
          <cell r="A4620">
            <v>477730</v>
          </cell>
          <cell r="B4620">
            <v>41579</v>
          </cell>
        </row>
        <row r="4621">
          <cell r="A4621">
            <v>898187</v>
          </cell>
          <cell r="B4621">
            <v>41579</v>
          </cell>
        </row>
        <row r="4622">
          <cell r="A4622">
            <v>605810</v>
          </cell>
          <cell r="B4622">
            <v>41579</v>
          </cell>
        </row>
        <row r="4623">
          <cell r="A4623">
            <v>880512</v>
          </cell>
          <cell r="B4623">
            <v>41579</v>
          </cell>
        </row>
        <row r="4624">
          <cell r="A4624">
            <v>547350</v>
          </cell>
          <cell r="B4624">
            <v>41579</v>
          </cell>
        </row>
        <row r="4625">
          <cell r="A4625">
            <v>547350</v>
          </cell>
          <cell r="B4625">
            <v>41579</v>
          </cell>
        </row>
        <row r="4626">
          <cell r="A4626">
            <v>894329</v>
          </cell>
          <cell r="B4626">
            <v>41579</v>
          </cell>
        </row>
        <row r="4627">
          <cell r="A4627">
            <v>894214</v>
          </cell>
          <cell r="B4627">
            <v>41579</v>
          </cell>
        </row>
        <row r="4628">
          <cell r="A4628">
            <v>882360</v>
          </cell>
          <cell r="B4628">
            <v>41579</v>
          </cell>
        </row>
        <row r="4629">
          <cell r="A4629">
            <v>888392</v>
          </cell>
          <cell r="B4629">
            <v>41579</v>
          </cell>
        </row>
        <row r="4630">
          <cell r="A4630">
            <v>891688</v>
          </cell>
          <cell r="B4630">
            <v>41579</v>
          </cell>
        </row>
        <row r="4631">
          <cell r="A4631">
            <v>893890</v>
          </cell>
          <cell r="B4631">
            <v>41579</v>
          </cell>
        </row>
        <row r="4632">
          <cell r="A4632">
            <v>888393</v>
          </cell>
          <cell r="B4632">
            <v>41579</v>
          </cell>
        </row>
        <row r="4633">
          <cell r="A4633">
            <v>892858</v>
          </cell>
          <cell r="B4633">
            <v>41579</v>
          </cell>
        </row>
        <row r="4634">
          <cell r="A4634">
            <v>892234</v>
          </cell>
          <cell r="B4634">
            <v>41579</v>
          </cell>
        </row>
        <row r="4635">
          <cell r="A4635">
            <v>882007</v>
          </cell>
          <cell r="B4635">
            <v>41579</v>
          </cell>
        </row>
        <row r="4636">
          <cell r="A4636">
            <v>885764</v>
          </cell>
          <cell r="B4636">
            <v>41579</v>
          </cell>
        </row>
        <row r="4637">
          <cell r="A4637">
            <v>898083</v>
          </cell>
          <cell r="B4637">
            <v>41579</v>
          </cell>
        </row>
        <row r="4638">
          <cell r="A4638">
            <v>607814</v>
          </cell>
          <cell r="B4638">
            <v>41579</v>
          </cell>
        </row>
        <row r="4639">
          <cell r="A4639">
            <v>486928</v>
          </cell>
          <cell r="B4639">
            <v>41579</v>
          </cell>
        </row>
        <row r="4640">
          <cell r="A4640">
            <v>882339</v>
          </cell>
          <cell r="B4640">
            <v>41579</v>
          </cell>
        </row>
        <row r="4641">
          <cell r="A4641">
            <v>377836</v>
          </cell>
          <cell r="B4641">
            <v>41579</v>
          </cell>
        </row>
        <row r="4642">
          <cell r="A4642">
            <v>882338</v>
          </cell>
          <cell r="B4642">
            <v>41579</v>
          </cell>
        </row>
        <row r="4643">
          <cell r="A4643">
            <v>80251</v>
          </cell>
          <cell r="B4643">
            <v>41579</v>
          </cell>
        </row>
        <row r="4644">
          <cell r="A4644">
            <v>882337</v>
          </cell>
          <cell r="B4644">
            <v>41579</v>
          </cell>
        </row>
        <row r="4645">
          <cell r="A4645">
            <v>76777</v>
          </cell>
          <cell r="B4645">
            <v>41579</v>
          </cell>
        </row>
        <row r="4646">
          <cell r="A4646">
            <v>202824</v>
          </cell>
          <cell r="B4646">
            <v>41579</v>
          </cell>
        </row>
        <row r="4647">
          <cell r="A4647" t="str">
            <v>trouvé</v>
          </cell>
          <cell r="B4647">
            <v>41579</v>
          </cell>
        </row>
        <row r="4648">
          <cell r="A4648">
            <v>33141</v>
          </cell>
          <cell r="B4648">
            <v>41579</v>
          </cell>
        </row>
        <row r="4649">
          <cell r="A4649">
            <v>840970</v>
          </cell>
          <cell r="B4649">
            <v>41579</v>
          </cell>
        </row>
        <row r="4650">
          <cell r="A4650">
            <v>898080</v>
          </cell>
          <cell r="B4650">
            <v>41579</v>
          </cell>
        </row>
        <row r="4651">
          <cell r="A4651">
            <v>898081</v>
          </cell>
          <cell r="B4651">
            <v>41579</v>
          </cell>
        </row>
        <row r="4652">
          <cell r="A4652">
            <v>491404</v>
          </cell>
          <cell r="B4652">
            <v>41579</v>
          </cell>
        </row>
        <row r="4653">
          <cell r="A4653">
            <v>70215</v>
          </cell>
          <cell r="B4653">
            <v>41579</v>
          </cell>
        </row>
        <row r="4654">
          <cell r="A4654">
            <v>70215</v>
          </cell>
          <cell r="B4654">
            <v>41579</v>
          </cell>
        </row>
        <row r="4655">
          <cell r="A4655">
            <v>385477</v>
          </cell>
          <cell r="B4655">
            <v>41579</v>
          </cell>
        </row>
        <row r="4656">
          <cell r="A4656">
            <v>675645</v>
          </cell>
          <cell r="B4656">
            <v>41579</v>
          </cell>
        </row>
        <row r="4657">
          <cell r="A4657">
            <v>883957</v>
          </cell>
          <cell r="B4657">
            <v>41579</v>
          </cell>
        </row>
        <row r="4658">
          <cell r="A4658">
            <v>503983</v>
          </cell>
          <cell r="B4658">
            <v>41579</v>
          </cell>
        </row>
        <row r="4659">
          <cell r="A4659">
            <v>887013</v>
          </cell>
          <cell r="B4659">
            <v>41579</v>
          </cell>
        </row>
        <row r="4660">
          <cell r="A4660">
            <v>592121</v>
          </cell>
          <cell r="B4660">
            <v>41579</v>
          </cell>
        </row>
        <row r="4661">
          <cell r="A4661">
            <v>592121</v>
          </cell>
          <cell r="B4661">
            <v>41579</v>
          </cell>
        </row>
        <row r="4662">
          <cell r="A4662">
            <v>547350</v>
          </cell>
          <cell r="B4662">
            <v>41579</v>
          </cell>
        </row>
        <row r="4663">
          <cell r="A4663" t="e">
            <v>#N/A</v>
          </cell>
          <cell r="B4663">
            <v>41579</v>
          </cell>
        </row>
      </sheetData>
      <sheetData sheetId="16" refreshError="1"/>
      <sheetData sheetId="17" refreshError="1">
        <row r="1">
          <cell r="A1" t="str">
            <v>Client perdu</v>
          </cell>
          <cell r="B1" t="str">
            <v>Ok</v>
          </cell>
        </row>
        <row r="2">
          <cell r="A2" t="str">
            <v>Compte HS</v>
          </cell>
          <cell r="B2" t="str">
            <v>En attente</v>
          </cell>
        </row>
        <row r="3">
          <cell r="A3" t="str">
            <v>Grand Compte</v>
          </cell>
          <cell r="B3" t="str">
            <v>Non</v>
          </cell>
        </row>
        <row r="4">
          <cell r="A4" t="str">
            <v>Hors cible</v>
          </cell>
        </row>
        <row r="5">
          <cell r="A5" t="str">
            <v>TS +100</v>
          </cell>
        </row>
        <row r="6">
          <cell r="A6" t="str">
            <v>Ok mon client</v>
          </cell>
        </row>
        <row r="7">
          <cell r="A7" t="str">
            <v>PSA</v>
          </cell>
        </row>
        <row r="8">
          <cell r="A8" t="str">
            <v>Transporteur</v>
          </cell>
        </row>
        <row r="9">
          <cell r="A9" t="str">
            <v>Autre agence gérante</v>
          </cell>
        </row>
        <row r="10">
          <cell r="A10" t="str">
            <v>En négo</v>
          </cell>
        </row>
        <row r="11">
          <cell r="A11" t="str">
            <v>Dérogation demandée</v>
          </cell>
        </row>
        <row r="12">
          <cell r="A12" t="str">
            <v>Pas de contrat INES</v>
          </cell>
        </row>
        <row r="13">
          <cell r="A13" t="str">
            <v>RJ</v>
          </cell>
        </row>
        <row r="14">
          <cell r="A14" t="str">
            <v>Dérogation validée</v>
          </cell>
        </row>
      </sheetData>
      <sheetData sheetId="18" refreshError="1"/>
      <sheetData sheetId="19" refreshError="1"/>
      <sheetData sheetId="20" refreshError="1"/>
      <sheetData sheetId="21" refreshError="1"/>
      <sheetData sheetId="2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ulation"/>
      <sheetName val="Erfassung"/>
      <sheetName val="Struktur"/>
      <sheetName val="BSL98"/>
      <sheetName val="BSL99"/>
      <sheetName val="BSL2000"/>
      <sheetName val="Haustarif Moers"/>
      <sheetName val="Zonentarif"/>
      <sheetName val="Tarif_Hauptlauf"/>
      <sheetName val="Tarif_Abholung"/>
      <sheetName val="Tarif_Zustellung"/>
      <sheetName val="Fortras_RR"/>
      <sheetName val="Km Tabelle"/>
      <sheetName val="Verweise"/>
    </sheetNames>
    <sheetDataSet>
      <sheetData sheetId="0">
        <row r="8">
          <cell r="G8">
            <v>0.95</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ffusion"/>
      <sheetName val="Captation LOT"/>
      <sheetName val="Captation Groupage"/>
      <sheetName val="Guide"/>
      <sheetName val="Liste Filiales"/>
      <sheetName val="Data"/>
      <sheetName val="Data2"/>
      <sheetName val="Indicateurs MOA_12 Mois"/>
    </sheetNames>
    <sheetDataSet>
      <sheetData sheetId="0"/>
      <sheetData sheetId="1"/>
      <sheetData sheetId="2"/>
      <sheetData sheetId="3"/>
      <sheetData sheetId="4"/>
      <sheetData sheetId="5">
        <row r="3">
          <cell r="B3" t="str">
            <v>ClientTlibox</v>
          </cell>
        </row>
      </sheetData>
      <sheetData sheetId="6">
        <row r="16">
          <cell r="B16" t="str">
            <v>% voyages PSA géolocalisés Fleetfence</v>
          </cell>
        </row>
      </sheetData>
      <sheetData sheetId="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3"/>
      <sheetName val="Hausse 2020"/>
      <sheetName val="carto"/>
      <sheetName val="AVEC 949"/>
      <sheetName val="SANS 949"/>
      <sheetName val="EDI"/>
      <sheetName val="IDF + ECO"/>
      <sheetName val="RPV"/>
      <sheetName val="Conditions Co Groupage 2020"/>
      <sheetName val="Conditions Co Groupage 2020 XLS"/>
      <sheetName val="Conditions Co LOT 2020"/>
      <sheetName val="CGV"/>
      <sheetName val="Groupage National"/>
      <sheetName val="Groupage Inter"/>
      <sheetName val="Tarif Pal 80x120"/>
      <sheetName val="Tarif au MPL"/>
      <sheetName val="check"/>
      <sheetName val="RONAX"/>
      <sheetName val="Hors PAC"/>
      <sheetName val="Menus"/>
      <sheetName val="Login"/>
      <sheetName val="Votre périmèt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1">
          <cell r="A1" t="str">
            <v>Activité perdue (pas de facturation)</v>
          </cell>
          <cell r="C1" t="str">
            <v>ADERHOLD</v>
          </cell>
        </row>
        <row r="2">
          <cell r="A2" t="str">
            <v>Client perdu (tous les activités)</v>
          </cell>
          <cell r="C2" t="str">
            <v>ALIS</v>
          </cell>
        </row>
        <row r="3">
          <cell r="A3" t="str">
            <v>Pas de contrat SMART PALLET (uniquement pour les lignes palettes)</v>
          </cell>
          <cell r="C3" t="str">
            <v>ALLAIS</v>
          </cell>
        </row>
        <row r="4">
          <cell r="A4" t="str">
            <v>Contrat/Accord Cadre applicable sur tout 2020 &gt; préciser date de fin de contrat</v>
          </cell>
          <cell r="C4" t="str">
            <v>ALONZI</v>
          </cell>
        </row>
        <row r="5">
          <cell r="A5" t="str">
            <v xml:space="preserve">Tarif avec date anniversaire au-delà du 01/02/2020 &gt; préciser date anniversaire </v>
          </cell>
          <cell r="C5" t="str">
            <v>ARMAND</v>
          </cell>
        </row>
        <row r="6">
          <cell r="A6" t="str">
            <v>AO annuel ou en cours &gt; préciser date de décision de l’AO en commentaire</v>
          </cell>
          <cell r="C6" t="str">
            <v>BAMBE</v>
          </cell>
        </row>
        <row r="7">
          <cell r="A7" t="str">
            <v>Fort Développement client validé pour 2020 &gt; préciser le CA développement attendu en commentaire</v>
          </cell>
          <cell r="C7" t="str">
            <v>BASSET</v>
          </cell>
        </row>
        <row r="8">
          <cell r="A8" t="str">
            <v>Tarif Spot (pas tarif déposé)</v>
          </cell>
          <cell r="C8" t="str">
            <v>BATISSE</v>
          </cell>
        </row>
        <row r="9">
          <cell r="A9" t="str">
            <v>Tarif revu récemment (- 3 mois) &gt; préciser date d’application du nouveau tarif en commentaire</v>
          </cell>
          <cell r="C9" t="str">
            <v>BDI - BRUNET</v>
          </cell>
        </row>
        <row r="10">
          <cell r="A10" t="str">
            <v>Négociation hors France &gt; préciser le GAM ou autre en charge de la négo</v>
          </cell>
          <cell r="C10" t="str">
            <v>BDI - MALLECOT</v>
          </cell>
        </row>
        <row r="11">
          <cell r="A11" t="str">
            <v>Pas ou peu de facturation</v>
          </cell>
          <cell r="C11" t="str">
            <v>BDI - RIVES</v>
          </cell>
        </row>
        <row r="12">
          <cell r="A12" t="str">
            <v>Pas de contrat</v>
          </cell>
          <cell r="C12" t="str">
            <v>BDI - SARCIA</v>
          </cell>
        </row>
        <row r="13">
          <cell r="A13" t="str">
            <v>Pas/peu de facturation 2019 et pas de contrat</v>
          </cell>
          <cell r="C13" t="str">
            <v>BDI-BELLAGAMBA</v>
          </cell>
        </row>
        <row r="14">
          <cell r="A14" t="str">
            <v xml:space="preserve">Flux PSA </v>
          </cell>
          <cell r="C14" t="str">
            <v>BDI-TRANCHANT</v>
          </cell>
        </row>
        <row r="15">
          <cell r="A15" t="str">
            <v>Transporteur</v>
          </cell>
          <cell r="C15" t="str">
            <v>BEAUTRAIT</v>
          </cell>
        </row>
        <row r="16">
          <cell r="A16" t="str">
            <v>Risk client</v>
          </cell>
          <cell r="C16" t="str">
            <v>BELEGISANIN</v>
          </cell>
        </row>
        <row r="17">
          <cell r="C17" t="str">
            <v>BELENGUER</v>
          </cell>
        </row>
        <row r="18">
          <cell r="C18" t="str">
            <v>BERTIAUX</v>
          </cell>
        </row>
        <row r="19">
          <cell r="C19" t="str">
            <v>BIZARRA</v>
          </cell>
        </row>
        <row r="20">
          <cell r="C20" t="str">
            <v>BLANCHE</v>
          </cell>
        </row>
        <row r="21">
          <cell r="C21" t="str">
            <v>BOE</v>
          </cell>
        </row>
        <row r="22">
          <cell r="C22" t="str">
            <v>BONNAVE</v>
          </cell>
        </row>
        <row r="23">
          <cell r="C23" t="str">
            <v>BOUCHAUX</v>
          </cell>
        </row>
        <row r="24">
          <cell r="C24" t="str">
            <v>BOUCHER</v>
          </cell>
        </row>
        <row r="25">
          <cell r="C25" t="str">
            <v>BOURGNE</v>
          </cell>
        </row>
        <row r="26">
          <cell r="C26" t="str">
            <v>BOUTHIER</v>
          </cell>
        </row>
        <row r="27">
          <cell r="C27" t="str">
            <v>BOYET</v>
          </cell>
        </row>
        <row r="28">
          <cell r="C28" t="str">
            <v>BRUNA</v>
          </cell>
        </row>
        <row r="29">
          <cell r="C29" t="str">
            <v>CAPLET</v>
          </cell>
        </row>
        <row r="30">
          <cell r="C30" t="str">
            <v>CARAVACA</v>
          </cell>
        </row>
        <row r="31">
          <cell r="C31" t="str">
            <v>CARDABA</v>
          </cell>
        </row>
        <row r="32">
          <cell r="C32" t="str">
            <v>CAVALIER</v>
          </cell>
        </row>
        <row r="33">
          <cell r="C33" t="str">
            <v>CHESNAIS</v>
          </cell>
        </row>
        <row r="34">
          <cell r="C34" t="str">
            <v>CLEMOT</v>
          </cell>
        </row>
        <row r="35">
          <cell r="C35" t="str">
            <v>DAVERIO</v>
          </cell>
        </row>
        <row r="36">
          <cell r="C36" t="str">
            <v>DEBRAS</v>
          </cell>
        </row>
        <row r="37">
          <cell r="C37" t="str">
            <v>DELALLE</v>
          </cell>
        </row>
        <row r="38">
          <cell r="C38" t="str">
            <v>DEMESY</v>
          </cell>
        </row>
        <row r="39">
          <cell r="C39" t="str">
            <v>DESPAS</v>
          </cell>
        </row>
        <row r="40">
          <cell r="C40" t="str">
            <v>DRUVENT</v>
          </cell>
        </row>
        <row r="41">
          <cell r="C41" t="str">
            <v>DUFOUR M.</v>
          </cell>
        </row>
        <row r="42">
          <cell r="C42" t="str">
            <v>DUFOUR S.</v>
          </cell>
        </row>
        <row r="43">
          <cell r="C43" t="str">
            <v>ENSABELLA</v>
          </cell>
        </row>
        <row r="44">
          <cell r="C44" t="str">
            <v>EVERAERT</v>
          </cell>
        </row>
        <row r="45">
          <cell r="C45" t="str">
            <v>FELIX-FAURE</v>
          </cell>
        </row>
        <row r="46">
          <cell r="C46" t="str">
            <v>FERNANDEZ</v>
          </cell>
        </row>
        <row r="47">
          <cell r="C47" t="str">
            <v>FERRI</v>
          </cell>
        </row>
        <row r="48">
          <cell r="C48" t="str">
            <v>FEUGIER</v>
          </cell>
        </row>
        <row r="49">
          <cell r="C49" t="str">
            <v>FOURNIER L.</v>
          </cell>
        </row>
        <row r="50">
          <cell r="C50" t="str">
            <v>FRAIGNAUD</v>
          </cell>
        </row>
        <row r="51">
          <cell r="C51" t="str">
            <v>GANDON</v>
          </cell>
        </row>
        <row r="52">
          <cell r="C52" t="str">
            <v>GASPARY</v>
          </cell>
        </row>
        <row r="53">
          <cell r="C53" t="str">
            <v>GHNASSIA</v>
          </cell>
        </row>
        <row r="54">
          <cell r="C54" t="str">
            <v>GIACALONE</v>
          </cell>
        </row>
        <row r="55">
          <cell r="C55" t="str">
            <v>GOGULSKI</v>
          </cell>
        </row>
        <row r="56">
          <cell r="C56" t="str">
            <v>GOMIS</v>
          </cell>
        </row>
        <row r="57">
          <cell r="C57" t="str">
            <v>GUILBERT</v>
          </cell>
        </row>
        <row r="58">
          <cell r="C58" t="str">
            <v>HAIRY</v>
          </cell>
        </row>
        <row r="59">
          <cell r="C59" t="str">
            <v>HEIDKAMP</v>
          </cell>
        </row>
        <row r="60">
          <cell r="C60" t="str">
            <v>JANOIS</v>
          </cell>
        </row>
        <row r="61">
          <cell r="C61" t="str">
            <v>JOULAUD</v>
          </cell>
        </row>
        <row r="62">
          <cell r="C62" t="str">
            <v>JUBIN</v>
          </cell>
        </row>
        <row r="63">
          <cell r="C63" t="str">
            <v>KUNEGEL</v>
          </cell>
        </row>
        <row r="64">
          <cell r="C64" t="str">
            <v>LAGRENAUDIE</v>
          </cell>
        </row>
        <row r="65">
          <cell r="C65" t="str">
            <v>LAURENT</v>
          </cell>
        </row>
        <row r="66">
          <cell r="C66" t="str">
            <v>LEFEBVRE</v>
          </cell>
        </row>
        <row r="67">
          <cell r="C67" t="str">
            <v>LEGRAND</v>
          </cell>
        </row>
        <row r="68">
          <cell r="C68" t="str">
            <v>LELIEVRE</v>
          </cell>
        </row>
        <row r="69">
          <cell r="C69" t="str">
            <v>LEMAIRE</v>
          </cell>
        </row>
        <row r="70">
          <cell r="C70" t="str">
            <v>LEPLEY</v>
          </cell>
        </row>
        <row r="71">
          <cell r="C71" t="str">
            <v>LEPORCQ</v>
          </cell>
        </row>
        <row r="72">
          <cell r="C72" t="str">
            <v>LEVEAUX</v>
          </cell>
        </row>
        <row r="73">
          <cell r="C73" t="str">
            <v>LOCQUE</v>
          </cell>
        </row>
        <row r="74">
          <cell r="C74" t="str">
            <v>LORE</v>
          </cell>
        </row>
        <row r="75">
          <cell r="C75" t="str">
            <v>MAERGLEN</v>
          </cell>
        </row>
        <row r="76">
          <cell r="C76" t="str">
            <v>MAGGIORE</v>
          </cell>
        </row>
        <row r="77">
          <cell r="C77" t="str">
            <v>MAMPUYA</v>
          </cell>
        </row>
        <row r="78">
          <cell r="C78" t="str">
            <v>MANCOIS</v>
          </cell>
        </row>
        <row r="79">
          <cell r="C79" t="str">
            <v>MARROT</v>
          </cell>
        </row>
        <row r="80">
          <cell r="C80" t="str">
            <v>MATRAY</v>
          </cell>
        </row>
        <row r="81">
          <cell r="C81" t="str">
            <v>MCHAREK</v>
          </cell>
        </row>
        <row r="82">
          <cell r="C82" t="str">
            <v>MICHEAU</v>
          </cell>
        </row>
        <row r="83">
          <cell r="C83" t="str">
            <v>MILESI</v>
          </cell>
        </row>
        <row r="84">
          <cell r="C84" t="str">
            <v>MONTEYREMARD</v>
          </cell>
        </row>
        <row r="85">
          <cell r="C85" t="str">
            <v>MORAULT</v>
          </cell>
        </row>
        <row r="86">
          <cell r="C86" t="str">
            <v>MOUCHOTTE</v>
          </cell>
        </row>
        <row r="87">
          <cell r="C87" t="str">
            <v>MUNEZERO</v>
          </cell>
        </row>
        <row r="88">
          <cell r="C88" t="str">
            <v>MUSUMECCI</v>
          </cell>
        </row>
        <row r="89">
          <cell r="C89" t="str">
            <v>NARDIN</v>
          </cell>
        </row>
        <row r="90">
          <cell r="C90" t="str">
            <v>NOELLEC</v>
          </cell>
        </row>
        <row r="91">
          <cell r="C91" t="str">
            <v>ORLANDO</v>
          </cell>
        </row>
        <row r="92">
          <cell r="C92" t="str">
            <v>OUNOUGHI</v>
          </cell>
        </row>
        <row r="93">
          <cell r="C93" t="str">
            <v>PACAUD</v>
          </cell>
        </row>
        <row r="94">
          <cell r="C94" t="str">
            <v>PARISSEAU</v>
          </cell>
        </row>
        <row r="95">
          <cell r="C95" t="str">
            <v>PORTEVIN</v>
          </cell>
        </row>
        <row r="96">
          <cell r="C96" t="str">
            <v>POSNIC</v>
          </cell>
        </row>
        <row r="97">
          <cell r="C97" t="str">
            <v>POULAIN</v>
          </cell>
        </row>
        <row r="98">
          <cell r="C98" t="str">
            <v>RAGOT</v>
          </cell>
        </row>
        <row r="99">
          <cell r="C99" t="str">
            <v>RAHN</v>
          </cell>
        </row>
        <row r="100">
          <cell r="C100" t="str">
            <v>RAVIER</v>
          </cell>
        </row>
        <row r="101">
          <cell r="C101" t="str">
            <v>RICOUARD</v>
          </cell>
        </row>
        <row r="102">
          <cell r="C102" t="str">
            <v>RINGEVAL</v>
          </cell>
        </row>
        <row r="103">
          <cell r="C103" t="str">
            <v>ROYER</v>
          </cell>
        </row>
        <row r="104">
          <cell r="C104" t="str">
            <v>RUAT</v>
          </cell>
        </row>
        <row r="105">
          <cell r="C105" t="str">
            <v>SAELEN</v>
          </cell>
        </row>
        <row r="106">
          <cell r="C106" t="str">
            <v>SAINT ROMAIN</v>
          </cell>
        </row>
        <row r="107">
          <cell r="C107" t="str">
            <v>SANLAVILLE-LHOTE</v>
          </cell>
        </row>
        <row r="108">
          <cell r="C108" t="str">
            <v>SOLLIER</v>
          </cell>
        </row>
        <row r="109">
          <cell r="C109" t="str">
            <v>SOULARD G.</v>
          </cell>
        </row>
        <row r="110">
          <cell r="C110" t="str">
            <v>SOULARD N.</v>
          </cell>
        </row>
        <row r="111">
          <cell r="C111" t="str">
            <v>STUTTGEN</v>
          </cell>
        </row>
        <row r="112">
          <cell r="C112" t="str">
            <v>TELLIER</v>
          </cell>
        </row>
        <row r="113">
          <cell r="C113" t="str">
            <v>THEVIGNOT</v>
          </cell>
        </row>
        <row r="114">
          <cell r="C114" t="str">
            <v>TITEUX</v>
          </cell>
        </row>
        <row r="115">
          <cell r="C115" t="str">
            <v>TOURTEAUX</v>
          </cell>
        </row>
        <row r="116">
          <cell r="C116" t="str">
            <v>TUECH</v>
          </cell>
        </row>
        <row r="117">
          <cell r="C117" t="str">
            <v>ULKER</v>
          </cell>
        </row>
        <row r="118">
          <cell r="C118" t="str">
            <v>VALEUR</v>
          </cell>
        </row>
        <row r="119">
          <cell r="C119" t="str">
            <v>VANDEWIELE</v>
          </cell>
        </row>
        <row r="120">
          <cell r="C120" t="str">
            <v>VANGREVELINGHE</v>
          </cell>
        </row>
        <row r="121">
          <cell r="C121" t="str">
            <v>VERDIER</v>
          </cell>
        </row>
        <row r="122">
          <cell r="C122" t="str">
            <v>VIGNON</v>
          </cell>
        </row>
        <row r="123">
          <cell r="C123" t="str">
            <v>VILLEMIN</v>
          </cell>
        </row>
        <row r="124">
          <cell r="C124" t="str">
            <v>WILKINS</v>
          </cell>
        </row>
        <row r="126">
          <cell r="C126" t="str">
            <v>Anis MCHAREK</v>
          </cell>
        </row>
        <row r="127">
          <cell r="C127" t="str">
            <v>Anne-Françoise ANGOUILLANT</v>
          </cell>
        </row>
        <row r="128">
          <cell r="C128" t="str">
            <v>Arnaud POSNIC</v>
          </cell>
        </row>
        <row r="129">
          <cell r="C129" t="str">
            <v>Axel MAERGLEN</v>
          </cell>
        </row>
        <row r="130">
          <cell r="C130" t="str">
            <v>Christophe BOUTHIER</v>
          </cell>
        </row>
        <row r="131">
          <cell r="C131" t="str">
            <v>David LEMAIRE</v>
          </cell>
        </row>
        <row r="132">
          <cell r="C132" t="str">
            <v>Florent TUECH</v>
          </cell>
        </row>
        <row r="133">
          <cell r="C133" t="str">
            <v>Florian CHESNAIS</v>
          </cell>
        </row>
        <row r="134">
          <cell r="C134" t="str">
            <v>Franck BOUCHAUX</v>
          </cell>
        </row>
        <row r="135">
          <cell r="C135" t="str">
            <v>Franck ROYER</v>
          </cell>
        </row>
        <row r="136">
          <cell r="C136" t="str">
            <v>Gérald DRUVENT</v>
          </cell>
        </row>
        <row r="137">
          <cell r="C137" t="str">
            <v>Gilles EVERAERT</v>
          </cell>
        </row>
        <row r="138">
          <cell r="C138" t="str">
            <v>Guillaume LEVEAUX</v>
          </cell>
        </row>
        <row r="139">
          <cell r="C139" t="str">
            <v>Jacques DAVERIO</v>
          </cell>
        </row>
        <row r="140">
          <cell r="C140" t="str">
            <v>Jean-François VANGREVELINGHE</v>
          </cell>
        </row>
        <row r="141">
          <cell r="C141" t="str">
            <v>Jean-Pierre RAGOT</v>
          </cell>
        </row>
        <row r="142">
          <cell r="C142" t="str">
            <v>Jérémie GHNASSIA</v>
          </cell>
        </row>
        <row r="143">
          <cell r="C143" t="str">
            <v>Laurent LEPLEY</v>
          </cell>
        </row>
        <row r="144">
          <cell r="C144" t="str">
            <v>Lionel FEUGIER</v>
          </cell>
        </row>
        <row r="145">
          <cell r="C145" t="str">
            <v>Lionel TERME</v>
          </cell>
        </row>
        <row r="146">
          <cell r="C146" t="str">
            <v>Mirella ALONZI</v>
          </cell>
        </row>
        <row r="147">
          <cell r="C147" t="str">
            <v>Pascal BOE</v>
          </cell>
        </row>
        <row r="148">
          <cell r="C148" t="str">
            <v>Pascal LAGRENAUDIE</v>
          </cell>
        </row>
        <row r="149">
          <cell r="C149" t="str">
            <v>Pascale VICHERA</v>
          </cell>
        </row>
        <row r="150">
          <cell r="C150" t="str">
            <v>Philippe GOMIS</v>
          </cell>
        </row>
        <row r="151">
          <cell r="C151" t="str">
            <v>Pierre VILLEMIN</v>
          </cell>
        </row>
        <row r="152">
          <cell r="C152" t="str">
            <v>Pierre-Emeric MICHEAU</v>
          </cell>
        </row>
        <row r="153">
          <cell r="C153" t="str">
            <v>Samuel CLEMOT</v>
          </cell>
        </row>
        <row r="154">
          <cell r="C154" t="str">
            <v>Sébastien ADERHOLD</v>
          </cell>
        </row>
        <row r="155">
          <cell r="C155" t="str">
            <v>Sébastien VANDEWIELE</v>
          </cell>
        </row>
        <row r="156">
          <cell r="C156" t="str">
            <v>Serge HAIRY</v>
          </cell>
        </row>
        <row r="157">
          <cell r="C157" t="str">
            <v>Sergio MARQUES</v>
          </cell>
        </row>
        <row r="158">
          <cell r="C158" t="str">
            <v>Stéphane FERRI</v>
          </cell>
        </row>
        <row r="159">
          <cell r="C159" t="str">
            <v>Stéphane LOCQUE</v>
          </cell>
        </row>
        <row r="160">
          <cell r="C160" t="str">
            <v>Steve CAPLET</v>
          </cell>
        </row>
        <row r="161">
          <cell r="C161" t="str">
            <v>Thierry NARDIN</v>
          </cell>
        </row>
        <row r="163">
          <cell r="C163" t="str">
            <v>Agnès Cantin</v>
          </cell>
        </row>
        <row r="164">
          <cell r="C164" t="str">
            <v>Dominique Sollier</v>
          </cell>
        </row>
        <row r="165">
          <cell r="C165" t="str">
            <v>Eric Armand</v>
          </cell>
        </row>
        <row r="166">
          <cell r="C166" t="str">
            <v>Olivier Six</v>
          </cell>
        </row>
      </sheetData>
      <sheetData sheetId="20"/>
      <sheetData sheetId="2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5"/>
      <sheetName val="Renta"/>
      <sheetName val="Transporteur"/>
      <sheetName val="Adresses postales"/>
      <sheetName val="Hausse 2014 2015"/>
      <sheetName val="ANNEXE 1"/>
      <sheetName val="TCD"/>
      <sheetName val="Acqui"/>
      <sheetName val="Feuil2"/>
      <sheetName val="Base"/>
    </sheetNames>
    <sheetDataSet>
      <sheetData sheetId="0"/>
      <sheetData sheetId="1"/>
      <sheetData sheetId="2"/>
      <sheetData sheetId="3"/>
      <sheetData sheetId="4">
        <row r="12">
          <cell r="CL12" t="str">
            <v xml:space="preserve">I. Poulain </v>
          </cell>
          <cell r="CM12" t="str">
            <v>IP</v>
          </cell>
        </row>
        <row r="13">
          <cell r="CL13" t="str">
            <v>P. Depresle</v>
          </cell>
          <cell r="CM13" t="str">
            <v>PD</v>
          </cell>
        </row>
        <row r="14">
          <cell r="CL14" t="str">
            <v xml:space="preserve">S. Marques </v>
          </cell>
          <cell r="CM14" t="str">
            <v>SM</v>
          </cell>
        </row>
        <row r="15">
          <cell r="CL15" t="str">
            <v>F. Rahn</v>
          </cell>
          <cell r="CM15" t="str">
            <v>FR</v>
          </cell>
        </row>
        <row r="16">
          <cell r="CL16" t="str">
            <v xml:space="preserve">M. Mehee </v>
          </cell>
          <cell r="CM16" t="str">
            <v>MM</v>
          </cell>
        </row>
        <row r="17">
          <cell r="CL17" t="str">
            <v>A.Bertiaux</v>
          </cell>
          <cell r="CM17" t="str">
            <v>AB</v>
          </cell>
        </row>
        <row r="18">
          <cell r="CL18" t="str">
            <v>K. Elouard</v>
          </cell>
          <cell r="CM18" t="str">
            <v>KE</v>
          </cell>
        </row>
        <row r="19">
          <cell r="CL19" t="str">
            <v>C. Randeynes</v>
          </cell>
          <cell r="CM19" t="str">
            <v>CR</v>
          </cell>
        </row>
        <row r="20">
          <cell r="CL20" t="str">
            <v>S.Bizarra</v>
          </cell>
          <cell r="CM20" t="str">
            <v>SB</v>
          </cell>
        </row>
        <row r="21">
          <cell r="CL21" t="str">
            <v>C.Zochowski</v>
          </cell>
          <cell r="CM21" t="str">
            <v>SZ</v>
          </cell>
        </row>
        <row r="22">
          <cell r="CL22" t="str">
            <v>S.Caplet</v>
          </cell>
          <cell r="CM22" t="str">
            <v>SP</v>
          </cell>
        </row>
      </sheetData>
      <sheetData sheetId="5"/>
      <sheetData sheetId="6"/>
      <sheetData sheetId="7"/>
      <sheetData sheetId="8"/>
      <sheetData sheetId="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isation de la FE"/>
      <sheetName val="Fiche environnement"/>
      <sheetName val="BC WEBLINE"/>
      <sheetName val="BC NETLINE  EDI"/>
      <sheetName val="REPRISE MATERIEL"/>
      <sheetName val="migration Pcline 2"/>
      <sheetName val="BC PCLINE 2"/>
      <sheetName val="BC ECS"/>
      <sheetName val="Fiche de prise en charge"/>
      <sheetName val="Fiche TracingLine"/>
      <sheetName val="Fiche POD"/>
      <sheetName val="HP-BES"/>
      <sheetName val="valeur liste fiche Env"/>
    </sheetNames>
    <sheetDataSet>
      <sheetData sheetId="0"/>
      <sheetData sheetId="1">
        <row r="10">
          <cell r="F10">
            <v>0</v>
          </cell>
        </row>
      </sheetData>
      <sheetData sheetId="2"/>
      <sheetData sheetId="3"/>
      <sheetData sheetId="4"/>
      <sheetData sheetId="5"/>
      <sheetData sheetId="6"/>
      <sheetData sheetId="7"/>
      <sheetData sheetId="8"/>
      <sheetData sheetId="9"/>
      <sheetData sheetId="10">
        <row r="17">
          <cell r="C17"/>
        </row>
      </sheetData>
      <sheetData sheetId="11"/>
      <sheetData sheetId="12">
        <row r="1">
          <cell r="A1" t="str">
            <v>Création</v>
          </cell>
          <cell r="E1" t="str">
            <v>Yes</v>
          </cell>
        </row>
        <row r="2">
          <cell r="A2" t="str">
            <v>Ajout</v>
          </cell>
          <cell r="E2" t="str">
            <v>No</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ffusion"/>
      <sheetName val="Guide"/>
      <sheetName val="Data"/>
      <sheetName val="Data2"/>
      <sheetName val="Feuil2"/>
      <sheetName val="ProductionMOA_V2_12 MoisAAAAMM"/>
    </sheetNames>
    <sheetDataSet>
      <sheetData sheetId="0" refreshError="1"/>
      <sheetData sheetId="1"/>
      <sheetData sheetId="2">
        <row r="3">
          <cell r="B3" t="str">
            <v>ClientTlibox</v>
          </cell>
        </row>
      </sheetData>
      <sheetData sheetId="3">
        <row r="6">
          <cell r="B6" t="str">
            <v>NbVoyages</v>
          </cell>
        </row>
      </sheetData>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G GI 2002  NEW 09 2002 copie"/>
      <sheetName val="PARAMETRES"/>
    </sheetNames>
    <sheetDataSet>
      <sheetData sheetId="0" refreshError="1"/>
      <sheetData sheetId="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content"/>
      <sheetName val="Modifications List"/>
      <sheetName val="Partner file"/>
      <sheetName val="General conditions"/>
      <sheetName val="Intern_Freight_DK"/>
      <sheetName val="Intern_Freight_FIN"/>
      <sheetName val="Intern_Freight_NO"/>
      <sheetName val="Intern_Freight_S"/>
      <sheetName val="Col_Del_ Cost HWL North"/>
      <sheetName val="Col_Del_Cost HWL SW"/>
      <sheetName val="Col_Del_Cost HWL SW for FIN"/>
      <sheetName val="Col_Del_Cost HWL SW for SE"/>
      <sheetName val="Freight to German Islands"/>
      <sheetName val="LKW Maut DE"/>
      <sheetName val="Delivery times in Germany"/>
      <sheetName val="Fixed deliveries"/>
      <sheetName val="Col_Del_Cost_DK"/>
      <sheetName val="Col_Del_Cost_FIN"/>
      <sheetName val="Col_Del_Cost_NO"/>
      <sheetName val="Col_Del_Cost_S"/>
      <sheetName val="Delivery times_DK"/>
      <sheetName val="Delivery times_FIN"/>
      <sheetName val="Delivery times_NO"/>
      <sheetName val="Delivery times_S"/>
      <sheetName val="Special conditions"/>
      <sheetName val="Organization _ Quality Manual"/>
      <sheetName val="Bulkiness"/>
      <sheetName val="Admin_Process STANDARD"/>
      <sheetName val="Admin_Process RUE"/>
    </sheetNames>
    <sheetDataSet>
      <sheetData sheetId="0" refreshError="1">
        <row r="3">
          <cell r="A3" t="str">
            <v>Osnabrueck, 01/ 03/ 2010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content"/>
      <sheetName val="Modifications List"/>
      <sheetName val="Partner file"/>
      <sheetName val="General conditions"/>
      <sheetName val="Intern Freight N-S HWL-GW"/>
      <sheetName val="Intern Freight S-N GW-HWL"/>
      <sheetName val="Intern.Freight_PL-CZ, HU"/>
      <sheetName val="Col_Del_ Cost HWL DE"/>
      <sheetName val="LKW Maut DE"/>
      <sheetName val="Col_Del_ Cost HWL PL"/>
      <sheetName val="Delivery times in Germany"/>
      <sheetName val="CAF"/>
      <sheetName val="Del_BA"/>
      <sheetName val="Col_Del_Cost BG"/>
      <sheetName val="Col_Del_Cost_HR"/>
      <sheetName val="Col_Del_Cost_CZ"/>
      <sheetName val="Road toll CZ"/>
      <sheetName val="Col_Del_Cost_HU"/>
      <sheetName val="Tariff ex CZ - AT"/>
      <sheetName val="Tariff till 15 zones"/>
      <sheetName val="Zone classification_export"/>
      <sheetName val="Zone classification_import"/>
      <sheetName val="Col_Del_Cost_RO"/>
      <sheetName val="Col_Del_Cost_SK"/>
      <sheetName val="Slovakia Toll"/>
      <sheetName val="Col_Del_Cost_SI"/>
      <sheetName val="Delivery times GW"/>
      <sheetName val="Organization - Quality Manual"/>
      <sheetName val="HWL-GW"/>
      <sheetName val="GW-HWL"/>
      <sheetName val="Admin.Proce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sheetData sheetId="27" refreshError="1"/>
      <sheetData sheetId="28"/>
      <sheetData sheetId="29"/>
      <sheetData sheetId="3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fassung"/>
      <sheetName val="Kalkulation"/>
      <sheetName val="Struktur"/>
      <sheetName val="Struktur (2)"/>
      <sheetName val="BSL98"/>
      <sheetName val="BSL99"/>
      <sheetName val="BSL2000"/>
      <sheetName val="Haustarif Moers"/>
      <sheetName val="Zonentarif"/>
      <sheetName val="Tarif_Hauptlauf"/>
      <sheetName val="Tarif_Abholung"/>
      <sheetName val="Tarif_Zustellung"/>
      <sheetName val="Fortras_RR"/>
      <sheetName val="Km Tabelle"/>
      <sheetName val="Tabelle1"/>
      <sheetName val="kmWerk"/>
      <sheetName val="Routertabelle"/>
      <sheetName val="Verweise"/>
      <sheetName val="Margen"/>
      <sheetName val="OK"/>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7 in Euro"/>
    </sheetNames>
    <sheetDataSet>
      <sheetData sheetId="0"/>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AP"/>
      <sheetName val="Hausse IDF"/>
      <sheetName val="Hausse 001"/>
      <sheetName val="Hausse 022"/>
      <sheetName val="Hausse 024"/>
      <sheetName val="Hausse 033"/>
      <sheetName val="Hausse 255"/>
      <sheetName val="Métier"/>
      <sheetName val="Autres comptes"/>
    </sheetNames>
    <sheetDataSet>
      <sheetData sheetId="0" refreshError="1"/>
      <sheetData sheetId="1" refreshError="1"/>
      <sheetData sheetId="2">
        <row r="1">
          <cell r="A1">
            <v>41585</v>
          </cell>
          <cell r="C1" t="str">
            <v>VALIDE</v>
          </cell>
          <cell r="I1" t="str">
            <v>Suivi</v>
          </cell>
          <cell r="K1" t="str">
            <v>ATMA</v>
          </cell>
          <cell r="M1" t="str">
            <v>Doublon</v>
          </cell>
          <cell r="Z1" t="str">
            <v>2011 Janv à Dec</v>
          </cell>
          <cell r="AE1" t="str">
            <v>2012 Janv-Août</v>
          </cell>
          <cell r="AO1">
            <v>11.2</v>
          </cell>
        </row>
        <row r="2">
          <cell r="A2" t="str">
            <v>Client payeur</v>
          </cell>
          <cell r="B2" t="str">
            <v>Libellé Client payeur</v>
          </cell>
          <cell r="C2" t="str">
            <v>Taux groupage National</v>
          </cell>
          <cell r="D2" t="str">
            <v>Taux groupage International</v>
          </cell>
          <cell r="E2" t="str">
            <v>Taux lot</v>
          </cell>
          <cell r="F2" t="str">
            <v>Date d'application</v>
          </cell>
          <cell r="G2" t="str">
            <v>Envoi des tarifs par courrier</v>
          </cell>
          <cell r="H2" t="str">
            <v>Commentaire</v>
          </cell>
          <cell r="I2" t="str">
            <v>A envoyer</v>
          </cell>
          <cell r="J2" t="str">
            <v>A rensigner dans INES</v>
          </cell>
          <cell r="K2" t="str">
            <v>ENVOI OK</v>
          </cell>
          <cell r="L2" t="str">
            <v>INES OK</v>
          </cell>
          <cell r="M2" t="str">
            <v>INFO</v>
          </cell>
          <cell r="N2" t="str">
            <v>Direction</v>
          </cell>
          <cell r="O2" t="str">
            <v>Commerciaux</v>
          </cell>
          <cell r="P2" t="str">
            <v>Commentaire</v>
          </cell>
          <cell r="Q2" t="str">
            <v>Agence</v>
          </cell>
          <cell r="R2" t="str">
            <v>CP</v>
          </cell>
          <cell r="S2" t="str">
            <v>Adresse</v>
          </cell>
          <cell r="T2" t="str">
            <v>Code CP</v>
          </cell>
          <cell r="U2" t="str">
            <v>Ville</v>
          </cell>
          <cell r="V2" t="str">
            <v>Civilité</v>
          </cell>
          <cell r="W2" t="str">
            <v>Nom</v>
          </cell>
          <cell r="X2" t="str">
            <v>Code postal</v>
          </cell>
          <cell r="Y2" t="str">
            <v>Localité</v>
          </cell>
          <cell r="Z2" t="str">
            <v>501</v>
          </cell>
          <cell r="AA2" t="str">
            <v>551</v>
          </cell>
          <cell r="AB2" t="str">
            <v>553</v>
          </cell>
          <cell r="AC2" t="str">
            <v>Autre prestation</v>
          </cell>
          <cell r="AD2" t="str">
            <v>Total 2011</v>
          </cell>
          <cell r="AE2" t="str">
            <v>501</v>
          </cell>
          <cell r="AF2" t="str">
            <v>501 RENTA</v>
          </cell>
          <cell r="AG2" t="str">
            <v>551</v>
          </cell>
          <cell r="AH2" t="str">
            <v>551 RENTA</v>
          </cell>
          <cell r="AI2" t="str">
            <v>553</v>
          </cell>
          <cell r="AJ2" t="str">
            <v>553 RENTA</v>
          </cell>
          <cell r="AK2" t="str">
            <v>Autre prestation</v>
          </cell>
          <cell r="AL2" t="str">
            <v>Total cumulé Août 2012</v>
          </cell>
          <cell r="AM2" t="str">
            <v>Prévision fin 2012</v>
          </cell>
          <cell r="AN2" t="str">
            <v>Taux d'évoluation 2012/2011</v>
          </cell>
          <cell r="AO2" t="str">
            <v>Contrat INES G</v>
          </cell>
          <cell r="AP2" t="str">
            <v>Contrat INES LOT</v>
          </cell>
          <cell r="AQ2" t="str">
            <v>Date d'ouverture de compte dans INES</v>
          </cell>
          <cell r="AX2" t="str">
            <v>Taux groupage National</v>
          </cell>
          <cell r="AY2" t="str">
            <v>Taux groupage International</v>
          </cell>
          <cell r="AZ2" t="str">
            <v>Taux lot</v>
          </cell>
        </row>
        <row r="3">
          <cell r="A3">
            <v>51690</v>
          </cell>
          <cell r="B3" t="str">
            <v>MANUTAN</v>
          </cell>
          <cell r="H3" t="str">
            <v>DEVELOPPEMENT EN COURS DE NEGOCIATION PAS DE HAUSSE EN 2013</v>
          </cell>
          <cell r="I3">
            <v>0</v>
          </cell>
          <cell r="K3">
            <v>0</v>
          </cell>
          <cell r="L3" t="str">
            <v>NON</v>
          </cell>
          <cell r="M3" t="str">
            <v>Porte Feuille</v>
          </cell>
          <cell r="N3" t="str">
            <v>Non affecté</v>
          </cell>
          <cell r="O3" t="str">
            <v>SM</v>
          </cell>
          <cell r="P3" t="str">
            <v>Ok mon client</v>
          </cell>
          <cell r="Q3" t="str">
            <v>GENNEVILLIERS</v>
          </cell>
          <cell r="R3" t="str">
            <v>95</v>
          </cell>
          <cell r="S3" t="str">
            <v>16 RUE AMPERE</v>
          </cell>
          <cell r="T3" t="str">
            <v>95506</v>
          </cell>
          <cell r="U3" t="str">
            <v>GONESSE CEDEX</v>
          </cell>
          <cell r="V3" t="str">
            <v>M.</v>
          </cell>
          <cell r="W3" t="str">
            <v>MULLER NICOLAS</v>
          </cell>
          <cell r="X3" t="str">
            <v>95500</v>
          </cell>
          <cell r="Y3" t="str">
            <v>GONESSE CEDEX</v>
          </cell>
          <cell r="Z3">
            <v>12677</v>
          </cell>
          <cell r="AA3">
            <v>1662896.3199999998</v>
          </cell>
          <cell r="AB3">
            <v>2261.61</v>
          </cell>
          <cell r="AC3">
            <v>0.01</v>
          </cell>
          <cell r="AD3">
            <v>1677834.94</v>
          </cell>
          <cell r="AE3">
            <v>5896.84</v>
          </cell>
          <cell r="AF3">
            <v>0.26339347931235207</v>
          </cell>
          <cell r="AG3">
            <v>1162876.57</v>
          </cell>
          <cell r="AH3">
            <v>0.51130808662656146</v>
          </cell>
          <cell r="AI3">
            <v>460.33</v>
          </cell>
          <cell r="AJ3">
            <v>-0.2517742585303871</v>
          </cell>
          <cell r="AL3">
            <v>1169233.7400000002</v>
          </cell>
          <cell r="AM3">
            <v>1636927.2360000003</v>
          </cell>
          <cell r="AN3">
            <v>-2.4381244557941883E-2</v>
          </cell>
          <cell r="AO3" t="str">
            <v>001-G-95MANUTAN</v>
          </cell>
          <cell r="AX3">
            <v>1162876.57</v>
          </cell>
          <cell r="AY3">
            <v>460.33</v>
          </cell>
          <cell r="AZ3">
            <v>5896.84</v>
          </cell>
          <cell r="BC3" t="str">
            <v>Autre Agence 024</v>
          </cell>
        </row>
        <row r="4">
          <cell r="A4">
            <v>559097</v>
          </cell>
          <cell r="B4" t="str">
            <v>ELECTROLUX LOGISTICS</v>
          </cell>
          <cell r="H4" t="str">
            <v>DCM</v>
          </cell>
          <cell r="I4">
            <v>0</v>
          </cell>
          <cell r="J4">
            <v>0</v>
          </cell>
          <cell r="K4" t="str">
            <v>NON</v>
          </cell>
          <cell r="L4" t="str">
            <v>NON</v>
          </cell>
          <cell r="M4" t="str">
            <v>Porte Feuille</v>
          </cell>
          <cell r="N4" t="str">
            <v>DCM</v>
          </cell>
          <cell r="O4" t="str">
            <v>JPP</v>
          </cell>
          <cell r="P4" t="str">
            <v>Ok mon client</v>
          </cell>
          <cell r="Q4" t="str">
            <v>GENNEVILLIERS</v>
          </cell>
          <cell r="R4" t="str">
            <v>60</v>
          </cell>
          <cell r="S4" t="str">
            <v>43 AVENUE FELIX LOUAT</v>
          </cell>
          <cell r="T4">
            <v>60300</v>
          </cell>
          <cell r="U4" t="str">
            <v>SENLIS</v>
          </cell>
          <cell r="V4" t="str">
            <v>M.</v>
          </cell>
          <cell r="W4" t="str">
            <v>Michel DENIZOT</v>
          </cell>
          <cell r="X4" t="str">
            <v>60300</v>
          </cell>
          <cell r="Y4" t="str">
            <v>SENLIS</v>
          </cell>
          <cell r="Z4">
            <v>396272.31999999995</v>
          </cell>
          <cell r="AA4">
            <v>2896.11</v>
          </cell>
          <cell r="AD4">
            <v>399168.42999999993</v>
          </cell>
          <cell r="AE4">
            <v>449885.58</v>
          </cell>
          <cell r="AF4">
            <v>0.15624619563692432</v>
          </cell>
          <cell r="AG4">
            <v>38.9</v>
          </cell>
          <cell r="AH4">
            <v>0.51123790486572374</v>
          </cell>
          <cell r="AL4">
            <v>449924.48</v>
          </cell>
          <cell r="AM4">
            <v>629894.27199999988</v>
          </cell>
          <cell r="AN4">
            <v>0.57801625744801499</v>
          </cell>
          <cell r="AP4" t="str">
            <v>001-L1-95ELECTROLUXLOGIS</v>
          </cell>
          <cell r="AQ4">
            <v>40693</v>
          </cell>
          <cell r="AX4">
            <v>38.9</v>
          </cell>
          <cell r="AY4">
            <v>0</v>
          </cell>
          <cell r="AZ4">
            <v>449885.58</v>
          </cell>
        </row>
        <row r="5">
          <cell r="A5">
            <v>68061</v>
          </cell>
          <cell r="B5" t="str">
            <v>PHILIPS FRANCE - Secteur lighting</v>
          </cell>
          <cell r="E5">
            <v>1.9E-2</v>
          </cell>
          <cell r="F5">
            <v>41306</v>
          </cell>
          <cell r="H5" t="str">
            <v>DCM</v>
          </cell>
          <cell r="I5">
            <v>0</v>
          </cell>
          <cell r="J5">
            <v>0</v>
          </cell>
          <cell r="K5" t="str">
            <v>NON</v>
          </cell>
          <cell r="L5" t="str">
            <v>OK</v>
          </cell>
          <cell r="M5" t="str">
            <v>Porte Feuille</v>
          </cell>
          <cell r="N5" t="str">
            <v>DCM</v>
          </cell>
          <cell r="O5" t="str">
            <v>JPP</v>
          </cell>
          <cell r="P5" t="str">
            <v>Ok mon client</v>
          </cell>
          <cell r="Q5" t="str">
            <v>GENNEVILLIERS</v>
          </cell>
          <cell r="R5" t="str">
            <v>92</v>
          </cell>
          <cell r="S5" t="str">
            <v>20 RUE RABUAN DU COUDRAY BP 319</v>
          </cell>
          <cell r="T5" t="str">
            <v>28006</v>
          </cell>
          <cell r="U5" t="str">
            <v>CHARTRES CEDEX</v>
          </cell>
          <cell r="W5" t="str">
            <v>Directeur Logistique et Transports</v>
          </cell>
          <cell r="X5" t="str">
            <v>92156</v>
          </cell>
          <cell r="Y5" t="str">
            <v>SURESNES CEDEX</v>
          </cell>
          <cell r="Z5">
            <v>286736.94</v>
          </cell>
          <cell r="AA5">
            <v>53848.420000000013</v>
          </cell>
          <cell r="AB5">
            <v>322355.03999999998</v>
          </cell>
          <cell r="AD5">
            <v>662940.39999999991</v>
          </cell>
          <cell r="AE5">
            <v>205427.31</v>
          </cell>
          <cell r="AF5">
            <v>0.26649923585355717</v>
          </cell>
          <cell r="AG5">
            <v>41838.090000000004</v>
          </cell>
          <cell r="AH5">
            <v>-8.8634302778583564E-3</v>
          </cell>
          <cell r="AI5">
            <v>193953.93</v>
          </cell>
          <cell r="AJ5">
            <v>0.35700965237910431</v>
          </cell>
          <cell r="AL5">
            <v>441219.32999999996</v>
          </cell>
          <cell r="AM5">
            <v>617707.06199999992</v>
          </cell>
          <cell r="AN5">
            <v>-6.8231379472423193E-2</v>
          </cell>
          <cell r="AO5" t="str">
            <v>028-G-28PHILIPSAFTERMAR</v>
          </cell>
          <cell r="AP5" t="str">
            <v>028-L-28PHILIPSAFTERMAR</v>
          </cell>
          <cell r="AX5">
            <v>41838.090000000004</v>
          </cell>
          <cell r="AY5">
            <v>193953.93</v>
          </cell>
          <cell r="AZ5">
            <v>209330.42889000001</v>
          </cell>
        </row>
        <row r="6">
          <cell r="A6">
            <v>396564</v>
          </cell>
          <cell r="B6" t="str">
            <v>INTER CLEAN ASSISTANCE</v>
          </cell>
          <cell r="C6">
            <v>0</v>
          </cell>
          <cell r="D6">
            <v>0</v>
          </cell>
          <cell r="E6">
            <v>0</v>
          </cell>
          <cell r="H6" t="str">
            <v>SGO PASSE A 3% AU LIEU DE 1,5%</v>
          </cell>
          <cell r="I6">
            <v>0</v>
          </cell>
          <cell r="J6">
            <v>0</v>
          </cell>
          <cell r="K6" t="str">
            <v>NON</v>
          </cell>
          <cell r="L6" t="str">
            <v>OK</v>
          </cell>
          <cell r="M6" t="str">
            <v>Porte Feuille</v>
          </cell>
          <cell r="N6" t="str">
            <v>Non affecté</v>
          </cell>
          <cell r="O6" t="str">
            <v>AB</v>
          </cell>
          <cell r="P6" t="str">
            <v>Ok mon client</v>
          </cell>
          <cell r="Q6" t="str">
            <v>GENNEVILLIERS</v>
          </cell>
          <cell r="R6" t="str">
            <v>78</v>
          </cell>
          <cell r="S6" t="str">
            <v>386 AV DE LA COURONNE DES PRES</v>
          </cell>
          <cell r="T6" t="str">
            <v>78680</v>
          </cell>
          <cell r="U6" t="str">
            <v>EPONE</v>
          </cell>
          <cell r="V6" t="str">
            <v>M.</v>
          </cell>
          <cell r="W6" t="str">
            <v>AGBONI</v>
          </cell>
          <cell r="X6" t="str">
            <v>78680</v>
          </cell>
          <cell r="Y6" t="str">
            <v>EPONE</v>
          </cell>
          <cell r="Z6">
            <v>120158.10999999999</v>
          </cell>
          <cell r="AA6">
            <v>436680.35000000003</v>
          </cell>
          <cell r="AB6">
            <v>1573.5800000000002</v>
          </cell>
          <cell r="AD6">
            <v>558412.03999999992</v>
          </cell>
          <cell r="AE6">
            <v>86118.049999999988</v>
          </cell>
          <cell r="AF6">
            <v>0.23919719000865758</v>
          </cell>
          <cell r="AG6">
            <v>297011.58</v>
          </cell>
          <cell r="AH6">
            <v>0.4916890887837792</v>
          </cell>
          <cell r="AI6">
            <v>2532.6999999999998</v>
          </cell>
          <cell r="AJ6">
            <v>0.56277540622418054</v>
          </cell>
          <cell r="AL6">
            <v>385662.33</v>
          </cell>
          <cell r="AM6">
            <v>539927.26199999999</v>
          </cell>
          <cell r="AN6">
            <v>-3.310239872335119E-2</v>
          </cell>
          <cell r="AO6" t="str">
            <v>001-G-78ICA</v>
          </cell>
          <cell r="AP6" t="str">
            <v>001-L1-T4-PML</v>
          </cell>
          <cell r="AQ6">
            <v>38685</v>
          </cell>
          <cell r="AX6">
            <v>297011.58</v>
          </cell>
          <cell r="AY6">
            <v>2532.6999999999998</v>
          </cell>
          <cell r="AZ6">
            <v>86118.049999999988</v>
          </cell>
        </row>
        <row r="7">
          <cell r="A7">
            <v>588162</v>
          </cell>
          <cell r="B7" t="str">
            <v>DELPHI FRANCE SAS</v>
          </cell>
          <cell r="H7" t="str">
            <v>DCM</v>
          </cell>
          <cell r="I7">
            <v>0</v>
          </cell>
          <cell r="J7">
            <v>0</v>
          </cell>
          <cell r="K7" t="str">
            <v>NON</v>
          </cell>
          <cell r="L7" t="str">
            <v>non</v>
          </cell>
          <cell r="M7" t="str">
            <v>Porte Feuille</v>
          </cell>
          <cell r="N7" t="str">
            <v>DCM</v>
          </cell>
          <cell r="O7" t="str">
            <v>JPP</v>
          </cell>
          <cell r="P7" t="str">
            <v>Ok mon client</v>
          </cell>
          <cell r="Q7" t="str">
            <v>GENNEVILLIERS</v>
          </cell>
          <cell r="R7" t="str">
            <v>93</v>
          </cell>
          <cell r="S7" t="str">
            <v>43 AV DU GROS CHENE - BP 219</v>
          </cell>
          <cell r="T7" t="str">
            <v>95614</v>
          </cell>
          <cell r="U7" t="str">
            <v>CERGY PONTOISE CEDEX</v>
          </cell>
          <cell r="W7" t="str">
            <v>Directeur Logistique et Transports</v>
          </cell>
          <cell r="X7" t="str">
            <v>93290</v>
          </cell>
          <cell r="Y7" t="str">
            <v>TREMBLAY EN FRANCE</v>
          </cell>
          <cell r="Z7">
            <v>119840.17</v>
          </cell>
          <cell r="AA7">
            <v>103654.84</v>
          </cell>
          <cell r="AB7">
            <v>32516.21</v>
          </cell>
          <cell r="AD7">
            <v>256011.22</v>
          </cell>
          <cell r="AE7">
            <v>177368.16999999998</v>
          </cell>
          <cell r="AF7">
            <v>-0.18749412238080815</v>
          </cell>
          <cell r="AG7">
            <v>66671.289999999994</v>
          </cell>
          <cell r="AH7">
            <v>8.4128852288058081E-2</v>
          </cell>
          <cell r="AI7">
            <v>70938.880000000005</v>
          </cell>
          <cell r="AJ7">
            <v>0.16320068151393588</v>
          </cell>
          <cell r="AL7">
            <v>314978.33999999997</v>
          </cell>
          <cell r="AM7">
            <v>440969.67599999992</v>
          </cell>
          <cell r="AN7">
            <v>0.7224623045818066</v>
          </cell>
          <cell r="AO7" t="str">
            <v>001-G-95DELPHIAFTERMARK</v>
          </cell>
          <cell r="AP7" t="str">
            <v>001-L-95DELPHIAFTERMARK</v>
          </cell>
          <cell r="AX7">
            <v>66671.289999999994</v>
          </cell>
          <cell r="AY7">
            <v>70938.880000000005</v>
          </cell>
          <cell r="AZ7">
            <v>177368.16999999998</v>
          </cell>
        </row>
        <row r="8">
          <cell r="A8">
            <v>828739</v>
          </cell>
          <cell r="B8" t="str">
            <v>KELLOGG EUROPE TRADING LIMITED</v>
          </cell>
          <cell r="E8">
            <v>1.4999999999999999E-2</v>
          </cell>
          <cell r="F8">
            <v>41323</v>
          </cell>
          <cell r="I8">
            <v>0</v>
          </cell>
          <cell r="K8" t="str">
            <v>OK</v>
          </cell>
          <cell r="L8" t="str">
            <v>OK</v>
          </cell>
          <cell r="M8" t="str">
            <v>Porte Feuille</v>
          </cell>
          <cell r="N8" t="str">
            <v>Non affecté</v>
          </cell>
          <cell r="O8" t="str">
            <v>SM</v>
          </cell>
          <cell r="P8" t="str">
            <v>Ok mon client</v>
          </cell>
          <cell r="Q8" t="str">
            <v>GENNEVILLIERS</v>
          </cell>
          <cell r="R8" t="str">
            <v>93</v>
          </cell>
          <cell r="S8" t="str">
            <v>LAKESHORE DRIVE AIRSIDE BUSINESS 
PARK  SWORDS COUNTY DUBLIN</v>
          </cell>
          <cell r="T8" t="str">
            <v>DUBLIN</v>
          </cell>
          <cell r="U8" t="str">
            <v>Irlande</v>
          </cell>
          <cell r="W8" t="str">
            <v>Directeur Logistique et Transports</v>
          </cell>
          <cell r="X8" t="str">
            <v>93110</v>
          </cell>
          <cell r="Y8" t="str">
            <v>ROSNY SOUS BOIS</v>
          </cell>
          <cell r="Z8">
            <v>490056.64</v>
          </cell>
          <cell r="AA8">
            <v>2763.37</v>
          </cell>
          <cell r="AD8">
            <v>492820.01</v>
          </cell>
          <cell r="AE8">
            <v>304552.56</v>
          </cell>
          <cell r="AF8">
            <v>0.26014970023667716</v>
          </cell>
          <cell r="AG8">
            <v>2055.02</v>
          </cell>
          <cell r="AH8">
            <v>0.33726209270172458</v>
          </cell>
          <cell r="AL8">
            <v>306607.58</v>
          </cell>
          <cell r="AM8">
            <v>429250.61200000002</v>
          </cell>
          <cell r="AN8">
            <v>-0.12899110569800121</v>
          </cell>
          <cell r="AO8" t="str">
            <v>001-G-93KELLOGGEUROPE</v>
          </cell>
          <cell r="AX8">
            <v>2055.02</v>
          </cell>
          <cell r="AY8">
            <v>0</v>
          </cell>
          <cell r="AZ8">
            <v>309120.84839999996</v>
          </cell>
        </row>
        <row r="9">
          <cell r="A9">
            <v>827154</v>
          </cell>
          <cell r="B9" t="str">
            <v>SAS ALPA</v>
          </cell>
          <cell r="G9" t="str">
            <v>NON</v>
          </cell>
          <cell r="H9" t="str">
            <v>EN COURS</v>
          </cell>
          <cell r="I9">
            <v>0</v>
          </cell>
          <cell r="J9">
            <v>0</v>
          </cell>
          <cell r="K9" t="str">
            <v>NON</v>
          </cell>
          <cell r="L9" t="str">
            <v>non</v>
          </cell>
          <cell r="M9" t="str">
            <v>Porte Feuille</v>
          </cell>
          <cell r="N9" t="str">
            <v>Non affecté</v>
          </cell>
          <cell r="O9" t="str">
            <v>JPP</v>
          </cell>
          <cell r="P9" t="str">
            <v>Ok mon client</v>
          </cell>
          <cell r="Q9" t="str">
            <v>GENNEVILLIERS</v>
          </cell>
          <cell r="R9" t="str">
            <v>93</v>
          </cell>
          <cell r="S9" t="str">
            <v>37/39 RUE PLEYEL</v>
          </cell>
          <cell r="T9" t="str">
            <v>93206</v>
          </cell>
          <cell r="U9" t="str">
            <v>ST DENIS</v>
          </cell>
          <cell r="V9" t="str">
            <v>M.</v>
          </cell>
          <cell r="W9" t="str">
            <v>FUMEAUX</v>
          </cell>
          <cell r="X9" t="str">
            <v>93200</v>
          </cell>
          <cell r="Y9" t="str">
            <v>SAINT DENIS</v>
          </cell>
          <cell r="Z9">
            <v>235095.92</v>
          </cell>
          <cell r="AA9">
            <v>108671.23999999999</v>
          </cell>
          <cell r="AB9">
            <v>18658.190000000006</v>
          </cell>
          <cell r="AD9">
            <v>362425.35000000003</v>
          </cell>
          <cell r="AE9">
            <v>170059.76</v>
          </cell>
          <cell r="AF9">
            <v>0.14576090934533417</v>
          </cell>
          <cell r="AG9">
            <v>78486.360000000015</v>
          </cell>
          <cell r="AH9">
            <v>-0.27434585254974542</v>
          </cell>
          <cell r="AI9">
            <v>12804.18</v>
          </cell>
          <cell r="AJ9">
            <v>0.13178196152404431</v>
          </cell>
          <cell r="AL9">
            <v>261350.30000000002</v>
          </cell>
          <cell r="AM9">
            <v>365890.42</v>
          </cell>
          <cell r="AN9">
            <v>9.5607826549659602E-3</v>
          </cell>
          <cell r="AO9" t="str">
            <v>259-G-93ALPA</v>
          </cell>
          <cell r="AP9" t="str">
            <v>259-L-93ALPA</v>
          </cell>
          <cell r="AX9">
            <v>78486.360000000015</v>
          </cell>
          <cell r="AY9">
            <v>12804.18</v>
          </cell>
          <cell r="AZ9">
            <v>170059.76</v>
          </cell>
        </row>
        <row r="10">
          <cell r="A10">
            <v>559051</v>
          </cell>
          <cell r="B10" t="str">
            <v>DJECO</v>
          </cell>
          <cell r="G10">
            <v>0</v>
          </cell>
          <cell r="H10" t="str">
            <v>EN NEGO</v>
          </cell>
          <cell r="I10">
            <v>0</v>
          </cell>
          <cell r="J10">
            <v>0</v>
          </cell>
          <cell r="K10" t="str">
            <v>NON</v>
          </cell>
          <cell r="L10" t="str">
            <v>non</v>
          </cell>
          <cell r="M10" t="str">
            <v>Porte Feuille</v>
          </cell>
          <cell r="N10" t="str">
            <v>Non affecté</v>
          </cell>
          <cell r="O10" t="str">
            <v>MM</v>
          </cell>
          <cell r="P10" t="str">
            <v>Ok mon client</v>
          </cell>
          <cell r="Q10" t="str">
            <v>GENNEVILLIERS</v>
          </cell>
          <cell r="R10" t="str">
            <v>75</v>
          </cell>
          <cell r="S10" t="str">
            <v>3 RUE DES GRANDS AUGUSTINS</v>
          </cell>
          <cell r="T10" t="str">
            <v>75006</v>
          </cell>
          <cell r="U10" t="str">
            <v>PARIS 06</v>
          </cell>
          <cell r="V10" t="str">
            <v>M.</v>
          </cell>
          <cell r="W10" t="str">
            <v>SAINTE-CLUQUE</v>
          </cell>
          <cell r="X10" t="str">
            <v>75006</v>
          </cell>
          <cell r="Y10" t="str">
            <v>PARIS 06</v>
          </cell>
          <cell r="Z10">
            <v>14453.58</v>
          </cell>
          <cell r="AA10">
            <v>72268.19</v>
          </cell>
          <cell r="AB10">
            <v>285465.29999999993</v>
          </cell>
          <cell r="AD10">
            <v>372187.06999999995</v>
          </cell>
          <cell r="AE10">
            <v>8045.17</v>
          </cell>
          <cell r="AF10">
            <v>9.0887179050298278E-2</v>
          </cell>
          <cell r="AG10">
            <v>41579.75</v>
          </cell>
          <cell r="AH10">
            <v>6.1608910403289217E-2</v>
          </cell>
          <cell r="AI10">
            <v>187330.91000000003</v>
          </cell>
          <cell r="AJ10">
            <v>0.28857428367416338</v>
          </cell>
          <cell r="AL10">
            <v>236955.83000000002</v>
          </cell>
          <cell r="AM10">
            <v>331738.16200000001</v>
          </cell>
          <cell r="AN10">
            <v>-0.10867897157201067</v>
          </cell>
          <cell r="AO10" t="str">
            <v>001-G-75DJECO</v>
          </cell>
          <cell r="AQ10">
            <v>40228</v>
          </cell>
          <cell r="AX10">
            <v>41579.75</v>
          </cell>
          <cell r="AY10">
            <v>187330.91000000003</v>
          </cell>
          <cell r="AZ10">
            <v>8045.17</v>
          </cell>
        </row>
        <row r="11">
          <cell r="A11">
            <v>21626</v>
          </cell>
          <cell r="B11" t="str">
            <v>MERSEN FRANCE GENNEVILLIERS SAS</v>
          </cell>
          <cell r="G11" t="str">
            <v>NON</v>
          </cell>
          <cell r="H11" t="str">
            <v>PERDU</v>
          </cell>
          <cell r="I11">
            <v>0</v>
          </cell>
          <cell r="J11">
            <v>0</v>
          </cell>
          <cell r="K11" t="str">
            <v>NON</v>
          </cell>
          <cell r="L11" t="str">
            <v>NON</v>
          </cell>
          <cell r="M11" t="str">
            <v>Porte Feuille</v>
          </cell>
          <cell r="N11" t="str">
            <v>Non affecté</v>
          </cell>
          <cell r="O11" t="str">
            <v>JPP</v>
          </cell>
          <cell r="P11" t="str">
            <v>Ok mon client</v>
          </cell>
          <cell r="Q11" t="str">
            <v>GENNEVILLIERS</v>
          </cell>
          <cell r="R11" t="str">
            <v>92</v>
          </cell>
          <cell r="S11" t="str">
            <v xml:space="preserve">41 RUE JEAN JAURES              </v>
          </cell>
          <cell r="T11" t="str">
            <v>92230</v>
          </cell>
          <cell r="U11" t="str">
            <v>GENNEVILLIERS</v>
          </cell>
          <cell r="V11" t="str">
            <v>M.</v>
          </cell>
          <cell r="W11" t="str">
            <v>GONZALEZ</v>
          </cell>
          <cell r="X11" t="str">
            <v>92230</v>
          </cell>
          <cell r="Y11" t="str">
            <v>GENNEVILLIERS</v>
          </cell>
          <cell r="Z11">
            <v>154512.38999999998</v>
          </cell>
          <cell r="AA11">
            <v>30750.83</v>
          </cell>
          <cell r="AB11">
            <v>164791.76999999999</v>
          </cell>
          <cell r="AD11">
            <v>350054.99</v>
          </cell>
          <cell r="AE11">
            <v>105274.72</v>
          </cell>
          <cell r="AF11">
            <v>0.31443436291200189</v>
          </cell>
          <cell r="AG11">
            <v>17785.72</v>
          </cell>
          <cell r="AH11">
            <v>0.35813506559118907</v>
          </cell>
          <cell r="AI11">
            <v>87388.45</v>
          </cell>
          <cell r="AJ11">
            <v>0.21112190180869672</v>
          </cell>
          <cell r="AL11">
            <v>210448.89</v>
          </cell>
          <cell r="AM11">
            <v>294628.446</v>
          </cell>
          <cell r="AN11">
            <v>-0.15833667733175294</v>
          </cell>
          <cell r="AO11" t="str">
            <v>001-G-92CARBONELORRAINE</v>
          </cell>
          <cell r="AP11" t="str">
            <v>001-L-92CARBONELORRAINE</v>
          </cell>
          <cell r="AX11">
            <v>17785.72</v>
          </cell>
          <cell r="AY11">
            <v>87388.45</v>
          </cell>
          <cell r="AZ11">
            <v>105274.72</v>
          </cell>
        </row>
        <row r="12">
          <cell r="A12">
            <v>574143</v>
          </cell>
          <cell r="B12" t="str">
            <v>VIRFOLLET ET CIE</v>
          </cell>
          <cell r="C12">
            <v>0</v>
          </cell>
          <cell r="D12">
            <v>0</v>
          </cell>
          <cell r="E12">
            <v>0</v>
          </cell>
          <cell r="G12" t="str">
            <v>NON</v>
          </cell>
          <cell r="H12" t="str">
            <v>REMISE A PLAT DOSSIER JUIN SUIT ATTAQUE ALLOIN. Nouveau tarif en MES NAT applique au 01 02 13</v>
          </cell>
          <cell r="I12">
            <v>0</v>
          </cell>
          <cell r="J12">
            <v>0</v>
          </cell>
          <cell r="K12" t="str">
            <v>NON</v>
          </cell>
          <cell r="L12" t="str">
            <v>OK</v>
          </cell>
          <cell r="M12" t="str">
            <v>Porte Feuille</v>
          </cell>
          <cell r="N12" t="str">
            <v>Non affecté</v>
          </cell>
          <cell r="O12" t="str">
            <v>JPP</v>
          </cell>
          <cell r="P12" t="str">
            <v>Ok mon client</v>
          </cell>
          <cell r="Q12" t="str">
            <v>GENNEVILLIERS</v>
          </cell>
          <cell r="R12" t="str">
            <v>93</v>
          </cell>
          <cell r="S12" t="str">
            <v>GARONOR EST/ BAT 2B LOT M BP 611</v>
          </cell>
          <cell r="T12" t="str">
            <v>93611</v>
          </cell>
          <cell r="U12" t="str">
            <v>AULNAY SOUS BOIS CEDEX</v>
          </cell>
          <cell r="V12" t="str">
            <v>M.</v>
          </cell>
          <cell r="W12" t="str">
            <v>TIBAUDEAU</v>
          </cell>
          <cell r="X12" t="str">
            <v>93611</v>
          </cell>
          <cell r="Y12" t="str">
            <v>AULNAY SOUS BOIS CEDEX</v>
          </cell>
          <cell r="AA12">
            <v>297687.88</v>
          </cell>
          <cell r="AB12">
            <v>273.61</v>
          </cell>
          <cell r="AD12">
            <v>297961.49</v>
          </cell>
          <cell r="AG12">
            <v>200452.55000000002</v>
          </cell>
          <cell r="AH12">
            <v>0.38737354491867465</v>
          </cell>
          <cell r="AL12">
            <v>200452.55000000002</v>
          </cell>
          <cell r="AM12">
            <v>280633.57</v>
          </cell>
          <cell r="AN12">
            <v>-5.8154897802397132E-2</v>
          </cell>
          <cell r="AO12" t="str">
            <v>259-G-93VIRFOLLET</v>
          </cell>
          <cell r="AQ12">
            <v>38575</v>
          </cell>
          <cell r="AT12" t="str">
            <v>AVANCEMENT</v>
          </cell>
          <cell r="AX12">
            <v>200452.55000000002</v>
          </cell>
          <cell r="AY12">
            <v>0</v>
          </cell>
          <cell r="AZ12">
            <v>0</v>
          </cell>
        </row>
        <row r="13">
          <cell r="A13">
            <v>43163</v>
          </cell>
          <cell r="B13" t="str">
            <v>I T W DE FRANCE</v>
          </cell>
          <cell r="G13">
            <v>0</v>
          </cell>
          <cell r="H13" t="str">
            <v>EN NEGO. AO EN COURS</v>
          </cell>
          <cell r="I13">
            <v>0</v>
          </cell>
          <cell r="J13">
            <v>0</v>
          </cell>
          <cell r="K13" t="str">
            <v>NON</v>
          </cell>
          <cell r="L13" t="str">
            <v>NON</v>
          </cell>
          <cell r="M13" t="str">
            <v>Porte Feuille</v>
          </cell>
          <cell r="N13" t="str">
            <v>Non affecté</v>
          </cell>
          <cell r="O13" t="str">
            <v>MM</v>
          </cell>
          <cell r="P13" t="str">
            <v>Ok mon client</v>
          </cell>
          <cell r="Q13" t="str">
            <v>GENNEVILLIERS</v>
          </cell>
          <cell r="R13" t="str">
            <v>95</v>
          </cell>
          <cell r="S13" t="str">
            <v>305 Chaussée Jules Cesar - BP 17</v>
          </cell>
          <cell r="T13" t="str">
            <v>95250</v>
          </cell>
          <cell r="U13" t="str">
            <v>BEAUCHAMP</v>
          </cell>
          <cell r="V13" t="str">
            <v>M.</v>
          </cell>
          <cell r="W13" t="str">
            <v>TRIVIAUX</v>
          </cell>
          <cell r="X13" t="str">
            <v>95250</v>
          </cell>
          <cell r="Y13" t="str">
            <v>beauchamp</v>
          </cell>
          <cell r="Z13">
            <v>4913.62</v>
          </cell>
          <cell r="AA13">
            <v>98188.999999999985</v>
          </cell>
          <cell r="AB13">
            <v>201795.07</v>
          </cell>
          <cell r="AD13">
            <v>304897.69</v>
          </cell>
          <cell r="AE13">
            <v>3068.58</v>
          </cell>
          <cell r="AF13">
            <v>0.31517999113729367</v>
          </cell>
          <cell r="AG13">
            <v>63628.800000000003</v>
          </cell>
          <cell r="AH13">
            <v>0.5449198302729894</v>
          </cell>
          <cell r="AI13">
            <v>130476.69999999998</v>
          </cell>
          <cell r="AJ13">
            <v>0.56983195615446258</v>
          </cell>
          <cell r="AL13">
            <v>197174.08</v>
          </cell>
          <cell r="AM13">
            <v>276043.71199999994</v>
          </cell>
          <cell r="AN13">
            <v>-9.4634951153615088E-2</v>
          </cell>
          <cell r="AO13" t="str">
            <v>001-G-95ITWDEFRANCE</v>
          </cell>
          <cell r="AP13" t="str">
            <v>001-L-95ITWDEFRANCE</v>
          </cell>
          <cell r="AT13" t="str">
            <v>Nombre de OK</v>
          </cell>
          <cell r="AU13">
            <v>261</v>
          </cell>
          <cell r="AX13">
            <v>63628.800000000003</v>
          </cell>
          <cell r="AY13">
            <v>130476.69999999998</v>
          </cell>
          <cell r="AZ13">
            <v>3068.58</v>
          </cell>
        </row>
        <row r="14">
          <cell r="A14">
            <v>576752</v>
          </cell>
          <cell r="B14" t="str">
            <v>LALLEMAND</v>
          </cell>
          <cell r="C14">
            <v>2.5000000000000001E-2</v>
          </cell>
          <cell r="D14">
            <v>2.5000000000000001E-2</v>
          </cell>
          <cell r="E14">
            <v>0.02</v>
          </cell>
          <cell r="F14">
            <v>41275</v>
          </cell>
          <cell r="G14">
            <v>0</v>
          </cell>
          <cell r="I14">
            <v>0</v>
          </cell>
          <cell r="J14">
            <v>0</v>
          </cell>
          <cell r="K14" t="str">
            <v>OK</v>
          </cell>
          <cell r="L14" t="str">
            <v>OK</v>
          </cell>
          <cell r="M14" t="str">
            <v>Porte Feuille</v>
          </cell>
          <cell r="N14" t="str">
            <v>Non affecté</v>
          </cell>
          <cell r="O14" t="str">
            <v>MM</v>
          </cell>
          <cell r="P14" t="str">
            <v>Ok mon client</v>
          </cell>
          <cell r="Q14" t="str">
            <v>GENNEVILLIERS</v>
          </cell>
          <cell r="R14" t="str">
            <v>15</v>
          </cell>
          <cell r="S14" t="str">
            <v>19 RUE DES BRIQUETIERS - BP 59</v>
          </cell>
          <cell r="T14" t="str">
            <v>15130</v>
          </cell>
          <cell r="U14" t="str">
            <v>ST SIMON</v>
          </cell>
          <cell r="V14" t="str">
            <v>Mme</v>
          </cell>
          <cell r="W14" t="str">
            <v>GAUGUET Florence</v>
          </cell>
          <cell r="X14" t="str">
            <v>15130</v>
          </cell>
          <cell r="Y14" t="str">
            <v>ST SIMON</v>
          </cell>
          <cell r="Z14">
            <v>137335.16999999998</v>
          </cell>
          <cell r="AA14">
            <v>1726.8999999999999</v>
          </cell>
          <cell r="AB14">
            <v>129968.75</v>
          </cell>
          <cell r="AD14">
            <v>269030.81999999995</v>
          </cell>
          <cell r="AE14">
            <v>110161.93</v>
          </cell>
          <cell r="AF14">
            <v>0.32243329998036679</v>
          </cell>
          <cell r="AG14">
            <v>77.009999999999991</v>
          </cell>
          <cell r="AH14">
            <v>3.6878327489936601E-2</v>
          </cell>
          <cell r="AI14">
            <v>79834.709999999992</v>
          </cell>
          <cell r="AJ14">
            <v>0.37341656230952247</v>
          </cell>
          <cell r="AL14">
            <v>190073.64999999997</v>
          </cell>
          <cell r="AM14">
            <v>266103.10999999993</v>
          </cell>
          <cell r="AN14">
            <v>-1.0882433469890263E-2</v>
          </cell>
          <cell r="AO14" t="str">
            <v>001-G-15LALLEMAND</v>
          </cell>
          <cell r="AP14" t="str">
            <v>001-L-15LALLEMAND</v>
          </cell>
          <cell r="AT14" t="str">
            <v>Nombre de En attente</v>
          </cell>
          <cell r="AU14">
            <v>0</v>
          </cell>
          <cell r="AX14">
            <v>78.935249999999982</v>
          </cell>
          <cell r="AY14">
            <v>81830.577749999982</v>
          </cell>
          <cell r="AZ14">
            <v>112365.16859999999</v>
          </cell>
        </row>
        <row r="15">
          <cell r="A15">
            <v>581663</v>
          </cell>
          <cell r="B15" t="str">
            <v>FT DIFFUSION</v>
          </cell>
          <cell r="G15" t="str">
            <v>NON</v>
          </cell>
          <cell r="H15" t="str">
            <v>EN COURS</v>
          </cell>
          <cell r="I15">
            <v>0</v>
          </cell>
          <cell r="J15">
            <v>0</v>
          </cell>
          <cell r="K15" t="str">
            <v>NON</v>
          </cell>
          <cell r="L15" t="str">
            <v>non</v>
          </cell>
          <cell r="M15" t="str">
            <v>Porte Feuille</v>
          </cell>
          <cell r="N15" t="str">
            <v>Non affecté</v>
          </cell>
          <cell r="O15" t="str">
            <v>JPP</v>
          </cell>
          <cell r="P15" t="str">
            <v>Ok mon client</v>
          </cell>
          <cell r="Q15" t="str">
            <v>GENNEVILLIERS</v>
          </cell>
          <cell r="R15" t="str">
            <v>93</v>
          </cell>
          <cell r="S15" t="str">
            <v>37-39 RUE PLEYEL</v>
          </cell>
          <cell r="T15" t="str">
            <v>93206</v>
          </cell>
          <cell r="U15" t="str">
            <v>ST DENIS</v>
          </cell>
          <cell r="W15" t="str">
            <v>JEAN-PIERRE HENOCQUE</v>
          </cell>
          <cell r="X15" t="str">
            <v>93206</v>
          </cell>
          <cell r="Y15" t="str">
            <v>SAINT-DENIS</v>
          </cell>
          <cell r="Z15">
            <v>19893.400000000001</v>
          </cell>
          <cell r="AA15">
            <v>190050.53</v>
          </cell>
          <cell r="AB15">
            <v>24261.240000000005</v>
          </cell>
          <cell r="AD15">
            <v>234205.16999999998</v>
          </cell>
          <cell r="AE15">
            <v>10345.57</v>
          </cell>
          <cell r="AF15">
            <v>0.32271656502568802</v>
          </cell>
          <cell r="AG15">
            <v>134784.62</v>
          </cell>
          <cell r="AH15">
            <v>0.26291349329714764</v>
          </cell>
          <cell r="AI15">
            <v>12762.09</v>
          </cell>
          <cell r="AJ15">
            <v>0.2574436878587722</v>
          </cell>
          <cell r="AL15">
            <v>157892.28</v>
          </cell>
          <cell r="AM15">
            <v>221049.19199999998</v>
          </cell>
          <cell r="AN15">
            <v>-5.6172876115416215E-2</v>
          </cell>
          <cell r="AO15" t="str">
            <v>001-G-95SEDFOXTROT</v>
          </cell>
          <cell r="AP15" t="str">
            <v>001-L1-T4-PML</v>
          </cell>
          <cell r="AT15" t="str">
            <v>Nombre de non</v>
          </cell>
          <cell r="AU15">
            <v>185</v>
          </cell>
          <cell r="AX15">
            <v>134784.62</v>
          </cell>
          <cell r="AY15">
            <v>12762.09</v>
          </cell>
          <cell r="AZ15">
            <v>10345.57</v>
          </cell>
        </row>
        <row r="16">
          <cell r="A16">
            <v>615082</v>
          </cell>
          <cell r="B16" t="str">
            <v>DELPHI FRANCE SAS</v>
          </cell>
          <cell r="G16" t="str">
            <v>GRAND COMPTE</v>
          </cell>
          <cell r="I16">
            <v>0</v>
          </cell>
          <cell r="J16">
            <v>0</v>
          </cell>
          <cell r="K16" t="str">
            <v>NON</v>
          </cell>
          <cell r="L16" t="str">
            <v>non</v>
          </cell>
          <cell r="M16" t="str">
            <v>Porte Feuille</v>
          </cell>
          <cell r="N16" t="str">
            <v>DCM</v>
          </cell>
          <cell r="O16" t="str">
            <v>MM</v>
          </cell>
          <cell r="P16" t="str">
            <v>Ok mon client</v>
          </cell>
          <cell r="Q16" t="str">
            <v>GENNEVILLIERS</v>
          </cell>
          <cell r="R16" t="str">
            <v>95</v>
          </cell>
          <cell r="S16" t="str">
            <v>ZAC DES BELLEVUES</v>
          </cell>
          <cell r="T16" t="str">
            <v>95614</v>
          </cell>
          <cell r="U16" t="str">
            <v>CERGY PONTOISE CEDEX</v>
          </cell>
          <cell r="W16" t="str">
            <v>Directeur Logistique et Transports</v>
          </cell>
          <cell r="X16" t="str">
            <v>95614</v>
          </cell>
          <cell r="Y16" t="str">
            <v>CERGY PONTOISE CEDEX</v>
          </cell>
          <cell r="Z16">
            <v>42562.8</v>
          </cell>
          <cell r="AA16">
            <v>34012.050000000003</v>
          </cell>
          <cell r="AB16">
            <v>68415.62999999999</v>
          </cell>
          <cell r="AC16">
            <v>684.56</v>
          </cell>
          <cell r="AD16">
            <v>145675.03999999998</v>
          </cell>
          <cell r="AE16">
            <v>77626.87</v>
          </cell>
          <cell r="AF16">
            <v>0.87645053571214848</v>
          </cell>
          <cell r="AG16">
            <v>43364.2</v>
          </cell>
          <cell r="AH16">
            <v>0.29529429696579634</v>
          </cell>
          <cell r="AI16">
            <v>20700</v>
          </cell>
          <cell r="AJ16">
            <v>0.7392283820014981</v>
          </cell>
          <cell r="AL16">
            <v>141691.07</v>
          </cell>
          <cell r="AM16">
            <v>198367.49799999999</v>
          </cell>
          <cell r="AN16">
            <v>0.36171232903042294</v>
          </cell>
          <cell r="AO16" t="str">
            <v>001-G-95DELPHIAFTERMARK</v>
          </cell>
          <cell r="AP16" t="str">
            <v>001-L-95DELPHIAFTERMARK</v>
          </cell>
          <cell r="AT16" t="str">
            <v>Nombre de données rensignées</v>
          </cell>
          <cell r="AU16">
            <v>253</v>
          </cell>
          <cell r="AV16">
            <v>1.7628458498023716</v>
          </cell>
          <cell r="AX16">
            <v>43364.2</v>
          </cell>
          <cell r="AY16">
            <v>20700</v>
          </cell>
          <cell r="AZ16">
            <v>77626.87</v>
          </cell>
        </row>
        <row r="17">
          <cell r="A17">
            <v>536999</v>
          </cell>
          <cell r="B17" t="str">
            <v>PYLONES</v>
          </cell>
          <cell r="C17">
            <v>3.5000000000000003E-2</v>
          </cell>
          <cell r="D17">
            <v>3.5000000000000003E-2</v>
          </cell>
          <cell r="F17">
            <v>41275</v>
          </cell>
          <cell r="G17" t="str">
            <v>NON</v>
          </cell>
          <cell r="H17" t="str">
            <v>DÉJÀ FAIT</v>
          </cell>
          <cell r="I17">
            <v>0</v>
          </cell>
          <cell r="J17">
            <v>0</v>
          </cell>
          <cell r="K17" t="str">
            <v>OK</v>
          </cell>
          <cell r="L17" t="str">
            <v>OK</v>
          </cell>
          <cell r="M17" t="str">
            <v>Porte Feuille</v>
          </cell>
          <cell r="N17" t="str">
            <v>Non affecté</v>
          </cell>
          <cell r="O17" t="str">
            <v>JPP</v>
          </cell>
          <cell r="P17" t="str">
            <v>Ok mon client</v>
          </cell>
          <cell r="Q17" t="str">
            <v>GENNEVILLIERS</v>
          </cell>
          <cell r="R17" t="str">
            <v>92</v>
          </cell>
          <cell r="S17" t="str">
            <v xml:space="preserve">41 AVENUE DE L AGENT SARRE      </v>
          </cell>
          <cell r="T17" t="str">
            <v>92700</v>
          </cell>
          <cell r="U17" t="str">
            <v>COLOMBES</v>
          </cell>
          <cell r="V17" t="str">
            <v>M.</v>
          </cell>
          <cell r="W17" t="str">
            <v>BENATTIA</v>
          </cell>
          <cell r="X17" t="str">
            <v>92700</v>
          </cell>
          <cell r="Y17" t="str">
            <v>COLOMBES</v>
          </cell>
          <cell r="Z17">
            <v>26204.450000000004</v>
          </cell>
          <cell r="AA17">
            <v>95069.759999999995</v>
          </cell>
          <cell r="AB17">
            <v>118984.53</v>
          </cell>
          <cell r="AD17">
            <v>240258.74</v>
          </cell>
          <cell r="AE17">
            <v>12893.239999999998</v>
          </cell>
          <cell r="AF17">
            <v>0.4792817216883693</v>
          </cell>
          <cell r="AG17">
            <v>57223.930000000008</v>
          </cell>
          <cell r="AH17">
            <v>8.9924620199368588E-2</v>
          </cell>
          <cell r="AI17">
            <v>69305.259999999995</v>
          </cell>
          <cell r="AJ17">
            <v>0.15987660391500985</v>
          </cell>
          <cell r="AL17">
            <v>139422.43</v>
          </cell>
          <cell r="AM17">
            <v>195191.40199999997</v>
          </cell>
          <cell r="AN17">
            <v>-0.18757834990727085</v>
          </cell>
          <cell r="AO17" t="str">
            <v>001-G-92PYLONES</v>
          </cell>
          <cell r="AP17" t="str">
            <v>001-L-92PYLONES</v>
          </cell>
          <cell r="AQ17">
            <v>39678</v>
          </cell>
          <cell r="AT17" t="str">
            <v>Nombre traité :</v>
          </cell>
          <cell r="AU17">
            <v>446</v>
          </cell>
          <cell r="AV17">
            <v>1.0067720090293453</v>
          </cell>
          <cell r="AX17">
            <v>59226.767550000004</v>
          </cell>
          <cell r="AY17">
            <v>71730.944099999993</v>
          </cell>
          <cell r="AZ17">
            <v>12893.239999999998</v>
          </cell>
        </row>
        <row r="18">
          <cell r="A18">
            <v>65292</v>
          </cell>
          <cell r="B18" t="str">
            <v>AGILITY SAS</v>
          </cell>
          <cell r="G18">
            <v>0</v>
          </cell>
          <cell r="H18" t="str">
            <v>NEGO JANVIER</v>
          </cell>
          <cell r="I18">
            <v>0</v>
          </cell>
          <cell r="J18">
            <v>0</v>
          </cell>
          <cell r="K18" t="str">
            <v>NON</v>
          </cell>
          <cell r="L18" t="str">
            <v>NON</v>
          </cell>
          <cell r="N18" t="str">
            <v>Non affecté</v>
          </cell>
          <cell r="O18" t="str">
            <v>MM</v>
          </cell>
          <cell r="P18" t="str">
            <v>Rajouté</v>
          </cell>
          <cell r="Q18" t="str">
            <v>GENNEVILLIERS</v>
          </cell>
          <cell r="R18" t="str">
            <v>93</v>
          </cell>
          <cell r="S18" t="str">
            <v>9 RUE DES 3 SOEURS</v>
          </cell>
          <cell r="T18">
            <v>93420</v>
          </cell>
          <cell r="U18" t="str">
            <v>VILEPINTE</v>
          </cell>
          <cell r="V18" t="str">
            <v xml:space="preserve">MR </v>
          </cell>
          <cell r="W18" t="str">
            <v>GAUDRON</v>
          </cell>
          <cell r="X18" t="str">
            <v>93420</v>
          </cell>
          <cell r="Y18" t="str">
            <v>VILEPINTE</v>
          </cell>
          <cell r="AD18">
            <v>0</v>
          </cell>
          <cell r="AE18">
            <v>16088.269999999999</v>
          </cell>
          <cell r="AF18">
            <v>0.2736798283161142</v>
          </cell>
          <cell r="AG18">
            <v>114174.37999999999</v>
          </cell>
          <cell r="AH18">
            <v>0.2003253479722277</v>
          </cell>
          <cell r="AI18">
            <v>494.76000000000005</v>
          </cell>
          <cell r="AJ18">
            <v>11.797218155197658</v>
          </cell>
          <cell r="AL18">
            <v>130757.40999999999</v>
          </cell>
          <cell r="AM18">
            <v>183060.37399999998</v>
          </cell>
          <cell r="AO18" t="str">
            <v>001-G-93AGILITY</v>
          </cell>
          <cell r="AP18" t="str">
            <v>001-L-93AGILITY</v>
          </cell>
          <cell r="AT18" t="str">
            <v>Nombre total :</v>
          </cell>
          <cell r="AU18">
            <v>443</v>
          </cell>
          <cell r="AX18">
            <v>114174.37999999999</v>
          </cell>
          <cell r="AY18">
            <v>494.76000000000005</v>
          </cell>
          <cell r="AZ18">
            <v>16088.269999999999</v>
          </cell>
        </row>
        <row r="19">
          <cell r="A19">
            <v>578681</v>
          </cell>
          <cell r="B19" t="str">
            <v>PALAIS DES THES (LE)</v>
          </cell>
          <cell r="G19" t="str">
            <v>OUI</v>
          </cell>
          <cell r="H19" t="str">
            <v>EN COURS</v>
          </cell>
          <cell r="I19">
            <v>0</v>
          </cell>
          <cell r="J19">
            <v>0</v>
          </cell>
          <cell r="K19" t="str">
            <v>NON</v>
          </cell>
          <cell r="L19" t="str">
            <v>non</v>
          </cell>
          <cell r="N19" t="str">
            <v>Non affecté</v>
          </cell>
          <cell r="O19" t="str">
            <v>AB</v>
          </cell>
          <cell r="P19" t="str">
            <v>Ok mon client</v>
          </cell>
          <cell r="Q19" t="str">
            <v>GENNEVILLIERS</v>
          </cell>
          <cell r="R19" t="str">
            <v>75</v>
          </cell>
          <cell r="S19" t="str">
            <v>3 RUE DE NICE</v>
          </cell>
          <cell r="T19" t="str">
            <v>75011</v>
          </cell>
          <cell r="U19" t="str">
            <v>PARIS</v>
          </cell>
          <cell r="V19" t="str">
            <v>M.</v>
          </cell>
          <cell r="W19" t="str">
            <v>DELMAS</v>
          </cell>
          <cell r="X19" t="str">
            <v>75011</v>
          </cell>
          <cell r="Y19" t="str">
            <v>PARIS</v>
          </cell>
          <cell r="Z19">
            <v>36787.919999999998</v>
          </cell>
          <cell r="AA19">
            <v>130899</v>
          </cell>
          <cell r="AB19">
            <v>46771.3</v>
          </cell>
          <cell r="AD19">
            <v>214458.22</v>
          </cell>
          <cell r="AE19">
            <v>27734.25</v>
          </cell>
          <cell r="AF19">
            <v>-0.21403937835429357</v>
          </cell>
          <cell r="AG19">
            <v>72422.26999999999</v>
          </cell>
          <cell r="AH19">
            <v>0.24670992801196356</v>
          </cell>
          <cell r="AI19">
            <v>24900.44</v>
          </cell>
          <cell r="AJ19">
            <v>0.42381594626734559</v>
          </cell>
          <cell r="AL19">
            <v>125056.95999999999</v>
          </cell>
          <cell r="AM19">
            <v>175079.74399999998</v>
          </cell>
          <cell r="AN19">
            <v>-0.18361840362192705</v>
          </cell>
          <cell r="AO19" t="str">
            <v>001-G-75PALAISDESTHES</v>
          </cell>
          <cell r="AP19" t="str">
            <v>001-L1-75PALAISDESTHES</v>
          </cell>
          <cell r="AX19">
            <v>72422.26999999999</v>
          </cell>
          <cell r="AY19">
            <v>24900.44</v>
          </cell>
          <cell r="AZ19">
            <v>27734.25</v>
          </cell>
        </row>
        <row r="20">
          <cell r="A20">
            <v>606816</v>
          </cell>
          <cell r="B20" t="str">
            <v>CONFORMAT</v>
          </cell>
          <cell r="C20">
            <v>1.4999999999999999E-2</v>
          </cell>
          <cell r="F20">
            <v>41275</v>
          </cell>
          <cell r="I20">
            <v>0</v>
          </cell>
          <cell r="J20">
            <v>0</v>
          </cell>
          <cell r="K20" t="str">
            <v>OK</v>
          </cell>
          <cell r="L20" t="str">
            <v>OK</v>
          </cell>
          <cell r="M20" t="str">
            <v>Porte Feuille</v>
          </cell>
          <cell r="N20" t="str">
            <v>Non affecté</v>
          </cell>
          <cell r="O20" t="str">
            <v>MM</v>
          </cell>
          <cell r="P20" t="str">
            <v>Ok mon client</v>
          </cell>
          <cell r="Q20" t="str">
            <v>GENNEVILLIERS</v>
          </cell>
          <cell r="R20" t="str">
            <v>92</v>
          </cell>
          <cell r="S20" t="str">
            <v>7 RUE GUY MOQUET</v>
          </cell>
          <cell r="T20" t="str">
            <v>95100</v>
          </cell>
          <cell r="U20" t="str">
            <v>ARGENTEUIL</v>
          </cell>
          <cell r="V20" t="str">
            <v>Mme</v>
          </cell>
          <cell r="W20" t="str">
            <v>NGUYEN</v>
          </cell>
          <cell r="X20" t="str">
            <v>92257</v>
          </cell>
          <cell r="Y20" t="str">
            <v>LA GARENNE COLOMBES CDX</v>
          </cell>
          <cell r="Z20">
            <v>11207.06</v>
          </cell>
          <cell r="AA20">
            <v>100411.54</v>
          </cell>
          <cell r="AB20">
            <v>29987.93</v>
          </cell>
          <cell r="AD20">
            <v>141606.53</v>
          </cell>
          <cell r="AE20">
            <v>10552.06</v>
          </cell>
          <cell r="AF20">
            <v>0.44089689053400627</v>
          </cell>
          <cell r="AG20">
            <v>79270.490000000005</v>
          </cell>
          <cell r="AH20">
            <v>0.25547351557748993</v>
          </cell>
          <cell r="AI20">
            <v>21198.5</v>
          </cell>
          <cell r="AJ20">
            <v>0.50749670215773102</v>
          </cell>
          <cell r="AL20">
            <v>111021.05</v>
          </cell>
          <cell r="AM20">
            <v>155429.47</v>
          </cell>
          <cell r="AN20">
            <v>9.7615131166620683E-2</v>
          </cell>
          <cell r="AO20" t="str">
            <v>001-G-92CONFORMAT</v>
          </cell>
          <cell r="AP20" t="str">
            <v>001-L-92CONFORMAT</v>
          </cell>
          <cell r="AX20">
            <v>80459.547349999993</v>
          </cell>
          <cell r="AY20">
            <v>21198.5</v>
          </cell>
          <cell r="AZ20">
            <v>10552.06</v>
          </cell>
        </row>
        <row r="21">
          <cell r="A21">
            <v>85073</v>
          </cell>
          <cell r="B21" t="str">
            <v>CONSORTIUM MENAGER PARISIEN</v>
          </cell>
          <cell r="G21" t="str">
            <v>NON</v>
          </cell>
          <cell r="H21" t="str">
            <v>PERDU</v>
          </cell>
          <cell r="I21">
            <v>0</v>
          </cell>
          <cell r="J21">
            <v>0</v>
          </cell>
          <cell r="K21" t="str">
            <v>NON</v>
          </cell>
          <cell r="L21" t="str">
            <v>NON</v>
          </cell>
          <cell r="M21" t="str">
            <v>Porte Feuille</v>
          </cell>
          <cell r="N21" t="str">
            <v>Non affecté</v>
          </cell>
          <cell r="O21" t="str">
            <v>JPP</v>
          </cell>
          <cell r="P21" t="str">
            <v>Ok mon client</v>
          </cell>
          <cell r="Q21" t="str">
            <v>GENNEVILLIERS</v>
          </cell>
          <cell r="R21" t="str">
            <v>75</v>
          </cell>
          <cell r="S21" t="str">
            <v>12 RUE DES GRAVILLIERS</v>
          </cell>
          <cell r="T21">
            <v>93150</v>
          </cell>
          <cell r="U21" t="str">
            <v>LE BLANC MESNIL</v>
          </cell>
          <cell r="V21" t="str">
            <v>Mme</v>
          </cell>
          <cell r="W21" t="str">
            <v>Lucette Chaffard</v>
          </cell>
          <cell r="X21" t="str">
            <v>75003</v>
          </cell>
          <cell r="Y21" t="str">
            <v>PARIS</v>
          </cell>
          <cell r="Z21">
            <v>30967.759999999998</v>
          </cell>
          <cell r="AB21">
            <v>37554.42</v>
          </cell>
          <cell r="AD21">
            <v>68522.179999999993</v>
          </cell>
          <cell r="AE21">
            <v>52556.850000000006</v>
          </cell>
          <cell r="AF21">
            <v>0.26150200229575299</v>
          </cell>
          <cell r="AG21">
            <v>24.57</v>
          </cell>
          <cell r="AI21">
            <v>54112.600000000006</v>
          </cell>
          <cell r="AJ21">
            <v>0.23979297104215022</v>
          </cell>
          <cell r="AL21">
            <v>106694.02000000002</v>
          </cell>
          <cell r="AM21">
            <v>149371.62800000003</v>
          </cell>
          <cell r="AN21">
            <v>1.1799018653522122</v>
          </cell>
          <cell r="AO21" t="str">
            <v>001-95CONSORTIUMMENAG</v>
          </cell>
          <cell r="AP21" t="str">
            <v>001-L-GENERAL-KG</v>
          </cell>
          <cell r="AX21">
            <v>24.57</v>
          </cell>
          <cell r="AY21">
            <v>54112.600000000006</v>
          </cell>
          <cell r="AZ21">
            <v>52556.850000000006</v>
          </cell>
        </row>
        <row r="22">
          <cell r="A22">
            <v>682458</v>
          </cell>
          <cell r="B22" t="str">
            <v>MACLAREN FRANCE</v>
          </cell>
          <cell r="H22" t="str">
            <v>en attente retour MM. SGO à modifier au 01/03/13</v>
          </cell>
          <cell r="I22">
            <v>0</v>
          </cell>
          <cell r="J22">
            <v>0</v>
          </cell>
          <cell r="K22" t="str">
            <v>NON</v>
          </cell>
          <cell r="L22" t="str">
            <v>non</v>
          </cell>
          <cell r="M22" t="str">
            <v>Porte Feuille</v>
          </cell>
          <cell r="N22" t="str">
            <v>Non affecté</v>
          </cell>
          <cell r="O22" t="str">
            <v>MM</v>
          </cell>
          <cell r="P22" t="str">
            <v>Ok mon client</v>
          </cell>
          <cell r="Q22" t="str">
            <v>GENNEVILLIERS</v>
          </cell>
          <cell r="R22" t="str">
            <v>95</v>
          </cell>
          <cell r="S22" t="str">
            <v>209 RUE DE LA BELLE ETOILE</v>
          </cell>
          <cell r="T22">
            <v>95700</v>
          </cell>
          <cell r="U22" t="str">
            <v>ROISSY EN FRANCE</v>
          </cell>
          <cell r="W22" t="str">
            <v>Directeur Logistique et Transports</v>
          </cell>
          <cell r="X22" t="str">
            <v>95700</v>
          </cell>
          <cell r="Y22" t="str">
            <v>ROISSY EN FRANCE</v>
          </cell>
          <cell r="Z22">
            <v>3406.07</v>
          </cell>
          <cell r="AA22">
            <v>46796.78</v>
          </cell>
          <cell r="AB22">
            <v>90269.07</v>
          </cell>
          <cell r="AD22">
            <v>140471.92000000001</v>
          </cell>
          <cell r="AE22">
            <v>3284.35</v>
          </cell>
          <cell r="AF22">
            <v>0.20647943197171351</v>
          </cell>
          <cell r="AG22">
            <v>37595.43</v>
          </cell>
          <cell r="AH22">
            <v>0.2040361164704616</v>
          </cell>
          <cell r="AI22">
            <v>64191.81</v>
          </cell>
          <cell r="AJ22">
            <v>0.23461929924335975</v>
          </cell>
          <cell r="AL22">
            <v>105071.59</v>
          </cell>
          <cell r="AM22">
            <v>147100.226</v>
          </cell>
          <cell r="AN22">
            <v>4.7185985640403993E-2</v>
          </cell>
          <cell r="AO22" t="str">
            <v>259-G-95ACELAFRANCE</v>
          </cell>
          <cell r="AP22" t="str">
            <v>259-L-95ACELAFRANCE</v>
          </cell>
          <cell r="AX22">
            <v>37595.43</v>
          </cell>
          <cell r="AY22">
            <v>64191.81</v>
          </cell>
          <cell r="AZ22">
            <v>3284.35</v>
          </cell>
        </row>
        <row r="23">
          <cell r="A23">
            <v>575509</v>
          </cell>
          <cell r="B23" t="str">
            <v>GALEDO</v>
          </cell>
          <cell r="H23" t="str">
            <v>DEVELOPPEMENT GROUPAGE 600 K€</v>
          </cell>
          <cell r="I23">
            <v>0</v>
          </cell>
          <cell r="J23">
            <v>0</v>
          </cell>
          <cell r="K23" t="str">
            <v>NON</v>
          </cell>
          <cell r="L23" t="str">
            <v>NON</v>
          </cell>
          <cell r="M23" t="str">
            <v>Porte Feuille</v>
          </cell>
          <cell r="N23" t="str">
            <v>Non affecté</v>
          </cell>
          <cell r="O23" t="str">
            <v>AB</v>
          </cell>
          <cell r="P23" t="str">
            <v>Ok mon client</v>
          </cell>
          <cell r="Q23" t="str">
            <v>GENNEVILLIERS</v>
          </cell>
          <cell r="R23" t="str">
            <v>78</v>
          </cell>
          <cell r="S23" t="str">
            <v>RUE BOIS ROCHEFORT</v>
          </cell>
          <cell r="T23" t="str">
            <v>78500</v>
          </cell>
          <cell r="U23" t="str">
            <v>SARTROUVILLE</v>
          </cell>
          <cell r="W23" t="str">
            <v>Directeur Logistique et Transports</v>
          </cell>
          <cell r="X23" t="str">
            <v>78500</v>
          </cell>
          <cell r="Y23" t="str">
            <v>SARTROUVILLE</v>
          </cell>
          <cell r="AA23">
            <v>132.02000000000001</v>
          </cell>
          <cell r="AB23">
            <v>133610.79</v>
          </cell>
          <cell r="AD23">
            <v>133742.81</v>
          </cell>
          <cell r="AG23">
            <v>95.31</v>
          </cell>
          <cell r="AH23">
            <v>0.79288811795316572</v>
          </cell>
          <cell r="AI23">
            <v>99310.92</v>
          </cell>
          <cell r="AJ23">
            <v>0.26791963711450489</v>
          </cell>
          <cell r="AL23">
            <v>99406.23</v>
          </cell>
          <cell r="AM23">
            <v>139168.72199999998</v>
          </cell>
          <cell r="AN23">
            <v>4.0569747263422773E-2</v>
          </cell>
          <cell r="AO23" t="str">
            <v>001-G-78GALEDO</v>
          </cell>
          <cell r="AP23" t="str">
            <v>001-L1-78GALEDO</v>
          </cell>
          <cell r="AQ23">
            <v>38897</v>
          </cell>
          <cell r="AX23">
            <v>95.31</v>
          </cell>
          <cell r="AY23">
            <v>99310.92</v>
          </cell>
          <cell r="AZ23">
            <v>0</v>
          </cell>
        </row>
        <row r="24">
          <cell r="A24">
            <v>17192</v>
          </cell>
          <cell r="B24" t="str">
            <v>SNECMA</v>
          </cell>
          <cell r="H24" t="str">
            <v>DCM</v>
          </cell>
          <cell r="I24">
            <v>0</v>
          </cell>
          <cell r="J24">
            <v>0</v>
          </cell>
          <cell r="K24" t="str">
            <v>NON</v>
          </cell>
          <cell r="L24" t="str">
            <v>NON</v>
          </cell>
          <cell r="M24" t="str">
            <v>Porte Feuille</v>
          </cell>
          <cell r="N24" t="str">
            <v>DCM</v>
          </cell>
          <cell r="O24" t="str">
            <v>JPP</v>
          </cell>
          <cell r="P24" t="str">
            <v>Ok mon client</v>
          </cell>
          <cell r="Q24" t="str">
            <v>GENNEVILLIERS</v>
          </cell>
          <cell r="R24" t="str">
            <v>75</v>
          </cell>
          <cell r="S24" t="str">
            <v>DPT FOURNISSEURS MME ATLAN RUE HENRY AUGUSTE DESBRUERES</v>
          </cell>
          <cell r="T24" t="str">
            <v>91003</v>
          </cell>
          <cell r="U24" t="str">
            <v>EVRY Cedex</v>
          </cell>
          <cell r="V24" t="str">
            <v>Mme</v>
          </cell>
          <cell r="W24" t="str">
            <v>ATLAN</v>
          </cell>
          <cell r="X24" t="str">
            <v>75015</v>
          </cell>
          <cell r="Y24" t="str">
            <v>PARIS</v>
          </cell>
          <cell r="Z24">
            <v>111109.6</v>
          </cell>
          <cell r="AA24">
            <v>1228.3600000000001</v>
          </cell>
          <cell r="AC24">
            <v>4500</v>
          </cell>
          <cell r="AD24">
            <v>116837.96</v>
          </cell>
          <cell r="AE24">
            <v>88140.98000000001</v>
          </cell>
          <cell r="AF24">
            <v>0.25579941000841561</v>
          </cell>
          <cell r="AG24">
            <v>1700.05</v>
          </cell>
          <cell r="AH24">
            <v>0.72024674079867324</v>
          </cell>
          <cell r="AL24">
            <v>89841.03</v>
          </cell>
          <cell r="AM24">
            <v>125777.442</v>
          </cell>
          <cell r="AN24">
            <v>7.6511794625650609E-2</v>
          </cell>
          <cell r="AO24" t="str">
            <v>001-G-91SNECMA</v>
          </cell>
          <cell r="AP24" t="str">
            <v>001-L-92SNECMAMOTEURS</v>
          </cell>
          <cell r="AX24">
            <v>1700.05</v>
          </cell>
          <cell r="AY24">
            <v>0</v>
          </cell>
          <cell r="AZ24">
            <v>88140.98000000001</v>
          </cell>
        </row>
        <row r="25">
          <cell r="A25">
            <v>41831</v>
          </cell>
          <cell r="B25" t="str">
            <v>INERGY AUTOMOTIVE SYSTEMS</v>
          </cell>
          <cell r="C25">
            <v>5.0000000000000001E-3</v>
          </cell>
          <cell r="D25">
            <v>5.0000000000000001E-3</v>
          </cell>
          <cell r="E25">
            <v>5.0000000000000001E-3</v>
          </cell>
          <cell r="F25">
            <v>41334</v>
          </cell>
          <cell r="H25" t="str">
            <v>DCM</v>
          </cell>
          <cell r="I25">
            <v>0</v>
          </cell>
          <cell r="J25">
            <v>0</v>
          </cell>
          <cell r="K25" t="str">
            <v>NON</v>
          </cell>
          <cell r="L25" t="str">
            <v>OK</v>
          </cell>
          <cell r="M25" t="str">
            <v>Porte Feuille</v>
          </cell>
          <cell r="N25" t="str">
            <v>DCM</v>
          </cell>
          <cell r="O25" t="str">
            <v>JPP</v>
          </cell>
          <cell r="P25" t="str">
            <v>Ok mon client</v>
          </cell>
          <cell r="Q25" t="str">
            <v>GENNEVILLIERS</v>
          </cell>
          <cell r="R25" t="str">
            <v>60</v>
          </cell>
          <cell r="S25" t="str">
            <v>32 ROUTE DE COMPIEGNE 
BP 80259</v>
          </cell>
          <cell r="T25" t="str">
            <v>60202</v>
          </cell>
          <cell r="U25" t="str">
            <v>COMPIEGNE</v>
          </cell>
          <cell r="W25" t="str">
            <v>Directeur Logistique et Transports</v>
          </cell>
          <cell r="X25" t="str">
            <v>60202</v>
          </cell>
          <cell r="Y25" t="str">
            <v>COMPIEGNE</v>
          </cell>
          <cell r="Z25">
            <v>52880.399999999994</v>
          </cell>
          <cell r="AA25">
            <v>34973.519999999997</v>
          </cell>
          <cell r="AB25">
            <v>60266.789999999994</v>
          </cell>
          <cell r="AD25">
            <v>148120.70999999996</v>
          </cell>
          <cell r="AE25">
            <v>29250.65</v>
          </cell>
          <cell r="AF25">
            <v>0.17001988444065586</v>
          </cell>
          <cell r="AG25">
            <v>13847.62</v>
          </cell>
          <cell r="AH25">
            <v>0.38847861331232331</v>
          </cell>
          <cell r="AI25">
            <v>41656.47</v>
          </cell>
          <cell r="AJ25">
            <v>0.52094574204087607</v>
          </cell>
          <cell r="AL25">
            <v>84754.74</v>
          </cell>
          <cell r="AM25">
            <v>118656.636</v>
          </cell>
          <cell r="AN25">
            <v>-0.19891934085382101</v>
          </cell>
          <cell r="AO25" t="str">
            <v>001-G-95INERGY</v>
          </cell>
          <cell r="AP25" t="str">
            <v>001-L-95INERGY</v>
          </cell>
          <cell r="AX25">
            <v>13916.858099999999</v>
          </cell>
          <cell r="AY25">
            <v>41864.752349999995</v>
          </cell>
          <cell r="AZ25">
            <v>29396.903249999999</v>
          </cell>
        </row>
        <row r="26">
          <cell r="A26">
            <v>823010</v>
          </cell>
          <cell r="B26" t="str">
            <v>RIVERPACK</v>
          </cell>
          <cell r="G26" t="str">
            <v>EN NEGO</v>
          </cell>
          <cell r="H26" t="str">
            <v>PAS DE HAUSSE. ACCORD JLB</v>
          </cell>
          <cell r="I26">
            <v>0</v>
          </cell>
          <cell r="J26">
            <v>0</v>
          </cell>
          <cell r="K26" t="str">
            <v>NON</v>
          </cell>
          <cell r="L26" t="str">
            <v>NON</v>
          </cell>
          <cell r="M26" t="str">
            <v>Porte Feuille</v>
          </cell>
          <cell r="N26" t="str">
            <v>Non affecté</v>
          </cell>
          <cell r="O26" t="str">
            <v>MM</v>
          </cell>
          <cell r="P26" t="str">
            <v>Ok mon client</v>
          </cell>
          <cell r="Q26" t="str">
            <v>GENNEVILLIERS</v>
          </cell>
          <cell r="R26" t="str">
            <v>95</v>
          </cell>
          <cell r="S26" t="str">
            <v>1 RUE DE LA GARENNE 
ZI DU VERT GALANT</v>
          </cell>
          <cell r="T26" t="str">
            <v>95310</v>
          </cell>
          <cell r="U26" t="str">
            <v>ST OUEN L AUMONE</v>
          </cell>
          <cell r="W26" t="str">
            <v>Directeur Logistique et Transports</v>
          </cell>
          <cell r="X26" t="str">
            <v>95310</v>
          </cell>
          <cell r="Y26" t="str">
            <v>ST OUEN OUEN L'AUMONE</v>
          </cell>
          <cell r="AA26">
            <v>85064.44</v>
          </cell>
          <cell r="AB26">
            <v>7699.92</v>
          </cell>
          <cell r="AD26">
            <v>92764.36</v>
          </cell>
          <cell r="AE26">
            <v>40791.279999999999</v>
          </cell>
          <cell r="AF26">
            <v>0.19145411996939296</v>
          </cell>
          <cell r="AG26">
            <v>36557.69</v>
          </cell>
          <cell r="AH26">
            <v>0.15212463831460105</v>
          </cell>
          <cell r="AI26">
            <v>2839.6</v>
          </cell>
          <cell r="AJ26">
            <v>0.43712723238171403</v>
          </cell>
          <cell r="AL26">
            <v>80188.570000000007</v>
          </cell>
          <cell r="AM26">
            <v>112263.99800000001</v>
          </cell>
          <cell r="AN26">
            <v>0.210206139513063</v>
          </cell>
          <cell r="AO26" t="str">
            <v>001-G-95RIVERPACK</v>
          </cell>
          <cell r="AP26" t="str">
            <v>001-L-95RIVERPACK</v>
          </cell>
          <cell r="AQ26">
            <v>40226</v>
          </cell>
          <cell r="AX26">
            <v>36557.69</v>
          </cell>
          <cell r="AY26">
            <v>2839.6</v>
          </cell>
          <cell r="AZ26">
            <v>40791.279999999999</v>
          </cell>
        </row>
        <row r="27">
          <cell r="A27">
            <v>481957</v>
          </cell>
          <cell r="B27" t="str">
            <v>BOUCHARA RECORDATI LABORATOIRES</v>
          </cell>
          <cell r="D27">
            <v>0</v>
          </cell>
          <cell r="E27">
            <v>0</v>
          </cell>
          <cell r="F27">
            <v>41275</v>
          </cell>
          <cell r="G27" t="str">
            <v>NON</v>
          </cell>
          <cell r="H27" t="str">
            <v>REMISE A PLAT DOSSIER AVEC NVELLE GRILLE TARIFAIRE. Nvelle grille lot faite par KS et mise en place au 01/01/13</v>
          </cell>
          <cell r="I27">
            <v>0</v>
          </cell>
          <cell r="J27">
            <v>0</v>
          </cell>
          <cell r="K27" t="str">
            <v>OK</v>
          </cell>
          <cell r="L27" t="str">
            <v>OK</v>
          </cell>
          <cell r="M27" t="str">
            <v>Porte Feuille</v>
          </cell>
          <cell r="N27" t="str">
            <v>Non affecté</v>
          </cell>
          <cell r="O27" t="str">
            <v>JPP</v>
          </cell>
          <cell r="P27" t="str">
            <v>Ok mon client</v>
          </cell>
          <cell r="Q27" t="str">
            <v>GENNEVILLIERS</v>
          </cell>
          <cell r="R27" t="str">
            <v>92</v>
          </cell>
          <cell r="S27" t="str">
            <v>68 RUE MARJOLIN</v>
          </cell>
          <cell r="T27" t="str">
            <v>92302</v>
          </cell>
          <cell r="U27" t="str">
            <v>LEVALLOIS PERRET CEDEX</v>
          </cell>
          <cell r="V27" t="str">
            <v>M.</v>
          </cell>
          <cell r="W27" t="str">
            <v>HOURDIN</v>
          </cell>
          <cell r="X27" t="str">
            <v>92302</v>
          </cell>
          <cell r="Y27" t="str">
            <v>LEVALLOIS PERRET CEDEX</v>
          </cell>
          <cell r="Z27">
            <v>104294.81</v>
          </cell>
          <cell r="AD27">
            <v>104294.81</v>
          </cell>
          <cell r="AE27">
            <v>78913.98</v>
          </cell>
          <cell r="AF27">
            <v>0.33720574531841296</v>
          </cell>
          <cell r="AL27">
            <v>78913.98</v>
          </cell>
          <cell r="AM27">
            <v>110479.57199999999</v>
          </cell>
          <cell r="AN27">
            <v>5.9300764822333818E-2</v>
          </cell>
          <cell r="AO27" t="str">
            <v>001-G-92LABORATOIRESBOU</v>
          </cell>
          <cell r="AP27" t="str">
            <v>001-L-92LABORATOIRESBOU</v>
          </cell>
          <cell r="AQ27">
            <v>38299</v>
          </cell>
          <cell r="AX27">
            <v>0</v>
          </cell>
          <cell r="AY27">
            <v>0</v>
          </cell>
          <cell r="AZ27">
            <v>78913.98</v>
          </cell>
        </row>
        <row r="28">
          <cell r="A28">
            <v>483989</v>
          </cell>
          <cell r="B28" t="str">
            <v>CABLES BARCIET</v>
          </cell>
          <cell r="G28" t="str">
            <v>EN NEGO</v>
          </cell>
          <cell r="I28">
            <v>0</v>
          </cell>
          <cell r="J28">
            <v>0</v>
          </cell>
          <cell r="K28" t="str">
            <v>NON</v>
          </cell>
          <cell r="L28" t="str">
            <v>non</v>
          </cell>
          <cell r="M28" t="str">
            <v>Porte Feuille</v>
          </cell>
          <cell r="N28" t="str">
            <v>Non affecté</v>
          </cell>
          <cell r="O28" t="str">
            <v>MM</v>
          </cell>
          <cell r="P28" t="str">
            <v>Ok mon client</v>
          </cell>
          <cell r="Q28" t="str">
            <v>GENNEVILLIERS</v>
          </cell>
          <cell r="R28" t="str">
            <v>95</v>
          </cell>
          <cell r="S28" t="str">
            <v>32 RUE DE GROS CHENE BP90 296</v>
          </cell>
          <cell r="T28" t="str">
            <v>95617</v>
          </cell>
          <cell r="U28" t="str">
            <v>CERGY PONTOISE CEDEX</v>
          </cell>
          <cell r="V28" t="str">
            <v>M.</v>
          </cell>
          <cell r="W28" t="str">
            <v>LE FUR</v>
          </cell>
          <cell r="X28" t="str">
            <v>95617</v>
          </cell>
          <cell r="Y28" t="str">
            <v>CERGY PONTOISE CEDEX</v>
          </cell>
          <cell r="AA28">
            <v>118389.40000000002</v>
          </cell>
          <cell r="AB28">
            <v>3112.65</v>
          </cell>
          <cell r="AD28">
            <v>121502.05000000002</v>
          </cell>
          <cell r="AG28">
            <v>73698</v>
          </cell>
          <cell r="AH28">
            <v>0.47510644392519458</v>
          </cell>
          <cell r="AI28">
            <v>2506.2800000000002</v>
          </cell>
          <cell r="AJ28">
            <v>0.56946781076850117</v>
          </cell>
          <cell r="AL28">
            <v>76204.28</v>
          </cell>
          <cell r="AM28">
            <v>106685.992</v>
          </cell>
          <cell r="AN28">
            <v>-0.1219408067600507</v>
          </cell>
          <cell r="AO28" t="str">
            <v>001-G-95CABLESBARCIET</v>
          </cell>
          <cell r="AP28" t="str">
            <v>001-L-95CABLESBARCIET</v>
          </cell>
          <cell r="AQ28">
            <v>38331</v>
          </cell>
          <cell r="AX28">
            <v>73698</v>
          </cell>
          <cell r="AY28">
            <v>2506.2800000000002</v>
          </cell>
          <cell r="AZ28">
            <v>0</v>
          </cell>
        </row>
        <row r="29">
          <cell r="A29">
            <v>531732</v>
          </cell>
          <cell r="B29" t="str">
            <v>QCL</v>
          </cell>
          <cell r="C29">
            <v>3.5000000000000003E-2</v>
          </cell>
          <cell r="D29">
            <v>2.5000000000000001E-2</v>
          </cell>
          <cell r="E29">
            <v>0.02</v>
          </cell>
          <cell r="F29">
            <v>41275</v>
          </cell>
          <cell r="I29">
            <v>0</v>
          </cell>
          <cell r="J29">
            <v>0</v>
          </cell>
          <cell r="K29" t="str">
            <v>OK</v>
          </cell>
          <cell r="L29" t="str">
            <v>OK</v>
          </cell>
          <cell r="N29" t="str">
            <v>Non affecté</v>
          </cell>
          <cell r="O29" t="str">
            <v>MM</v>
          </cell>
          <cell r="P29" t="str">
            <v>Ok mon client</v>
          </cell>
          <cell r="Q29" t="str">
            <v>GENNEVILLIERS</v>
          </cell>
          <cell r="R29" t="str">
            <v>95</v>
          </cell>
          <cell r="S29" t="str">
            <v>14 AVENUE ELIE BAYLAC</v>
          </cell>
          <cell r="T29" t="str">
            <v>95660</v>
          </cell>
          <cell r="U29" t="str">
            <v>CHAMPAGNE SUR OISE</v>
          </cell>
          <cell r="V29" t="str">
            <v>M.</v>
          </cell>
          <cell r="W29" t="str">
            <v>ASCHEN BRENNER</v>
          </cell>
          <cell r="X29" t="str">
            <v>95660</v>
          </cell>
          <cell r="Y29" t="str">
            <v>CHAMPAGNE SUR OISE</v>
          </cell>
          <cell r="Z29">
            <v>11960.210000000001</v>
          </cell>
          <cell r="AA29">
            <v>106014.85</v>
          </cell>
          <cell r="AB29">
            <v>761.50999999999988</v>
          </cell>
          <cell r="AD29">
            <v>118736.57</v>
          </cell>
          <cell r="AE29">
            <v>7637.96</v>
          </cell>
          <cell r="AF29">
            <v>0.29362173634845573</v>
          </cell>
          <cell r="AG29">
            <v>67942.959999999992</v>
          </cell>
          <cell r="AH29">
            <v>0.21271091936851141</v>
          </cell>
          <cell r="AI29">
            <v>76.11999999999999</v>
          </cell>
          <cell r="AJ29">
            <v>0.59682080924855496</v>
          </cell>
          <cell r="AL29">
            <v>75657.039999999994</v>
          </cell>
          <cell r="AM29">
            <v>105919.85599999999</v>
          </cell>
          <cell r="AN29">
            <v>-0.10794243087870925</v>
          </cell>
          <cell r="AO29" t="str">
            <v>001-G95QCL</v>
          </cell>
          <cell r="AP29" t="str">
            <v>001-L-95QCL</v>
          </cell>
          <cell r="AX29">
            <v>70320.963599999988</v>
          </cell>
          <cell r="AY29">
            <v>78.022999999999982</v>
          </cell>
          <cell r="AZ29">
            <v>7790.7192000000005</v>
          </cell>
        </row>
        <row r="30">
          <cell r="A30">
            <v>831070</v>
          </cell>
          <cell r="B30" t="str">
            <v>SHOWROOMPRIVE.COM</v>
          </cell>
          <cell r="G30" t="str">
            <v>NON</v>
          </cell>
          <cell r="H30" t="str">
            <v>PERDU</v>
          </cell>
          <cell r="I30">
            <v>0</v>
          </cell>
          <cell r="J30">
            <v>0</v>
          </cell>
          <cell r="K30" t="str">
            <v>NON</v>
          </cell>
          <cell r="L30" t="str">
            <v>NON</v>
          </cell>
          <cell r="N30" t="str">
            <v>Non affecté</v>
          </cell>
          <cell r="O30" t="str">
            <v>JPP</v>
          </cell>
          <cell r="P30" t="str">
            <v>Ok mon client</v>
          </cell>
          <cell r="Q30" t="str">
            <v>GENNEVILLIERS</v>
          </cell>
          <cell r="R30" t="str">
            <v>93</v>
          </cell>
          <cell r="S30" t="str">
            <v>ZAC MONTJOIE</v>
          </cell>
          <cell r="T30">
            <v>93210</v>
          </cell>
          <cell r="U30" t="str">
            <v>LA PLAINE ST DENIS</v>
          </cell>
          <cell r="V30" t="str">
            <v>M</v>
          </cell>
          <cell r="W30" t="str">
            <v>OLIVIER MERCURIOT</v>
          </cell>
          <cell r="X30" t="str">
            <v>93210</v>
          </cell>
          <cell r="Y30" t="str">
            <v>LA PLAINE ST DENIS</v>
          </cell>
          <cell r="AE30">
            <v>75095.95</v>
          </cell>
          <cell r="AF30">
            <v>0.19260371866194434</v>
          </cell>
          <cell r="AL30">
            <v>75095.95</v>
          </cell>
          <cell r="AM30">
            <v>105134.32999999999</v>
          </cell>
          <cell r="AP30" t="str">
            <v>001-L-93SHOWROOMPRIVE</v>
          </cell>
          <cell r="AQ30">
            <v>40966</v>
          </cell>
          <cell r="AX30">
            <v>0</v>
          </cell>
          <cell r="AY30">
            <v>0</v>
          </cell>
          <cell r="AZ30">
            <v>75095.95</v>
          </cell>
        </row>
        <row r="31">
          <cell r="A31">
            <v>559498</v>
          </cell>
          <cell r="B31" t="str">
            <v>ELECTRIC STATION CLIMATISATION</v>
          </cell>
          <cell r="C31">
            <v>3.5000000000000003E-2</v>
          </cell>
          <cell r="D31">
            <v>3.5000000000000003E-2</v>
          </cell>
          <cell r="E31">
            <v>0.02</v>
          </cell>
          <cell r="F31">
            <v>41275</v>
          </cell>
          <cell r="G31" t="str">
            <v>OUI</v>
          </cell>
          <cell r="I31">
            <v>0</v>
          </cell>
          <cell r="J31">
            <v>0</v>
          </cell>
          <cell r="K31" t="str">
            <v>OK</v>
          </cell>
          <cell r="L31" t="str">
            <v>OK</v>
          </cell>
          <cell r="M31" t="str">
            <v>Porte Feuille</v>
          </cell>
          <cell r="N31" t="str">
            <v>Non affecté</v>
          </cell>
          <cell r="O31" t="str">
            <v>AB</v>
          </cell>
          <cell r="P31" t="str">
            <v>Ok mon client</v>
          </cell>
          <cell r="Q31" t="str">
            <v>GENNEVILLIERS</v>
          </cell>
          <cell r="R31" t="str">
            <v>78</v>
          </cell>
          <cell r="S31" t="str">
            <v xml:space="preserve">82 RTE DE CORMEILLES            </v>
          </cell>
          <cell r="T31" t="str">
            <v>78500</v>
          </cell>
          <cell r="U31" t="str">
            <v>SARTROUVILLE</v>
          </cell>
          <cell r="V31" t="str">
            <v>Mme</v>
          </cell>
          <cell r="W31" t="str">
            <v>NADEL</v>
          </cell>
          <cell r="X31" t="str">
            <v>78500</v>
          </cell>
          <cell r="Y31" t="str">
            <v>SARTROUVILLE</v>
          </cell>
          <cell r="Z31">
            <v>11128.64</v>
          </cell>
          <cell r="AA31">
            <v>183.82999999999998</v>
          </cell>
          <cell r="AB31">
            <v>47550.919999999991</v>
          </cell>
          <cell r="AD31">
            <v>58863.389999999992</v>
          </cell>
          <cell r="AE31">
            <v>29932.11</v>
          </cell>
          <cell r="AF31">
            <v>0.21304871780196766</v>
          </cell>
          <cell r="AG31">
            <v>418.36</v>
          </cell>
          <cell r="AH31">
            <v>0.69285178437466499</v>
          </cell>
          <cell r="AI31">
            <v>42520.73</v>
          </cell>
          <cell r="AJ31">
            <v>0.5264071394082166</v>
          </cell>
          <cell r="AL31">
            <v>72871.200000000012</v>
          </cell>
          <cell r="AM31">
            <v>102019.68000000001</v>
          </cell>
          <cell r="AN31">
            <v>0.73316011870875974</v>
          </cell>
          <cell r="AO31" t="str">
            <v>001-G-78ELECTRICSTATION</v>
          </cell>
          <cell r="AP31" t="str">
            <v>001-L-78ELECTRICSTATION</v>
          </cell>
          <cell r="AX31">
            <v>433.00259999999997</v>
          </cell>
          <cell r="AY31">
            <v>44008.955549999999</v>
          </cell>
          <cell r="AZ31">
            <v>30530.752200000003</v>
          </cell>
        </row>
        <row r="32">
          <cell r="A32">
            <v>613240</v>
          </cell>
          <cell r="B32" t="str">
            <v>DELPHI AUTOMOTIVE SYSTEMS</v>
          </cell>
          <cell r="H32" t="str">
            <v>DCM</v>
          </cell>
          <cell r="I32">
            <v>0</v>
          </cell>
          <cell r="J32">
            <v>0</v>
          </cell>
          <cell r="K32" t="str">
            <v>NON</v>
          </cell>
          <cell r="L32" t="str">
            <v>non</v>
          </cell>
          <cell r="M32" t="str">
            <v>Porte Feuille</v>
          </cell>
          <cell r="N32" t="str">
            <v>DCM</v>
          </cell>
          <cell r="O32" t="str">
            <v>JPP</v>
          </cell>
          <cell r="P32" t="str">
            <v>Ok mon client</v>
          </cell>
          <cell r="Q32" t="str">
            <v>GENNEVILLIERS</v>
          </cell>
          <cell r="R32" t="str">
            <v>90</v>
          </cell>
          <cell r="S32" t="str">
            <v>Maroc</v>
          </cell>
          <cell r="T32" t="str">
            <v>90000</v>
          </cell>
          <cell r="U32" t="str">
            <v>TANGER</v>
          </cell>
          <cell r="W32" t="str">
            <v>Directeur Logistique et Transports</v>
          </cell>
          <cell r="X32" t="str">
            <v>90000</v>
          </cell>
          <cell r="Y32" t="str">
            <v>TANGER</v>
          </cell>
          <cell r="AA32">
            <v>36301.14</v>
          </cell>
          <cell r="AB32">
            <v>91581.78</v>
          </cell>
          <cell r="AD32">
            <v>127882.92</v>
          </cell>
          <cell r="AE32">
            <v>15367.6</v>
          </cell>
          <cell r="AF32">
            <v>0.65823492710837872</v>
          </cell>
          <cell r="AG32">
            <v>40367.040000000001</v>
          </cell>
          <cell r="AH32">
            <v>0.5164527364610737</v>
          </cell>
          <cell r="AI32">
            <v>15805.619999999999</v>
          </cell>
          <cell r="AJ32">
            <v>0.49875361188986211</v>
          </cell>
          <cell r="AL32">
            <v>71540.259999999995</v>
          </cell>
          <cell r="AM32">
            <v>100156.36399999999</v>
          </cell>
          <cell r="AN32">
            <v>-0.21681203400735616</v>
          </cell>
          <cell r="AX32">
            <v>40367.040000000001</v>
          </cell>
          <cell r="AY32">
            <v>15805.619999999999</v>
          </cell>
          <cell r="AZ32">
            <v>15367.6</v>
          </cell>
        </row>
        <row r="33">
          <cell r="A33">
            <v>477539</v>
          </cell>
          <cell r="B33" t="str">
            <v>SPARE</v>
          </cell>
          <cell r="C33">
            <v>-0.08</v>
          </cell>
          <cell r="D33">
            <v>-0.08</v>
          </cell>
          <cell r="G33" t="str">
            <v>NON</v>
          </cell>
          <cell r="H33" t="str">
            <v>PAS DE HAUSSE ATTAQUE ALLOIN SUR DOSSIER</v>
          </cell>
          <cell r="I33">
            <v>0</v>
          </cell>
          <cell r="J33">
            <v>0</v>
          </cell>
          <cell r="K33" t="str">
            <v>OK</v>
          </cell>
          <cell r="L33" t="str">
            <v>OK</v>
          </cell>
          <cell r="M33" t="str">
            <v>Porte Feuille</v>
          </cell>
          <cell r="N33" t="str">
            <v>Non affecté</v>
          </cell>
          <cell r="O33" t="str">
            <v>JPP</v>
          </cell>
          <cell r="P33" t="str">
            <v>Ok mon client</v>
          </cell>
          <cell r="Q33" t="str">
            <v>GENNEVILLIERS</v>
          </cell>
          <cell r="R33" t="str">
            <v>75</v>
          </cell>
          <cell r="S33" t="str">
            <v>105 RUE DE CHARENTON</v>
          </cell>
          <cell r="T33" t="str">
            <v>75012</v>
          </cell>
          <cell r="U33" t="str">
            <v>PARIS</v>
          </cell>
          <cell r="V33" t="str">
            <v>Mme</v>
          </cell>
          <cell r="W33" t="str">
            <v>LAPARA</v>
          </cell>
          <cell r="X33" t="str">
            <v>75012</v>
          </cell>
          <cell r="Y33" t="str">
            <v>PARIS</v>
          </cell>
          <cell r="Z33">
            <v>315.5</v>
          </cell>
          <cell r="AA33">
            <v>58711.390000000014</v>
          </cell>
          <cell r="AB33">
            <v>35190.65</v>
          </cell>
          <cell r="AD33">
            <v>94217.540000000023</v>
          </cell>
          <cell r="AG33">
            <v>40332.61</v>
          </cell>
          <cell r="AH33">
            <v>0.74767553703109968</v>
          </cell>
          <cell r="AI33">
            <v>26357.889999999996</v>
          </cell>
          <cell r="AJ33">
            <v>0.58012820512820518</v>
          </cell>
          <cell r="AL33">
            <v>66690.5</v>
          </cell>
          <cell r="AM33">
            <v>93366.7</v>
          </cell>
          <cell r="AN33">
            <v>-9.0305902701346419E-3</v>
          </cell>
          <cell r="AO33" t="str">
            <v>259-G-75SPARE</v>
          </cell>
          <cell r="AQ33">
            <v>38176</v>
          </cell>
          <cell r="AX33">
            <v>37106.001199999999</v>
          </cell>
          <cell r="AY33">
            <v>24249.258799999996</v>
          </cell>
          <cell r="AZ33">
            <v>0</v>
          </cell>
        </row>
        <row r="34">
          <cell r="A34">
            <v>607775</v>
          </cell>
          <cell r="B34" t="str">
            <v>CFI</v>
          </cell>
          <cell r="G34" t="str">
            <v>NON</v>
          </cell>
          <cell r="H34" t="str">
            <v>PAS DE HAUSSE SUITE DEVELOPPEMENT VU AVEC SAMIR</v>
          </cell>
          <cell r="I34">
            <v>0</v>
          </cell>
          <cell r="J34">
            <v>0</v>
          </cell>
          <cell r="K34" t="str">
            <v>NON</v>
          </cell>
          <cell r="L34" t="str">
            <v>NON</v>
          </cell>
          <cell r="N34" t="str">
            <v>Non affecté</v>
          </cell>
          <cell r="O34" t="str">
            <v>JPP</v>
          </cell>
          <cell r="P34" t="str">
            <v>Ok mon client</v>
          </cell>
          <cell r="Q34" t="str">
            <v>GENNEVILLIERS</v>
          </cell>
          <cell r="R34" t="str">
            <v>93</v>
          </cell>
          <cell r="S34" t="str">
            <v>9-11   AV MICHELET</v>
          </cell>
          <cell r="T34">
            <v>93583</v>
          </cell>
          <cell r="U34" t="str">
            <v>ST OUEN CEDEX</v>
          </cell>
          <cell r="V34" t="str">
            <v>M</v>
          </cell>
          <cell r="W34" t="str">
            <v>MBENGUE</v>
          </cell>
          <cell r="X34" t="str">
            <v>93583</v>
          </cell>
          <cell r="Y34" t="str">
            <v>ST OUEN CEDEX</v>
          </cell>
          <cell r="Z34">
            <v>11202.48</v>
          </cell>
          <cell r="AB34">
            <v>665.45</v>
          </cell>
          <cell r="AD34">
            <v>11867.93</v>
          </cell>
          <cell r="AE34">
            <v>57931.92</v>
          </cell>
          <cell r="AF34">
            <v>0.35243766378999408</v>
          </cell>
          <cell r="AI34">
            <v>6035.75</v>
          </cell>
          <cell r="AJ34">
            <v>0.66024014183150781</v>
          </cell>
          <cell r="AL34">
            <v>63967.67</v>
          </cell>
          <cell r="AM34">
            <v>89554.737999999998</v>
          </cell>
          <cell r="AN34">
            <v>6.5459442379589357</v>
          </cell>
          <cell r="AQ34">
            <v>40856</v>
          </cell>
          <cell r="AX34">
            <v>0</v>
          </cell>
          <cell r="AY34">
            <v>6035.75</v>
          </cell>
          <cell r="AZ34">
            <v>57931.92</v>
          </cell>
        </row>
        <row r="35">
          <cell r="A35">
            <v>849124</v>
          </cell>
          <cell r="B35" t="str">
            <v>BONKENBURG FRANCE</v>
          </cell>
          <cell r="H35" t="str">
            <v>HAUSSE DES VOLUMES A HAUTEUR DE 50% AVEC MISE EN PLACE RFA. VALIDEE PAR LE CLIENT</v>
          </cell>
          <cell r="I35">
            <v>0</v>
          </cell>
          <cell r="J35">
            <v>0</v>
          </cell>
          <cell r="K35" t="str">
            <v>NON</v>
          </cell>
          <cell r="L35" t="str">
            <v>NON</v>
          </cell>
          <cell r="N35" t="str">
            <v>Non affecté</v>
          </cell>
          <cell r="O35" t="str">
            <v>AB</v>
          </cell>
          <cell r="P35" t="str">
            <v>Ok mon client</v>
          </cell>
          <cell r="Q35" t="str">
            <v>GENNEVILLIERS</v>
          </cell>
          <cell r="R35" t="str">
            <v>78</v>
          </cell>
          <cell r="S35" t="str">
            <v>1 CHEMIN DES CORDELIERS</v>
          </cell>
          <cell r="T35">
            <v>78711</v>
          </cell>
          <cell r="U35" t="str">
            <v>MANTES LA VILLE</v>
          </cell>
          <cell r="V35" t="str">
            <v>M.</v>
          </cell>
          <cell r="W35" t="str">
            <v>GRAINDORGE</v>
          </cell>
          <cell r="X35" t="str">
            <v>78711</v>
          </cell>
          <cell r="Y35" t="str">
            <v>MANTES LA VILLE</v>
          </cell>
          <cell r="Z35">
            <v>3971.29</v>
          </cell>
          <cell r="AA35">
            <v>155.92000000000002</v>
          </cell>
          <cell r="AD35">
            <v>4127.21</v>
          </cell>
          <cell r="AE35">
            <v>59840.31</v>
          </cell>
          <cell r="AF35">
            <v>0.22806585375867192</v>
          </cell>
          <cell r="AG35">
            <v>1713.4400000000003</v>
          </cell>
          <cell r="AH35">
            <v>0.45453888145764798</v>
          </cell>
          <cell r="AL35">
            <v>61553.75</v>
          </cell>
          <cell r="AM35">
            <v>86175.25</v>
          </cell>
          <cell r="AN35">
            <v>19.879783194942831</v>
          </cell>
          <cell r="AO35" t="str">
            <v>001-G-78BONKENBURG</v>
          </cell>
          <cell r="AP35" t="str">
            <v>001-L-78BONKENBURG</v>
          </cell>
          <cell r="AQ35">
            <v>40730</v>
          </cell>
          <cell r="AX35">
            <v>1713.4400000000003</v>
          </cell>
          <cell r="AY35">
            <v>0</v>
          </cell>
          <cell r="AZ35">
            <v>59840.31</v>
          </cell>
        </row>
        <row r="36">
          <cell r="A36" t="str">
            <v>2692</v>
          </cell>
          <cell r="B36" t="str">
            <v>FILTERTEK</v>
          </cell>
          <cell r="C36">
            <v>3.5000000000000003E-2</v>
          </cell>
          <cell r="D36">
            <v>3.5000000000000003E-2</v>
          </cell>
          <cell r="E36">
            <v>3.5000000000000003E-2</v>
          </cell>
          <cell r="H36" t="str">
            <v>RAJOUTE SECTEUR 60. 3,5% ttes activites</v>
          </cell>
          <cell r="I36">
            <v>0</v>
          </cell>
          <cell r="J36">
            <v>0</v>
          </cell>
          <cell r="K36" t="str">
            <v>OK</v>
          </cell>
          <cell r="L36" t="str">
            <v>OK</v>
          </cell>
          <cell r="N36" t="str">
            <v>Non affecté</v>
          </cell>
          <cell r="O36" t="str">
            <v>JPP</v>
          </cell>
          <cell r="P36" t="str">
            <v>Ok mon client</v>
          </cell>
          <cell r="Q36" t="str">
            <v>GENNEVILLIERS</v>
          </cell>
          <cell r="R36">
            <v>60</v>
          </cell>
          <cell r="S36" t="str">
            <v>ZA DU PRE DE LA DAME JEANNE</v>
          </cell>
          <cell r="T36" t="str">
            <v>60128</v>
          </cell>
          <cell r="U36" t="str">
            <v>PLAILLY</v>
          </cell>
          <cell r="AD36">
            <v>94738.751810000002</v>
          </cell>
          <cell r="AE36">
            <v>2951.76</v>
          </cell>
          <cell r="AG36">
            <v>39009.480000000003</v>
          </cell>
          <cell r="AI36">
            <v>13105.85</v>
          </cell>
          <cell r="AK36">
            <v>5352.2</v>
          </cell>
          <cell r="AL36">
            <v>60419.29</v>
          </cell>
          <cell r="AM36">
            <v>84587.005999999994</v>
          </cell>
          <cell r="AN36">
            <v>-0.10715515685027688</v>
          </cell>
          <cell r="AX36">
            <v>40374.811800000003</v>
          </cell>
          <cell r="AY36">
            <v>13564.554749999999</v>
          </cell>
          <cell r="AZ36">
            <v>3055.0716000000002</v>
          </cell>
        </row>
        <row r="37">
          <cell r="A37">
            <v>534520</v>
          </cell>
          <cell r="B37" t="str">
            <v>TOLEMECANE</v>
          </cell>
          <cell r="C37">
            <v>3.5000000000000003E-2</v>
          </cell>
          <cell r="F37">
            <v>41244</v>
          </cell>
          <cell r="G37" t="str">
            <v>par mail</v>
          </cell>
          <cell r="H37" t="str">
            <v>fait suite mail du 31/10/12 de JPP // MES NAT UNIQUETEMENT</v>
          </cell>
          <cell r="I37">
            <v>0</v>
          </cell>
          <cell r="J37">
            <v>0</v>
          </cell>
          <cell r="K37" t="str">
            <v>OK</v>
          </cell>
          <cell r="L37" t="str">
            <v>OK</v>
          </cell>
          <cell r="N37" t="str">
            <v>Non affecté</v>
          </cell>
          <cell r="O37" t="str">
            <v>JPP</v>
          </cell>
          <cell r="P37" t="str">
            <v>Ok mon client</v>
          </cell>
          <cell r="Q37" t="str">
            <v>GENNEVILLIERS</v>
          </cell>
          <cell r="R37" t="str">
            <v>93</v>
          </cell>
          <cell r="S37" t="str">
            <v>21-23 RUE EUGENE LEVASSEUR</v>
          </cell>
          <cell r="T37" t="str">
            <v>93230</v>
          </cell>
          <cell r="U37" t="str">
            <v>ROMAINVILLE</v>
          </cell>
          <cell r="V37" t="str">
            <v>M.</v>
          </cell>
          <cell r="W37" t="str">
            <v>CHAZAL</v>
          </cell>
          <cell r="X37" t="str">
            <v>93320</v>
          </cell>
          <cell r="Y37" t="str">
            <v>LES PAVILLONS SOUS BOIS</v>
          </cell>
          <cell r="Z37">
            <v>1412.12</v>
          </cell>
          <cell r="AD37">
            <v>1412.12</v>
          </cell>
          <cell r="AE37">
            <v>4475.8999999999996</v>
          </cell>
          <cell r="AF37">
            <v>0.33148140902747919</v>
          </cell>
          <cell r="AG37">
            <v>55060.67</v>
          </cell>
          <cell r="AH37">
            <v>0.29210226777952142</v>
          </cell>
          <cell r="AL37">
            <v>59536.57</v>
          </cell>
          <cell r="AM37">
            <v>83351.197999999989</v>
          </cell>
          <cell r="AN37">
            <v>58.025577146418151</v>
          </cell>
          <cell r="AO37" t="str">
            <v>001-G-93TOLEMECANE</v>
          </cell>
          <cell r="AP37" t="str">
            <v>001-L-93TOLEMECANE</v>
          </cell>
          <cell r="AX37">
            <v>56987.793449999997</v>
          </cell>
          <cell r="AY37">
            <v>0</v>
          </cell>
          <cell r="AZ37">
            <v>4475.8999999999996</v>
          </cell>
        </row>
        <row r="38">
          <cell r="A38">
            <v>434649</v>
          </cell>
          <cell r="B38" t="str">
            <v>PAGES JAUNES</v>
          </cell>
          <cell r="H38" t="str">
            <v>SURVILLIERS, EN NEGO</v>
          </cell>
          <cell r="I38">
            <v>0</v>
          </cell>
          <cell r="J38">
            <v>0</v>
          </cell>
          <cell r="K38" t="str">
            <v>NON</v>
          </cell>
          <cell r="L38" t="str">
            <v>non</v>
          </cell>
          <cell r="N38" t="str">
            <v>Non affecté</v>
          </cell>
          <cell r="O38" t="str">
            <v>JPP</v>
          </cell>
          <cell r="P38" t="str">
            <v>Ok mon client</v>
          </cell>
          <cell r="Q38" t="str">
            <v>GENNEVILLIERS</v>
          </cell>
          <cell r="R38" t="str">
            <v>92</v>
          </cell>
          <cell r="S38" t="str">
            <v>7 AVENUE DE LA CRISTALLERIE</v>
          </cell>
          <cell r="T38" t="str">
            <v>92317</v>
          </cell>
          <cell r="U38" t="str">
            <v>SEVRES CEDEX</v>
          </cell>
          <cell r="V38" t="str">
            <v>Mme</v>
          </cell>
          <cell r="W38" t="str">
            <v>MUGA Marie-Christine</v>
          </cell>
          <cell r="X38" t="str">
            <v>92317</v>
          </cell>
          <cell r="Y38" t="str">
            <v>SEVRES CEDEX</v>
          </cell>
          <cell r="Z38">
            <v>21575.85</v>
          </cell>
          <cell r="AA38">
            <v>54270.62</v>
          </cell>
          <cell r="AD38">
            <v>75846.47</v>
          </cell>
          <cell r="AE38">
            <v>7134.54</v>
          </cell>
          <cell r="AF38">
            <v>0.44614887014881605</v>
          </cell>
          <cell r="AG38">
            <v>46990.54</v>
          </cell>
          <cell r="AH38">
            <v>0.57976338039146191</v>
          </cell>
          <cell r="AL38">
            <v>54125.08</v>
          </cell>
          <cell r="AM38">
            <v>75775.111999999994</v>
          </cell>
          <cell r="AN38">
            <v>-9.4082163612896341E-4</v>
          </cell>
          <cell r="AO38" t="str">
            <v>001-G-GENERAL-KG</v>
          </cell>
          <cell r="AP38" t="str">
            <v>001-L-PAGESJAUNES</v>
          </cell>
          <cell r="AQ38">
            <v>39155</v>
          </cell>
          <cell r="AX38">
            <v>46990.54</v>
          </cell>
          <cell r="AY38">
            <v>0</v>
          </cell>
          <cell r="AZ38">
            <v>7134.54</v>
          </cell>
        </row>
        <row r="39">
          <cell r="A39">
            <v>683949</v>
          </cell>
          <cell r="B39" t="str">
            <v>FAIVELEY TRANSPORT GENNEVILLIERS</v>
          </cell>
          <cell r="C39">
            <v>0.02</v>
          </cell>
          <cell r="D39">
            <v>1.4999999999999999E-2</v>
          </cell>
          <cell r="E39">
            <v>0</v>
          </cell>
          <cell r="F39">
            <v>41306</v>
          </cell>
          <cell r="G39" t="str">
            <v>NON</v>
          </cell>
          <cell r="H39" t="str">
            <v>RDV 16/01/2013</v>
          </cell>
          <cell r="I39">
            <v>0</v>
          </cell>
          <cell r="J39">
            <v>0</v>
          </cell>
          <cell r="K39" t="str">
            <v>OK</v>
          </cell>
          <cell r="L39" t="str">
            <v>OK</v>
          </cell>
          <cell r="M39" t="str">
            <v>Porte Feuille</v>
          </cell>
          <cell r="N39" t="str">
            <v>Non affecté</v>
          </cell>
          <cell r="O39" t="str">
            <v>JPP</v>
          </cell>
          <cell r="P39" t="str">
            <v>Ok mon client</v>
          </cell>
          <cell r="Q39" t="str">
            <v>GENNEVILLIERS</v>
          </cell>
          <cell r="R39" t="str">
            <v>93</v>
          </cell>
          <cell r="S39" t="str">
            <v xml:space="preserve">41 RUE JEAN JAURES              </v>
          </cell>
          <cell r="T39">
            <v>92230</v>
          </cell>
          <cell r="U39" t="str">
            <v>GENNEVILLIERS</v>
          </cell>
          <cell r="V39" t="str">
            <v>Mme</v>
          </cell>
          <cell r="W39" t="str">
            <v>LAVAL</v>
          </cell>
          <cell r="X39" t="str">
            <v>93285</v>
          </cell>
          <cell r="Y39" t="str">
            <v>SAINT DENIS CEDEX</v>
          </cell>
          <cell r="Z39">
            <v>10631.960000000001</v>
          </cell>
          <cell r="AA39">
            <v>20413.850000000002</v>
          </cell>
          <cell r="AB39">
            <v>55724.31</v>
          </cell>
          <cell r="AD39">
            <v>86770.12</v>
          </cell>
          <cell r="AE39">
            <v>2968.58</v>
          </cell>
          <cell r="AF39">
            <v>-0.20592262563065483</v>
          </cell>
          <cell r="AG39">
            <v>10874.199999999999</v>
          </cell>
          <cell r="AH39">
            <v>-9.4442949620923058E-3</v>
          </cell>
          <cell r="AI39">
            <v>39482.17</v>
          </cell>
          <cell r="AJ39">
            <v>0.18451984298603463</v>
          </cell>
          <cell r="AL39">
            <v>53324.95</v>
          </cell>
          <cell r="AM39">
            <v>74654.929999999993</v>
          </cell>
          <cell r="AN39">
            <v>-0.13962398576837287</v>
          </cell>
          <cell r="AO39" t="str">
            <v>001-G-92FAIVELEY</v>
          </cell>
          <cell r="AP39" t="str">
            <v>001-L-92FAIVELEY</v>
          </cell>
          <cell r="AQ39">
            <v>39546</v>
          </cell>
          <cell r="AX39">
            <v>11091.683999999999</v>
          </cell>
          <cell r="AY39">
            <v>40074.402549999992</v>
          </cell>
          <cell r="AZ39">
            <v>2968.58</v>
          </cell>
        </row>
        <row r="40">
          <cell r="A40">
            <v>700003</v>
          </cell>
          <cell r="B40" t="str">
            <v>EMM FRANCE</v>
          </cell>
          <cell r="C40">
            <v>3.5000000000000003E-2</v>
          </cell>
          <cell r="D40">
            <v>3.5000000000000003E-2</v>
          </cell>
          <cell r="E40">
            <v>0.01</v>
          </cell>
          <cell r="F40">
            <v>41275</v>
          </cell>
          <cell r="G40" t="str">
            <v>NON</v>
          </cell>
          <cell r="H40" t="str">
            <v>RDV 10/12</v>
          </cell>
          <cell r="I40">
            <v>0</v>
          </cell>
          <cell r="J40">
            <v>0</v>
          </cell>
          <cell r="K40" t="str">
            <v>OK</v>
          </cell>
          <cell r="L40" t="str">
            <v>OK</v>
          </cell>
          <cell r="M40" t="str">
            <v>Porte Feuille</v>
          </cell>
          <cell r="N40" t="str">
            <v>Non affecté</v>
          </cell>
          <cell r="O40" t="str">
            <v>JPP</v>
          </cell>
          <cell r="P40" t="str">
            <v>Ok mon client</v>
          </cell>
          <cell r="Q40" t="str">
            <v>GENNEVILLIERS</v>
          </cell>
          <cell r="R40" t="str">
            <v>93</v>
          </cell>
          <cell r="S40" t="str">
            <v>5 ALLEE DES GRIVES</v>
          </cell>
          <cell r="T40" t="str">
            <v>93420</v>
          </cell>
          <cell r="U40" t="str">
            <v>VILLEPINTE</v>
          </cell>
          <cell r="V40" t="str">
            <v>M.</v>
          </cell>
          <cell r="W40" t="str">
            <v>PERSE</v>
          </cell>
          <cell r="X40" t="str">
            <v>93480</v>
          </cell>
          <cell r="Y40" t="str">
            <v>NEUILLY PLAISANCE</v>
          </cell>
          <cell r="AA40">
            <v>22670.75</v>
          </cell>
          <cell r="AB40">
            <v>1023.5</v>
          </cell>
          <cell r="AD40">
            <v>23694.25</v>
          </cell>
          <cell r="AE40">
            <v>3478.0400000000004</v>
          </cell>
          <cell r="AF40">
            <v>0.54723375090431381</v>
          </cell>
          <cell r="AG40">
            <v>48428.68</v>
          </cell>
          <cell r="AH40">
            <v>0.24621621746143901</v>
          </cell>
          <cell r="AI40">
            <v>362.34000000000003</v>
          </cell>
          <cell r="AJ40">
            <v>0.61628039297500281</v>
          </cell>
          <cell r="AL40">
            <v>52269.06</v>
          </cell>
          <cell r="AM40">
            <v>73176.683999999994</v>
          </cell>
          <cell r="AN40">
            <v>2.0883730862973082</v>
          </cell>
          <cell r="AO40" t="str">
            <v>001-G-59EMMINTERNATIONA</v>
          </cell>
          <cell r="AP40" t="str">
            <v>001-L1-59EMMINTERNATIONA</v>
          </cell>
          <cell r="AQ40">
            <v>40961</v>
          </cell>
          <cell r="AX40">
            <v>50123.683799999999</v>
          </cell>
          <cell r="AY40">
            <v>375.02190000000002</v>
          </cell>
          <cell r="AZ40">
            <v>3512.8204000000005</v>
          </cell>
        </row>
        <row r="41">
          <cell r="A41">
            <v>69315</v>
          </cell>
          <cell r="B41" t="str">
            <v>TORRO</v>
          </cell>
          <cell r="G41" t="str">
            <v>EN NEGO</v>
          </cell>
          <cell r="I41">
            <v>0</v>
          </cell>
          <cell r="J41">
            <v>0</v>
          </cell>
          <cell r="K41" t="str">
            <v>NON</v>
          </cell>
          <cell r="L41" t="str">
            <v>NON</v>
          </cell>
          <cell r="N41" t="str">
            <v>Non affecté</v>
          </cell>
          <cell r="O41" t="str">
            <v>MM</v>
          </cell>
          <cell r="P41" t="str">
            <v>Ok mon client</v>
          </cell>
          <cell r="Q41" t="str">
            <v>GENNEVILLIERS</v>
          </cell>
          <cell r="R41" t="str">
            <v>95</v>
          </cell>
          <cell r="S41" t="str">
            <v>91 RUE GALLIENI 
ZA DU MOUTIER</v>
          </cell>
          <cell r="T41" t="str">
            <v>95170</v>
          </cell>
          <cell r="U41" t="str">
            <v>DEUIL LA BARRE</v>
          </cell>
          <cell r="W41" t="str">
            <v>Directeur Logistique et Transports</v>
          </cell>
          <cell r="X41" t="str">
            <v>95170</v>
          </cell>
          <cell r="Y41" t="str">
            <v>DEUIL LA BARRE</v>
          </cell>
          <cell r="AA41">
            <v>107615.17</v>
          </cell>
          <cell r="AB41">
            <v>288.39999999999998</v>
          </cell>
          <cell r="AD41">
            <v>107903.56999999999</v>
          </cell>
          <cell r="AG41">
            <v>51347.76</v>
          </cell>
          <cell r="AH41">
            <v>9.3796446690139326E-2</v>
          </cell>
          <cell r="AI41">
            <v>551.79999999999995</v>
          </cell>
          <cell r="AJ41">
            <v>0.50483435582822089</v>
          </cell>
          <cell r="AL41">
            <v>51899.560000000005</v>
          </cell>
          <cell r="AM41">
            <v>72659.384000000005</v>
          </cell>
          <cell r="AN41">
            <v>-0.32662669084998752</v>
          </cell>
          <cell r="AO41" t="str">
            <v>001-G-95TORRO</v>
          </cell>
          <cell r="AP41" t="str">
            <v>001-L1-95TORRO</v>
          </cell>
          <cell r="AQ41">
            <v>40171</v>
          </cell>
          <cell r="AX41">
            <v>51347.76</v>
          </cell>
          <cell r="AY41">
            <v>551.79999999999995</v>
          </cell>
          <cell r="AZ41">
            <v>0</v>
          </cell>
        </row>
        <row r="42">
          <cell r="A42">
            <v>839478</v>
          </cell>
          <cell r="B42" t="str">
            <v>VENTEPRIVEE.COM</v>
          </cell>
          <cell r="G42" t="str">
            <v>NON</v>
          </cell>
          <cell r="H42" t="str">
            <v>PERDU FLUX AU DEPART DE LYON</v>
          </cell>
          <cell r="I42">
            <v>0</v>
          </cell>
          <cell r="J42">
            <v>0</v>
          </cell>
          <cell r="K42" t="str">
            <v xml:space="preserve">NON </v>
          </cell>
          <cell r="L42" t="str">
            <v>NON</v>
          </cell>
          <cell r="N42" t="str">
            <v>Non affecté</v>
          </cell>
          <cell r="O42" t="str">
            <v>JPP</v>
          </cell>
          <cell r="P42" t="str">
            <v>Ok mon client</v>
          </cell>
          <cell r="Q42" t="str">
            <v>GENNEVILLIERS</v>
          </cell>
          <cell r="R42" t="str">
            <v>93</v>
          </cell>
          <cell r="S42" t="str">
            <v>249 AV DU PRESIDENT WILSON</v>
          </cell>
          <cell r="T42">
            <v>93210</v>
          </cell>
          <cell r="U42" t="str">
            <v>ST DENIS</v>
          </cell>
          <cell r="V42" t="str">
            <v>Mme</v>
          </cell>
          <cell r="W42" t="str">
            <v>VILLIEN</v>
          </cell>
          <cell r="X42" t="str">
            <v>93210</v>
          </cell>
          <cell r="Y42" t="str">
            <v>ST DENIS</v>
          </cell>
          <cell r="AE42">
            <v>37186.35</v>
          </cell>
          <cell r="AF42">
            <v>-1.064642176608215</v>
          </cell>
          <cell r="AG42">
            <v>8345.32</v>
          </cell>
          <cell r="AH42">
            <v>0.20554665510747377</v>
          </cell>
          <cell r="AI42">
            <v>5189.5199999999995</v>
          </cell>
          <cell r="AJ42">
            <v>0.51345059930927039</v>
          </cell>
          <cell r="AL42">
            <v>50721.189999999995</v>
          </cell>
          <cell r="AM42">
            <v>71009.665999999983</v>
          </cell>
          <cell r="AO42" t="str">
            <v>001-G-93VENTEPRIVEE</v>
          </cell>
          <cell r="AP42" t="str">
            <v>001-L-93VENTEPRIVEE</v>
          </cell>
          <cell r="AQ42">
            <v>40980</v>
          </cell>
          <cell r="AX42">
            <v>8345.32</v>
          </cell>
          <cell r="AY42">
            <v>5189.5199999999995</v>
          </cell>
          <cell r="AZ42">
            <v>37186.35</v>
          </cell>
        </row>
        <row r="43">
          <cell r="A43">
            <v>823751</v>
          </cell>
          <cell r="B43" t="str">
            <v>SOA LOGISTICS SAS</v>
          </cell>
          <cell r="G43" t="str">
            <v>AO EN COURS</v>
          </cell>
          <cell r="I43">
            <v>0</v>
          </cell>
          <cell r="J43">
            <v>0</v>
          </cell>
          <cell r="K43" t="str">
            <v>NON</v>
          </cell>
          <cell r="L43" t="str">
            <v>non</v>
          </cell>
          <cell r="M43" t="str">
            <v>Porte Feuille</v>
          </cell>
          <cell r="N43" t="str">
            <v>Non affecté</v>
          </cell>
          <cell r="O43" t="str">
            <v>MM</v>
          </cell>
          <cell r="P43" t="str">
            <v>Ok mon client</v>
          </cell>
          <cell r="Q43" t="str">
            <v>GENNEVILLIERS</v>
          </cell>
          <cell r="R43" t="str">
            <v>95</v>
          </cell>
          <cell r="S43" t="str">
            <v>1 AVENUE DU FIEF BP 9185 
ZI DES BETHUNES</v>
          </cell>
          <cell r="T43" t="str">
            <v>95310</v>
          </cell>
          <cell r="U43" t="str">
            <v>ST OUEN L AUMONE</v>
          </cell>
          <cell r="W43" t="str">
            <v>Directeur Logistique et Transports</v>
          </cell>
          <cell r="X43" t="str">
            <v>95310</v>
          </cell>
          <cell r="Y43" t="str">
            <v>SAINT OUEN L AUMONE</v>
          </cell>
          <cell r="Z43">
            <v>64789.7</v>
          </cell>
          <cell r="AA43">
            <v>30760.260000000002</v>
          </cell>
          <cell r="AB43">
            <v>1621.1000000000001</v>
          </cell>
          <cell r="AC43">
            <v>4153.33</v>
          </cell>
          <cell r="AD43">
            <v>101324.39</v>
          </cell>
          <cell r="AE43">
            <v>35557.25</v>
          </cell>
          <cell r="AF43">
            <v>9.7940513189812596E-3</v>
          </cell>
          <cell r="AG43">
            <v>13788.570000000002</v>
          </cell>
          <cell r="AH43">
            <v>0.56042979655657699</v>
          </cell>
          <cell r="AI43">
            <v>518.74</v>
          </cell>
          <cell r="AJ43">
            <v>0.42557599970222948</v>
          </cell>
          <cell r="AL43">
            <v>49864.56</v>
          </cell>
          <cell r="AM43">
            <v>69810.383999999991</v>
          </cell>
          <cell r="AN43">
            <v>-0.3110209299064125</v>
          </cell>
          <cell r="AO43" t="str">
            <v>001-G-95SOALOGISTICS</v>
          </cell>
          <cell r="AP43" t="str">
            <v>001-L-95SOALOGISTICS</v>
          </cell>
          <cell r="AX43">
            <v>13788.570000000002</v>
          </cell>
          <cell r="AY43">
            <v>518.74</v>
          </cell>
          <cell r="AZ43">
            <v>35557.25</v>
          </cell>
        </row>
        <row r="44">
          <cell r="A44">
            <v>869112</v>
          </cell>
          <cell r="B44" t="str">
            <v>BANQUE MAGNETIQUE</v>
          </cell>
          <cell r="G44" t="str">
            <v>NON</v>
          </cell>
          <cell r="H44" t="str">
            <v>PERDU</v>
          </cell>
          <cell r="I44">
            <v>0</v>
          </cell>
          <cell r="J44">
            <v>0</v>
          </cell>
          <cell r="K44" t="str">
            <v xml:space="preserve">NON </v>
          </cell>
          <cell r="L44" t="str">
            <v>NON</v>
          </cell>
          <cell r="N44" t="str">
            <v>Non affecté</v>
          </cell>
          <cell r="O44" t="str">
            <v>JPP</v>
          </cell>
          <cell r="P44" t="str">
            <v>Rajouté</v>
          </cell>
          <cell r="Q44" t="str">
            <v>GENNEVILLIERS</v>
          </cell>
          <cell r="R44" t="str">
            <v>95</v>
          </cell>
          <cell r="S44" t="str">
            <v>99 AVENUE DE LA PYRAMIDE</v>
          </cell>
          <cell r="T44">
            <v>95972</v>
          </cell>
          <cell r="U44" t="str">
            <v>ROISSY CDG CEDEX</v>
          </cell>
          <cell r="V44" t="str">
            <v>MME</v>
          </cell>
          <cell r="W44" t="str">
            <v>HUE</v>
          </cell>
          <cell r="X44" t="str">
            <v>95972</v>
          </cell>
          <cell r="Y44" t="str">
            <v>ROISSY CDG CEDEX</v>
          </cell>
          <cell r="AE44">
            <v>48917.9</v>
          </cell>
          <cell r="AF44">
            <v>0.18783699217736682</v>
          </cell>
          <cell r="AL44">
            <v>48917.9</v>
          </cell>
          <cell r="AM44">
            <v>68485.06</v>
          </cell>
          <cell r="AP44" t="str">
            <v>001-L-95BANQUEMANET</v>
          </cell>
          <cell r="AX44">
            <v>0</v>
          </cell>
          <cell r="AY44">
            <v>0</v>
          </cell>
          <cell r="AZ44">
            <v>48917.9</v>
          </cell>
        </row>
        <row r="45">
          <cell r="A45">
            <v>547813</v>
          </cell>
          <cell r="B45" t="str">
            <v>PIERRE PRADEL PARIS</v>
          </cell>
          <cell r="G45" t="str">
            <v>NON</v>
          </cell>
          <cell r="H45" t="str">
            <v>DATE D'ANNIV</v>
          </cell>
          <cell r="I45">
            <v>0</v>
          </cell>
          <cell r="J45">
            <v>0</v>
          </cell>
          <cell r="K45" t="str">
            <v>NON</v>
          </cell>
          <cell r="L45" t="str">
            <v>non</v>
          </cell>
          <cell r="N45" t="str">
            <v>Non affecté</v>
          </cell>
          <cell r="O45" t="str">
            <v>JPP</v>
          </cell>
          <cell r="P45" t="str">
            <v>Ok mon client</v>
          </cell>
          <cell r="Q45" t="str">
            <v>GENNEVILLIERS</v>
          </cell>
          <cell r="R45" t="str">
            <v>92</v>
          </cell>
          <cell r="S45" t="str">
            <v>95-97 PARC EUROSTORE RUE DU MOULIN</v>
          </cell>
          <cell r="T45">
            <v>92230</v>
          </cell>
          <cell r="U45" t="str">
            <v>GENNEVILLIERS CEDEX</v>
          </cell>
          <cell r="V45" t="str">
            <v>M,</v>
          </cell>
          <cell r="W45" t="str">
            <v>OUEVRARD</v>
          </cell>
          <cell r="X45" t="str">
            <v>92230</v>
          </cell>
          <cell r="Y45" t="str">
            <v>GENNEVILLIERS CEDEX</v>
          </cell>
          <cell r="AE45">
            <v>3246.5599999999995</v>
          </cell>
          <cell r="AF45">
            <v>-5.5954797301001336E-3</v>
          </cell>
          <cell r="AG45">
            <v>162.91999999999999</v>
          </cell>
          <cell r="AH45">
            <v>-0.22395377341971603</v>
          </cell>
          <cell r="AI45">
            <v>43745.299999999996</v>
          </cell>
          <cell r="AJ45">
            <v>0.24462999650734771</v>
          </cell>
          <cell r="AL45">
            <v>47154.78</v>
          </cell>
          <cell r="AM45">
            <v>66016.691999999995</v>
          </cell>
          <cell r="AO45" t="str">
            <v>001-G-92PIERREPRADELPAR</v>
          </cell>
          <cell r="AP45" t="str">
            <v>001-L1-92PIERREPRADELPAR</v>
          </cell>
          <cell r="AQ45">
            <v>40919</v>
          </cell>
          <cell r="AX45">
            <v>162.91999999999999</v>
          </cell>
          <cell r="AY45">
            <v>43745.299999999996</v>
          </cell>
          <cell r="AZ45">
            <v>3246.5599999999995</v>
          </cell>
        </row>
        <row r="46">
          <cell r="A46">
            <v>848032</v>
          </cell>
          <cell r="B46" t="str">
            <v>HAUDECOEUR</v>
          </cell>
          <cell r="E46">
            <v>1.4999999999999999E-2</v>
          </cell>
          <cell r="F46">
            <v>41395</v>
          </cell>
          <cell r="G46" t="str">
            <v>0UI</v>
          </cell>
          <cell r="H46" t="str">
            <v>0% EN ACCORD AVEC S KARIMI. Suite mail du 23/04/13 de JPP, appliquer hausse de 1,5% au 01/05/13</v>
          </cell>
          <cell r="I46">
            <v>0</v>
          </cell>
          <cell r="J46" t="str">
            <v>OK</v>
          </cell>
          <cell r="K46" t="str">
            <v>OK</v>
          </cell>
          <cell r="L46" t="str">
            <v>OK</v>
          </cell>
          <cell r="N46" t="str">
            <v>Non affecté</v>
          </cell>
          <cell r="O46" t="str">
            <v>JPP</v>
          </cell>
          <cell r="P46" t="str">
            <v>Ok mon client</v>
          </cell>
          <cell r="Q46" t="str">
            <v>GENNEVILLIERS</v>
          </cell>
          <cell r="R46" t="str">
            <v>93</v>
          </cell>
          <cell r="S46" t="str">
            <v>60 RUE EMILE ZOLA</v>
          </cell>
          <cell r="T46">
            <v>93120</v>
          </cell>
          <cell r="U46" t="str">
            <v>LA COURNEUVE</v>
          </cell>
          <cell r="V46" t="str">
            <v>Mme</v>
          </cell>
          <cell r="W46" t="str">
            <v>HAUDECOEUR</v>
          </cell>
          <cell r="X46" t="str">
            <v>93120</v>
          </cell>
          <cell r="Y46" t="str">
            <v>LA COURNEUVE</v>
          </cell>
          <cell r="Z46">
            <v>153747.50999999998</v>
          </cell>
          <cell r="AD46">
            <v>153747.50999999998</v>
          </cell>
          <cell r="AE46">
            <v>46393.249999999993</v>
          </cell>
          <cell r="AF46">
            <v>0.41601357185668203</v>
          </cell>
          <cell r="AL46">
            <v>46393.249999999993</v>
          </cell>
          <cell r="AM46">
            <v>64950.549999999988</v>
          </cell>
          <cell r="AN46">
            <v>-0.57755055675373224</v>
          </cell>
          <cell r="AP46" t="str">
            <v>001-L1-93HAUDECOEUR1</v>
          </cell>
          <cell r="AQ46">
            <v>40709</v>
          </cell>
          <cell r="AX46">
            <v>0</v>
          </cell>
          <cell r="AY46">
            <v>0</v>
          </cell>
          <cell r="AZ46">
            <v>47089.148749999986</v>
          </cell>
        </row>
        <row r="47">
          <cell r="A47">
            <v>51531</v>
          </cell>
          <cell r="B47" t="str">
            <v>SOPARTEX</v>
          </cell>
          <cell r="G47" t="str">
            <v>NON</v>
          </cell>
          <cell r="H47" t="str">
            <v>PERDU</v>
          </cell>
          <cell r="I47">
            <v>0</v>
          </cell>
          <cell r="J47">
            <v>0</v>
          </cell>
          <cell r="K47" t="str">
            <v>NON</v>
          </cell>
          <cell r="L47" t="str">
            <v>NON</v>
          </cell>
          <cell r="M47" t="str">
            <v>Porte Feuille</v>
          </cell>
          <cell r="N47" t="str">
            <v>Non affecté</v>
          </cell>
          <cell r="O47" t="str">
            <v>JPP</v>
          </cell>
          <cell r="P47" t="str">
            <v>Ok mon client</v>
          </cell>
          <cell r="Q47" t="str">
            <v>GENNEVILLIERS</v>
          </cell>
          <cell r="R47" t="str">
            <v>92</v>
          </cell>
          <cell r="S47" t="str">
            <v>123 AV LOUIS ROCHE 
BP45 92234</v>
          </cell>
          <cell r="T47" t="str">
            <v>92230</v>
          </cell>
          <cell r="U47" t="str">
            <v>GENNEVILLIERS</v>
          </cell>
          <cell r="V47" t="str">
            <v>Mme</v>
          </cell>
          <cell r="W47" t="str">
            <v>Laurence PHILIPPON</v>
          </cell>
          <cell r="X47" t="str">
            <v>92230</v>
          </cell>
          <cell r="Y47" t="str">
            <v>GENNEVILLIERS</v>
          </cell>
          <cell r="AA47">
            <v>15884.1</v>
          </cell>
          <cell r="AD47">
            <v>15884.1</v>
          </cell>
          <cell r="AG47">
            <v>43551.090000000004</v>
          </cell>
          <cell r="AH47">
            <v>0.50320994121495488</v>
          </cell>
          <cell r="AL47">
            <v>43551.090000000004</v>
          </cell>
          <cell r="AM47">
            <v>60971.525999999998</v>
          </cell>
          <cell r="AN47">
            <v>2.8385256955068274</v>
          </cell>
          <cell r="AO47" t="str">
            <v>001-G-92SOPARTEX</v>
          </cell>
          <cell r="AQ47">
            <v>40232</v>
          </cell>
          <cell r="AX47">
            <v>43551.090000000004</v>
          </cell>
          <cell r="AY47">
            <v>0</v>
          </cell>
          <cell r="AZ47">
            <v>0</v>
          </cell>
        </row>
        <row r="48">
          <cell r="A48">
            <v>32350</v>
          </cell>
          <cell r="B48" t="str">
            <v>FLUX FRANCE SAS</v>
          </cell>
          <cell r="C48">
            <v>3.7999999999999999E-2</v>
          </cell>
          <cell r="D48">
            <v>3.7999999999999999E-2</v>
          </cell>
          <cell r="E48">
            <v>0.02</v>
          </cell>
          <cell r="F48">
            <v>41275</v>
          </cell>
          <cell r="I48">
            <v>0</v>
          </cell>
          <cell r="J48">
            <v>0</v>
          </cell>
          <cell r="K48" t="str">
            <v>OK</v>
          </cell>
          <cell r="L48" t="str">
            <v>OK</v>
          </cell>
          <cell r="M48" t="str">
            <v>Porte Feuille</v>
          </cell>
          <cell r="N48" t="str">
            <v>Non affecté</v>
          </cell>
          <cell r="O48" t="str">
            <v>AB</v>
          </cell>
          <cell r="P48" t="str">
            <v>Ok mon client</v>
          </cell>
          <cell r="Q48" t="str">
            <v>GENNEVILLIERS</v>
          </cell>
          <cell r="R48" t="str">
            <v>78</v>
          </cell>
          <cell r="S48" t="str">
            <v xml:space="preserve">117 RTE DE MAISONS              </v>
          </cell>
          <cell r="T48" t="str">
            <v>78400</v>
          </cell>
          <cell r="U48" t="str">
            <v>CHATOU</v>
          </cell>
          <cell r="V48" t="str">
            <v>Mme</v>
          </cell>
          <cell r="W48" t="str">
            <v>BOTTU</v>
          </cell>
          <cell r="X48" t="str">
            <v>78400</v>
          </cell>
          <cell r="Y48" t="str">
            <v>CHATOU</v>
          </cell>
          <cell r="AA48">
            <v>61420.539999999994</v>
          </cell>
          <cell r="AB48">
            <v>2411.2199999999998</v>
          </cell>
          <cell r="AD48">
            <v>63831.759999999995</v>
          </cell>
          <cell r="AG48">
            <v>39781.479999999996</v>
          </cell>
          <cell r="AH48">
            <v>0.55485573774209973</v>
          </cell>
          <cell r="AI48">
            <v>2028.54</v>
          </cell>
          <cell r="AJ48">
            <v>0.63778556637470607</v>
          </cell>
          <cell r="AL48">
            <v>41810.019999999997</v>
          </cell>
          <cell r="AM48">
            <v>58534.027999999991</v>
          </cell>
          <cell r="AN48">
            <v>-8.2995236227232372E-2</v>
          </cell>
          <cell r="AO48" t="str">
            <v>001-G-78FLUXFRANCE</v>
          </cell>
          <cell r="AX48">
            <v>41293.176240000001</v>
          </cell>
          <cell r="AY48">
            <v>2105.6245199999998</v>
          </cell>
          <cell r="AZ48">
            <v>0</v>
          </cell>
        </row>
        <row r="49">
          <cell r="A49">
            <v>612515</v>
          </cell>
          <cell r="B49" t="str">
            <v>SITOUR</v>
          </cell>
          <cell r="C49">
            <v>0.15</v>
          </cell>
          <cell r="D49">
            <v>0.04</v>
          </cell>
          <cell r="E49">
            <v>0.02</v>
          </cell>
          <cell r="F49">
            <v>41334</v>
          </cell>
          <cell r="G49" t="str">
            <v>NON</v>
          </cell>
          <cell r="H49" t="str">
            <v>en attente retour MM</v>
          </cell>
          <cell r="I49">
            <v>0</v>
          </cell>
          <cell r="J49">
            <v>0</v>
          </cell>
          <cell r="K49" t="str">
            <v>NON</v>
          </cell>
          <cell r="L49" t="str">
            <v>ok</v>
          </cell>
          <cell r="M49" t="str">
            <v>Porte Feuille</v>
          </cell>
          <cell r="N49" t="str">
            <v>Non affecté</v>
          </cell>
          <cell r="O49" t="str">
            <v>MM</v>
          </cell>
          <cell r="P49" t="str">
            <v>Ok mon client</v>
          </cell>
          <cell r="Q49" t="str">
            <v>GENNEVILLIERS</v>
          </cell>
          <cell r="R49" t="str">
            <v>95</v>
          </cell>
          <cell r="S49" t="str">
            <v>5 RUE GUY MOQUET</v>
          </cell>
          <cell r="T49" t="str">
            <v>95100</v>
          </cell>
          <cell r="U49" t="str">
            <v>ARGENTEUIL</v>
          </cell>
          <cell r="V49" t="str">
            <v>M.</v>
          </cell>
          <cell r="W49" t="str">
            <v>FRON</v>
          </cell>
          <cell r="X49" t="str">
            <v>95100</v>
          </cell>
          <cell r="Y49" t="str">
            <v>ARGENTEUIL</v>
          </cell>
          <cell r="Z49">
            <v>21451.449999999997</v>
          </cell>
          <cell r="AA49">
            <v>332.93</v>
          </cell>
          <cell r="AB49">
            <v>44153.36</v>
          </cell>
          <cell r="AD49">
            <v>65937.739999999991</v>
          </cell>
          <cell r="AE49">
            <v>3912.71</v>
          </cell>
          <cell r="AF49">
            <v>76.148148148148195</v>
          </cell>
          <cell r="AG49">
            <v>-832.07999999999993</v>
          </cell>
          <cell r="AH49">
            <v>1.0890129713942103</v>
          </cell>
          <cell r="AI49">
            <v>38301.870000000003</v>
          </cell>
          <cell r="AJ49">
            <v>0.41873388924898086</v>
          </cell>
          <cell r="AL49">
            <v>41382.5</v>
          </cell>
          <cell r="AM49">
            <v>57935.499999999993</v>
          </cell>
          <cell r="AN49">
            <v>-0.12136054405261687</v>
          </cell>
          <cell r="AO49" t="str">
            <v>001-G-95CLEMENTDISTRIB</v>
          </cell>
          <cell r="AP49" t="str">
            <v>001-L-95CLEMENTDISTRIBUTION</v>
          </cell>
          <cell r="AQ49">
            <v>40114</v>
          </cell>
          <cell r="AX49">
            <v>-956.89199999999983</v>
          </cell>
          <cell r="AY49">
            <v>39833.944800000005</v>
          </cell>
          <cell r="AZ49">
            <v>3990.9641999999999</v>
          </cell>
        </row>
        <row r="50">
          <cell r="A50">
            <v>687504</v>
          </cell>
          <cell r="B50" t="str">
            <v>CARAY SAS</v>
          </cell>
          <cell r="C50">
            <v>0.1</v>
          </cell>
          <cell r="D50">
            <v>0.2</v>
          </cell>
          <cell r="E50">
            <v>0.02</v>
          </cell>
          <cell r="F50">
            <v>41275</v>
          </cell>
          <cell r="G50" t="str">
            <v>NON</v>
          </cell>
          <cell r="I50">
            <v>0</v>
          </cell>
          <cell r="J50">
            <v>0</v>
          </cell>
          <cell r="K50" t="str">
            <v>OK</v>
          </cell>
          <cell r="L50" t="str">
            <v>OK</v>
          </cell>
          <cell r="M50" t="str">
            <v>Porte Feuille</v>
          </cell>
          <cell r="N50" t="str">
            <v>Non affecté</v>
          </cell>
          <cell r="O50" t="str">
            <v>MM</v>
          </cell>
          <cell r="P50" t="str">
            <v>Ok mon client</v>
          </cell>
          <cell r="Q50" t="str">
            <v>GENNEVILLIERS</v>
          </cell>
          <cell r="R50" t="str">
            <v>95</v>
          </cell>
          <cell r="S50" t="str">
            <v>12-16 AVENUE DE L ILE DE France ZI DES BETHUNE</v>
          </cell>
          <cell r="T50" t="str">
            <v>95310</v>
          </cell>
          <cell r="U50" t="str">
            <v>SAINT OUEN L'AUMONE</v>
          </cell>
          <cell r="V50" t="str">
            <v>M.</v>
          </cell>
          <cell r="W50" t="str">
            <v>LAURENT RAHOU</v>
          </cell>
          <cell r="X50" t="str">
            <v>95310</v>
          </cell>
          <cell r="Y50" t="str">
            <v>SAINT OUEN L'AUMONE</v>
          </cell>
          <cell r="Z50">
            <v>129112.76999999999</v>
          </cell>
          <cell r="AA50">
            <v>240</v>
          </cell>
          <cell r="AD50">
            <v>129352.76999999999</v>
          </cell>
          <cell r="AE50">
            <v>40285.870000000003</v>
          </cell>
          <cell r="AF50">
            <v>0.18606363152166702</v>
          </cell>
          <cell r="AL50">
            <v>40285.870000000003</v>
          </cell>
          <cell r="AM50">
            <v>56400.218000000001</v>
          </cell>
          <cell r="AN50">
            <v>-0.56398136661472342</v>
          </cell>
          <cell r="AP50" t="str">
            <v>001_L1-95CARAYSAS</v>
          </cell>
          <cell r="AQ50">
            <v>39584</v>
          </cell>
          <cell r="AX50">
            <v>0</v>
          </cell>
          <cell r="AY50">
            <v>0</v>
          </cell>
          <cell r="AZ50">
            <v>41091.587400000004</v>
          </cell>
        </row>
        <row r="51">
          <cell r="A51">
            <v>648246</v>
          </cell>
          <cell r="B51" t="str">
            <v>ALLIANCE LOGISTICS</v>
          </cell>
          <cell r="C51">
            <v>0.02</v>
          </cell>
          <cell r="D51">
            <v>1.4999999999999999E-2</v>
          </cell>
          <cell r="E51">
            <v>0</v>
          </cell>
          <cell r="G51" t="str">
            <v>NON</v>
          </cell>
          <cell r="H51" t="str">
            <v>RDV LE 13/12</v>
          </cell>
          <cell r="I51">
            <v>0</v>
          </cell>
          <cell r="J51">
            <v>0</v>
          </cell>
          <cell r="K51" t="str">
            <v>OK</v>
          </cell>
          <cell r="L51" t="str">
            <v>OK</v>
          </cell>
          <cell r="M51" t="str">
            <v>Porte Feuille</v>
          </cell>
          <cell r="N51" t="str">
            <v>Non affecté</v>
          </cell>
          <cell r="O51" t="str">
            <v>JPP</v>
          </cell>
          <cell r="P51" t="str">
            <v>Ok mon client</v>
          </cell>
          <cell r="Q51" t="str">
            <v>ROUEN / GRAND QUEVIL</v>
          </cell>
          <cell r="R51" t="str">
            <v>93</v>
          </cell>
          <cell r="S51" t="str">
            <v>ZA CHARLES DE GAULLE / 20 RUE HENRI FARMAN</v>
          </cell>
          <cell r="T51" t="str">
            <v>93297</v>
          </cell>
          <cell r="U51" t="str">
            <v>TREMBLAY EN FRANDE</v>
          </cell>
          <cell r="V51" t="str">
            <v>Mme</v>
          </cell>
          <cell r="W51" t="str">
            <v>MECHAUSSIE</v>
          </cell>
          <cell r="X51" t="str">
            <v>93297</v>
          </cell>
          <cell r="Y51" t="str">
            <v>TREMBLAY EN FRANDE</v>
          </cell>
          <cell r="Z51">
            <v>500</v>
          </cell>
          <cell r="AA51">
            <v>10041.25</v>
          </cell>
          <cell r="AB51">
            <v>21506.98</v>
          </cell>
          <cell r="AD51">
            <v>32048.23</v>
          </cell>
          <cell r="AG51">
            <v>25460.54</v>
          </cell>
          <cell r="AH51">
            <v>0.1766990291262136</v>
          </cell>
          <cell r="AI51">
            <v>13882.87</v>
          </cell>
          <cell r="AJ51">
            <v>0.54244107943403375</v>
          </cell>
          <cell r="AL51">
            <v>39343.410000000003</v>
          </cell>
          <cell r="AM51">
            <v>55080.774000000005</v>
          </cell>
          <cell r="AN51">
            <v>0.71868380874700422</v>
          </cell>
          <cell r="AO51" t="str">
            <v>259-G-93ALLIANCELOGISTI</v>
          </cell>
          <cell r="AP51" t="str">
            <v>259-L-93ALLIANCELOGISTI</v>
          </cell>
          <cell r="AQ51">
            <v>39402</v>
          </cell>
          <cell r="AX51">
            <v>25969.750800000002</v>
          </cell>
          <cell r="AY51">
            <v>14091.11305</v>
          </cell>
          <cell r="AZ51">
            <v>0</v>
          </cell>
        </row>
        <row r="52">
          <cell r="A52">
            <v>553660</v>
          </cell>
          <cell r="B52" t="str">
            <v>SIREMBALLAGES</v>
          </cell>
          <cell r="C52">
            <v>3.5000000000000003E-2</v>
          </cell>
          <cell r="D52">
            <v>2.5000000000000001E-2</v>
          </cell>
          <cell r="E52">
            <v>0.02</v>
          </cell>
          <cell r="F52">
            <v>41275</v>
          </cell>
          <cell r="I52">
            <v>0</v>
          </cell>
          <cell r="J52">
            <v>0</v>
          </cell>
          <cell r="K52" t="str">
            <v>OK</v>
          </cell>
          <cell r="L52" t="str">
            <v>OK</v>
          </cell>
          <cell r="M52" t="str">
            <v>Porte Feuille</v>
          </cell>
          <cell r="N52" t="str">
            <v>Non affecté</v>
          </cell>
          <cell r="O52" t="str">
            <v>MM</v>
          </cell>
          <cell r="P52" t="str">
            <v>Ok mon client</v>
          </cell>
          <cell r="Q52" t="str">
            <v>GENNEVILLIERS</v>
          </cell>
          <cell r="R52" t="str">
            <v>95</v>
          </cell>
          <cell r="S52" t="str">
            <v xml:space="preserve">84 AVE DU MARECHAL LECLERC      </v>
          </cell>
          <cell r="T52" t="str">
            <v>95000</v>
          </cell>
          <cell r="U52" t="str">
            <v>BOISEMONT</v>
          </cell>
          <cell r="V52" t="str">
            <v>M.</v>
          </cell>
          <cell r="W52" t="str">
            <v>COURTIN Eric</v>
          </cell>
          <cell r="X52" t="str">
            <v>95000</v>
          </cell>
          <cell r="Y52" t="str">
            <v>BOISEMONT</v>
          </cell>
          <cell r="AA52">
            <v>51755.350000000006</v>
          </cell>
          <cell r="AB52">
            <v>6309.99</v>
          </cell>
          <cell r="AD52">
            <v>58065.340000000004</v>
          </cell>
          <cell r="AG52">
            <v>33769.199999999997</v>
          </cell>
          <cell r="AH52">
            <v>0.41644517697681688</v>
          </cell>
          <cell r="AI52">
            <v>4506.57</v>
          </cell>
          <cell r="AJ52">
            <v>0.68848041147721895</v>
          </cell>
          <cell r="AL52">
            <v>38275.769999999997</v>
          </cell>
          <cell r="AM52">
            <v>53586.077999999994</v>
          </cell>
          <cell r="AN52">
            <v>-7.7141750999822123E-2</v>
          </cell>
          <cell r="AO52" t="str">
            <v>001-G-95SIREMBALLAGES</v>
          </cell>
          <cell r="AP52" t="str">
            <v>001-L-95SIREMBALLAGES</v>
          </cell>
          <cell r="AX52">
            <v>34951.121999999996</v>
          </cell>
          <cell r="AY52">
            <v>4619.2342499999995</v>
          </cell>
          <cell r="AZ52">
            <v>0</v>
          </cell>
        </row>
        <row r="53">
          <cell r="A53">
            <v>677243</v>
          </cell>
          <cell r="B53" t="str">
            <v>MACLAREN EUROPE SERVICES</v>
          </cell>
          <cell r="H53" t="str">
            <v>VOIR 682458. en attente retour MM</v>
          </cell>
          <cell r="I53">
            <v>0</v>
          </cell>
          <cell r="J53">
            <v>0</v>
          </cell>
          <cell r="K53" t="str">
            <v>NON</v>
          </cell>
          <cell r="L53" t="str">
            <v>non</v>
          </cell>
          <cell r="N53" t="str">
            <v>Non affecté</v>
          </cell>
          <cell r="O53" t="str">
            <v>MM</v>
          </cell>
          <cell r="P53" t="str">
            <v>Ok mon client</v>
          </cell>
          <cell r="Q53" t="str">
            <v>GENNEVILLIERS</v>
          </cell>
          <cell r="R53" t="str">
            <v>95</v>
          </cell>
          <cell r="S53" t="str">
            <v xml:space="preserve">209 RUE DE LA BELLE ETOILE BP 522 91 </v>
          </cell>
          <cell r="T53">
            <v>95700</v>
          </cell>
          <cell r="U53" t="str">
            <v>ROISSY</v>
          </cell>
          <cell r="V53" t="str">
            <v>M.</v>
          </cell>
          <cell r="W53" t="str">
            <v>DIOULO EDMOND</v>
          </cell>
          <cell r="X53" t="str">
            <v>95944</v>
          </cell>
          <cell r="Y53" t="str">
            <v>ROISSY CHARLES DE GAULLE CEDEX</v>
          </cell>
          <cell r="Z53">
            <v>50386.320000000007</v>
          </cell>
          <cell r="AA53">
            <v>22259.070000000003</v>
          </cell>
          <cell r="AB53">
            <v>36979.32</v>
          </cell>
          <cell r="AD53">
            <v>109624.71000000002</v>
          </cell>
          <cell r="AE53">
            <v>35247.31</v>
          </cell>
          <cell r="AF53">
            <v>0.22325530905088428</v>
          </cell>
          <cell r="AG53">
            <v>353.16</v>
          </cell>
          <cell r="AH53">
            <v>-2.5457658891812969</v>
          </cell>
          <cell r="AI53">
            <v>472.13</v>
          </cell>
          <cell r="AJ53">
            <v>-0.72760820045558072</v>
          </cell>
          <cell r="AL53">
            <v>36072.6</v>
          </cell>
          <cell r="AM53">
            <v>50501.639999999992</v>
          </cell>
          <cell r="AN53">
            <v>-0.5393224757447479</v>
          </cell>
          <cell r="AO53" t="str">
            <v>259-G-95ACELAFRANCE</v>
          </cell>
          <cell r="AP53" t="str">
            <v>259-L-95ACELAFRANCE</v>
          </cell>
          <cell r="AQ53">
            <v>39435</v>
          </cell>
          <cell r="AX53">
            <v>353.16</v>
          </cell>
          <cell r="AY53">
            <v>472.13</v>
          </cell>
          <cell r="AZ53">
            <v>35247.31</v>
          </cell>
        </row>
        <row r="54">
          <cell r="A54">
            <v>700235</v>
          </cell>
          <cell r="B54" t="str">
            <v>LABO MODERNE</v>
          </cell>
          <cell r="C54">
            <v>0.02</v>
          </cell>
          <cell r="D54">
            <v>0.02</v>
          </cell>
          <cell r="E54">
            <v>0.02</v>
          </cell>
          <cell r="F54">
            <v>41306</v>
          </cell>
          <cell r="G54" t="str">
            <v>OUI</v>
          </cell>
          <cell r="I54">
            <v>0</v>
          </cell>
          <cell r="J54">
            <v>0</v>
          </cell>
          <cell r="K54" t="str">
            <v>OK</v>
          </cell>
          <cell r="L54" t="str">
            <v>OK</v>
          </cell>
          <cell r="N54" t="str">
            <v>Non affecté</v>
          </cell>
          <cell r="O54" t="str">
            <v>JPP</v>
          </cell>
          <cell r="P54" t="str">
            <v>Ok mon client</v>
          </cell>
          <cell r="Q54" t="str">
            <v>GENNEVILLIERS</v>
          </cell>
          <cell r="R54" t="str">
            <v>75</v>
          </cell>
          <cell r="S54" t="str">
            <v>37 RUE DOMBASLE</v>
          </cell>
          <cell r="T54" t="str">
            <v>75015</v>
          </cell>
          <cell r="U54" t="str">
            <v>PARIS 15</v>
          </cell>
          <cell r="V54" t="str">
            <v>M.</v>
          </cell>
          <cell r="W54" t="str">
            <v>REFET</v>
          </cell>
          <cell r="X54" t="str">
            <v>75015</v>
          </cell>
          <cell r="Y54" t="str">
            <v>PARIS</v>
          </cell>
          <cell r="Z54">
            <v>2931.32</v>
          </cell>
          <cell r="AA54">
            <v>20899.18</v>
          </cell>
          <cell r="AB54">
            <v>27860.9</v>
          </cell>
          <cell r="AD54">
            <v>51691.399999999994</v>
          </cell>
          <cell r="AE54">
            <v>2869.2999999999997</v>
          </cell>
          <cell r="AF54">
            <v>0.42285674814578167</v>
          </cell>
          <cell r="AG54">
            <v>16568.73</v>
          </cell>
          <cell r="AH54">
            <v>0.14913657770800631</v>
          </cell>
          <cell r="AI54">
            <v>16094.270000000002</v>
          </cell>
          <cell r="AJ54">
            <v>0.2574198221263978</v>
          </cell>
          <cell r="AL54">
            <v>35532.299999999996</v>
          </cell>
          <cell r="AM54">
            <v>49745.219999999994</v>
          </cell>
          <cell r="AN54">
            <v>-3.7649976591850876E-2</v>
          </cell>
          <cell r="AO54" t="str">
            <v>259-G-75LABOMODERNE</v>
          </cell>
          <cell r="AX54">
            <v>16900.104599999999</v>
          </cell>
          <cell r="AY54">
            <v>16416.155400000003</v>
          </cell>
          <cell r="AZ54">
            <v>2926.6859999999997</v>
          </cell>
        </row>
        <row r="55">
          <cell r="A55">
            <v>548693</v>
          </cell>
          <cell r="B55" t="str">
            <v>SCTI</v>
          </cell>
          <cell r="C55">
            <v>3.5000000000000003E-2</v>
          </cell>
          <cell r="D55">
            <v>2.5000000000000001E-2</v>
          </cell>
          <cell r="E55">
            <v>0.02</v>
          </cell>
          <cell r="F55">
            <v>41275</v>
          </cell>
          <cell r="I55">
            <v>0</v>
          </cell>
          <cell r="J55">
            <v>0</v>
          </cell>
          <cell r="K55" t="str">
            <v>OK</v>
          </cell>
          <cell r="L55" t="str">
            <v>OK</v>
          </cell>
          <cell r="M55" t="str">
            <v>Porte Feuille</v>
          </cell>
          <cell r="N55" t="str">
            <v>Non affecté</v>
          </cell>
          <cell r="O55" t="str">
            <v>MM</v>
          </cell>
          <cell r="P55" t="str">
            <v>Ok mon client</v>
          </cell>
          <cell r="Q55" t="str">
            <v>GENNEVILLIERS</v>
          </cell>
          <cell r="R55" t="str">
            <v>95</v>
          </cell>
          <cell r="S55" t="str">
            <v>7 RUE DE LA HUTTE GAILLONET</v>
          </cell>
          <cell r="T55">
            <v>95450</v>
          </cell>
          <cell r="U55" t="str">
            <v>SERAINCOURT</v>
          </cell>
          <cell r="V55" t="str">
            <v>Mme</v>
          </cell>
          <cell r="W55" t="str">
            <v>MAISON</v>
          </cell>
          <cell r="X55" t="str">
            <v>95450</v>
          </cell>
          <cell r="Y55" t="str">
            <v>SERAINCOURT</v>
          </cell>
          <cell r="AA55">
            <v>44877.84</v>
          </cell>
          <cell r="AB55">
            <v>2102.4400000000005</v>
          </cell>
          <cell r="AD55">
            <v>46980.28</v>
          </cell>
          <cell r="AE55">
            <v>500.25</v>
          </cell>
          <cell r="AF55">
            <v>0.44296589713436896</v>
          </cell>
          <cell r="AG55">
            <v>33685.700000000004</v>
          </cell>
          <cell r="AH55">
            <v>0.35452704754651104</v>
          </cell>
          <cell r="AI55">
            <v>1207.01</v>
          </cell>
          <cell r="AJ55">
            <v>0.49110552443991867</v>
          </cell>
          <cell r="AL55">
            <v>35392.960000000006</v>
          </cell>
          <cell r="AM55">
            <v>49550.144000000008</v>
          </cell>
          <cell r="AN55">
            <v>5.4700908551417848E-2</v>
          </cell>
          <cell r="AO55" t="str">
            <v>001-G-95SCTI</v>
          </cell>
          <cell r="AP55" t="str">
            <v>001-L-95SCTI</v>
          </cell>
          <cell r="AQ55">
            <v>39142</v>
          </cell>
          <cell r="AX55">
            <v>34864.699500000002</v>
          </cell>
          <cell r="AY55">
            <v>1237.18525</v>
          </cell>
          <cell r="AZ55">
            <v>510.255</v>
          </cell>
        </row>
        <row r="56">
          <cell r="A56">
            <v>848436</v>
          </cell>
          <cell r="B56" t="str">
            <v>VERRERIE DE SAINT JUST</v>
          </cell>
          <cell r="C56">
            <v>4.8000000000000001E-2</v>
          </cell>
          <cell r="D56">
            <v>4.8000000000000001E-2</v>
          </cell>
          <cell r="E56">
            <v>4.8000000000000001E-2</v>
          </cell>
          <cell r="F56">
            <v>41275</v>
          </cell>
          <cell r="I56">
            <v>0</v>
          </cell>
          <cell r="J56">
            <v>0</v>
          </cell>
          <cell r="K56" t="str">
            <v>OK</v>
          </cell>
          <cell r="L56" t="str">
            <v>OK</v>
          </cell>
          <cell r="M56" t="str">
            <v>Porte Feuille</v>
          </cell>
          <cell r="N56" t="str">
            <v>Non affecté</v>
          </cell>
          <cell r="O56" t="str">
            <v>JPP</v>
          </cell>
          <cell r="P56" t="str">
            <v>Ok mon client</v>
          </cell>
          <cell r="Q56" t="str">
            <v>GENNEVILLIERS</v>
          </cell>
          <cell r="R56" t="str">
            <v>42</v>
          </cell>
          <cell r="S56" t="str">
            <v>ZI LA VERRERIE</v>
          </cell>
          <cell r="T56">
            <v>42170</v>
          </cell>
          <cell r="U56" t="str">
            <v>SAINT-JUST-SAINT-RAMBERT</v>
          </cell>
          <cell r="V56" t="str">
            <v>M.</v>
          </cell>
          <cell r="W56" t="str">
            <v>AUBRON ALAIN</v>
          </cell>
          <cell r="X56" t="str">
            <v>42170</v>
          </cell>
          <cell r="Y56" t="str">
            <v>SAINT-JUST-SAINT-RAMBERT</v>
          </cell>
          <cell r="Z56">
            <v>10992.54</v>
          </cell>
          <cell r="AA56">
            <v>12463.77</v>
          </cell>
          <cell r="AD56">
            <v>23456.31</v>
          </cell>
          <cell r="AE56">
            <v>10816.829999999998</v>
          </cell>
          <cell r="AF56">
            <v>0.30545424376733082</v>
          </cell>
          <cell r="AG56">
            <v>24537.87</v>
          </cell>
          <cell r="AH56">
            <v>0.37428970580143972</v>
          </cell>
          <cell r="AL56">
            <v>35354.699999999997</v>
          </cell>
          <cell r="AM56">
            <v>49496.579999999994</v>
          </cell>
          <cell r="AN56">
            <v>1.1101605495493532</v>
          </cell>
          <cell r="AO56" t="str">
            <v>001-G-92VERRERIESTJUT</v>
          </cell>
          <cell r="AP56" t="str">
            <v>001-L-92VERRERIESTJUT</v>
          </cell>
          <cell r="AQ56">
            <v>40716</v>
          </cell>
          <cell r="AX56">
            <v>25715.687760000001</v>
          </cell>
          <cell r="AY56">
            <v>0</v>
          </cell>
          <cell r="AZ56">
            <v>11336.037839999999</v>
          </cell>
        </row>
        <row r="57">
          <cell r="A57">
            <v>700123</v>
          </cell>
          <cell r="B57" t="str">
            <v>SCANDINAVIAN BUSINESS SEATING</v>
          </cell>
          <cell r="C57">
            <v>3.7999999999999999E-2</v>
          </cell>
          <cell r="D57">
            <v>3.7999999999999999E-2</v>
          </cell>
          <cell r="F57">
            <v>41275</v>
          </cell>
          <cell r="G57" t="str">
            <v>NON</v>
          </cell>
          <cell r="H57" t="str">
            <v>VOIR MAIL DU 29/10</v>
          </cell>
          <cell r="I57">
            <v>0</v>
          </cell>
          <cell r="J57">
            <v>0</v>
          </cell>
          <cell r="K57" t="str">
            <v>OK</v>
          </cell>
          <cell r="L57" t="str">
            <v>OK</v>
          </cell>
          <cell r="M57" t="str">
            <v>Porte Feuille</v>
          </cell>
          <cell r="N57" t="str">
            <v>Non affecté</v>
          </cell>
          <cell r="O57" t="str">
            <v>JPP</v>
          </cell>
          <cell r="P57" t="str">
            <v>Ok mon client</v>
          </cell>
          <cell r="Q57" t="str">
            <v>GENNEVILLIERS</v>
          </cell>
          <cell r="R57" t="str">
            <v>93</v>
          </cell>
          <cell r="S57" t="str">
            <v>4 ALLEE DU CERF</v>
          </cell>
          <cell r="T57" t="str">
            <v>93420</v>
          </cell>
          <cell r="U57" t="str">
            <v>VILLEPINTE</v>
          </cell>
          <cell r="V57" t="str">
            <v>M.</v>
          </cell>
          <cell r="W57" t="str">
            <v>PEZIN</v>
          </cell>
          <cell r="X57" t="str">
            <v>93421</v>
          </cell>
          <cell r="Y57" t="str">
            <v>VILLEPINTE</v>
          </cell>
          <cell r="AA57">
            <v>47210.400000000001</v>
          </cell>
          <cell r="AD57">
            <v>47210.400000000001</v>
          </cell>
          <cell r="AG57">
            <v>35204.870000000003</v>
          </cell>
          <cell r="AH57">
            <v>0.37049346224237101</v>
          </cell>
          <cell r="AI57">
            <v>38.049999999999997</v>
          </cell>
          <cell r="AJ57">
            <v>1.6710144927536232</v>
          </cell>
          <cell r="AL57">
            <v>35242.920000000006</v>
          </cell>
          <cell r="AM57">
            <v>49340.088000000003</v>
          </cell>
          <cell r="AN57">
            <v>4.5110568857709366E-2</v>
          </cell>
          <cell r="AO57" t="str">
            <v>259-G-93RHSIEGES</v>
          </cell>
          <cell r="AX57">
            <v>36542.655060000005</v>
          </cell>
          <cell r="AY57">
            <v>39.495899999999999</v>
          </cell>
          <cell r="AZ57">
            <v>0</v>
          </cell>
        </row>
        <row r="58">
          <cell r="A58">
            <v>390052</v>
          </cell>
          <cell r="B58" t="str">
            <v>AXCAN</v>
          </cell>
          <cell r="C58">
            <v>4.2000000000000003E-2</v>
          </cell>
          <cell r="D58">
            <v>4.2000000000000003E-2</v>
          </cell>
          <cell r="E58">
            <v>0.02</v>
          </cell>
          <cell r="F58">
            <v>41275</v>
          </cell>
          <cell r="G58" t="str">
            <v>OUI</v>
          </cell>
          <cell r="H58" t="str">
            <v>O</v>
          </cell>
          <cell r="I58">
            <v>0</v>
          </cell>
          <cell r="J58">
            <v>0</v>
          </cell>
          <cell r="K58" t="str">
            <v>OK</v>
          </cell>
          <cell r="L58" t="str">
            <v>OK</v>
          </cell>
          <cell r="M58" t="str">
            <v>Porte Feuille</v>
          </cell>
          <cell r="N58" t="str">
            <v>Non affecté</v>
          </cell>
          <cell r="O58" t="str">
            <v>AB</v>
          </cell>
          <cell r="P58" t="str">
            <v>Ok mon client</v>
          </cell>
          <cell r="Q58" t="str">
            <v>GENNEVILLIERS</v>
          </cell>
          <cell r="R58" t="str">
            <v>78</v>
          </cell>
          <cell r="S58" t="str">
            <v>ROUTE DE BU</v>
          </cell>
          <cell r="T58" t="str">
            <v>78550</v>
          </cell>
          <cell r="U58" t="str">
            <v>HOUDAN</v>
          </cell>
          <cell r="V58" t="str">
            <v>M.</v>
          </cell>
          <cell r="W58" t="str">
            <v>BOURTON</v>
          </cell>
          <cell r="X58" t="str">
            <v>78550</v>
          </cell>
          <cell r="Y58" t="str">
            <v>HOUDAN</v>
          </cell>
          <cell r="Z58">
            <v>42733.430000000008</v>
          </cell>
          <cell r="AB58">
            <v>18433.789999999997</v>
          </cell>
          <cell r="AD58">
            <v>61167.22</v>
          </cell>
          <cell r="AE58">
            <v>19818.27</v>
          </cell>
          <cell r="AF58">
            <v>0.15279822656489753</v>
          </cell>
          <cell r="AG58">
            <v>26.919999999999998</v>
          </cell>
          <cell r="AH58">
            <v>0.6210995542347697</v>
          </cell>
          <cell r="AI58">
            <v>14987.77</v>
          </cell>
          <cell r="AJ58">
            <v>0.57144704701039128</v>
          </cell>
          <cell r="AL58">
            <v>34832.959999999999</v>
          </cell>
          <cell r="AM58">
            <v>48766.143999999993</v>
          </cell>
          <cell r="AN58">
            <v>-0.20274055286475345</v>
          </cell>
          <cell r="AO58" t="str">
            <v>001-G78AXCAN</v>
          </cell>
          <cell r="AP58" t="str">
            <v>001-L-78AXCAN</v>
          </cell>
          <cell r="AQ58">
            <v>38607</v>
          </cell>
          <cell r="AX58">
            <v>28.050639999999998</v>
          </cell>
          <cell r="AY58">
            <v>15617.256340000002</v>
          </cell>
          <cell r="AZ58">
            <v>20214.635399999999</v>
          </cell>
        </row>
        <row r="59">
          <cell r="A59">
            <v>876099</v>
          </cell>
          <cell r="B59" t="str">
            <v>SUPPLY CHAIN PERFORMANCES</v>
          </cell>
          <cell r="G59" t="str">
            <v>NON</v>
          </cell>
          <cell r="H59" t="str">
            <v>ACQUISITION JUILLET 2012</v>
          </cell>
          <cell r="I59">
            <v>0</v>
          </cell>
          <cell r="J59">
            <v>0</v>
          </cell>
          <cell r="K59" t="str">
            <v>NON</v>
          </cell>
          <cell r="L59" t="str">
            <v>NON</v>
          </cell>
          <cell r="N59" t="str">
            <v>Non affecté</v>
          </cell>
          <cell r="O59" t="str">
            <v>MM</v>
          </cell>
          <cell r="P59" t="str">
            <v>Ok mon client</v>
          </cell>
          <cell r="Q59" t="str">
            <v>GENNEVILLIERS</v>
          </cell>
          <cell r="R59" t="str">
            <v>95</v>
          </cell>
          <cell r="V59" t="str">
            <v>M</v>
          </cell>
          <cell r="W59" t="str">
            <v>THERIZOLS</v>
          </cell>
          <cell r="X59" t="str">
            <v>95310</v>
          </cell>
          <cell r="Y59" t="str">
            <v>ST OUEN L AUMONE</v>
          </cell>
          <cell r="AE59">
            <v>34748.539999999994</v>
          </cell>
          <cell r="AF59">
            <v>0.2999127424761725</v>
          </cell>
          <cell r="AL59">
            <v>34748.539999999994</v>
          </cell>
          <cell r="AM59">
            <v>48647.955999999991</v>
          </cell>
          <cell r="AO59" t="str">
            <v>001-G-95SCPSTOUEN</v>
          </cell>
          <cell r="AP59" t="str">
            <v>001-L1-95SCPSTOUEN</v>
          </cell>
          <cell r="AQ59">
            <v>41101</v>
          </cell>
          <cell r="AX59">
            <v>0</v>
          </cell>
          <cell r="AY59">
            <v>0</v>
          </cell>
          <cell r="AZ59">
            <v>34748.539999999994</v>
          </cell>
        </row>
        <row r="60">
          <cell r="A60">
            <v>33608</v>
          </cell>
          <cell r="B60" t="str">
            <v>TFH SARL</v>
          </cell>
          <cell r="C60">
            <v>4.2000000000000003E-2</v>
          </cell>
          <cell r="D60">
            <v>4.2000000000000003E-2</v>
          </cell>
          <cell r="E60">
            <v>0.02</v>
          </cell>
          <cell r="F60">
            <v>41275</v>
          </cell>
          <cell r="I60">
            <v>0</v>
          </cell>
          <cell r="J60">
            <v>0</v>
          </cell>
          <cell r="K60" t="str">
            <v>OK</v>
          </cell>
          <cell r="L60" t="str">
            <v>OK</v>
          </cell>
          <cell r="N60" t="str">
            <v>Non affecté</v>
          </cell>
          <cell r="O60" t="str">
            <v>AB</v>
          </cell>
          <cell r="P60" t="str">
            <v>Ok mon client</v>
          </cell>
          <cell r="Q60" t="str">
            <v>GENNEVILLIERS</v>
          </cell>
          <cell r="R60" t="str">
            <v>78</v>
          </cell>
          <cell r="S60" t="str">
            <v>11 RUE DE SAINT GERMAIN</v>
          </cell>
          <cell r="T60" t="str">
            <v>78230</v>
          </cell>
          <cell r="U60" t="str">
            <v>LE PECQ</v>
          </cell>
          <cell r="V60" t="str">
            <v>M.</v>
          </cell>
          <cell r="W60" t="str">
            <v>ROBERTS</v>
          </cell>
          <cell r="X60" t="str">
            <v>78230</v>
          </cell>
          <cell r="Y60" t="str">
            <v>LE PECQ</v>
          </cell>
          <cell r="Z60">
            <v>1313.35</v>
          </cell>
          <cell r="AA60">
            <v>10216.049999999997</v>
          </cell>
          <cell r="AB60">
            <v>7852.57</v>
          </cell>
          <cell r="AD60">
            <v>19381.969999999998</v>
          </cell>
          <cell r="AE60">
            <v>16305.220000000001</v>
          </cell>
          <cell r="AF60">
            <v>0.31089413086611173</v>
          </cell>
          <cell r="AG60">
            <v>8638.9600000000009</v>
          </cell>
          <cell r="AH60">
            <v>0.37273443656422384</v>
          </cell>
          <cell r="AI60">
            <v>9630.2000000000007</v>
          </cell>
          <cell r="AJ60">
            <v>0.57421538053214749</v>
          </cell>
          <cell r="AL60">
            <v>34574.379999999997</v>
          </cell>
          <cell r="AM60">
            <v>48404.131999999991</v>
          </cell>
          <cell r="AN60">
            <v>1.4973793685574788</v>
          </cell>
          <cell r="AO60" t="str">
            <v>001-G-78TFH</v>
          </cell>
          <cell r="AP60" t="str">
            <v>001-L-78TFH</v>
          </cell>
          <cell r="AX60">
            <v>9001.7963200000013</v>
          </cell>
          <cell r="AY60">
            <v>10034.6684</v>
          </cell>
          <cell r="AZ60">
            <v>16631.324400000001</v>
          </cell>
        </row>
        <row r="61">
          <cell r="A61">
            <v>576497</v>
          </cell>
          <cell r="B61" t="str">
            <v>TOP EMBALLAGE</v>
          </cell>
          <cell r="C61">
            <v>5.8000000000000003E-2</v>
          </cell>
          <cell r="D61">
            <v>5.8000000000000003E-2</v>
          </cell>
          <cell r="E61">
            <v>0.02</v>
          </cell>
          <cell r="F61">
            <v>41275</v>
          </cell>
          <cell r="G61">
            <v>0</v>
          </cell>
          <cell r="I61">
            <v>0</v>
          </cell>
          <cell r="J61">
            <v>0</v>
          </cell>
          <cell r="K61" t="str">
            <v>OK</v>
          </cell>
          <cell r="L61" t="str">
            <v>OK</v>
          </cell>
          <cell r="M61" t="str">
            <v>Porte Feuille</v>
          </cell>
          <cell r="N61" t="str">
            <v>Non affecté</v>
          </cell>
          <cell r="O61" t="str">
            <v>AB</v>
          </cell>
          <cell r="P61" t="str">
            <v>Ok mon client</v>
          </cell>
          <cell r="Q61" t="str">
            <v>GENNEVILLIERS</v>
          </cell>
          <cell r="R61" t="str">
            <v>78</v>
          </cell>
          <cell r="S61" t="str">
            <v xml:space="preserve">4 AVE LE VERRIER BP 1           </v>
          </cell>
          <cell r="T61" t="str">
            <v>78191</v>
          </cell>
          <cell r="U61" t="str">
            <v>TRAPPES CEDEX</v>
          </cell>
          <cell r="V61" t="str">
            <v>Mme</v>
          </cell>
          <cell r="W61" t="str">
            <v>DESROUBAIX</v>
          </cell>
          <cell r="X61" t="str">
            <v>78191</v>
          </cell>
          <cell r="Y61" t="str">
            <v>TRAPPES CEDEX</v>
          </cell>
          <cell r="Z61">
            <v>4504.1100000000006</v>
          </cell>
          <cell r="AA61">
            <v>15083.250000000002</v>
          </cell>
          <cell r="AB61">
            <v>1850.8</v>
          </cell>
          <cell r="AD61">
            <v>21438.16</v>
          </cell>
          <cell r="AE61">
            <v>18551.509999999998</v>
          </cell>
          <cell r="AF61">
            <v>0.26797818373946297</v>
          </cell>
          <cell r="AG61">
            <v>13433.32</v>
          </cell>
          <cell r="AH61">
            <v>0.41409228898696143</v>
          </cell>
          <cell r="AI61">
            <v>2164.5700000000002</v>
          </cell>
          <cell r="AJ61">
            <v>0.25806648244473335</v>
          </cell>
          <cell r="AL61">
            <v>34149.4</v>
          </cell>
          <cell r="AM61">
            <v>47809.159999999996</v>
          </cell>
          <cell r="AN61">
            <v>1.2300962396026525</v>
          </cell>
          <cell r="AO61" t="str">
            <v>001-G-78TOPEMBALLAGE</v>
          </cell>
          <cell r="AP61" t="str">
            <v>001-L1-78TOPEMBALLAGE</v>
          </cell>
          <cell r="AX61">
            <v>14212.45256</v>
          </cell>
          <cell r="AY61">
            <v>2290.1150600000001</v>
          </cell>
          <cell r="AZ61">
            <v>18922.540199999999</v>
          </cell>
        </row>
        <row r="62">
          <cell r="A62">
            <v>22569</v>
          </cell>
          <cell r="B62" t="str">
            <v>SOCITEC</v>
          </cell>
          <cell r="C62">
            <v>4.2000000000000003E-2</v>
          </cell>
          <cell r="D62">
            <v>4.2000000000000003E-2</v>
          </cell>
          <cell r="E62">
            <v>0.02</v>
          </cell>
          <cell r="F62">
            <v>41275</v>
          </cell>
          <cell r="I62">
            <v>0</v>
          </cell>
          <cell r="J62">
            <v>0</v>
          </cell>
          <cell r="K62" t="str">
            <v>OK</v>
          </cell>
          <cell r="L62" t="str">
            <v>OK</v>
          </cell>
          <cell r="M62" t="str">
            <v>Porte Feuille</v>
          </cell>
          <cell r="N62" t="str">
            <v>Non affecté</v>
          </cell>
          <cell r="O62" t="str">
            <v>AB</v>
          </cell>
          <cell r="P62" t="str">
            <v>Ok mon client</v>
          </cell>
          <cell r="Q62" t="str">
            <v>GENNEVILLIERS</v>
          </cell>
          <cell r="R62" t="str">
            <v>78</v>
          </cell>
          <cell r="S62" t="str">
            <v xml:space="preserve">11/13 RUE ETIENNE D'ORVES       </v>
          </cell>
          <cell r="T62" t="str">
            <v>78501</v>
          </cell>
          <cell r="U62" t="str">
            <v>SARTROUVILLE CEDEX</v>
          </cell>
          <cell r="V62" t="str">
            <v>M.</v>
          </cell>
          <cell r="W62" t="str">
            <v>DEROT</v>
          </cell>
          <cell r="X62" t="str">
            <v>78501</v>
          </cell>
          <cell r="Y62" t="str">
            <v>SARTROUVILLE CEDEX</v>
          </cell>
          <cell r="Z62">
            <v>3564.1199999999994</v>
          </cell>
          <cell r="AA62">
            <v>21041.1</v>
          </cell>
          <cell r="AB62">
            <v>21741.89</v>
          </cell>
          <cell r="AD62">
            <v>46347.11</v>
          </cell>
          <cell r="AE62">
            <v>3325.42</v>
          </cell>
          <cell r="AF62">
            <v>0.61450463574663194</v>
          </cell>
          <cell r="AG62">
            <v>16035.099999999999</v>
          </cell>
          <cell r="AH62">
            <v>0.2878198603810192</v>
          </cell>
          <cell r="AI62">
            <v>14679.749999999998</v>
          </cell>
          <cell r="AJ62">
            <v>0.41048338564378956</v>
          </cell>
          <cell r="AL62">
            <v>34040.269999999997</v>
          </cell>
          <cell r="AM62">
            <v>47656.37799999999</v>
          </cell>
          <cell r="AN62">
            <v>2.8249183174527737E-2</v>
          </cell>
          <cell r="AO62" t="str">
            <v>001-G-78SOCITEC</v>
          </cell>
          <cell r="AP62" t="str">
            <v>001-L1-78SOCITEC</v>
          </cell>
          <cell r="AX62">
            <v>16708.574199999999</v>
          </cell>
          <cell r="AY62">
            <v>15296.299499999999</v>
          </cell>
          <cell r="AZ62">
            <v>3391.9284000000002</v>
          </cell>
        </row>
        <row r="63">
          <cell r="A63">
            <v>22641</v>
          </cell>
          <cell r="B63" t="str">
            <v>CPI GLOBAL</v>
          </cell>
          <cell r="C63">
            <v>0.03</v>
          </cell>
          <cell r="D63">
            <v>0.03</v>
          </cell>
          <cell r="E63">
            <v>0.03</v>
          </cell>
          <cell r="F63">
            <v>41395</v>
          </cell>
          <cell r="G63" t="str">
            <v>OUI</v>
          </cell>
          <cell r="H63" t="str">
            <v>EN ATTENTE RDV. Hausse validée le 21/04/13 par JPP : +3% ttes act au 01 05 13</v>
          </cell>
          <cell r="I63">
            <v>0</v>
          </cell>
          <cell r="J63" t="str">
            <v>OK</v>
          </cell>
          <cell r="K63" t="str">
            <v>OK</v>
          </cell>
          <cell r="L63" t="str">
            <v>OK</v>
          </cell>
          <cell r="M63" t="str">
            <v>A FAIRE</v>
          </cell>
          <cell r="N63" t="str">
            <v>Non affecté</v>
          </cell>
          <cell r="O63" t="str">
            <v>JPP</v>
          </cell>
          <cell r="P63" t="str">
            <v>Ok mon client</v>
          </cell>
          <cell r="Q63" t="str">
            <v>GENNEVILLIERS</v>
          </cell>
          <cell r="R63" t="str">
            <v>93</v>
          </cell>
          <cell r="S63" t="str">
            <v>27-29 RUE DU BALLON</v>
          </cell>
          <cell r="T63">
            <v>93160</v>
          </cell>
          <cell r="U63" t="str">
            <v>NOISY LE GRAND</v>
          </cell>
          <cell r="V63" t="str">
            <v>Mme</v>
          </cell>
          <cell r="W63" t="str">
            <v>Celine MASUMBUKO</v>
          </cell>
          <cell r="X63" t="str">
            <v>93160</v>
          </cell>
          <cell r="Y63" t="str">
            <v>NOISY LE GRAND</v>
          </cell>
          <cell r="AG63">
            <v>33295.120000000003</v>
          </cell>
          <cell r="AH63">
            <v>7.8292892824506868E-2</v>
          </cell>
          <cell r="AI63">
            <v>519.45999999999992</v>
          </cell>
          <cell r="AJ63">
            <v>0.28563069464181229</v>
          </cell>
          <cell r="AL63">
            <v>33814.58</v>
          </cell>
          <cell r="AM63">
            <v>47340.411999999997</v>
          </cell>
          <cell r="AO63" t="str">
            <v>001-G-93CPI</v>
          </cell>
          <cell r="AQ63">
            <v>40897</v>
          </cell>
          <cell r="AX63">
            <v>34293.973600000005</v>
          </cell>
          <cell r="AY63">
            <v>535.04379999999992</v>
          </cell>
          <cell r="AZ63">
            <v>0</v>
          </cell>
        </row>
        <row r="64">
          <cell r="A64">
            <v>487504</v>
          </cell>
          <cell r="B64" t="str">
            <v>MAROQUINERIE LHC SARL</v>
          </cell>
          <cell r="C64">
            <v>3.5000000000000003E-2</v>
          </cell>
          <cell r="D64">
            <v>3.5000000000000003E-2</v>
          </cell>
          <cell r="F64">
            <v>41275</v>
          </cell>
          <cell r="G64" t="str">
            <v>OUI</v>
          </cell>
          <cell r="H64" t="str">
            <v>Passage T5 BIS MPL</v>
          </cell>
          <cell r="I64">
            <v>0</v>
          </cell>
          <cell r="J64">
            <v>0</v>
          </cell>
          <cell r="K64" t="str">
            <v>OK</v>
          </cell>
          <cell r="L64" t="str">
            <v>OK</v>
          </cell>
          <cell r="M64" t="str">
            <v>Porte Feuille</v>
          </cell>
          <cell r="N64" t="str">
            <v>Non affecté</v>
          </cell>
          <cell r="O64" t="str">
            <v>JPP</v>
          </cell>
          <cell r="P64" t="str">
            <v>Ok mon client</v>
          </cell>
          <cell r="Q64" t="str">
            <v>GENNEVILLIERS</v>
          </cell>
          <cell r="R64" t="str">
            <v>75</v>
          </cell>
          <cell r="S64" t="str">
            <v>14 Avenue Albert Einstien</v>
          </cell>
          <cell r="T64">
            <v>93150</v>
          </cell>
          <cell r="U64" t="str">
            <v>LE BLANC MESNIL</v>
          </cell>
          <cell r="V64" t="str">
            <v>M.</v>
          </cell>
          <cell r="W64" t="str">
            <v>VUONG</v>
          </cell>
          <cell r="X64" t="str">
            <v>75003</v>
          </cell>
          <cell r="Y64" t="str">
            <v>PARIS</v>
          </cell>
          <cell r="AA64">
            <v>13615.300000000001</v>
          </cell>
          <cell r="AB64">
            <v>7633.9400000000005</v>
          </cell>
          <cell r="AD64">
            <v>21249.24</v>
          </cell>
          <cell r="AE64">
            <v>2149</v>
          </cell>
          <cell r="AF64">
            <v>0.26400000000000001</v>
          </cell>
          <cell r="AG64">
            <v>22102.400000000001</v>
          </cell>
          <cell r="AH64">
            <v>0.1492156507369897</v>
          </cell>
          <cell r="AI64">
            <v>8588.869999999999</v>
          </cell>
          <cell r="AJ64">
            <v>0.53015402863833028</v>
          </cell>
          <cell r="AL64">
            <v>32840.270000000004</v>
          </cell>
          <cell r="AM64">
            <v>45976.378000000004</v>
          </cell>
          <cell r="AN64">
            <v>1.1636716419034281</v>
          </cell>
          <cell r="AO64" t="str">
            <v>259-G-93LHC</v>
          </cell>
          <cell r="AP64" t="str">
            <v>259-L-93LHC</v>
          </cell>
          <cell r="AQ64">
            <v>38404</v>
          </cell>
          <cell r="AX64">
            <v>22875.984</v>
          </cell>
          <cell r="AY64">
            <v>8889.4804499999991</v>
          </cell>
          <cell r="AZ64">
            <v>2149</v>
          </cell>
        </row>
        <row r="65">
          <cell r="A65">
            <v>519407</v>
          </cell>
          <cell r="B65" t="str">
            <v>RELMA</v>
          </cell>
          <cell r="C65">
            <v>4.4999999999999998E-2</v>
          </cell>
          <cell r="D65">
            <v>4.4999999999999998E-2</v>
          </cell>
          <cell r="E65">
            <v>4.4999999999999998E-2</v>
          </cell>
          <cell r="F65">
            <v>41306</v>
          </cell>
          <cell r="G65" t="str">
            <v>NON</v>
          </cell>
          <cell r="H65" t="str">
            <v>DÉJÀ FAIT MAIL DU 24/9</v>
          </cell>
          <cell r="I65">
            <v>0</v>
          </cell>
          <cell r="J65">
            <v>0</v>
          </cell>
          <cell r="K65" t="str">
            <v>OK</v>
          </cell>
          <cell r="L65" t="str">
            <v>OK</v>
          </cell>
          <cell r="M65" t="str">
            <v>Porte Feuille</v>
          </cell>
          <cell r="N65" t="str">
            <v>Non affecté</v>
          </cell>
          <cell r="O65" t="str">
            <v>JPP</v>
          </cell>
          <cell r="P65" t="str">
            <v>Ok mon client</v>
          </cell>
          <cell r="Q65" t="str">
            <v>GENNEVILLIERS</v>
          </cell>
          <cell r="R65" t="str">
            <v>75</v>
          </cell>
          <cell r="S65" t="str">
            <v>3 RUE DES POITEVINS</v>
          </cell>
          <cell r="T65">
            <v>75006</v>
          </cell>
          <cell r="U65" t="str">
            <v>PARIS</v>
          </cell>
          <cell r="V65" t="str">
            <v>M.</v>
          </cell>
          <cell r="W65" t="str">
            <v>PERROT</v>
          </cell>
          <cell r="X65" t="str">
            <v>75006</v>
          </cell>
          <cell r="Y65" t="str">
            <v>PARIS</v>
          </cell>
          <cell r="Z65">
            <v>686.22</v>
          </cell>
          <cell r="AA65">
            <v>21898.739999999998</v>
          </cell>
          <cell r="AB65">
            <v>13943.349999999999</v>
          </cell>
          <cell r="AD65">
            <v>36528.31</v>
          </cell>
          <cell r="AE65">
            <v>206.01</v>
          </cell>
          <cell r="AF65">
            <v>0.1262560069899519</v>
          </cell>
          <cell r="AG65">
            <v>21813.75</v>
          </cell>
          <cell r="AH65">
            <v>0.23721402125755559</v>
          </cell>
          <cell r="AI65">
            <v>10288.310000000001</v>
          </cell>
          <cell r="AJ65">
            <v>0.16476547250105925</v>
          </cell>
          <cell r="AL65">
            <v>32308.07</v>
          </cell>
          <cell r="AM65">
            <v>45231.297999999995</v>
          </cell>
          <cell r="AN65">
            <v>0.23825323427226719</v>
          </cell>
          <cell r="AO65" t="str">
            <v>259-G-75RELMA</v>
          </cell>
          <cell r="AP65" t="str">
            <v>001-L1-75RELMA</v>
          </cell>
          <cell r="AQ65">
            <v>40634</v>
          </cell>
          <cell r="AX65">
            <v>22795.368749999998</v>
          </cell>
          <cell r="AY65">
            <v>10751.283950000001</v>
          </cell>
          <cell r="AZ65">
            <v>215.28044999999997</v>
          </cell>
        </row>
        <row r="66">
          <cell r="A66">
            <v>835830</v>
          </cell>
          <cell r="B66" t="str">
            <v>LANCO</v>
          </cell>
          <cell r="C66">
            <v>0.05</v>
          </cell>
          <cell r="D66">
            <v>0.05</v>
          </cell>
          <cell r="E66">
            <v>0.02</v>
          </cell>
          <cell r="F66">
            <v>41244</v>
          </cell>
          <cell r="G66" t="str">
            <v>OUI</v>
          </cell>
          <cell r="H66" t="str">
            <v>Fait suite mail du 25/10/12 de JPP</v>
          </cell>
          <cell r="I66">
            <v>0</v>
          </cell>
          <cell r="J66">
            <v>0</v>
          </cell>
          <cell r="K66" t="str">
            <v>OK</v>
          </cell>
          <cell r="L66" t="str">
            <v>OK</v>
          </cell>
          <cell r="N66" t="str">
            <v>Non affecté</v>
          </cell>
          <cell r="O66" t="str">
            <v>JPP</v>
          </cell>
          <cell r="P66" t="str">
            <v>Ok mon client</v>
          </cell>
          <cell r="Q66" t="str">
            <v>GENNEVILLIERS</v>
          </cell>
          <cell r="R66" t="str">
            <v>75</v>
          </cell>
          <cell r="S66" t="str">
            <v>4 RUE POPINCOURT</v>
          </cell>
          <cell r="T66">
            <v>75011</v>
          </cell>
          <cell r="U66" t="str">
            <v>PARIS</v>
          </cell>
          <cell r="V66" t="str">
            <v>M.</v>
          </cell>
          <cell r="W66" t="str">
            <v>TAIEB</v>
          </cell>
          <cell r="X66" t="str">
            <v>75011</v>
          </cell>
          <cell r="Y66" t="str">
            <v>PARIS</v>
          </cell>
          <cell r="Z66">
            <v>5037.7700000000004</v>
          </cell>
          <cell r="AA66">
            <v>25648.079999999998</v>
          </cell>
          <cell r="AB66">
            <v>2628.3199999999997</v>
          </cell>
          <cell r="AD66">
            <v>33314.17</v>
          </cell>
          <cell r="AE66">
            <v>474.08</v>
          </cell>
          <cell r="AF66">
            <v>0.37379693642402056</v>
          </cell>
          <cell r="AG66">
            <v>27744.870000000003</v>
          </cell>
          <cell r="AH66">
            <v>0.32147555974245084</v>
          </cell>
          <cell r="AI66">
            <v>2883.83</v>
          </cell>
          <cell r="AJ66">
            <v>0.45939091625098438</v>
          </cell>
          <cell r="AL66">
            <v>31102.780000000006</v>
          </cell>
          <cell r="AM66">
            <v>43543.892000000007</v>
          </cell>
          <cell r="AN66">
            <v>0.30706819350444592</v>
          </cell>
          <cell r="AO66" t="str">
            <v>001-G-93LANCO</v>
          </cell>
          <cell r="AP66" t="str">
            <v>001-L-93LANCO</v>
          </cell>
          <cell r="AQ66">
            <v>40475</v>
          </cell>
          <cell r="AX66">
            <v>29132.113500000003</v>
          </cell>
          <cell r="AY66">
            <v>3028.0214999999998</v>
          </cell>
          <cell r="AZ66">
            <v>483.5616</v>
          </cell>
        </row>
        <row r="67">
          <cell r="A67">
            <v>72252</v>
          </cell>
          <cell r="B67" t="str">
            <v>DES PRODUITS ALIMENTAIRES</v>
          </cell>
          <cell r="C67">
            <v>3.5000000000000003E-2</v>
          </cell>
          <cell r="D67">
            <v>2.5000000000000001E-2</v>
          </cell>
          <cell r="E67">
            <v>0.02</v>
          </cell>
          <cell r="F67">
            <v>41306</v>
          </cell>
          <cell r="I67">
            <v>0</v>
          </cell>
          <cell r="J67">
            <v>0</v>
          </cell>
          <cell r="K67" t="str">
            <v>OK</v>
          </cell>
          <cell r="L67" t="str">
            <v>OK</v>
          </cell>
          <cell r="M67" t="str">
            <v>Porte Feuille</v>
          </cell>
          <cell r="N67" t="str">
            <v>Non affecté</v>
          </cell>
          <cell r="O67" t="str">
            <v>MM</v>
          </cell>
          <cell r="P67" t="str">
            <v>Ok mon client</v>
          </cell>
          <cell r="Q67" t="str">
            <v>GENNEVILLIERS</v>
          </cell>
          <cell r="R67" t="str">
            <v>95</v>
          </cell>
          <cell r="S67" t="str">
            <v xml:space="preserve">17 RUE DE L ABREUVOIR           </v>
          </cell>
          <cell r="T67" t="str">
            <v>95450</v>
          </cell>
          <cell r="U67" t="str">
            <v>SAGY</v>
          </cell>
          <cell r="V67" t="str">
            <v>M.</v>
          </cell>
          <cell r="W67" t="str">
            <v>CORDIER Jean-Jacques</v>
          </cell>
          <cell r="X67" t="str">
            <v>95450</v>
          </cell>
          <cell r="Y67" t="str">
            <v>SAGY</v>
          </cell>
          <cell r="AA67">
            <v>46343.839999999997</v>
          </cell>
          <cell r="AD67">
            <v>46343.839999999997</v>
          </cell>
          <cell r="AG67">
            <v>29503.489999999998</v>
          </cell>
          <cell r="AH67">
            <v>0.47674002823191303</v>
          </cell>
          <cell r="AI67">
            <v>119.56</v>
          </cell>
          <cell r="AJ67">
            <v>0.75977390485162499</v>
          </cell>
          <cell r="AL67">
            <v>29623.05</v>
          </cell>
          <cell r="AM67">
            <v>41472.269999999997</v>
          </cell>
          <cell r="AN67">
            <v>-0.10511796173989896</v>
          </cell>
          <cell r="AO67" t="str">
            <v>001-G-95DESPRODUITSALIM</v>
          </cell>
          <cell r="AP67" t="str">
            <v>001-L-95DESPRODUITSALIM</v>
          </cell>
          <cell r="AX67">
            <v>30536.112149999997</v>
          </cell>
          <cell r="AY67">
            <v>122.54899999999999</v>
          </cell>
          <cell r="AZ67">
            <v>0</v>
          </cell>
        </row>
        <row r="68">
          <cell r="A68">
            <v>838351</v>
          </cell>
          <cell r="B68" t="str">
            <v>STRONG ADHESIFS INDUSTRIELS</v>
          </cell>
          <cell r="C68">
            <v>3.5000000000000003E-2</v>
          </cell>
          <cell r="D68">
            <v>2.5000000000000001E-2</v>
          </cell>
          <cell r="E68">
            <v>0.02</v>
          </cell>
          <cell r="F68">
            <v>41275</v>
          </cell>
          <cell r="I68">
            <v>0</v>
          </cell>
          <cell r="J68">
            <v>0</v>
          </cell>
          <cell r="K68" t="str">
            <v>OK</v>
          </cell>
          <cell r="L68" t="str">
            <v>OK</v>
          </cell>
          <cell r="M68" t="str">
            <v>Porte Feuille</v>
          </cell>
          <cell r="N68" t="str">
            <v>Non affecté</v>
          </cell>
          <cell r="O68" t="str">
            <v>MM</v>
          </cell>
          <cell r="P68" t="str">
            <v>Ok mon client</v>
          </cell>
          <cell r="Q68" t="str">
            <v>GENNEVILLIERS</v>
          </cell>
          <cell r="R68" t="str">
            <v>95</v>
          </cell>
          <cell r="S68" t="str">
            <v>1 ALLEE DES TERRES ROUGES</v>
          </cell>
          <cell r="T68">
            <v>95830</v>
          </cell>
          <cell r="U68" t="str">
            <v>CORMEILLES EN VEXIN</v>
          </cell>
          <cell r="V68" t="str">
            <v>Mme</v>
          </cell>
          <cell r="W68" t="str">
            <v>VARELA</v>
          </cell>
          <cell r="X68" t="str">
            <v>95830</v>
          </cell>
          <cell r="Y68" t="str">
            <v>CORMEILLES EN VEXIN</v>
          </cell>
          <cell r="AA68">
            <v>19985.68</v>
          </cell>
          <cell r="AB68">
            <v>2475.85</v>
          </cell>
          <cell r="AD68">
            <v>22461.53</v>
          </cell>
          <cell r="AE68">
            <v>406.56</v>
          </cell>
          <cell r="AF68">
            <v>0.75389948006932406</v>
          </cell>
          <cell r="AG68">
            <v>27176.909999999996</v>
          </cell>
          <cell r="AH68">
            <v>0.27113118413539067</v>
          </cell>
          <cell r="AI68">
            <v>1395.14</v>
          </cell>
          <cell r="AJ68">
            <v>0.58337056211074023</v>
          </cell>
          <cell r="AL68">
            <v>28978.609999999997</v>
          </cell>
          <cell r="AM68">
            <v>40570.053999999996</v>
          </cell>
          <cell r="AN68">
            <v>0.80620171466502932</v>
          </cell>
          <cell r="AO68" t="str">
            <v>001-G-95STRONG</v>
          </cell>
          <cell r="AP68" t="str">
            <v>001-L-95STRONG</v>
          </cell>
          <cell r="AQ68">
            <v>40668</v>
          </cell>
          <cell r="AX68">
            <v>28128.101849999995</v>
          </cell>
          <cell r="AY68">
            <v>1430.0184999999999</v>
          </cell>
          <cell r="AZ68">
            <v>414.69120000000004</v>
          </cell>
        </row>
        <row r="69">
          <cell r="A69">
            <v>688029</v>
          </cell>
          <cell r="B69" t="str">
            <v>RAFAUT ET CIE</v>
          </cell>
          <cell r="C69">
            <v>2.5000000000000001E-2</v>
          </cell>
          <cell r="D69">
            <v>2.5000000000000001E-2</v>
          </cell>
          <cell r="F69">
            <v>41275</v>
          </cell>
          <cell r="G69" t="str">
            <v>OUI</v>
          </cell>
          <cell r="H69" t="str">
            <v>Passage T5 BIS +1%</v>
          </cell>
          <cell r="I69">
            <v>0</v>
          </cell>
          <cell r="J69">
            <v>0</v>
          </cell>
          <cell r="K69" t="str">
            <v>OK</v>
          </cell>
          <cell r="L69" t="str">
            <v>OK</v>
          </cell>
          <cell r="M69" t="str">
            <v>Porte Feuille</v>
          </cell>
          <cell r="N69" t="str">
            <v>Non affecté</v>
          </cell>
          <cell r="O69" t="str">
            <v>JPP</v>
          </cell>
          <cell r="P69" t="str">
            <v>Ok mon client</v>
          </cell>
          <cell r="Q69" t="str">
            <v>GENNEVILLIERS</v>
          </cell>
          <cell r="R69" t="str">
            <v>92</v>
          </cell>
          <cell r="S69" t="str">
            <v>13 AVENUE MARCELIN BERTHELOT 
ZI DU VAL DE SEINE</v>
          </cell>
          <cell r="T69" t="str">
            <v>92390</v>
          </cell>
          <cell r="U69" t="str">
            <v>VILLENEUVE LA GARENNE</v>
          </cell>
          <cell r="V69" t="str">
            <v>Mme</v>
          </cell>
          <cell r="W69" t="str">
            <v>PERRIER</v>
          </cell>
          <cell r="X69" t="str">
            <v>92390</v>
          </cell>
          <cell r="Y69" t="str">
            <v>VILLENEUVE LE GARENNE</v>
          </cell>
          <cell r="Z69">
            <v>7964.18</v>
          </cell>
          <cell r="AA69">
            <v>20671.22</v>
          </cell>
          <cell r="AD69">
            <v>28635.4</v>
          </cell>
          <cell r="AE69">
            <v>11314.619999999999</v>
          </cell>
          <cell r="AF69">
            <v>0.13766467355280609</v>
          </cell>
          <cell r="AG69">
            <v>17514.760000000002</v>
          </cell>
          <cell r="AH69">
            <v>0.34837509530599337</v>
          </cell>
          <cell r="AL69">
            <v>28829.38</v>
          </cell>
          <cell r="AM69">
            <v>40361.131999999998</v>
          </cell>
          <cell r="AN69">
            <v>0.40948378580358558</v>
          </cell>
          <cell r="AO69" t="str">
            <v>001-G-92RAFAUT</v>
          </cell>
          <cell r="AP69" t="str">
            <v>001-L-92RAFAUT</v>
          </cell>
          <cell r="AQ69">
            <v>39856</v>
          </cell>
          <cell r="AX69">
            <v>17952.629000000001</v>
          </cell>
          <cell r="AY69">
            <v>0</v>
          </cell>
          <cell r="AZ69">
            <v>11314.619999999999</v>
          </cell>
        </row>
        <row r="70">
          <cell r="A70">
            <v>532237</v>
          </cell>
          <cell r="B70" t="str">
            <v>EFFIK LABORATOIRES</v>
          </cell>
          <cell r="E70">
            <v>0.03</v>
          </cell>
          <cell r="F70">
            <v>41275</v>
          </cell>
          <cell r="G70" t="str">
            <v>NON</v>
          </cell>
          <cell r="H70" t="str">
            <v>EN ATTENTE RDV</v>
          </cell>
          <cell r="I70">
            <v>0</v>
          </cell>
          <cell r="J70">
            <v>0</v>
          </cell>
          <cell r="K70" t="str">
            <v>OK</v>
          </cell>
          <cell r="L70" t="str">
            <v>OK</v>
          </cell>
          <cell r="N70" t="str">
            <v>Non affecté</v>
          </cell>
          <cell r="O70" t="str">
            <v>JPP</v>
          </cell>
          <cell r="P70" t="str">
            <v>Ok mon client</v>
          </cell>
          <cell r="Q70" t="str">
            <v>GENNEVILLIERS</v>
          </cell>
          <cell r="R70" t="str">
            <v>92</v>
          </cell>
          <cell r="S70" t="str">
            <v>LE NEWTON 9-11 RUE JEANNE BRACONNI</v>
          </cell>
          <cell r="T70">
            <v>92366</v>
          </cell>
          <cell r="U70" t="str">
            <v>MEUDON LA FORET CEDEX</v>
          </cell>
          <cell r="V70" t="str">
            <v>Mme</v>
          </cell>
          <cell r="W70" t="str">
            <v>Angélique BOURGEOIS</v>
          </cell>
          <cell r="X70" t="str">
            <v>92366</v>
          </cell>
          <cell r="Y70" t="str">
            <v>MEUDON LA FORET CEDEX</v>
          </cell>
          <cell r="Z70">
            <v>2070.8599999999997</v>
          </cell>
          <cell r="AD70">
            <v>2070.8599999999997</v>
          </cell>
          <cell r="AE70">
            <v>27716.63</v>
          </cell>
          <cell r="AF70">
            <v>0.12174534442746406</v>
          </cell>
          <cell r="AG70">
            <v>881.05</v>
          </cell>
          <cell r="AH70">
            <v>0.1689062824686571</v>
          </cell>
          <cell r="AL70">
            <v>28597.68</v>
          </cell>
          <cell r="AM70">
            <v>40036.752</v>
          </cell>
          <cell r="AN70">
            <v>18.333393855692808</v>
          </cell>
          <cell r="AP70" t="str">
            <v>001-L-92EFFIK</v>
          </cell>
          <cell r="AQ70">
            <v>40758</v>
          </cell>
          <cell r="AX70">
            <v>881.05</v>
          </cell>
          <cell r="AY70">
            <v>0</v>
          </cell>
          <cell r="AZ70">
            <v>28548.128900000003</v>
          </cell>
        </row>
        <row r="71">
          <cell r="A71">
            <v>866843</v>
          </cell>
          <cell r="B71" t="str">
            <v>ETAMINT</v>
          </cell>
          <cell r="H71" t="str">
            <v>RAJOUTE ANC MOI. HAUSSE 0%</v>
          </cell>
          <cell r="I71">
            <v>0</v>
          </cell>
          <cell r="J71">
            <v>0</v>
          </cell>
          <cell r="K71" t="str">
            <v>NON</v>
          </cell>
          <cell r="L71" t="str">
            <v>NON</v>
          </cell>
          <cell r="N71" t="str">
            <v>Non affecté</v>
          </cell>
          <cell r="O71" t="str">
            <v>SM</v>
          </cell>
          <cell r="P71" t="str">
            <v>Rajouté</v>
          </cell>
          <cell r="Q71" t="str">
            <v>MOISSY CRAMAYEL</v>
          </cell>
          <cell r="R71" t="str">
            <v>10</v>
          </cell>
          <cell r="X71" t="str">
            <v>1000</v>
          </cell>
          <cell r="Y71" t="str">
            <v>BRUXELLES</v>
          </cell>
          <cell r="AG71">
            <v>14.86</v>
          </cell>
          <cell r="AI71">
            <v>27859.040000000001</v>
          </cell>
          <cell r="AJ71">
            <v>0.28651290380970257</v>
          </cell>
          <cell r="AL71">
            <v>27873.9</v>
          </cell>
          <cell r="AM71">
            <v>39023.46</v>
          </cell>
          <cell r="AO71" t="str">
            <v>001-G-77ETAM123</v>
          </cell>
          <cell r="AQ71">
            <v>40925</v>
          </cell>
          <cell r="AX71">
            <v>14.86</v>
          </cell>
          <cell r="AY71">
            <v>27859.040000000001</v>
          </cell>
          <cell r="AZ71">
            <v>0</v>
          </cell>
        </row>
        <row r="72">
          <cell r="A72">
            <v>18808</v>
          </cell>
          <cell r="B72" t="str">
            <v>ATLAS COPCO A I</v>
          </cell>
          <cell r="C72">
            <v>3.5000000000000003E-2</v>
          </cell>
          <cell r="D72">
            <v>2.5000000000000001E-2</v>
          </cell>
          <cell r="E72">
            <v>0.02</v>
          </cell>
          <cell r="F72">
            <v>41275</v>
          </cell>
          <cell r="I72">
            <v>0</v>
          </cell>
          <cell r="J72">
            <v>0</v>
          </cell>
          <cell r="K72" t="str">
            <v>OK</v>
          </cell>
          <cell r="L72" t="str">
            <v>OK</v>
          </cell>
          <cell r="M72" t="str">
            <v>Porte Feuille</v>
          </cell>
          <cell r="N72" t="str">
            <v>Non affecté</v>
          </cell>
          <cell r="O72" t="str">
            <v>MM</v>
          </cell>
          <cell r="P72" t="str">
            <v>Ok mon client</v>
          </cell>
          <cell r="Q72" t="str">
            <v>GENNEVILLIERS</v>
          </cell>
          <cell r="R72" t="str">
            <v>95</v>
          </cell>
          <cell r="S72" t="str">
            <v>2 AVENUE DE L EGUILLETTE</v>
          </cell>
          <cell r="T72" t="str">
            <v>95054</v>
          </cell>
          <cell r="U72" t="str">
            <v>CERGY PONTOISE</v>
          </cell>
          <cell r="V72" t="str">
            <v>M.</v>
          </cell>
          <cell r="W72" t="str">
            <v>DAMIEN DUPUICH</v>
          </cell>
          <cell r="X72" t="str">
            <v>95054</v>
          </cell>
          <cell r="Y72" t="str">
            <v>CERGY PONTOISE</v>
          </cell>
          <cell r="Z72">
            <v>13541.189999999999</v>
          </cell>
          <cell r="AA72">
            <v>9099.64</v>
          </cell>
          <cell r="AB72">
            <v>3679.83</v>
          </cell>
          <cell r="AD72">
            <v>26320.659999999996</v>
          </cell>
          <cell r="AE72">
            <v>17015</v>
          </cell>
          <cell r="AF72">
            <v>0.20834557743167792</v>
          </cell>
          <cell r="AG72">
            <v>5281.91</v>
          </cell>
          <cell r="AH72">
            <v>0.70153018075753526</v>
          </cell>
          <cell r="AI72">
            <v>2968.78</v>
          </cell>
          <cell r="AJ72">
            <v>0.61183583004253095</v>
          </cell>
          <cell r="AL72">
            <v>25265.69</v>
          </cell>
          <cell r="AM72">
            <v>35371.965999999993</v>
          </cell>
          <cell r="AN72">
            <v>0.34388598158252859</v>
          </cell>
          <cell r="AO72" t="str">
            <v>001-G-95ATLASCOPCO</v>
          </cell>
          <cell r="AQ72">
            <v>39622</v>
          </cell>
          <cell r="AX72">
            <v>5466.7768499999993</v>
          </cell>
          <cell r="AY72">
            <v>3042.9994999999999</v>
          </cell>
          <cell r="AZ72">
            <v>17355.3</v>
          </cell>
        </row>
        <row r="73">
          <cell r="A73">
            <v>565993</v>
          </cell>
          <cell r="B73" t="str">
            <v>GATTEGNO</v>
          </cell>
          <cell r="C73">
            <v>3.5000000000000003E-2</v>
          </cell>
          <cell r="D73">
            <v>0.05</v>
          </cell>
          <cell r="E73">
            <v>0.02</v>
          </cell>
          <cell r="F73">
            <v>41306</v>
          </cell>
          <cell r="I73">
            <v>0</v>
          </cell>
          <cell r="J73">
            <v>0</v>
          </cell>
          <cell r="K73" t="str">
            <v>OK</v>
          </cell>
          <cell r="L73" t="str">
            <v>OK</v>
          </cell>
          <cell r="N73" t="str">
            <v>Non affecté</v>
          </cell>
          <cell r="O73" t="str">
            <v>MM</v>
          </cell>
          <cell r="P73" t="str">
            <v>Ok mon client</v>
          </cell>
          <cell r="Q73" t="str">
            <v>GENNEVILLIERS</v>
          </cell>
          <cell r="R73" t="str">
            <v>95</v>
          </cell>
          <cell r="S73" t="str">
            <v xml:space="preserve">151 RUE MICHEL CARRE            </v>
          </cell>
          <cell r="T73" t="str">
            <v>95105</v>
          </cell>
          <cell r="U73" t="str">
            <v>ARGENTEUIL</v>
          </cell>
          <cell r="V73" t="str">
            <v>Mme</v>
          </cell>
          <cell r="W73" t="str">
            <v>MARIANI</v>
          </cell>
          <cell r="X73" t="str">
            <v>95105</v>
          </cell>
          <cell r="Y73" t="str">
            <v>ARGENTEUIL</v>
          </cell>
          <cell r="Z73">
            <v>5820.1100000000006</v>
          </cell>
          <cell r="AA73">
            <v>19686.89</v>
          </cell>
          <cell r="AB73">
            <v>7660.81</v>
          </cell>
          <cell r="AD73">
            <v>33167.81</v>
          </cell>
          <cell r="AE73">
            <v>3202.34</v>
          </cell>
          <cell r="AF73">
            <v>0.30492915688455036</v>
          </cell>
          <cell r="AG73">
            <v>17835.96</v>
          </cell>
          <cell r="AH73">
            <v>0.57032769045286091</v>
          </cell>
          <cell r="AI73">
            <v>3599.5899999999997</v>
          </cell>
          <cell r="AJ73">
            <v>0.61236511838980101</v>
          </cell>
          <cell r="AL73">
            <v>24637.89</v>
          </cell>
          <cell r="AM73">
            <v>34493.045999999995</v>
          </cell>
          <cell r="AN73">
            <v>3.9955486961605224E-2</v>
          </cell>
          <cell r="AO73" t="str">
            <v>001-G-95GATTEGNO</v>
          </cell>
          <cell r="AP73" t="str">
            <v>001-L-95GATTEGNO1</v>
          </cell>
          <cell r="AX73">
            <v>18460.218599999997</v>
          </cell>
          <cell r="AY73">
            <v>3779.5695000000001</v>
          </cell>
          <cell r="AZ73">
            <v>3266.3868000000002</v>
          </cell>
        </row>
        <row r="74">
          <cell r="A74">
            <v>842539</v>
          </cell>
          <cell r="B74" t="str">
            <v>ELYNES</v>
          </cell>
          <cell r="C74">
            <v>3.5000000000000003E-2</v>
          </cell>
          <cell r="D74">
            <v>3.5000000000000003E-2</v>
          </cell>
          <cell r="E74">
            <v>0.02</v>
          </cell>
          <cell r="F74">
            <v>41275</v>
          </cell>
          <cell r="I74">
            <v>0</v>
          </cell>
          <cell r="J74">
            <v>0</v>
          </cell>
          <cell r="K74" t="str">
            <v>OK</v>
          </cell>
          <cell r="L74" t="str">
            <v>OK</v>
          </cell>
          <cell r="N74" t="str">
            <v>Non affecté</v>
          </cell>
          <cell r="O74" t="str">
            <v>MM</v>
          </cell>
          <cell r="P74" t="str">
            <v>Ok mon client</v>
          </cell>
          <cell r="Q74" t="str">
            <v>GENNEVILLIERS</v>
          </cell>
          <cell r="R74" t="str">
            <v>95</v>
          </cell>
          <cell r="S74" t="str">
            <v>1 ALLEE ROSA LUXEMBOURG</v>
          </cell>
          <cell r="T74">
            <v>95610</v>
          </cell>
          <cell r="U74" t="str">
            <v>ERAGNY</v>
          </cell>
          <cell r="V74" t="str">
            <v>M.</v>
          </cell>
          <cell r="W74" t="str">
            <v>Jean-Chritophe COCHARD</v>
          </cell>
          <cell r="X74" t="str">
            <v>95610</v>
          </cell>
          <cell r="Y74" t="str">
            <v>ERAGNY</v>
          </cell>
          <cell r="Z74">
            <v>6008.33</v>
          </cell>
          <cell r="AA74">
            <v>1513.1</v>
          </cell>
          <cell r="AB74">
            <v>331.48</v>
          </cell>
          <cell r="AD74">
            <v>7852.91</v>
          </cell>
          <cell r="AE74">
            <v>22966.79</v>
          </cell>
          <cell r="AF74">
            <v>0.32605770637875808</v>
          </cell>
          <cell r="AG74">
            <v>1262.19</v>
          </cell>
          <cell r="AH74">
            <v>0.32830210118647407</v>
          </cell>
          <cell r="AI74">
            <v>391.46000000000004</v>
          </cell>
          <cell r="AJ74">
            <v>0.49535559607932528</v>
          </cell>
          <cell r="AL74">
            <v>24620.44</v>
          </cell>
          <cell r="AM74">
            <v>34468.615999999995</v>
          </cell>
          <cell r="AN74">
            <v>3.3892793881503795</v>
          </cell>
          <cell r="AO74" t="str">
            <v>001-G-95ELYNES</v>
          </cell>
          <cell r="AP74" t="str">
            <v>001-L-95ELYNES</v>
          </cell>
          <cell r="AQ74">
            <v>40612</v>
          </cell>
          <cell r="AX74">
            <v>1306.3666499999999</v>
          </cell>
          <cell r="AY74">
            <v>405.16110000000003</v>
          </cell>
          <cell r="AZ74">
            <v>23426.125800000002</v>
          </cell>
        </row>
        <row r="75">
          <cell r="A75">
            <v>868534</v>
          </cell>
          <cell r="B75" t="str">
            <v>FBCG-POM</v>
          </cell>
          <cell r="H75" t="str">
            <v>PERDU</v>
          </cell>
          <cell r="I75">
            <v>0</v>
          </cell>
          <cell r="J75">
            <v>0</v>
          </cell>
          <cell r="K75" t="str">
            <v>NON</v>
          </cell>
          <cell r="L75" t="str">
            <v>NON</v>
          </cell>
          <cell r="N75" t="str">
            <v>Non affecté</v>
          </cell>
          <cell r="O75" t="str">
            <v>AB</v>
          </cell>
          <cell r="P75" t="str">
            <v>Ok mon client</v>
          </cell>
          <cell r="Q75" t="str">
            <v>GENNEVILLIERS</v>
          </cell>
          <cell r="R75" t="str">
            <v>78</v>
          </cell>
          <cell r="V75" t="str">
            <v>MME</v>
          </cell>
          <cell r="W75" t="str">
            <v>GIRARD</v>
          </cell>
          <cell r="X75" t="str">
            <v>78200</v>
          </cell>
          <cell r="Y75" t="str">
            <v>MANTES LA JOLIE</v>
          </cell>
          <cell r="AE75">
            <v>1208.8000000000002</v>
          </cell>
          <cell r="AF75">
            <v>0.1305165201861164</v>
          </cell>
          <cell r="AG75">
            <v>23370.18</v>
          </cell>
          <cell r="AH75">
            <v>0.13373525849771362</v>
          </cell>
          <cell r="AL75">
            <v>24578.98</v>
          </cell>
          <cell r="AM75">
            <v>34410.572</v>
          </cell>
          <cell r="AO75" t="str">
            <v>001-G-78FBCG</v>
          </cell>
          <cell r="AP75" t="str">
            <v>001-L-78FBCG</v>
          </cell>
          <cell r="AX75">
            <v>23370.18</v>
          </cell>
          <cell r="AY75">
            <v>0</v>
          </cell>
          <cell r="AZ75">
            <v>1208.8000000000002</v>
          </cell>
        </row>
        <row r="76">
          <cell r="A76">
            <v>558490</v>
          </cell>
          <cell r="B76" t="str">
            <v>I M B  LOGISTIQUE</v>
          </cell>
          <cell r="C76">
            <v>3.5000000000000003E-2</v>
          </cell>
          <cell r="D76">
            <v>3.5000000000000003E-2</v>
          </cell>
          <cell r="E76">
            <v>0.02</v>
          </cell>
          <cell r="F76">
            <v>41306</v>
          </cell>
          <cell r="G76" t="str">
            <v>OUI</v>
          </cell>
          <cell r="I76">
            <v>0</v>
          </cell>
          <cell r="J76">
            <v>0</v>
          </cell>
          <cell r="K76" t="str">
            <v>OK</v>
          </cell>
          <cell r="L76" t="str">
            <v>OK</v>
          </cell>
          <cell r="M76" t="str">
            <v>Porte Feuille</v>
          </cell>
          <cell r="N76" t="str">
            <v>Non affecté</v>
          </cell>
          <cell r="O76" t="str">
            <v>JPP</v>
          </cell>
          <cell r="P76" t="str">
            <v>Ok mon client</v>
          </cell>
          <cell r="Q76" t="str">
            <v>GENNEVILLIERS</v>
          </cell>
          <cell r="R76" t="str">
            <v>92</v>
          </cell>
          <cell r="S76" t="str">
            <v xml:space="preserve">51, ROUTE PRINCIPALE DU PORT    </v>
          </cell>
          <cell r="T76" t="str">
            <v>92631</v>
          </cell>
          <cell r="U76" t="str">
            <v>GENNEVILLIERS CEDEX</v>
          </cell>
          <cell r="V76" t="str">
            <v>M.</v>
          </cell>
          <cell r="W76" t="str">
            <v>BOZON</v>
          </cell>
          <cell r="X76" t="str">
            <v>92631</v>
          </cell>
          <cell r="Y76" t="str">
            <v>GENNEVILLIERS CEDEX</v>
          </cell>
          <cell r="Z76">
            <v>1421.51</v>
          </cell>
          <cell r="AA76">
            <v>27151.000000000007</v>
          </cell>
          <cell r="AB76">
            <v>12639.490000000002</v>
          </cell>
          <cell r="AD76">
            <v>41212.000000000007</v>
          </cell>
          <cell r="AG76">
            <v>13069.87</v>
          </cell>
          <cell r="AH76">
            <v>0.43423629669631436</v>
          </cell>
          <cell r="AI76">
            <v>11274.34</v>
          </cell>
          <cell r="AJ76">
            <v>0.39781001473669825</v>
          </cell>
          <cell r="AL76">
            <v>24344.21</v>
          </cell>
          <cell r="AM76">
            <v>34081.894</v>
          </cell>
          <cell r="AN76">
            <v>-0.17301043385421733</v>
          </cell>
          <cell r="AO76" t="str">
            <v>001-G-92IMBLOGISTIQUE</v>
          </cell>
          <cell r="AP76" t="str">
            <v>001-L-92IMBLOGISTIQUE</v>
          </cell>
          <cell r="AX76">
            <v>13527.31545</v>
          </cell>
          <cell r="AY76">
            <v>11668.9419</v>
          </cell>
          <cell r="AZ76">
            <v>0</v>
          </cell>
        </row>
        <row r="77">
          <cell r="A77">
            <v>480691</v>
          </cell>
          <cell r="B77" t="str">
            <v>SABRE</v>
          </cell>
          <cell r="C77">
            <v>4.2000000000000003E-2</v>
          </cell>
          <cell r="D77">
            <v>4.2000000000000003E-2</v>
          </cell>
          <cell r="E77">
            <v>0.02</v>
          </cell>
          <cell r="F77">
            <v>41275</v>
          </cell>
          <cell r="G77" t="str">
            <v>OUI</v>
          </cell>
          <cell r="I77">
            <v>0</v>
          </cell>
          <cell r="J77">
            <v>0</v>
          </cell>
          <cell r="K77" t="str">
            <v>OK</v>
          </cell>
          <cell r="L77" t="str">
            <v>OK</v>
          </cell>
          <cell r="M77" t="str">
            <v>Porte Feuille</v>
          </cell>
          <cell r="N77" t="str">
            <v>Non affecté</v>
          </cell>
          <cell r="O77" t="str">
            <v>AB</v>
          </cell>
          <cell r="P77" t="str">
            <v>Ok mon client</v>
          </cell>
          <cell r="Q77" t="str">
            <v>GENNEVILLIERS</v>
          </cell>
          <cell r="R77" t="str">
            <v>78</v>
          </cell>
          <cell r="S77" t="str">
            <v>21 AVENUE DE L'EUROPE</v>
          </cell>
          <cell r="T77" t="str">
            <v>78400</v>
          </cell>
          <cell r="U77" t="str">
            <v>chatou</v>
          </cell>
          <cell r="V77" t="str">
            <v>M.</v>
          </cell>
          <cell r="W77" t="str">
            <v>GELB</v>
          </cell>
          <cell r="X77" t="str">
            <v>78400</v>
          </cell>
          <cell r="Y77" t="str">
            <v>CHATOU</v>
          </cell>
          <cell r="AA77">
            <v>9229.9000000000015</v>
          </cell>
          <cell r="AB77">
            <v>28667.219999999998</v>
          </cell>
          <cell r="AD77">
            <v>37897.119999999995</v>
          </cell>
          <cell r="AE77">
            <v>2127.5300000000002</v>
          </cell>
          <cell r="AF77">
            <v>0.30050059318846029</v>
          </cell>
          <cell r="AG77">
            <v>7474.07</v>
          </cell>
          <cell r="AH77">
            <v>0.25542776440478798</v>
          </cell>
          <cell r="AI77">
            <v>14432.2</v>
          </cell>
          <cell r="AJ77">
            <v>0.49662187549100711</v>
          </cell>
          <cell r="AL77">
            <v>24033.800000000003</v>
          </cell>
          <cell r="AM77">
            <v>33647.32</v>
          </cell>
          <cell r="AN77">
            <v>-0.11214044761185005</v>
          </cell>
          <cell r="AO77" t="str">
            <v>001-G-18SABRE</v>
          </cell>
          <cell r="AQ77">
            <v>39748</v>
          </cell>
          <cell r="AX77">
            <v>7787.9809400000004</v>
          </cell>
          <cell r="AY77">
            <v>15038.352400000002</v>
          </cell>
          <cell r="AZ77">
            <v>2170.0806000000002</v>
          </cell>
        </row>
        <row r="78">
          <cell r="A78">
            <v>385681</v>
          </cell>
          <cell r="B78" t="str">
            <v>RYON DISTRIBUTION</v>
          </cell>
          <cell r="C78">
            <v>4.2000000000000003E-2</v>
          </cell>
          <cell r="D78">
            <v>4.2000000000000003E-2</v>
          </cell>
          <cell r="E78">
            <v>0</v>
          </cell>
          <cell r="F78">
            <v>41275</v>
          </cell>
          <cell r="G78" t="str">
            <v>OUI</v>
          </cell>
          <cell r="I78">
            <v>0</v>
          </cell>
          <cell r="J78">
            <v>0</v>
          </cell>
          <cell r="K78" t="str">
            <v>OK</v>
          </cell>
          <cell r="L78" t="str">
            <v>OK</v>
          </cell>
          <cell r="M78" t="str">
            <v>Porte Feuille</v>
          </cell>
          <cell r="N78" t="str">
            <v>Non affecté</v>
          </cell>
          <cell r="O78" t="str">
            <v>AB</v>
          </cell>
          <cell r="P78" t="str">
            <v>Ok mon client</v>
          </cell>
          <cell r="Q78" t="str">
            <v>GENNEVILLIERS</v>
          </cell>
          <cell r="R78" t="str">
            <v>78</v>
          </cell>
          <cell r="S78" t="str">
            <v>35 RUE DE VAUGIRARD</v>
          </cell>
          <cell r="T78" t="str">
            <v>75006</v>
          </cell>
          <cell r="U78" t="str">
            <v>PARIS 06</v>
          </cell>
          <cell r="V78" t="str">
            <v>M.</v>
          </cell>
          <cell r="W78" t="str">
            <v>RYON</v>
          </cell>
          <cell r="X78" t="str">
            <v>78550</v>
          </cell>
          <cell r="Y78" t="str">
            <v>MAULETTE</v>
          </cell>
          <cell r="AA78">
            <v>35707.329999999994</v>
          </cell>
          <cell r="AB78">
            <v>7294.0300000000007</v>
          </cell>
          <cell r="AD78">
            <v>43001.359999999993</v>
          </cell>
          <cell r="AF78">
            <v>0.18699186991869918</v>
          </cell>
          <cell r="AG78">
            <v>19806.190000000002</v>
          </cell>
          <cell r="AH78">
            <v>0.26673713415785677</v>
          </cell>
          <cell r="AI78">
            <v>3303.06</v>
          </cell>
          <cell r="AJ78">
            <v>-9.3074003333965274E-2</v>
          </cell>
          <cell r="AL78">
            <v>23109.250000000004</v>
          </cell>
          <cell r="AM78">
            <v>32352.950000000004</v>
          </cell>
          <cell r="AN78">
            <v>-0.24762960985419979</v>
          </cell>
          <cell r="AO78" t="str">
            <v>001-G-75RYONDISTRIBUTIO</v>
          </cell>
          <cell r="AP78" t="str">
            <v>001-L1-75RYONDISTRIBU</v>
          </cell>
          <cell r="AX78">
            <v>20638.049980000003</v>
          </cell>
          <cell r="AY78">
            <v>3441.7885200000001</v>
          </cell>
          <cell r="AZ78">
            <v>0</v>
          </cell>
        </row>
        <row r="79">
          <cell r="A79">
            <v>398048</v>
          </cell>
          <cell r="B79" t="str">
            <v>CAHOUET SA</v>
          </cell>
          <cell r="C79">
            <v>3.5000000000000003E-2</v>
          </cell>
          <cell r="D79">
            <v>0.01</v>
          </cell>
          <cell r="F79">
            <v>41275</v>
          </cell>
          <cell r="G79" t="str">
            <v>OUI</v>
          </cell>
          <cell r="I79">
            <v>0</v>
          </cell>
          <cell r="J79">
            <v>0</v>
          </cell>
          <cell r="K79" t="str">
            <v>OK</v>
          </cell>
          <cell r="L79" t="str">
            <v>OK</v>
          </cell>
          <cell r="N79" t="str">
            <v>Non affecté</v>
          </cell>
          <cell r="O79" t="str">
            <v>JPP</v>
          </cell>
          <cell r="P79" t="str">
            <v>Ok mon client</v>
          </cell>
          <cell r="Q79" t="str">
            <v>GENNEVILLIERS</v>
          </cell>
          <cell r="R79" t="str">
            <v>93</v>
          </cell>
          <cell r="S79" t="str">
            <v>52 RUE DE LAGNY</v>
          </cell>
          <cell r="T79" t="str">
            <v>93100</v>
          </cell>
          <cell r="U79" t="str">
            <v>MONTREUIL</v>
          </cell>
          <cell r="V79" t="str">
            <v>M.</v>
          </cell>
          <cell r="W79" t="str">
            <v>PULIN</v>
          </cell>
          <cell r="X79" t="str">
            <v>93100</v>
          </cell>
          <cell r="Y79" t="str">
            <v>MONTREUIL</v>
          </cell>
          <cell r="AA79">
            <v>24668.670000000002</v>
          </cell>
          <cell r="AB79">
            <v>8625.9700000000012</v>
          </cell>
          <cell r="AD79">
            <v>33294.639999999999</v>
          </cell>
          <cell r="AG79">
            <v>17954.629999999997</v>
          </cell>
          <cell r="AH79">
            <v>0.37430602123688783</v>
          </cell>
          <cell r="AI79">
            <v>4802.1200000000008</v>
          </cell>
          <cell r="AJ79">
            <v>0.44656390621299419</v>
          </cell>
          <cell r="AL79">
            <v>22756.75</v>
          </cell>
          <cell r="AM79">
            <v>31859.449999999997</v>
          </cell>
          <cell r="AN79">
            <v>-4.3105737139671807E-2</v>
          </cell>
          <cell r="AO79" t="str">
            <v>259-G-93CAHOUET</v>
          </cell>
          <cell r="AP79" t="str">
            <v>001-L-93CAHOUET</v>
          </cell>
          <cell r="AQ79">
            <v>38699</v>
          </cell>
          <cell r="AX79">
            <v>18583.042049999996</v>
          </cell>
          <cell r="AY79">
            <v>4850.1412000000009</v>
          </cell>
          <cell r="AZ79">
            <v>0</v>
          </cell>
        </row>
        <row r="80">
          <cell r="A80">
            <v>588228</v>
          </cell>
          <cell r="B80" t="str">
            <v>MASTERPUB</v>
          </cell>
          <cell r="C80">
            <v>7.4999999999999997E-2</v>
          </cell>
          <cell r="D80">
            <v>0.1</v>
          </cell>
          <cell r="F80">
            <v>41275</v>
          </cell>
          <cell r="G80" t="str">
            <v>NON</v>
          </cell>
          <cell r="H80" t="str">
            <v>A LA COT EN AFFRET/PEU DE MESSAGERIE</v>
          </cell>
          <cell r="I80">
            <v>0</v>
          </cell>
          <cell r="J80">
            <v>0</v>
          </cell>
          <cell r="K80" t="str">
            <v>OK</v>
          </cell>
          <cell r="L80" t="str">
            <v>OK</v>
          </cell>
          <cell r="N80" t="str">
            <v>Non affecté</v>
          </cell>
          <cell r="O80" t="str">
            <v>MM</v>
          </cell>
          <cell r="P80" t="str">
            <v>Ok mon client</v>
          </cell>
          <cell r="Q80" t="str">
            <v>GENNEVILLIERS</v>
          </cell>
          <cell r="R80" t="str">
            <v>95</v>
          </cell>
          <cell r="S80" t="str">
            <v>7-9 RUE D'ANJOU</v>
          </cell>
          <cell r="T80">
            <v>95310</v>
          </cell>
          <cell r="U80" t="str">
            <v>SAINT OUEN L'AUMONE</v>
          </cell>
          <cell r="V80" t="str">
            <v>M</v>
          </cell>
          <cell r="W80" t="str">
            <v>CONSTANTINO</v>
          </cell>
          <cell r="X80" t="str">
            <v>95310</v>
          </cell>
          <cell r="Y80" t="str">
            <v>SAINT OUEN L'AUMONE</v>
          </cell>
          <cell r="AE80">
            <v>22442.5</v>
          </cell>
          <cell r="AF80">
            <v>0.15473564137236548</v>
          </cell>
          <cell r="AG80">
            <v>75.77000000000001</v>
          </cell>
          <cell r="AH80">
            <v>6.6666666666666541E-2</v>
          </cell>
          <cell r="AL80">
            <v>22518.27</v>
          </cell>
          <cell r="AM80">
            <v>31525.577999999998</v>
          </cell>
          <cell r="AO80" t="str">
            <v>001-G-95MASTER</v>
          </cell>
          <cell r="AQ80">
            <v>40953</v>
          </cell>
          <cell r="AX80">
            <v>81.452750000000009</v>
          </cell>
          <cell r="AY80">
            <v>0</v>
          </cell>
          <cell r="AZ80">
            <v>22442.5</v>
          </cell>
        </row>
        <row r="81">
          <cell r="A81">
            <v>4040</v>
          </cell>
          <cell r="B81" t="str">
            <v>RAJA</v>
          </cell>
          <cell r="G81" t="str">
            <v>NON</v>
          </cell>
          <cell r="H81" t="str">
            <v>AO EN COURS</v>
          </cell>
          <cell r="I81">
            <v>0</v>
          </cell>
          <cell r="J81">
            <v>0</v>
          </cell>
          <cell r="K81" t="str">
            <v>NON</v>
          </cell>
          <cell r="L81" t="str">
            <v>non</v>
          </cell>
          <cell r="N81" t="str">
            <v>Non affecté</v>
          </cell>
          <cell r="O81" t="str">
            <v>JPP</v>
          </cell>
          <cell r="P81" t="str">
            <v>Ok mon client</v>
          </cell>
          <cell r="Q81" t="str">
            <v>GENNEVILLIERS</v>
          </cell>
          <cell r="R81" t="str">
            <v>93</v>
          </cell>
          <cell r="S81" t="str">
            <v xml:space="preserve">18 20 RUE RAMPAL                </v>
          </cell>
          <cell r="T81" t="str">
            <v>95977</v>
          </cell>
          <cell r="U81" t="str">
            <v>ROISSY CDG CEDEX</v>
          </cell>
          <cell r="V81" t="str">
            <v>M.</v>
          </cell>
          <cell r="W81" t="str">
            <v>LUC Christophe</v>
          </cell>
          <cell r="X81" t="str">
            <v>93270</v>
          </cell>
          <cell r="Y81" t="str">
            <v>TREMBLAY</v>
          </cell>
          <cell r="Z81">
            <v>86953.76999999999</v>
          </cell>
          <cell r="AB81">
            <v>130.97999999999999</v>
          </cell>
          <cell r="AD81">
            <v>87084.749999999985</v>
          </cell>
          <cell r="AE81">
            <v>22182.32</v>
          </cell>
          <cell r="AF81">
            <v>0.25148496041643476</v>
          </cell>
          <cell r="AL81">
            <v>22182.32</v>
          </cell>
          <cell r="AM81">
            <v>31055.247999999996</v>
          </cell>
          <cell r="AN81">
            <v>-0.64339051326437757</v>
          </cell>
          <cell r="AO81" t="str">
            <v>001-G95RAJA</v>
          </cell>
          <cell r="AP81" t="str">
            <v>001-L-95RAJA</v>
          </cell>
          <cell r="AX81">
            <v>0</v>
          </cell>
          <cell r="AY81">
            <v>0</v>
          </cell>
          <cell r="AZ81">
            <v>22182.32</v>
          </cell>
        </row>
        <row r="82">
          <cell r="A82" t="str">
            <v>695488</v>
          </cell>
          <cell r="B82" t="str">
            <v>CLOTURES NICOLAS</v>
          </cell>
          <cell r="C82">
            <v>3.5000000000000003E-2</v>
          </cell>
          <cell r="D82">
            <v>3.5000000000000003E-2</v>
          </cell>
          <cell r="E82">
            <v>3.5000000000000003E-2</v>
          </cell>
          <cell r="F82">
            <v>41306</v>
          </cell>
          <cell r="H82" t="str">
            <v>RAJOUTE SECTEUR 60</v>
          </cell>
          <cell r="I82">
            <v>0</v>
          </cell>
          <cell r="J82">
            <v>0</v>
          </cell>
          <cell r="K82" t="str">
            <v>OK</v>
          </cell>
          <cell r="L82" t="str">
            <v>OK</v>
          </cell>
          <cell r="N82" t="str">
            <v>Non affecté</v>
          </cell>
          <cell r="O82" t="str">
            <v>JPP</v>
          </cell>
          <cell r="P82" t="str">
            <v>Ok mon client</v>
          </cell>
          <cell r="Q82" t="str">
            <v>GENNEVILLIERS</v>
          </cell>
          <cell r="R82">
            <v>60</v>
          </cell>
          <cell r="S82" t="str">
            <v>42 GRANDE RUE</v>
          </cell>
          <cell r="T82" t="str">
            <v>60620</v>
          </cell>
          <cell r="U82" t="str">
            <v>ROSOY EN MULTIEN</v>
          </cell>
          <cell r="AD82">
            <v>19083.919999999998</v>
          </cell>
          <cell r="AE82">
            <v>22058.94</v>
          </cell>
          <cell r="AL82">
            <v>22058.94</v>
          </cell>
          <cell r="AM82">
            <v>30882.515999999996</v>
          </cell>
          <cell r="AN82">
            <v>0.61824803289890129</v>
          </cell>
          <cell r="AX82">
            <v>0</v>
          </cell>
          <cell r="AY82">
            <v>0</v>
          </cell>
          <cell r="AZ82">
            <v>22831.002899999996</v>
          </cell>
        </row>
        <row r="83">
          <cell r="A83">
            <v>574670</v>
          </cell>
          <cell r="B83" t="str">
            <v>MEDITERRANEE INTERNATIONAL</v>
          </cell>
          <cell r="C83">
            <v>2.5000000000000001E-2</v>
          </cell>
          <cell r="D83">
            <v>0</v>
          </cell>
          <cell r="E83">
            <v>1.4999999999999999E-2</v>
          </cell>
          <cell r="F83">
            <v>41306</v>
          </cell>
          <cell r="G83" t="str">
            <v>OUI</v>
          </cell>
          <cell r="H83" t="str">
            <v>ENVOI TARIFS A JPP</v>
          </cell>
          <cell r="I83">
            <v>0</v>
          </cell>
          <cell r="J83">
            <v>0</v>
          </cell>
          <cell r="K83" t="str">
            <v>OK</v>
          </cell>
          <cell r="L83" t="str">
            <v>OK</v>
          </cell>
          <cell r="M83" t="str">
            <v>Porte Feuille</v>
          </cell>
          <cell r="N83" t="str">
            <v>Non affecté</v>
          </cell>
          <cell r="O83" t="str">
            <v>JPP</v>
          </cell>
          <cell r="P83" t="str">
            <v>Ok mon client</v>
          </cell>
          <cell r="Q83" t="str">
            <v>GENNEVILLIERS</v>
          </cell>
          <cell r="R83" t="str">
            <v>93</v>
          </cell>
          <cell r="S83" t="str">
            <v>10 rue Pierre CURIE</v>
          </cell>
          <cell r="T83" t="str">
            <v>93120</v>
          </cell>
          <cell r="U83" t="str">
            <v>LA COURNEUVE</v>
          </cell>
          <cell r="V83" t="str">
            <v>M.</v>
          </cell>
          <cell r="W83" t="str">
            <v>LUC</v>
          </cell>
          <cell r="X83" t="str">
            <v>93240</v>
          </cell>
          <cell r="Y83" t="str">
            <v>STAINS</v>
          </cell>
          <cell r="Z83">
            <v>1855.03</v>
          </cell>
          <cell r="AA83">
            <v>14098.73</v>
          </cell>
          <cell r="AD83">
            <v>15953.76</v>
          </cell>
          <cell r="AE83">
            <v>863.58</v>
          </cell>
          <cell r="AF83">
            <v>0.2438583480114955</v>
          </cell>
          <cell r="AG83">
            <v>21167.37</v>
          </cell>
          <cell r="AH83">
            <v>0.23259460497381526</v>
          </cell>
          <cell r="AL83">
            <v>22030.95</v>
          </cell>
          <cell r="AM83">
            <v>30843.329999999998</v>
          </cell>
          <cell r="AN83">
            <v>0.93329534855733054</v>
          </cell>
          <cell r="AO83" t="str">
            <v>259-G-93MERCURE</v>
          </cell>
          <cell r="AP83" t="str">
            <v>259-L-93MERCURE</v>
          </cell>
          <cell r="AQ83">
            <v>38621</v>
          </cell>
          <cell r="AX83">
            <v>21696.554249999997</v>
          </cell>
          <cell r="AY83">
            <v>0</v>
          </cell>
          <cell r="AZ83">
            <v>876.53369999999995</v>
          </cell>
        </row>
        <row r="84">
          <cell r="A84">
            <v>524096</v>
          </cell>
          <cell r="B84" t="str">
            <v>SOCIETE HUBER ET SUHNER FRANCE</v>
          </cell>
          <cell r="C84">
            <v>4.8000000000000001E-2</v>
          </cell>
          <cell r="D84">
            <v>4.8000000000000001E-2</v>
          </cell>
          <cell r="E84">
            <v>0.02</v>
          </cell>
          <cell r="F84">
            <v>41275</v>
          </cell>
          <cell r="G84">
            <v>0</v>
          </cell>
          <cell r="I84">
            <v>0</v>
          </cell>
          <cell r="J84">
            <v>0</v>
          </cell>
          <cell r="K84" t="str">
            <v>OK</v>
          </cell>
          <cell r="L84" t="str">
            <v>OK</v>
          </cell>
          <cell r="M84" t="str">
            <v>Porte Feuille</v>
          </cell>
          <cell r="N84" t="str">
            <v>Non affecté</v>
          </cell>
          <cell r="O84" t="str">
            <v>AB</v>
          </cell>
          <cell r="P84" t="str">
            <v>Ok mon client</v>
          </cell>
          <cell r="Q84" t="str">
            <v>GENNEVILLIERS</v>
          </cell>
          <cell r="R84" t="str">
            <v>78</v>
          </cell>
          <cell r="S84" t="str">
            <v>21E RUE JACQUES CARTIER</v>
          </cell>
          <cell r="T84" t="str">
            <v>78960</v>
          </cell>
          <cell r="U84" t="str">
            <v>VOISINS LE BRETONNEUX</v>
          </cell>
          <cell r="V84" t="str">
            <v>Mme</v>
          </cell>
          <cell r="W84" t="str">
            <v>PEQUIN-GUERINEAU</v>
          </cell>
          <cell r="X84" t="str">
            <v>78960</v>
          </cell>
          <cell r="Y84" t="str">
            <v>VOISINS LE BRETONNEUX</v>
          </cell>
          <cell r="Z84">
            <v>12607.04</v>
          </cell>
          <cell r="AA84">
            <v>29159.149999999998</v>
          </cell>
          <cell r="AB84">
            <v>1522.4800000000002</v>
          </cell>
          <cell r="AD84">
            <v>43288.670000000006</v>
          </cell>
          <cell r="AE84">
            <v>1011.29</v>
          </cell>
          <cell r="AF84">
            <v>0.99638467100506145</v>
          </cell>
          <cell r="AG84">
            <v>18106.41</v>
          </cell>
          <cell r="AH84">
            <v>0.6339945395494484</v>
          </cell>
          <cell r="AI84">
            <v>1428.48</v>
          </cell>
          <cell r="AJ84">
            <v>0.53000349734018082</v>
          </cell>
          <cell r="AL84">
            <v>20546.18</v>
          </cell>
          <cell r="AM84">
            <v>28764.651999999998</v>
          </cell>
          <cell r="AN84">
            <v>-0.33551545935691729</v>
          </cell>
          <cell r="AO84" t="str">
            <v>001-G-78HUBERSHUNER</v>
          </cell>
          <cell r="AP84" t="str">
            <v>001-L1-78HUBERSUHNER</v>
          </cell>
          <cell r="AQ84">
            <v>39451</v>
          </cell>
          <cell r="AX84">
            <v>18975.517680000001</v>
          </cell>
          <cell r="AY84">
            <v>1497.0470400000002</v>
          </cell>
          <cell r="AZ84">
            <v>1031.5157999999999</v>
          </cell>
        </row>
        <row r="85">
          <cell r="A85">
            <v>398049</v>
          </cell>
          <cell r="B85" t="str">
            <v>GALVATEK</v>
          </cell>
          <cell r="C85">
            <v>4.2000000000000003E-2</v>
          </cell>
          <cell r="D85">
            <v>4.2000000000000003E-2</v>
          </cell>
          <cell r="E85">
            <v>0</v>
          </cell>
          <cell r="F85">
            <v>41275</v>
          </cell>
          <cell r="G85" t="str">
            <v>OUI</v>
          </cell>
          <cell r="I85">
            <v>0</v>
          </cell>
          <cell r="J85">
            <v>0</v>
          </cell>
          <cell r="K85" t="str">
            <v>OK</v>
          </cell>
          <cell r="L85" t="str">
            <v>OK</v>
          </cell>
          <cell r="M85" t="str">
            <v>Porte Feuille</v>
          </cell>
          <cell r="N85" t="str">
            <v>Non affecté</v>
          </cell>
          <cell r="O85" t="str">
            <v>AB</v>
          </cell>
          <cell r="P85" t="str">
            <v>Ok mon client</v>
          </cell>
          <cell r="Q85" t="str">
            <v>GENNEVILLIERS</v>
          </cell>
          <cell r="R85" t="str">
            <v>78</v>
          </cell>
          <cell r="S85" t="str">
            <v>9 RUE DE LA TOUR</v>
          </cell>
          <cell r="T85" t="str">
            <v>78270</v>
          </cell>
          <cell r="U85" t="str">
            <v>BONNIERES SUR SEINE</v>
          </cell>
          <cell r="V85" t="str">
            <v>M.</v>
          </cell>
          <cell r="W85" t="str">
            <v>KALISIAK</v>
          </cell>
          <cell r="X85" t="str">
            <v>78270</v>
          </cell>
          <cell r="Y85" t="str">
            <v>BONNIERES SUR SEINE</v>
          </cell>
          <cell r="Z85">
            <v>-316.49</v>
          </cell>
          <cell r="AA85">
            <v>2046.5900000000001</v>
          </cell>
          <cell r="AB85">
            <v>22529.069999999996</v>
          </cell>
          <cell r="AD85">
            <v>24259.169999999995</v>
          </cell>
          <cell r="AE85">
            <v>570.78</v>
          </cell>
          <cell r="AF85">
            <v>0.33424436735695012</v>
          </cell>
          <cell r="AG85">
            <v>1544.02</v>
          </cell>
          <cell r="AH85">
            <v>0.52813168790127429</v>
          </cell>
          <cell r="AI85">
            <v>18415.650000000001</v>
          </cell>
          <cell r="AJ85">
            <v>0.59445891215368307</v>
          </cell>
          <cell r="AL85">
            <v>20530.45</v>
          </cell>
          <cell r="AM85">
            <v>28742.629999999997</v>
          </cell>
          <cell r="AN85">
            <v>0.1848150616859523</v>
          </cell>
          <cell r="AO85" t="str">
            <v>001-G-7878GALVATEK</v>
          </cell>
          <cell r="AP85" t="str">
            <v>001-L1-78GALVATEK</v>
          </cell>
          <cell r="AQ85">
            <v>38695</v>
          </cell>
          <cell r="AX85">
            <v>1608.8688400000001</v>
          </cell>
          <cell r="AY85">
            <v>19189.107300000003</v>
          </cell>
          <cell r="AZ85">
            <v>570.78</v>
          </cell>
        </row>
        <row r="86">
          <cell r="A86">
            <v>590502</v>
          </cell>
          <cell r="B86" t="str">
            <v>YARDEN JUS DE FRUITS</v>
          </cell>
          <cell r="G86" t="str">
            <v>NON</v>
          </cell>
          <cell r="H86" t="str">
            <v>RDV A PRENDRE</v>
          </cell>
          <cell r="I86">
            <v>0</v>
          </cell>
          <cell r="J86">
            <v>0</v>
          </cell>
          <cell r="K86" t="str">
            <v>NON</v>
          </cell>
          <cell r="L86" t="str">
            <v>non</v>
          </cell>
          <cell r="N86" t="str">
            <v>Non affecté</v>
          </cell>
          <cell r="O86" t="str">
            <v>JPP</v>
          </cell>
          <cell r="P86" t="str">
            <v>Ok mon client</v>
          </cell>
          <cell r="Q86" t="str">
            <v>GENNEVILLIERS</v>
          </cell>
          <cell r="R86" t="str">
            <v>93</v>
          </cell>
          <cell r="S86" t="str">
            <v>163 AVENUE GALLIENI</v>
          </cell>
          <cell r="T86">
            <v>93177</v>
          </cell>
          <cell r="U86" t="str">
            <v>BAGNOLET</v>
          </cell>
          <cell r="W86" t="str">
            <v>Directeur Logistique et Transports</v>
          </cell>
          <cell r="X86" t="str">
            <v>93177</v>
          </cell>
          <cell r="Y86" t="str">
            <v>BAGNOLET</v>
          </cell>
          <cell r="Z86">
            <v>12514.470000000001</v>
          </cell>
          <cell r="AD86">
            <v>12514.470000000001</v>
          </cell>
          <cell r="AE86">
            <v>19787.88</v>
          </cell>
          <cell r="AF86">
            <v>6.2486312192581682E-2</v>
          </cell>
          <cell r="AL86">
            <v>19787.88</v>
          </cell>
          <cell r="AM86">
            <v>27703.031999999999</v>
          </cell>
          <cell r="AN86">
            <v>1.2136800040273377</v>
          </cell>
          <cell r="AP86" t="str">
            <v>001-L1-93YARDEN</v>
          </cell>
          <cell r="AQ86">
            <v>40808</v>
          </cell>
          <cell r="AX86">
            <v>0</v>
          </cell>
          <cell r="AY86">
            <v>0</v>
          </cell>
          <cell r="AZ86">
            <v>19787.88</v>
          </cell>
        </row>
        <row r="87">
          <cell r="A87">
            <v>841951</v>
          </cell>
          <cell r="B87" t="str">
            <v>VICTORY INTERNATIONAL BRANDS</v>
          </cell>
          <cell r="G87" t="str">
            <v>NON</v>
          </cell>
          <cell r="H87" t="str">
            <v>RJ</v>
          </cell>
          <cell r="I87">
            <v>0</v>
          </cell>
          <cell r="J87">
            <v>0</v>
          </cell>
          <cell r="K87" t="str">
            <v>NON</v>
          </cell>
          <cell r="L87" t="str">
            <v>NON</v>
          </cell>
          <cell r="N87" t="str">
            <v>Non affecté</v>
          </cell>
          <cell r="O87" t="str">
            <v>JPP</v>
          </cell>
          <cell r="P87" t="str">
            <v>Ok mon client</v>
          </cell>
          <cell r="Q87" t="str">
            <v>GENNEVILLIERS</v>
          </cell>
          <cell r="R87" t="str">
            <v>93</v>
          </cell>
          <cell r="S87" t="str">
            <v>37-39 RUE PLEYEL</v>
          </cell>
          <cell r="T87">
            <v>93200</v>
          </cell>
          <cell r="U87" t="str">
            <v>SAINT DENIS</v>
          </cell>
          <cell r="W87" t="str">
            <v>Directeur Logistique et Transports</v>
          </cell>
          <cell r="X87" t="str">
            <v>93200</v>
          </cell>
          <cell r="Y87" t="str">
            <v>SAINT DENIS</v>
          </cell>
          <cell r="Z87">
            <v>2535.5300000000002</v>
          </cell>
          <cell r="AA87">
            <v>6375.57</v>
          </cell>
          <cell r="AB87">
            <v>6000</v>
          </cell>
          <cell r="AD87">
            <v>14911.1</v>
          </cell>
          <cell r="AE87">
            <v>8905.57</v>
          </cell>
          <cell r="AF87">
            <v>0.90877002126048034</v>
          </cell>
          <cell r="AG87">
            <v>2865.29</v>
          </cell>
          <cell r="AH87">
            <v>-1.2901616067386488</v>
          </cell>
          <cell r="AI87">
            <v>7350.04</v>
          </cell>
          <cell r="AJ87">
            <v>0.33429448503737502</v>
          </cell>
          <cell r="AL87">
            <v>19120.900000000001</v>
          </cell>
          <cell r="AM87">
            <v>26769.260000000002</v>
          </cell>
          <cell r="AN87">
            <v>0.79525722448377389</v>
          </cell>
          <cell r="AO87" t="str">
            <v>001-G-75VICTORIA</v>
          </cell>
          <cell r="AP87" t="str">
            <v>001-L-75VICTORIA</v>
          </cell>
          <cell r="AQ87">
            <v>40598</v>
          </cell>
          <cell r="AX87">
            <v>2865.29</v>
          </cell>
          <cell r="AY87">
            <v>7350.04</v>
          </cell>
          <cell r="AZ87">
            <v>8905.57</v>
          </cell>
        </row>
        <row r="88">
          <cell r="A88">
            <v>544961</v>
          </cell>
          <cell r="B88" t="str">
            <v>I F S</v>
          </cell>
          <cell r="C88">
            <v>0.05</v>
          </cell>
          <cell r="D88">
            <v>0</v>
          </cell>
          <cell r="E88">
            <v>0.02</v>
          </cell>
          <cell r="F88">
            <v>41306</v>
          </cell>
          <cell r="G88" t="str">
            <v>OUI</v>
          </cell>
          <cell r="H88" t="str">
            <v>DEMENAGE MOISSY</v>
          </cell>
          <cell r="I88">
            <v>0</v>
          </cell>
          <cell r="J88">
            <v>0</v>
          </cell>
          <cell r="K88" t="str">
            <v>OK</v>
          </cell>
          <cell r="L88" t="str">
            <v>OK</v>
          </cell>
          <cell r="M88" t="str">
            <v>Porte Feuille</v>
          </cell>
          <cell r="N88" t="str">
            <v>Non affecté</v>
          </cell>
          <cell r="O88" t="str">
            <v>JPP</v>
          </cell>
          <cell r="P88" t="str">
            <v>Ok mon client</v>
          </cell>
          <cell r="Q88" t="str">
            <v>GENNEVILLIERS</v>
          </cell>
          <cell r="R88" t="str">
            <v>92</v>
          </cell>
          <cell r="S88" t="str">
            <v>3 RUE DE L'AVENIR</v>
          </cell>
          <cell r="T88" t="str">
            <v>92360</v>
          </cell>
          <cell r="U88" t="str">
            <v>MEUDON LA FORET</v>
          </cell>
          <cell r="W88" t="str">
            <v>Michel HELDT</v>
          </cell>
          <cell r="X88" t="str">
            <v>92360</v>
          </cell>
          <cell r="Y88" t="str">
            <v>MEUDON LA FORET</v>
          </cell>
          <cell r="Z88">
            <v>6198.74</v>
          </cell>
          <cell r="AA88">
            <v>31837.21</v>
          </cell>
          <cell r="AB88">
            <v>1008.7000000000002</v>
          </cell>
          <cell r="AD88">
            <v>39044.649999999994</v>
          </cell>
          <cell r="AG88">
            <v>17677.120000000003</v>
          </cell>
          <cell r="AH88">
            <v>0.69391304347826088</v>
          </cell>
          <cell r="AI88">
            <v>1343.18</v>
          </cell>
          <cell r="AJ88">
            <v>0.46124498353339216</v>
          </cell>
          <cell r="AL88">
            <v>19020.300000000003</v>
          </cell>
          <cell r="AM88">
            <v>26628.420000000002</v>
          </cell>
          <cell r="AN88">
            <v>-0.31800080164632016</v>
          </cell>
          <cell r="AO88" t="str">
            <v>001-G-92IFS</v>
          </cell>
          <cell r="AP88" t="str">
            <v>001_T3-92IFS</v>
          </cell>
          <cell r="AQ88">
            <v>39988</v>
          </cell>
          <cell r="AX88">
            <v>18560.976000000002</v>
          </cell>
          <cell r="AY88">
            <v>1343.18</v>
          </cell>
          <cell r="AZ88">
            <v>0</v>
          </cell>
        </row>
        <row r="89">
          <cell r="A89">
            <v>477396</v>
          </cell>
          <cell r="B89" t="str">
            <v>INFODIP</v>
          </cell>
          <cell r="C89">
            <v>3.5000000000000003E-2</v>
          </cell>
          <cell r="D89">
            <v>3.5000000000000003E-2</v>
          </cell>
          <cell r="E89">
            <v>0.02</v>
          </cell>
          <cell r="F89">
            <v>41275</v>
          </cell>
          <cell r="I89">
            <v>0</v>
          </cell>
          <cell r="J89">
            <v>0</v>
          </cell>
          <cell r="K89" t="str">
            <v>OK</v>
          </cell>
          <cell r="L89" t="str">
            <v>OK</v>
          </cell>
          <cell r="N89" t="str">
            <v>Non affecté</v>
          </cell>
          <cell r="O89" t="str">
            <v>MM</v>
          </cell>
          <cell r="P89" t="str">
            <v>Ok mon client</v>
          </cell>
          <cell r="Q89" t="str">
            <v>GENNEVILLIERS</v>
          </cell>
          <cell r="R89" t="str">
            <v>95</v>
          </cell>
          <cell r="S89" t="str">
            <v>10 RUE LOUIS ARMAND ZI</v>
          </cell>
          <cell r="T89" t="str">
            <v>95130</v>
          </cell>
          <cell r="U89" t="str">
            <v>LE PLESSIS BOUCHARD</v>
          </cell>
          <cell r="V89" t="str">
            <v>Mme</v>
          </cell>
          <cell r="W89" t="str">
            <v>GABORY</v>
          </cell>
          <cell r="X89" t="str">
            <v>95130</v>
          </cell>
          <cell r="Y89" t="str">
            <v>LE PLESSIS BOUCHARD</v>
          </cell>
          <cell r="Z89">
            <v>2059.06</v>
          </cell>
          <cell r="AB89">
            <v>22133.100000000002</v>
          </cell>
          <cell r="AD89">
            <v>24192.160000000003</v>
          </cell>
          <cell r="AE89">
            <v>773</v>
          </cell>
          <cell r="AI89">
            <v>18223.399999999998</v>
          </cell>
          <cell r="AJ89">
            <v>0.61804772681383813</v>
          </cell>
          <cell r="AL89">
            <v>18996.399999999998</v>
          </cell>
          <cell r="AM89">
            <v>26594.959999999995</v>
          </cell>
          <cell r="AN89">
            <v>9.9321433059304853E-2</v>
          </cell>
          <cell r="AO89" t="str">
            <v>001-G-95INFODIP</v>
          </cell>
          <cell r="AP89" t="str">
            <v>001-L-95INFODIP</v>
          </cell>
          <cell r="AX89">
            <v>0</v>
          </cell>
          <cell r="AY89">
            <v>18861.218999999997</v>
          </cell>
          <cell r="AZ89">
            <v>788.46</v>
          </cell>
        </row>
        <row r="90">
          <cell r="A90">
            <v>499947</v>
          </cell>
          <cell r="B90" t="str">
            <v>BANDAI SA</v>
          </cell>
          <cell r="G90" t="str">
            <v>NEGO JANVIER</v>
          </cell>
          <cell r="I90">
            <v>0</v>
          </cell>
          <cell r="J90">
            <v>0</v>
          </cell>
          <cell r="K90" t="str">
            <v>NON</v>
          </cell>
          <cell r="L90" t="str">
            <v>non</v>
          </cell>
          <cell r="M90" t="str">
            <v>Porte Feuille</v>
          </cell>
          <cell r="N90" t="str">
            <v>Non affecté</v>
          </cell>
          <cell r="O90" t="str">
            <v>MM</v>
          </cell>
          <cell r="P90" t="str">
            <v>Ok mon client</v>
          </cell>
          <cell r="Q90" t="str">
            <v>GENNEVILLIERS</v>
          </cell>
          <cell r="R90" t="str">
            <v>95</v>
          </cell>
          <cell r="S90" t="str">
            <v>21-23  RUE DU PETIT ALBI 
BP 48470 95808-CERGY PONTOISE CEDEX</v>
          </cell>
          <cell r="T90" t="str">
            <v>95800</v>
          </cell>
          <cell r="U90" t="str">
            <v>CERGY</v>
          </cell>
          <cell r="V90" t="str">
            <v>Mme</v>
          </cell>
          <cell r="W90" t="str">
            <v>ALLAIN</v>
          </cell>
          <cell r="X90" t="str">
            <v>95800</v>
          </cell>
          <cell r="Y90" t="str">
            <v>CERGY</v>
          </cell>
          <cell r="Z90">
            <v>5922.75</v>
          </cell>
          <cell r="AA90">
            <v>14.04</v>
          </cell>
          <cell r="AB90">
            <v>24593.390000000003</v>
          </cell>
          <cell r="AD90">
            <v>30530.180000000004</v>
          </cell>
          <cell r="AG90">
            <v>19.810000000000002</v>
          </cell>
          <cell r="AI90">
            <v>18796.39</v>
          </cell>
          <cell r="AJ90">
            <v>-5.9019522041987509E-2</v>
          </cell>
          <cell r="AL90">
            <v>18816.2</v>
          </cell>
          <cell r="AM90">
            <v>26342.68</v>
          </cell>
          <cell r="AN90">
            <v>-0.13715936165459897</v>
          </cell>
          <cell r="AO90" t="str">
            <v>001-G-95WINCANTONBANDAI</v>
          </cell>
          <cell r="AP90" t="str">
            <v>001-L-95WINCANTONBANDAI</v>
          </cell>
          <cell r="AQ90">
            <v>40014</v>
          </cell>
          <cell r="AX90">
            <v>19.810000000000002</v>
          </cell>
          <cell r="AY90">
            <v>18796.39</v>
          </cell>
          <cell r="AZ90">
            <v>0</v>
          </cell>
        </row>
        <row r="91">
          <cell r="A91">
            <v>548657</v>
          </cell>
          <cell r="B91" t="str">
            <v>EPCI SARL</v>
          </cell>
          <cell r="C91">
            <v>3.5000000000000003E-2</v>
          </cell>
          <cell r="D91">
            <v>3.5000000000000003E-2</v>
          </cell>
          <cell r="E91">
            <v>0.02</v>
          </cell>
          <cell r="F91">
            <v>41275</v>
          </cell>
          <cell r="I91">
            <v>0</v>
          </cell>
          <cell r="J91">
            <v>0</v>
          </cell>
          <cell r="K91" t="str">
            <v>OK</v>
          </cell>
          <cell r="L91" t="str">
            <v>OK</v>
          </cell>
          <cell r="M91" t="str">
            <v>Porte Feuille</v>
          </cell>
          <cell r="N91" t="str">
            <v>Non affecté</v>
          </cell>
          <cell r="O91" t="str">
            <v>MM</v>
          </cell>
          <cell r="P91" t="str">
            <v>Ok mon client</v>
          </cell>
          <cell r="Q91" t="str">
            <v>GENNEVILLIERS</v>
          </cell>
          <cell r="R91" t="str">
            <v>95</v>
          </cell>
          <cell r="S91" t="str">
            <v xml:space="preserve">IMM BOOSTER RUE DU RAPPORTEUR   </v>
          </cell>
          <cell r="T91" t="str">
            <v>95310</v>
          </cell>
          <cell r="U91" t="str">
            <v>ST OUEN L'AUMONE</v>
          </cell>
          <cell r="V91" t="str">
            <v>M.</v>
          </cell>
          <cell r="W91" t="str">
            <v>SIMON Noël</v>
          </cell>
          <cell r="X91" t="str">
            <v>95310</v>
          </cell>
          <cell r="Y91" t="str">
            <v>ST OUEN L AUMONE</v>
          </cell>
          <cell r="Z91">
            <v>569.53</v>
          </cell>
          <cell r="AA91">
            <v>1056.3599999999999</v>
          </cell>
          <cell r="AB91">
            <v>16122.75</v>
          </cell>
          <cell r="AD91">
            <v>17748.64</v>
          </cell>
          <cell r="AE91">
            <v>1477</v>
          </cell>
          <cell r="AF91">
            <v>-0.40093603744149769</v>
          </cell>
          <cell r="AI91">
            <v>17298.760000000002</v>
          </cell>
          <cell r="AJ91">
            <v>0.62929598512674245</v>
          </cell>
          <cell r="AL91">
            <v>18775.760000000002</v>
          </cell>
          <cell r="AM91">
            <v>26286.064000000002</v>
          </cell>
          <cell r="AN91">
            <v>0.48101848930396929</v>
          </cell>
          <cell r="AO91" t="str">
            <v>001-G-95EPCI</v>
          </cell>
          <cell r="AP91" t="str">
            <v>001-L-95EPCI</v>
          </cell>
          <cell r="AX91">
            <v>0</v>
          </cell>
          <cell r="AY91">
            <v>17904.2166</v>
          </cell>
          <cell r="AZ91">
            <v>1506.54</v>
          </cell>
        </row>
        <row r="92">
          <cell r="A92">
            <v>847443</v>
          </cell>
          <cell r="B92" t="str">
            <v>ELYDIS SAS</v>
          </cell>
          <cell r="C92">
            <v>3.5000000000000003E-2</v>
          </cell>
          <cell r="D92">
            <v>3.5000000000000003E-2</v>
          </cell>
          <cell r="E92">
            <v>0.02</v>
          </cell>
          <cell r="F92">
            <v>41275</v>
          </cell>
          <cell r="I92">
            <v>0</v>
          </cell>
          <cell r="J92">
            <v>0</v>
          </cell>
          <cell r="K92" t="str">
            <v>OK</v>
          </cell>
          <cell r="L92" t="str">
            <v>OK</v>
          </cell>
          <cell r="M92" t="str">
            <v>Porte Feuille</v>
          </cell>
          <cell r="N92" t="str">
            <v>Non affecté</v>
          </cell>
          <cell r="O92" t="str">
            <v>MM</v>
          </cell>
          <cell r="P92" t="str">
            <v>Ok mon client</v>
          </cell>
          <cell r="Q92" t="str">
            <v>GENNEVILLIERS</v>
          </cell>
          <cell r="R92" t="str">
            <v>95</v>
          </cell>
          <cell r="S92" t="str">
            <v>RUE DE PICARDIE ZI LES BETHUNES</v>
          </cell>
          <cell r="T92">
            <v>95310</v>
          </cell>
          <cell r="U92" t="str">
            <v>SAINT OUEN L AUMONE</v>
          </cell>
          <cell r="V92" t="str">
            <v>Mme</v>
          </cell>
          <cell r="W92" t="str">
            <v>Christine FRANCOIS</v>
          </cell>
          <cell r="X92" t="str">
            <v>95310</v>
          </cell>
          <cell r="Y92" t="str">
            <v>SAINT OUEN L AUMONE</v>
          </cell>
          <cell r="AA92">
            <v>29341.370000000003</v>
          </cell>
          <cell r="AB92">
            <v>993.74</v>
          </cell>
          <cell r="AD92">
            <v>30335.11</v>
          </cell>
          <cell r="AE92">
            <v>644</v>
          </cell>
          <cell r="AF92">
            <v>0.52512232157921379</v>
          </cell>
          <cell r="AG92">
            <v>17917.32</v>
          </cell>
          <cell r="AH92">
            <v>0.32558674164282597</v>
          </cell>
          <cell r="AL92">
            <v>18561.32</v>
          </cell>
          <cell r="AM92">
            <v>25985.847999999998</v>
          </cell>
          <cell r="AN92">
            <v>-0.14337386612410508</v>
          </cell>
          <cell r="AO92" t="str">
            <v>001-G-95ELYDISTR</v>
          </cell>
          <cell r="AQ92">
            <v>40694</v>
          </cell>
          <cell r="AX92">
            <v>18544.426199999998</v>
          </cell>
          <cell r="AY92">
            <v>0</v>
          </cell>
          <cell r="AZ92">
            <v>656.88</v>
          </cell>
        </row>
        <row r="93">
          <cell r="A93">
            <v>564478</v>
          </cell>
          <cell r="B93" t="str">
            <v>SACATEC EQUIPEMENT</v>
          </cell>
          <cell r="H93" t="str">
            <v>PAS 001 agence gérante</v>
          </cell>
          <cell r="I93">
            <v>0</v>
          </cell>
          <cell r="J93">
            <v>0</v>
          </cell>
          <cell r="K93" t="str">
            <v>NON</v>
          </cell>
          <cell r="L93" t="str">
            <v>NON</v>
          </cell>
          <cell r="M93" t="str">
            <v>Porte Feuille</v>
          </cell>
          <cell r="N93" t="str">
            <v>Non affecté</v>
          </cell>
          <cell r="O93" t="str">
            <v>MM</v>
          </cell>
          <cell r="P93" t="str">
            <v>Ok mon client</v>
          </cell>
          <cell r="Q93" t="str">
            <v>GENNEVILLIERS</v>
          </cell>
          <cell r="R93" t="str">
            <v>77</v>
          </cell>
          <cell r="S93" t="str">
            <v>71 RUE DE VOISINS</v>
          </cell>
          <cell r="T93">
            <v>77410</v>
          </cell>
          <cell r="U93" t="str">
            <v>CLAYE-SOUILLY</v>
          </cell>
          <cell r="V93" t="str">
            <v>M.</v>
          </cell>
          <cell r="W93" t="str">
            <v>KAHLOUCHE HASNI</v>
          </cell>
          <cell r="X93" t="str">
            <v>77410</v>
          </cell>
          <cell r="Y93" t="str">
            <v>CLAYE-SOUILLY</v>
          </cell>
          <cell r="Z93">
            <v>800</v>
          </cell>
          <cell r="AA93">
            <v>16154.179999999998</v>
          </cell>
          <cell r="AD93">
            <v>16954.18</v>
          </cell>
          <cell r="AG93">
            <v>18407.080000000002</v>
          </cell>
          <cell r="AH93">
            <v>0.14933217878707725</v>
          </cell>
          <cell r="AL93">
            <v>18407.080000000002</v>
          </cell>
          <cell r="AM93">
            <v>25769.912</v>
          </cell>
          <cell r="AN93">
            <v>0.51997395332596441</v>
          </cell>
          <cell r="AO93" t="str">
            <v>001-G-95SACATEC</v>
          </cell>
          <cell r="AQ93">
            <v>40641</v>
          </cell>
          <cell r="AX93">
            <v>18407.080000000002</v>
          </cell>
          <cell r="AY93">
            <v>0</v>
          </cell>
          <cell r="AZ93">
            <v>0</v>
          </cell>
        </row>
        <row r="94">
          <cell r="A94">
            <v>388176</v>
          </cell>
          <cell r="B94" t="str">
            <v>POURCHET FRANCE SARL</v>
          </cell>
          <cell r="C94">
            <v>3.5000000000000003E-2</v>
          </cell>
          <cell r="D94">
            <v>3.5000000000000003E-2</v>
          </cell>
          <cell r="F94">
            <v>41275</v>
          </cell>
          <cell r="G94" t="str">
            <v>OUI</v>
          </cell>
          <cell r="H94" t="str">
            <v>Passage T5 BIS MPL</v>
          </cell>
          <cell r="I94">
            <v>0</v>
          </cell>
          <cell r="J94">
            <v>0</v>
          </cell>
          <cell r="K94" t="str">
            <v>OK</v>
          </cell>
          <cell r="L94" t="str">
            <v>OK</v>
          </cell>
          <cell r="N94" t="str">
            <v>Non affecté</v>
          </cell>
          <cell r="O94" t="str">
            <v>JPP</v>
          </cell>
          <cell r="P94" t="str">
            <v>Ok mon client</v>
          </cell>
          <cell r="Q94" t="str">
            <v>GENNEVILLIERS</v>
          </cell>
          <cell r="R94" t="str">
            <v>75</v>
          </cell>
          <cell r="S94" t="str">
            <v>226 RUE ST MARTIN</v>
          </cell>
          <cell r="T94" t="str">
            <v>75003</v>
          </cell>
          <cell r="U94" t="str">
            <v>PARIS</v>
          </cell>
          <cell r="V94" t="str">
            <v>M.</v>
          </cell>
          <cell r="W94" t="str">
            <v>VUAONG</v>
          </cell>
          <cell r="X94" t="str">
            <v>75003</v>
          </cell>
          <cell r="Y94" t="str">
            <v>PARIS</v>
          </cell>
          <cell r="AA94">
            <v>2636.77</v>
          </cell>
          <cell r="AB94">
            <v>8715.3799999999992</v>
          </cell>
          <cell r="AD94">
            <v>11352.15</v>
          </cell>
          <cell r="AE94">
            <v>479</v>
          </cell>
          <cell r="AG94">
            <v>10694.74</v>
          </cell>
          <cell r="AH94">
            <v>0.51742102836202142</v>
          </cell>
          <cell r="AI94">
            <v>6980.9699999999993</v>
          </cell>
          <cell r="AJ94">
            <v>0.53166334953022421</v>
          </cell>
          <cell r="AL94">
            <v>18154.71</v>
          </cell>
          <cell r="AM94">
            <v>25416.593999999997</v>
          </cell>
          <cell r="AN94">
            <v>1.2389233757482061</v>
          </cell>
          <cell r="AO94" t="str">
            <v>259-G-75POURCHET</v>
          </cell>
          <cell r="AP94" t="str">
            <v>259-L-93LHC</v>
          </cell>
          <cell r="AQ94">
            <v>38575</v>
          </cell>
          <cell r="AX94">
            <v>11069.055899999999</v>
          </cell>
          <cell r="AY94">
            <v>7225.3039499999986</v>
          </cell>
          <cell r="AZ94">
            <v>479</v>
          </cell>
        </row>
        <row r="95">
          <cell r="A95">
            <v>634822</v>
          </cell>
          <cell r="B95" t="str">
            <v>COMPTOIR FRANCAIS DE LA CHEMISE</v>
          </cell>
          <cell r="C95">
            <v>3.7999999999999999E-2</v>
          </cell>
          <cell r="D95">
            <v>3.7999999999999999E-2</v>
          </cell>
          <cell r="E95">
            <v>0.02</v>
          </cell>
          <cell r="F95">
            <v>41275</v>
          </cell>
          <cell r="G95" t="str">
            <v>OUI</v>
          </cell>
          <cell r="I95">
            <v>0</v>
          </cell>
          <cell r="J95">
            <v>0</v>
          </cell>
          <cell r="K95" t="str">
            <v>OK</v>
          </cell>
          <cell r="L95" t="str">
            <v>OK</v>
          </cell>
          <cell r="M95" t="str">
            <v>Porte Feuille</v>
          </cell>
          <cell r="N95" t="str">
            <v>Non affecté</v>
          </cell>
          <cell r="O95" t="str">
            <v>AB</v>
          </cell>
          <cell r="P95" t="str">
            <v>Ok mon client</v>
          </cell>
          <cell r="Q95" t="str">
            <v>GENNEVILLIERS</v>
          </cell>
          <cell r="R95" t="str">
            <v>78</v>
          </cell>
          <cell r="S95" t="str">
            <v>89 CHEMIN DE RONDE</v>
          </cell>
          <cell r="T95" t="str">
            <v>78290</v>
          </cell>
          <cell r="U95" t="str">
            <v>CROISSY SUR SEINE</v>
          </cell>
          <cell r="V95" t="str">
            <v>M.</v>
          </cell>
          <cell r="W95" t="str">
            <v>LOUAZE</v>
          </cell>
          <cell r="X95" t="str">
            <v>78290</v>
          </cell>
          <cell r="Y95" t="str">
            <v>CROISSY SUR SEINE</v>
          </cell>
          <cell r="Z95">
            <v>4350</v>
          </cell>
          <cell r="AA95">
            <v>27231.190000000002</v>
          </cell>
          <cell r="AD95">
            <v>31581.190000000002</v>
          </cell>
          <cell r="AG95">
            <v>18034.77</v>
          </cell>
          <cell r="AH95">
            <v>0.23046557754718552</v>
          </cell>
          <cell r="AL95">
            <v>18034.77</v>
          </cell>
          <cell r="AM95">
            <v>25248.678</v>
          </cell>
          <cell r="AN95">
            <v>-0.20051530673796658</v>
          </cell>
          <cell r="AO95" t="str">
            <v>001-G-78COMPTOIRFRANCAI</v>
          </cell>
          <cell r="AP95" t="str">
            <v>001-L-78COMPTOIRFRANCAI</v>
          </cell>
          <cell r="AQ95">
            <v>39191</v>
          </cell>
          <cell r="AX95">
            <v>18720.091260000001</v>
          </cell>
          <cell r="AY95">
            <v>0</v>
          </cell>
          <cell r="AZ95">
            <v>0</v>
          </cell>
        </row>
        <row r="96">
          <cell r="A96">
            <v>856879</v>
          </cell>
          <cell r="B96" t="str">
            <v>ALCOA FIXATIONS SIMMONDS SAS</v>
          </cell>
          <cell r="G96" t="str">
            <v>NON</v>
          </cell>
          <cell r="H96" t="str">
            <v>AO EN COURS/GRAND COMPTE</v>
          </cell>
          <cell r="I96">
            <v>0</v>
          </cell>
          <cell r="J96">
            <v>0</v>
          </cell>
          <cell r="K96" t="str">
            <v>NON</v>
          </cell>
          <cell r="L96" t="str">
            <v>NON</v>
          </cell>
          <cell r="N96" t="str">
            <v>Non affecté</v>
          </cell>
          <cell r="O96" t="str">
            <v>MM</v>
          </cell>
          <cell r="P96" t="str">
            <v>Ok mon client</v>
          </cell>
          <cell r="Q96" t="str">
            <v>GENNEVILLIERS</v>
          </cell>
          <cell r="R96" t="str">
            <v>95</v>
          </cell>
          <cell r="S96" t="str">
            <v>15 RUE DU PETIT ALBI</v>
          </cell>
          <cell r="T96">
            <v>95807</v>
          </cell>
          <cell r="U96" t="str">
            <v>CERGY-PONTOISE</v>
          </cell>
          <cell r="V96" t="str">
            <v>MR</v>
          </cell>
          <cell r="W96" t="str">
            <v>RENAULT</v>
          </cell>
          <cell r="X96" t="str">
            <v>95807</v>
          </cell>
          <cell r="Y96" t="str">
            <v>CERGY-PONTOISE</v>
          </cell>
          <cell r="AA96">
            <v>2122.0099999999998</v>
          </cell>
          <cell r="AB96">
            <v>1137.48</v>
          </cell>
          <cell r="AD96">
            <v>3259.49</v>
          </cell>
          <cell r="AG96">
            <v>9734.619999999999</v>
          </cell>
          <cell r="AH96">
            <v>8.5838464324520136E-2</v>
          </cell>
          <cell r="AI96">
            <v>8056.5700000000006</v>
          </cell>
          <cell r="AJ96">
            <v>0.30140419406943131</v>
          </cell>
          <cell r="AL96">
            <v>17791.189999999999</v>
          </cell>
          <cell r="AM96">
            <v>24907.665999999997</v>
          </cell>
          <cell r="AN96">
            <v>6.6415838060555483</v>
          </cell>
          <cell r="AO96" t="str">
            <v>001-G-95ALCOAFIXATION</v>
          </cell>
          <cell r="AQ96">
            <v>40798</v>
          </cell>
          <cell r="AX96">
            <v>9734.619999999999</v>
          </cell>
          <cell r="AY96">
            <v>8056.5700000000006</v>
          </cell>
          <cell r="AZ96">
            <v>0</v>
          </cell>
        </row>
        <row r="97">
          <cell r="A97">
            <v>42280</v>
          </cell>
          <cell r="B97" t="str">
            <v>AZUR SCENIC</v>
          </cell>
          <cell r="C97">
            <v>3.5000000000000003E-2</v>
          </cell>
          <cell r="D97">
            <v>3.5000000000000003E-2</v>
          </cell>
          <cell r="E97">
            <v>3.5000000000000003E-2</v>
          </cell>
          <cell r="F97">
            <v>41275</v>
          </cell>
          <cell r="G97" t="str">
            <v>NON</v>
          </cell>
          <cell r="H97" t="str">
            <v>ENVOYER PAR MAIL</v>
          </cell>
          <cell r="I97">
            <v>0</v>
          </cell>
          <cell r="J97">
            <v>0</v>
          </cell>
          <cell r="K97" t="str">
            <v>OK</v>
          </cell>
          <cell r="L97" t="str">
            <v>OK</v>
          </cell>
          <cell r="N97" t="str">
            <v>Non affecté</v>
          </cell>
          <cell r="O97" t="str">
            <v>JPP</v>
          </cell>
          <cell r="P97" t="str">
            <v>Rajouté</v>
          </cell>
          <cell r="Q97" t="str">
            <v>GENNEVILLIERS</v>
          </cell>
          <cell r="R97" t="str">
            <v>06</v>
          </cell>
          <cell r="S97" t="str">
            <v>265 route de la Baronne</v>
          </cell>
          <cell r="T97" t="str">
            <v>06640</v>
          </cell>
          <cell r="U97" t="str">
            <v>SAINT JEANNNET</v>
          </cell>
          <cell r="W97" t="str">
            <v>Directeur Logistique et Transports</v>
          </cell>
          <cell r="X97" t="str">
            <v>06640</v>
          </cell>
          <cell r="Y97" t="str">
            <v>SAINT JEANNNET</v>
          </cell>
          <cell r="Z97">
            <v>790</v>
          </cell>
          <cell r="AA97">
            <v>17687.7</v>
          </cell>
          <cell r="AB97">
            <v>929.02</v>
          </cell>
          <cell r="AD97">
            <v>19406.72</v>
          </cell>
          <cell r="AG97">
            <v>17112.61</v>
          </cell>
          <cell r="AI97">
            <v>670.79</v>
          </cell>
          <cell r="AL97">
            <v>17783.400000000001</v>
          </cell>
          <cell r="AM97">
            <v>24896.760000000002</v>
          </cell>
          <cell r="AN97">
            <v>0.28289376051182269</v>
          </cell>
          <cell r="AX97">
            <v>17711.551349999998</v>
          </cell>
          <cell r="AY97">
            <v>694.26764999999989</v>
          </cell>
          <cell r="AZ97">
            <v>0</v>
          </cell>
        </row>
        <row r="98">
          <cell r="A98">
            <v>58</v>
          </cell>
          <cell r="B98" t="str">
            <v>HELLERMANN TYTON</v>
          </cell>
          <cell r="C98">
            <v>4.2000000000000003E-2</v>
          </cell>
          <cell r="D98">
            <v>4.2000000000000003E-2</v>
          </cell>
          <cell r="E98">
            <v>0</v>
          </cell>
          <cell r="F98">
            <v>41275</v>
          </cell>
          <cell r="G98" t="str">
            <v>OUI</v>
          </cell>
          <cell r="I98">
            <v>0</v>
          </cell>
          <cell r="J98">
            <v>0</v>
          </cell>
          <cell r="K98" t="str">
            <v>OK</v>
          </cell>
          <cell r="L98" t="str">
            <v>OK</v>
          </cell>
          <cell r="M98" t="str">
            <v>Porte Feuille</v>
          </cell>
          <cell r="N98" t="str">
            <v>Non affecté</v>
          </cell>
          <cell r="O98" t="str">
            <v>AB</v>
          </cell>
          <cell r="P98" t="str">
            <v>Ok mon client</v>
          </cell>
          <cell r="Q98" t="str">
            <v>GENNEVILLIERS</v>
          </cell>
          <cell r="R98" t="str">
            <v>78</v>
          </cell>
          <cell r="S98" t="str">
            <v xml:space="preserve">2 RUE DES HETRES                </v>
          </cell>
          <cell r="T98" t="str">
            <v>78196</v>
          </cell>
          <cell r="U98" t="str">
            <v>TRAPPES</v>
          </cell>
          <cell r="V98" t="str">
            <v>M.</v>
          </cell>
          <cell r="W98" t="str">
            <v>LECLERCQ</v>
          </cell>
          <cell r="X98" t="str">
            <v>78196</v>
          </cell>
          <cell r="Y98" t="str">
            <v>TRAPPES</v>
          </cell>
          <cell r="AA98">
            <v>22831.78</v>
          </cell>
          <cell r="AB98">
            <v>3352.1</v>
          </cell>
          <cell r="AD98">
            <v>26183.879999999997</v>
          </cell>
          <cell r="AG98">
            <v>15762.09</v>
          </cell>
          <cell r="AH98">
            <v>0.21238064166066442</v>
          </cell>
          <cell r="AI98">
            <v>1991.23</v>
          </cell>
          <cell r="AJ98">
            <v>0.57446921726174627</v>
          </cell>
          <cell r="AL98">
            <v>17753.32</v>
          </cell>
          <cell r="AM98">
            <v>24854.647999999997</v>
          </cell>
          <cell r="AN98">
            <v>-5.0765280011976888E-2</v>
          </cell>
          <cell r="AO98" t="str">
            <v>001-G-78HELLERMANNTYTON</v>
          </cell>
          <cell r="AP98" t="str">
            <v>001-L-78HELLERMANNTYTON</v>
          </cell>
          <cell r="AX98">
            <v>16424.09778</v>
          </cell>
          <cell r="AY98">
            <v>2074.86166</v>
          </cell>
          <cell r="AZ98">
            <v>0</v>
          </cell>
        </row>
        <row r="99">
          <cell r="A99">
            <v>466662</v>
          </cell>
          <cell r="B99" t="str">
            <v>WIVINE</v>
          </cell>
          <cell r="C99">
            <v>0.05</v>
          </cell>
          <cell r="D99">
            <v>0.05</v>
          </cell>
          <cell r="E99">
            <v>0.05</v>
          </cell>
          <cell r="F99">
            <v>41275</v>
          </cell>
          <cell r="G99" t="str">
            <v>OUI</v>
          </cell>
          <cell r="I99">
            <v>0</v>
          </cell>
          <cell r="J99">
            <v>0</v>
          </cell>
          <cell r="K99" t="str">
            <v>OK</v>
          </cell>
          <cell r="L99" t="str">
            <v>OK</v>
          </cell>
          <cell r="M99" t="str">
            <v>Porte Feuille</v>
          </cell>
          <cell r="N99" t="str">
            <v>Non affecté</v>
          </cell>
          <cell r="O99" t="str">
            <v>JPP</v>
          </cell>
          <cell r="P99" t="str">
            <v>Ok mon client</v>
          </cell>
          <cell r="Q99" t="str">
            <v>GENNEVILLIERS</v>
          </cell>
          <cell r="R99" t="str">
            <v>92</v>
          </cell>
          <cell r="S99" t="str">
            <v>69 RUE DE BELLEVUE</v>
          </cell>
          <cell r="T99" t="str">
            <v>92100</v>
          </cell>
          <cell r="U99" t="str">
            <v>BOULOGNE</v>
          </cell>
          <cell r="V99" t="str">
            <v>M.</v>
          </cell>
          <cell r="W99" t="str">
            <v>BEAULIEU</v>
          </cell>
          <cell r="X99" t="str">
            <v>92100</v>
          </cell>
          <cell r="Y99" t="str">
            <v>BOULOGNE</v>
          </cell>
          <cell r="Z99">
            <v>589.54</v>
          </cell>
          <cell r="AA99">
            <v>30815.61</v>
          </cell>
          <cell r="AD99">
            <v>31405.15</v>
          </cell>
          <cell r="AG99">
            <v>17699.009999999998</v>
          </cell>
          <cell r="AH99">
            <v>0.17647674540316405</v>
          </cell>
          <cell r="AL99">
            <v>17699.009999999998</v>
          </cell>
          <cell r="AM99">
            <v>24778.613999999998</v>
          </cell>
          <cell r="AN99">
            <v>-0.21100157139832176</v>
          </cell>
          <cell r="AO99" t="str">
            <v>028-G-28WIVINE</v>
          </cell>
          <cell r="AP99" t="str">
            <v>028-L-28WIVINE</v>
          </cell>
          <cell r="AQ99">
            <v>38995</v>
          </cell>
          <cell r="AX99">
            <v>18583.960499999997</v>
          </cell>
          <cell r="AY99">
            <v>0</v>
          </cell>
          <cell r="AZ99">
            <v>0</v>
          </cell>
        </row>
        <row r="100">
          <cell r="A100">
            <v>824510</v>
          </cell>
          <cell r="B100" t="str">
            <v>ETABLISSEMENT F DUTHOIT</v>
          </cell>
          <cell r="H100" t="str">
            <v>PAS DE HAUSSE</v>
          </cell>
          <cell r="I100">
            <v>0</v>
          </cell>
          <cell r="J100">
            <v>0</v>
          </cell>
          <cell r="K100" t="str">
            <v>NON</v>
          </cell>
          <cell r="L100" t="str">
            <v>NON</v>
          </cell>
          <cell r="M100" t="str">
            <v>Porte Feuille</v>
          </cell>
          <cell r="N100" t="str">
            <v>Non affecté</v>
          </cell>
          <cell r="O100" t="str">
            <v>AB</v>
          </cell>
          <cell r="P100" t="str">
            <v>Ok mon client</v>
          </cell>
          <cell r="Q100" t="str">
            <v>GENNEVILLIERS</v>
          </cell>
          <cell r="R100" t="str">
            <v>78</v>
          </cell>
          <cell r="S100" t="str">
            <v>29 RUE DE SEINE</v>
          </cell>
          <cell r="T100" t="str">
            <v>78930</v>
          </cell>
          <cell r="U100" t="str">
            <v>GUERVILLE</v>
          </cell>
          <cell r="V100" t="str">
            <v>M.</v>
          </cell>
          <cell r="W100" t="str">
            <v>DUTHOIT</v>
          </cell>
          <cell r="X100" t="str">
            <v>78930</v>
          </cell>
          <cell r="Y100" t="str">
            <v>GUERVILLE</v>
          </cell>
          <cell r="Z100">
            <v>34045.15</v>
          </cell>
          <cell r="AA100">
            <v>1460.94</v>
          </cell>
          <cell r="AD100">
            <v>35506.090000000004</v>
          </cell>
          <cell r="AE100">
            <v>17686.939999999999</v>
          </cell>
          <cell r="AF100">
            <v>0.20774776647381954</v>
          </cell>
          <cell r="AL100">
            <v>17686.939999999999</v>
          </cell>
          <cell r="AM100">
            <v>24761.715999999997</v>
          </cell>
          <cell r="AN100">
            <v>-0.30260651060142096</v>
          </cell>
          <cell r="AO100" t="str">
            <v>001-G-78DUTHOIT</v>
          </cell>
          <cell r="AP100" t="str">
            <v>001-L1-78DUTHOIT</v>
          </cell>
          <cell r="AQ100">
            <v>40254</v>
          </cell>
          <cell r="AX100">
            <v>0</v>
          </cell>
          <cell r="AY100">
            <v>0</v>
          </cell>
          <cell r="AZ100">
            <v>17686.939999999999</v>
          </cell>
        </row>
        <row r="101">
          <cell r="A101">
            <v>517932</v>
          </cell>
          <cell r="B101" t="str">
            <v>VACOUR</v>
          </cell>
          <cell r="C101">
            <v>4.2000000000000003E-2</v>
          </cell>
          <cell r="D101">
            <v>4.2000000000000003E-2</v>
          </cell>
          <cell r="E101">
            <v>0.02</v>
          </cell>
          <cell r="F101">
            <v>41275</v>
          </cell>
          <cell r="G101" t="str">
            <v>OUI</v>
          </cell>
          <cell r="I101">
            <v>0</v>
          </cell>
          <cell r="J101">
            <v>0</v>
          </cell>
          <cell r="K101" t="str">
            <v>OK</v>
          </cell>
          <cell r="L101" t="str">
            <v>OK</v>
          </cell>
          <cell r="M101" t="str">
            <v>Porte Feuille</v>
          </cell>
          <cell r="N101" t="str">
            <v>Non affecté</v>
          </cell>
          <cell r="O101" t="str">
            <v>AB</v>
          </cell>
          <cell r="P101" t="str">
            <v>Ok mon client</v>
          </cell>
          <cell r="Q101" t="str">
            <v>GENNEVILLIERS</v>
          </cell>
          <cell r="R101" t="str">
            <v>78</v>
          </cell>
          <cell r="S101" t="str">
            <v xml:space="preserve">9 RUE DES ENTREPRENEURS         </v>
          </cell>
          <cell r="T101" t="str">
            <v>78420</v>
          </cell>
          <cell r="U101" t="str">
            <v>CARRIERES SUR SEINE</v>
          </cell>
          <cell r="V101" t="str">
            <v>M.</v>
          </cell>
          <cell r="W101" t="str">
            <v>AIT AISSA</v>
          </cell>
          <cell r="X101" t="str">
            <v>78420</v>
          </cell>
          <cell r="Y101" t="str">
            <v>CARRIERES SUR SEINE</v>
          </cell>
          <cell r="Z101">
            <v>1795.5</v>
          </cell>
          <cell r="AA101">
            <v>19987.580000000002</v>
          </cell>
          <cell r="AB101">
            <v>44.35</v>
          </cell>
          <cell r="AD101">
            <v>21827.43</v>
          </cell>
          <cell r="AG101">
            <v>17431.22</v>
          </cell>
          <cell r="AH101">
            <v>0.76498325809148782</v>
          </cell>
          <cell r="AL101">
            <v>17431.22</v>
          </cell>
          <cell r="AM101">
            <v>24403.707999999999</v>
          </cell>
          <cell r="AN101">
            <v>0.11802937863046625</v>
          </cell>
          <cell r="AO101" t="str">
            <v>001-G-78VACOUR</v>
          </cell>
          <cell r="AP101" t="str">
            <v>001-L-78VACOUR</v>
          </cell>
          <cell r="AX101">
            <v>18163.331240000003</v>
          </cell>
          <cell r="AY101">
            <v>0</v>
          </cell>
          <cell r="AZ101">
            <v>0</v>
          </cell>
        </row>
        <row r="102">
          <cell r="A102">
            <v>434042</v>
          </cell>
          <cell r="B102" t="str">
            <v>ELGIN</v>
          </cell>
          <cell r="C102">
            <v>3.5000000000000003E-2</v>
          </cell>
          <cell r="D102">
            <v>0</v>
          </cell>
          <cell r="E102">
            <v>0.01</v>
          </cell>
          <cell r="F102">
            <v>41306</v>
          </cell>
          <cell r="G102" t="str">
            <v>OUI</v>
          </cell>
          <cell r="I102">
            <v>0</v>
          </cell>
          <cell r="J102">
            <v>0</v>
          </cell>
          <cell r="K102" t="str">
            <v>OK</v>
          </cell>
          <cell r="L102" t="str">
            <v>OK</v>
          </cell>
          <cell r="M102" t="str">
            <v>Porte Feuille</v>
          </cell>
          <cell r="N102" t="str">
            <v>Non affecté</v>
          </cell>
          <cell r="O102" t="str">
            <v>JPP</v>
          </cell>
          <cell r="P102" t="str">
            <v>Ok mon client</v>
          </cell>
          <cell r="Q102" t="str">
            <v>GENNEVILLIERS</v>
          </cell>
          <cell r="R102" t="str">
            <v>93</v>
          </cell>
          <cell r="S102" t="str">
            <v>42 CHEMIN DE LA FOSSETTE</v>
          </cell>
          <cell r="T102" t="str">
            <v>93220</v>
          </cell>
          <cell r="U102" t="str">
            <v>GAGNY</v>
          </cell>
          <cell r="V102" t="str">
            <v>M.</v>
          </cell>
          <cell r="W102" t="str">
            <v>DE CASTELLANE</v>
          </cell>
          <cell r="X102" t="str">
            <v>93220</v>
          </cell>
          <cell r="Y102" t="str">
            <v>GAGNY</v>
          </cell>
          <cell r="Z102">
            <v>2204.0700000000002</v>
          </cell>
          <cell r="AA102">
            <v>8082.24</v>
          </cell>
          <cell r="AB102">
            <v>19181.099999999995</v>
          </cell>
          <cell r="AD102">
            <v>29467.409999999996</v>
          </cell>
          <cell r="AE102">
            <v>1494</v>
          </cell>
          <cell r="AF102">
            <v>-0.45198756747914276</v>
          </cell>
          <cell r="AG102">
            <v>4386.2300000000005</v>
          </cell>
          <cell r="AH102">
            <v>0.1179995275150873</v>
          </cell>
          <cell r="AI102">
            <v>11517.05</v>
          </cell>
          <cell r="AJ102">
            <v>0.4271316395329709</v>
          </cell>
          <cell r="AL102">
            <v>17397.28</v>
          </cell>
          <cell r="AM102">
            <v>24356.191999999995</v>
          </cell>
          <cell r="AN102">
            <v>-0.17345324886035118</v>
          </cell>
          <cell r="AO102" t="str">
            <v>259-G-93ELGIN</v>
          </cell>
          <cell r="AP102" t="str">
            <v>259-L-93ELGIN</v>
          </cell>
          <cell r="AQ102">
            <v>38727</v>
          </cell>
          <cell r="AX102">
            <v>4539.7480500000001</v>
          </cell>
          <cell r="AY102">
            <v>11517.05</v>
          </cell>
          <cell r="AZ102">
            <v>1508.94</v>
          </cell>
        </row>
        <row r="103">
          <cell r="A103">
            <v>480836</v>
          </cell>
          <cell r="B103" t="str">
            <v>CAMOPLAST SOLIDEAL FRANCE</v>
          </cell>
          <cell r="G103" t="str">
            <v>NON</v>
          </cell>
          <cell r="H103" t="str">
            <v>AO EN COURS</v>
          </cell>
          <cell r="I103">
            <v>0</v>
          </cell>
          <cell r="J103">
            <v>0</v>
          </cell>
          <cell r="K103" t="str">
            <v>NON</v>
          </cell>
          <cell r="L103" t="str">
            <v>NON</v>
          </cell>
          <cell r="M103" t="str">
            <v>Porte Feuille</v>
          </cell>
          <cell r="N103" t="str">
            <v>Non affecté</v>
          </cell>
          <cell r="O103" t="str">
            <v>MM</v>
          </cell>
          <cell r="P103" t="str">
            <v>Ok mon client</v>
          </cell>
          <cell r="Q103" t="str">
            <v>ORLEANS / ST JEAN DE</v>
          </cell>
          <cell r="R103">
            <v>45</v>
          </cell>
          <cell r="S103" t="str">
            <v>21 RUE DE LA GARE</v>
          </cell>
          <cell r="T103">
            <v>45330</v>
          </cell>
          <cell r="U103" t="str">
            <v>MALESHERBES</v>
          </cell>
          <cell r="V103" t="str">
            <v>Mr</v>
          </cell>
          <cell r="W103" t="str">
            <v>Jean-Christophe LEROY</v>
          </cell>
          <cell r="X103" t="str">
            <v>45330</v>
          </cell>
          <cell r="Y103" t="str">
            <v>MALESHERBES</v>
          </cell>
          <cell r="Z103">
            <v>4760.3999999999996</v>
          </cell>
          <cell r="AA103">
            <v>40668.379999999997</v>
          </cell>
          <cell r="AB103">
            <v>178.96</v>
          </cell>
          <cell r="AD103">
            <v>45607.739999999991</v>
          </cell>
          <cell r="AE103">
            <v>881.48</v>
          </cell>
          <cell r="AF103">
            <v>0.30798203022189957</v>
          </cell>
          <cell r="AG103">
            <v>16410.759999999998</v>
          </cell>
          <cell r="AH103">
            <v>0.25659382744764681</v>
          </cell>
          <cell r="AL103">
            <v>17292.239999999998</v>
          </cell>
          <cell r="AM103">
            <v>24209.135999999995</v>
          </cell>
          <cell r="AN103">
            <v>-0.4691879930906464</v>
          </cell>
          <cell r="AO103" t="str">
            <v>259-G-95SOLIDEAL</v>
          </cell>
          <cell r="AX103">
            <v>16410.759999999998</v>
          </cell>
          <cell r="AY103">
            <v>0</v>
          </cell>
          <cell r="AZ103">
            <v>881.48</v>
          </cell>
        </row>
        <row r="104">
          <cell r="A104">
            <v>434256</v>
          </cell>
          <cell r="B104" t="str">
            <v>4 POLE</v>
          </cell>
          <cell r="H104" t="str">
            <v>RENEGO DES GRILLES POUR CETTE ANNEE</v>
          </cell>
          <cell r="I104">
            <v>0</v>
          </cell>
          <cell r="J104">
            <v>0</v>
          </cell>
          <cell r="K104" t="str">
            <v>NON</v>
          </cell>
          <cell r="L104" t="str">
            <v>NON</v>
          </cell>
          <cell r="N104" t="str">
            <v>Non affecté</v>
          </cell>
          <cell r="O104" t="str">
            <v>AB</v>
          </cell>
          <cell r="P104" t="str">
            <v>Rajouté</v>
          </cell>
          <cell r="Q104" t="str">
            <v>GENNEVILLIERS</v>
          </cell>
          <cell r="R104" t="str">
            <v>67</v>
          </cell>
          <cell r="S104" t="str">
            <v>11 RUE DE LA HAYE - BP 946</v>
          </cell>
          <cell r="T104">
            <v>67013</v>
          </cell>
          <cell r="U104" t="str">
            <v>STRASBOURG CEDEX</v>
          </cell>
          <cell r="X104" t="str">
            <v>67013</v>
          </cell>
          <cell r="Y104" t="str">
            <v>STRASBOURG CEDEX</v>
          </cell>
          <cell r="AE104">
            <v>17156.480000000003</v>
          </cell>
          <cell r="AF104">
            <v>0.43127851755284485</v>
          </cell>
          <cell r="AL104">
            <v>17156.480000000003</v>
          </cell>
          <cell r="AM104">
            <v>24019.072000000004</v>
          </cell>
          <cell r="AO104" t="str">
            <v>028-G-28CEPL</v>
          </cell>
          <cell r="AP104" t="str">
            <v>028-L-28CEPL</v>
          </cell>
          <cell r="AQ104">
            <v>39168</v>
          </cell>
          <cell r="AX104">
            <v>0</v>
          </cell>
          <cell r="AY104">
            <v>0</v>
          </cell>
          <cell r="AZ104">
            <v>17156.480000000003</v>
          </cell>
        </row>
        <row r="105">
          <cell r="A105">
            <v>868141</v>
          </cell>
          <cell r="B105" t="str">
            <v>TROPHY</v>
          </cell>
          <cell r="H105" t="str">
            <v>A VOIR EN JUIN</v>
          </cell>
          <cell r="I105">
            <v>0</v>
          </cell>
          <cell r="J105">
            <v>0</v>
          </cell>
          <cell r="K105" t="str">
            <v>NON</v>
          </cell>
          <cell r="L105" t="str">
            <v>non</v>
          </cell>
          <cell r="O105" t="str">
            <v>AB</v>
          </cell>
          <cell r="P105" t="str">
            <v>ok mon client</v>
          </cell>
          <cell r="Q105" t="str">
            <v>GENNEVILLIERS</v>
          </cell>
          <cell r="R105" t="str">
            <v>78</v>
          </cell>
          <cell r="S105" t="str">
            <v>1 AVENUE EIFFEL</v>
          </cell>
          <cell r="T105">
            <v>78420</v>
          </cell>
          <cell r="U105" t="str">
            <v>CARRIERES SUR SEINE</v>
          </cell>
          <cell r="V105" t="str">
            <v>MME</v>
          </cell>
          <cell r="W105" t="str">
            <v>HACQUET Nathalie</v>
          </cell>
          <cell r="X105" t="str">
            <v>78421</v>
          </cell>
          <cell r="Y105" t="str">
            <v>CARRIERES SUR SEINE</v>
          </cell>
          <cell r="AE105">
            <v>1183.46</v>
          </cell>
          <cell r="AG105">
            <v>10809.72</v>
          </cell>
          <cell r="AI105">
            <v>4567.6400000000003</v>
          </cell>
          <cell r="AL105">
            <v>16560.82</v>
          </cell>
          <cell r="AM105">
            <v>23185.147999999997</v>
          </cell>
          <cell r="AO105" t="str">
            <v>001-G-78TROPHY</v>
          </cell>
          <cell r="AP105" t="str">
            <v>001-L1-78TROPHY</v>
          </cell>
          <cell r="AQ105">
            <v>41053</v>
          </cell>
          <cell r="AX105">
            <v>10809.72</v>
          </cell>
          <cell r="AY105">
            <v>4567.6400000000003</v>
          </cell>
          <cell r="AZ105">
            <v>1183.46</v>
          </cell>
        </row>
        <row r="106">
          <cell r="A106">
            <v>440207</v>
          </cell>
          <cell r="B106" t="str">
            <v>TOPOPLASTIC</v>
          </cell>
          <cell r="C106">
            <v>2.5000000000000001E-2</v>
          </cell>
          <cell r="D106">
            <v>3.5000000000000003E-2</v>
          </cell>
          <cell r="E106">
            <v>0.02</v>
          </cell>
          <cell r="F106">
            <v>41275</v>
          </cell>
          <cell r="I106">
            <v>0</v>
          </cell>
          <cell r="J106">
            <v>0</v>
          </cell>
          <cell r="K106" t="str">
            <v>OK</v>
          </cell>
          <cell r="L106" t="str">
            <v>OK</v>
          </cell>
          <cell r="N106" t="str">
            <v>Non affecté</v>
          </cell>
          <cell r="O106" t="str">
            <v>MM</v>
          </cell>
          <cell r="P106" t="str">
            <v>Ok mon client</v>
          </cell>
          <cell r="Q106" t="str">
            <v>GENNEVILLIERS</v>
          </cell>
          <cell r="R106" t="str">
            <v>95</v>
          </cell>
          <cell r="S106" t="str">
            <v>11 AVENUE DES CURES</v>
          </cell>
          <cell r="T106" t="str">
            <v>95580</v>
          </cell>
          <cell r="U106" t="str">
            <v>ANDILLY</v>
          </cell>
          <cell r="V106" t="str">
            <v>M.</v>
          </cell>
          <cell r="W106" t="str">
            <v>VOISIN Philippe</v>
          </cell>
          <cell r="X106" t="str">
            <v>95580</v>
          </cell>
          <cell r="Y106" t="str">
            <v>ANDILLY</v>
          </cell>
          <cell r="Z106">
            <v>1390.3400000000001</v>
          </cell>
          <cell r="AA106">
            <v>15747.730000000001</v>
          </cell>
          <cell r="AB106">
            <v>2906.85</v>
          </cell>
          <cell r="AD106">
            <v>20044.919999999998</v>
          </cell>
          <cell r="AE106">
            <v>703.88</v>
          </cell>
          <cell r="AF106">
            <v>0.26890672416546879</v>
          </cell>
          <cell r="AG106">
            <v>14912.170000000002</v>
          </cell>
          <cell r="AH106">
            <v>0.4509531707135277</v>
          </cell>
          <cell r="AI106">
            <v>469.14</v>
          </cell>
          <cell r="AJ106">
            <v>0.86696148123656802</v>
          </cell>
          <cell r="AL106">
            <v>16085.19</v>
          </cell>
          <cell r="AM106">
            <v>22519.266</v>
          </cell>
          <cell r="AN106">
            <v>0.1234400536395257</v>
          </cell>
          <cell r="AO106" t="str">
            <v>001-G-95TOPOPLASTIC</v>
          </cell>
          <cell r="AP106" t="str">
            <v>001_L1-95TOPOPLASTIC</v>
          </cell>
          <cell r="AQ106">
            <v>38800</v>
          </cell>
          <cell r="AX106">
            <v>15284.974250000001</v>
          </cell>
          <cell r="AY106">
            <v>485.55989999999997</v>
          </cell>
          <cell r="AZ106">
            <v>717.95759999999996</v>
          </cell>
        </row>
        <row r="107">
          <cell r="A107">
            <v>597449</v>
          </cell>
          <cell r="B107" t="str">
            <v>PRESSE CITRON</v>
          </cell>
          <cell r="C107">
            <v>3.5000000000000003E-2</v>
          </cell>
          <cell r="D107">
            <v>0</v>
          </cell>
          <cell r="E107">
            <v>0.02</v>
          </cell>
          <cell r="F107">
            <v>41306</v>
          </cell>
          <cell r="G107" t="str">
            <v>OUI</v>
          </cell>
          <cell r="I107">
            <v>0</v>
          </cell>
          <cell r="J107">
            <v>0</v>
          </cell>
          <cell r="K107" t="str">
            <v>OK</v>
          </cell>
          <cell r="L107" t="str">
            <v>OK</v>
          </cell>
          <cell r="M107" t="str">
            <v>Porte Feuille</v>
          </cell>
          <cell r="N107" t="str">
            <v>Non affecté</v>
          </cell>
          <cell r="O107" t="str">
            <v>JPP</v>
          </cell>
          <cell r="P107" t="str">
            <v>Ok mon client</v>
          </cell>
          <cell r="Q107" t="str">
            <v>GENNEVILLIERS</v>
          </cell>
          <cell r="R107" t="str">
            <v>75</v>
          </cell>
          <cell r="S107" t="str">
            <v>25 RUE GEORGES SAND</v>
          </cell>
          <cell r="T107" t="str">
            <v>75016</v>
          </cell>
          <cell r="U107" t="str">
            <v>PARIS 16</v>
          </cell>
          <cell r="V107" t="str">
            <v>M.</v>
          </cell>
          <cell r="W107" t="str">
            <v>CHAUDAUSON</v>
          </cell>
          <cell r="X107" t="str">
            <v>75016</v>
          </cell>
          <cell r="Y107" t="str">
            <v>PARIS 16</v>
          </cell>
          <cell r="AA107">
            <v>18558.860000000004</v>
          </cell>
          <cell r="AB107">
            <v>10321.42</v>
          </cell>
          <cell r="AD107">
            <v>28880.280000000006</v>
          </cell>
          <cell r="AG107">
            <v>10162.31</v>
          </cell>
          <cell r="AH107">
            <v>0.3498934512705506</v>
          </cell>
          <cell r="AI107">
            <v>5898.9599999999991</v>
          </cell>
          <cell r="AJ107">
            <v>0.49400334198401519</v>
          </cell>
          <cell r="AL107">
            <v>16061.269999999999</v>
          </cell>
          <cell r="AM107">
            <v>22485.777999999998</v>
          </cell>
          <cell r="AN107">
            <v>-0.22141412756386036</v>
          </cell>
          <cell r="AO107" t="str">
            <v>259-G-75PRESSECITRON</v>
          </cell>
          <cell r="AX107">
            <v>10517.990849999998</v>
          </cell>
          <cell r="AY107">
            <v>5898.9599999999991</v>
          </cell>
          <cell r="AZ107">
            <v>0</v>
          </cell>
        </row>
        <row r="108">
          <cell r="A108">
            <v>612509</v>
          </cell>
          <cell r="B108" t="str">
            <v>PROMUSEUM</v>
          </cell>
          <cell r="C108">
            <v>4.8000000000000001E-2</v>
          </cell>
          <cell r="D108">
            <v>4.8000000000000001E-2</v>
          </cell>
          <cell r="E108">
            <v>0.02</v>
          </cell>
          <cell r="F108">
            <v>41275</v>
          </cell>
          <cell r="G108" t="str">
            <v>OUI</v>
          </cell>
          <cell r="I108">
            <v>0</v>
          </cell>
          <cell r="J108">
            <v>0</v>
          </cell>
          <cell r="K108" t="str">
            <v>OK</v>
          </cell>
          <cell r="L108" t="str">
            <v>OK</v>
          </cell>
          <cell r="M108" t="str">
            <v>Porte Feuille</v>
          </cell>
          <cell r="N108" t="str">
            <v>Non affecté</v>
          </cell>
          <cell r="O108" t="str">
            <v>AB</v>
          </cell>
          <cell r="P108" t="str">
            <v>Ok mon client</v>
          </cell>
          <cell r="Q108" t="str">
            <v>GENNEVILLIERS</v>
          </cell>
          <cell r="R108" t="str">
            <v>78</v>
          </cell>
          <cell r="S108" t="str">
            <v>ALLEE JEAN CHAPTAL</v>
          </cell>
          <cell r="T108">
            <v>78710</v>
          </cell>
          <cell r="U108" t="str">
            <v>ROSNY SUR SEINE</v>
          </cell>
          <cell r="V108" t="str">
            <v>M.</v>
          </cell>
          <cell r="W108" t="str">
            <v>ADE</v>
          </cell>
          <cell r="X108" t="str">
            <v>78710</v>
          </cell>
          <cell r="Y108" t="str">
            <v>ROSNY SUR SEINE</v>
          </cell>
          <cell r="Z108">
            <v>2683.64</v>
          </cell>
          <cell r="AA108">
            <v>13132.24</v>
          </cell>
          <cell r="AB108">
            <v>9625.64</v>
          </cell>
          <cell r="AD108">
            <v>25441.519999999997</v>
          </cell>
          <cell r="AE108">
            <v>663.11</v>
          </cell>
          <cell r="AF108">
            <v>8.2833333333333332</v>
          </cell>
          <cell r="AG108">
            <v>11175.19</v>
          </cell>
          <cell r="AH108">
            <v>0.22714535901926608</v>
          </cell>
          <cell r="AI108">
            <v>3772.89</v>
          </cell>
          <cell r="AJ108">
            <v>0.54057185226377469</v>
          </cell>
          <cell r="AL108">
            <v>15611.19</v>
          </cell>
          <cell r="AM108">
            <v>21855.666000000001</v>
          </cell>
          <cell r="AN108">
            <v>-0.14094495926344008</v>
          </cell>
          <cell r="AO108" t="str">
            <v>001-G-78PROMUSEUM</v>
          </cell>
          <cell r="AP108" t="str">
            <v>001-L-78PROMUSEUM</v>
          </cell>
          <cell r="AQ108">
            <v>40094</v>
          </cell>
          <cell r="AX108">
            <v>11711.599120000001</v>
          </cell>
          <cell r="AY108">
            <v>3953.9887199999998</v>
          </cell>
          <cell r="AZ108">
            <v>676.37220000000002</v>
          </cell>
        </row>
        <row r="109">
          <cell r="A109">
            <v>629280</v>
          </cell>
          <cell r="B109" t="str">
            <v>BODI</v>
          </cell>
          <cell r="C109">
            <v>3.5999999999999997E-2</v>
          </cell>
          <cell r="D109">
            <v>3.5999999999999997E-2</v>
          </cell>
          <cell r="E109">
            <v>3.5999999999999997E-2</v>
          </cell>
          <cell r="F109">
            <v>41275</v>
          </cell>
          <cell r="G109" t="str">
            <v>NON</v>
          </cell>
          <cell r="H109" t="str">
            <v>IDEM BALDI</v>
          </cell>
          <cell r="I109">
            <v>0</v>
          </cell>
          <cell r="J109">
            <v>0</v>
          </cell>
          <cell r="K109" t="str">
            <v>OK</v>
          </cell>
          <cell r="L109" t="str">
            <v>OK</v>
          </cell>
          <cell r="N109" t="str">
            <v>Non affecté</v>
          </cell>
          <cell r="O109" t="str">
            <v>JPP</v>
          </cell>
          <cell r="P109" t="str">
            <v>Ok mon client</v>
          </cell>
          <cell r="Q109" t="str">
            <v>GENNEVILLIERS</v>
          </cell>
          <cell r="R109" t="str">
            <v>93</v>
          </cell>
          <cell r="S109" t="str">
            <v>26 AV MARCEL DASSAULT</v>
          </cell>
          <cell r="T109" t="str">
            <v>93370</v>
          </cell>
          <cell r="U109" t="str">
            <v>MONTFERMEIL</v>
          </cell>
          <cell r="V109" t="str">
            <v>M.</v>
          </cell>
          <cell r="W109" t="str">
            <v>BALDI</v>
          </cell>
          <cell r="X109" t="str">
            <v>93370</v>
          </cell>
          <cell r="Y109" t="str">
            <v>MONTFERMEIL</v>
          </cell>
          <cell r="Z109">
            <v>2369.1299999999997</v>
          </cell>
          <cell r="AA109">
            <v>17779.100000000002</v>
          </cell>
          <cell r="AB109">
            <v>102.94</v>
          </cell>
          <cell r="AD109">
            <v>20251.170000000002</v>
          </cell>
          <cell r="AE109">
            <v>655.69</v>
          </cell>
          <cell r="AF109">
            <v>0.35303753293924928</v>
          </cell>
          <cell r="AG109">
            <v>14736.49</v>
          </cell>
          <cell r="AH109">
            <v>0.26706268334228411</v>
          </cell>
          <cell r="AI109">
            <v>78.350000000000009</v>
          </cell>
          <cell r="AJ109">
            <v>10.533333333333335</v>
          </cell>
          <cell r="AL109">
            <v>15470.53</v>
          </cell>
          <cell r="AM109">
            <v>21658.741999999998</v>
          </cell>
          <cell r="AN109">
            <v>6.9505712509449813E-2</v>
          </cell>
          <cell r="AO109" t="str">
            <v>259-G-93BODI</v>
          </cell>
          <cell r="AP109" t="str">
            <v>259-L-93BODI</v>
          </cell>
          <cell r="AQ109">
            <v>39128</v>
          </cell>
          <cell r="AX109">
            <v>15267.003640000001</v>
          </cell>
          <cell r="AY109">
            <v>81.170600000000007</v>
          </cell>
          <cell r="AZ109">
            <v>679.29484000000002</v>
          </cell>
        </row>
        <row r="110">
          <cell r="A110">
            <v>683157</v>
          </cell>
          <cell r="B110" t="str">
            <v>BREVIDEX</v>
          </cell>
          <cell r="C110">
            <v>4.8000000000000001E-2</v>
          </cell>
          <cell r="D110">
            <v>4.8000000000000001E-2</v>
          </cell>
          <cell r="E110">
            <v>0.02</v>
          </cell>
          <cell r="F110">
            <v>41275</v>
          </cell>
          <cell r="I110">
            <v>0</v>
          </cell>
          <cell r="J110">
            <v>0</v>
          </cell>
          <cell r="K110" t="str">
            <v>OK</v>
          </cell>
          <cell r="L110" t="str">
            <v>OK</v>
          </cell>
          <cell r="N110" t="str">
            <v>Non affecté</v>
          </cell>
          <cell r="O110" t="str">
            <v>AB</v>
          </cell>
          <cell r="P110" t="str">
            <v>Rajouté</v>
          </cell>
          <cell r="Q110" t="str">
            <v>GENNEVILLIERS</v>
          </cell>
          <cell r="R110">
            <v>93</v>
          </cell>
          <cell r="S110" t="str">
            <v>17 RUE ETIENNE ET JOSEPH MONTGOLFI</v>
          </cell>
          <cell r="T110">
            <v>93110</v>
          </cell>
          <cell r="U110" t="str">
            <v>ROSNY SOUS BOIS CEDEX</v>
          </cell>
          <cell r="X110" t="str">
            <v>93111</v>
          </cell>
          <cell r="Y110" t="str">
            <v>ROSNY SOUS BOIS</v>
          </cell>
          <cell r="AD110">
            <v>0</v>
          </cell>
          <cell r="AE110">
            <v>14940.2</v>
          </cell>
          <cell r="AF110">
            <v>0.17785571812960999</v>
          </cell>
          <cell r="AG110">
            <v>88.72</v>
          </cell>
          <cell r="AH110">
            <v>-0.38818755635707858</v>
          </cell>
          <cell r="AK110">
            <v>155.20999999999998</v>
          </cell>
          <cell r="AL110">
            <v>15184.13</v>
          </cell>
          <cell r="AM110">
            <v>21257.781999999999</v>
          </cell>
          <cell r="AO110" t="str">
            <v>001-G-93BREVIDEX</v>
          </cell>
          <cell r="AP110" t="str">
            <v>001-L-93BREVIDEX</v>
          </cell>
          <cell r="AX110">
            <v>92.978560000000002</v>
          </cell>
          <cell r="AY110">
            <v>0</v>
          </cell>
          <cell r="AZ110">
            <v>15239.004000000001</v>
          </cell>
        </row>
        <row r="111">
          <cell r="A111">
            <v>842719</v>
          </cell>
          <cell r="B111" t="str">
            <v>VERO TRADE</v>
          </cell>
          <cell r="G111" t="str">
            <v>NON</v>
          </cell>
          <cell r="H111" t="str">
            <v>COTATION</v>
          </cell>
          <cell r="I111">
            <v>0</v>
          </cell>
          <cell r="J111">
            <v>0</v>
          </cell>
          <cell r="K111" t="str">
            <v>NON</v>
          </cell>
          <cell r="L111" t="str">
            <v>NON</v>
          </cell>
          <cell r="M111" t="str">
            <v>Porte Feuille</v>
          </cell>
          <cell r="N111" t="str">
            <v>Non affecté</v>
          </cell>
          <cell r="O111" t="str">
            <v>JPP</v>
          </cell>
          <cell r="P111" t="str">
            <v>Ok mon client</v>
          </cell>
          <cell r="Q111" t="str">
            <v>GENNEVILLIERS</v>
          </cell>
          <cell r="R111" t="str">
            <v>93</v>
          </cell>
          <cell r="S111" t="str">
            <v>43/45 RUE CHABROL</v>
          </cell>
          <cell r="T111">
            <v>93120</v>
          </cell>
          <cell r="U111" t="str">
            <v>LA COURNEUVE</v>
          </cell>
          <cell r="W111" t="str">
            <v>Directeur Logistique et Transports</v>
          </cell>
          <cell r="X111" t="str">
            <v>93120</v>
          </cell>
          <cell r="Y111" t="str">
            <v>LA COURNEUVE</v>
          </cell>
          <cell r="Z111">
            <v>26505.600000000002</v>
          </cell>
          <cell r="AA111">
            <v>19.850000000000001</v>
          </cell>
          <cell r="AB111">
            <v>1634.6299999999999</v>
          </cell>
          <cell r="AD111">
            <v>28160.080000000002</v>
          </cell>
          <cell r="AE111">
            <v>14973.729999999998</v>
          </cell>
          <cell r="AF111">
            <v>0.19680023392545748</v>
          </cell>
          <cell r="AG111">
            <v>34.700000000000003</v>
          </cell>
          <cell r="AH111">
            <v>0.99537892791127536</v>
          </cell>
          <cell r="AL111">
            <v>15008.429999999998</v>
          </cell>
          <cell r="AM111">
            <v>21011.801999999996</v>
          </cell>
          <cell r="AN111">
            <v>-0.25384437828301643</v>
          </cell>
          <cell r="AO111" t="str">
            <v>001-G-93VEROTRADE</v>
          </cell>
          <cell r="AP111" t="str">
            <v>001-L1-93VEROTRADE</v>
          </cell>
          <cell r="AQ111">
            <v>40613</v>
          </cell>
          <cell r="AX111">
            <v>34.700000000000003</v>
          </cell>
          <cell r="AY111">
            <v>0</v>
          </cell>
          <cell r="AZ111">
            <v>14973.729999999998</v>
          </cell>
        </row>
        <row r="112">
          <cell r="A112">
            <v>477824</v>
          </cell>
          <cell r="B112" t="str">
            <v>LE COCOTIER SA</v>
          </cell>
          <cell r="G112" t="str">
            <v>JL BARRE</v>
          </cell>
          <cell r="I112">
            <v>0</v>
          </cell>
          <cell r="J112">
            <v>0</v>
          </cell>
          <cell r="K112" t="str">
            <v>NON</v>
          </cell>
          <cell r="L112" t="str">
            <v>non</v>
          </cell>
          <cell r="M112" t="str">
            <v>Porte Feuille</v>
          </cell>
          <cell r="N112" t="str">
            <v>Non affecté</v>
          </cell>
          <cell r="O112" t="str">
            <v>MM</v>
          </cell>
          <cell r="P112" t="str">
            <v>Ok mon client</v>
          </cell>
          <cell r="Q112" t="str">
            <v>GENNEVILLIERS</v>
          </cell>
          <cell r="R112" t="str">
            <v>75</v>
          </cell>
          <cell r="S112" t="str">
            <v>86 RUE REAUMUR</v>
          </cell>
          <cell r="T112">
            <v>75002</v>
          </cell>
          <cell r="U112" t="str">
            <v>PARIS 02</v>
          </cell>
          <cell r="V112" t="str">
            <v>M.</v>
          </cell>
          <cell r="W112" t="str">
            <v>CAMBON</v>
          </cell>
          <cell r="X112" t="str">
            <v>75002</v>
          </cell>
          <cell r="Y112" t="str">
            <v>PARIS 02</v>
          </cell>
          <cell r="Z112">
            <v>3619.8799999999997</v>
          </cell>
          <cell r="AA112">
            <v>816.24</v>
          </cell>
          <cell r="AB112">
            <v>8957.8500000000022</v>
          </cell>
          <cell r="AD112">
            <v>13393.970000000001</v>
          </cell>
          <cell r="AE112">
            <v>1060.54</v>
          </cell>
          <cell r="AF112">
            <v>0.8427496007908144</v>
          </cell>
          <cell r="AG112">
            <v>467.29999999999995</v>
          </cell>
          <cell r="AH112">
            <v>0.60597580790756445</v>
          </cell>
          <cell r="AI112">
            <v>12927.749999999998</v>
          </cell>
          <cell r="AJ112">
            <v>0.46077745720239655</v>
          </cell>
          <cell r="AL112">
            <v>14455.589999999998</v>
          </cell>
          <cell r="AM112">
            <v>20237.825999999997</v>
          </cell>
          <cell r="AN112">
            <v>0.51096545684363903</v>
          </cell>
          <cell r="AO112" t="str">
            <v>001-G-95COCOTIER</v>
          </cell>
          <cell r="AP112" t="str">
            <v>001-L1-95COCOTIER</v>
          </cell>
          <cell r="AQ112">
            <v>40577</v>
          </cell>
          <cell r="AX112">
            <v>467.29999999999995</v>
          </cell>
          <cell r="AY112">
            <v>12927.749999999998</v>
          </cell>
          <cell r="AZ112">
            <v>1060.54</v>
          </cell>
        </row>
        <row r="113">
          <cell r="A113">
            <v>27891</v>
          </cell>
          <cell r="B113" t="str">
            <v>LE CAOUTCHOUC D ARGENTEUIL</v>
          </cell>
          <cell r="C113">
            <v>3.5000000000000003E-2</v>
          </cell>
          <cell r="D113">
            <v>3.5000000000000003E-2</v>
          </cell>
          <cell r="E113">
            <v>0.02</v>
          </cell>
          <cell r="F113">
            <v>41275</v>
          </cell>
          <cell r="I113">
            <v>0</v>
          </cell>
          <cell r="J113">
            <v>0</v>
          </cell>
          <cell r="K113" t="str">
            <v>OK</v>
          </cell>
          <cell r="L113" t="str">
            <v>OK</v>
          </cell>
          <cell r="M113" t="str">
            <v>Porte Feuille</v>
          </cell>
          <cell r="N113" t="str">
            <v>Non affecté</v>
          </cell>
          <cell r="O113" t="str">
            <v>MM</v>
          </cell>
          <cell r="P113" t="str">
            <v>Ok mon client</v>
          </cell>
          <cell r="Q113" t="str">
            <v>GENNEVILLIERS</v>
          </cell>
          <cell r="R113" t="str">
            <v>95</v>
          </cell>
          <cell r="S113" t="str">
            <v>41 RUE DE MALCOUTURE</v>
          </cell>
          <cell r="T113" t="str">
            <v>95100</v>
          </cell>
          <cell r="U113" t="str">
            <v>ARGENTEUIL</v>
          </cell>
          <cell r="V113" t="str">
            <v>M.</v>
          </cell>
          <cell r="W113" t="str">
            <v>COLPIN</v>
          </cell>
          <cell r="X113" t="str">
            <v>95100</v>
          </cell>
          <cell r="Y113" t="str">
            <v>ARGENTEUIL</v>
          </cell>
          <cell r="AA113">
            <v>21588.919999999995</v>
          </cell>
          <cell r="AB113">
            <v>296.53000000000003</v>
          </cell>
          <cell r="AD113">
            <v>21885.449999999993</v>
          </cell>
          <cell r="AE113">
            <v>153.04000000000002</v>
          </cell>
          <cell r="AF113">
            <v>-14.591666666666669</v>
          </cell>
          <cell r="AG113">
            <v>13948.04</v>
          </cell>
          <cell r="AH113">
            <v>0.53904310846917469</v>
          </cell>
          <cell r="AI113">
            <v>286</v>
          </cell>
          <cell r="AJ113">
            <v>0.49203032364661298</v>
          </cell>
          <cell r="AL113">
            <v>14387.080000000002</v>
          </cell>
          <cell r="AM113">
            <v>20141.912</v>
          </cell>
          <cell r="AN113">
            <v>-7.9666536443161684E-2</v>
          </cell>
          <cell r="AX113">
            <v>14436.2214</v>
          </cell>
          <cell r="AY113">
            <v>296.01</v>
          </cell>
          <cell r="AZ113">
            <v>156.10080000000002</v>
          </cell>
        </row>
        <row r="114">
          <cell r="A114">
            <v>481243</v>
          </cell>
          <cell r="B114" t="str">
            <v>MK</v>
          </cell>
          <cell r="C114">
            <v>4.4999999999999998E-2</v>
          </cell>
          <cell r="D114">
            <v>0</v>
          </cell>
          <cell r="E114">
            <v>0.02</v>
          </cell>
          <cell r="F114">
            <v>41306</v>
          </cell>
          <cell r="G114" t="str">
            <v>OUI</v>
          </cell>
          <cell r="I114">
            <v>0</v>
          </cell>
          <cell r="J114">
            <v>0</v>
          </cell>
          <cell r="K114" t="str">
            <v>OK</v>
          </cell>
          <cell r="L114" t="str">
            <v>OK</v>
          </cell>
          <cell r="M114" t="str">
            <v>Porte Feuille</v>
          </cell>
          <cell r="N114" t="str">
            <v>Non affecté</v>
          </cell>
          <cell r="O114" t="str">
            <v>JPP</v>
          </cell>
          <cell r="P114" t="str">
            <v>Ok mon client</v>
          </cell>
          <cell r="Q114" t="str">
            <v>GENNEVILLIERS</v>
          </cell>
          <cell r="R114" t="str">
            <v>75</v>
          </cell>
          <cell r="S114" t="str">
            <v>19 AVENUE DAUMESNIL</v>
          </cell>
          <cell r="T114" t="str">
            <v>75012</v>
          </cell>
          <cell r="U114" t="str">
            <v>PARIS 12</v>
          </cell>
          <cell r="V114" t="str">
            <v>Mme</v>
          </cell>
          <cell r="W114" t="str">
            <v>LAURA ou CELINE</v>
          </cell>
          <cell r="X114" t="str">
            <v>75012</v>
          </cell>
          <cell r="Y114" t="str">
            <v>PARIS 12</v>
          </cell>
          <cell r="AA114">
            <v>1585.02</v>
          </cell>
          <cell r="AB114">
            <v>28330.970000000005</v>
          </cell>
          <cell r="AD114">
            <v>29915.990000000005</v>
          </cell>
          <cell r="AE114">
            <v>553</v>
          </cell>
          <cell r="AF114">
            <v>-8.5333333333333332</v>
          </cell>
          <cell r="AG114">
            <v>1885.9899999999998</v>
          </cell>
          <cell r="AH114">
            <v>0.38600432684306896</v>
          </cell>
          <cell r="AI114">
            <v>11920.16</v>
          </cell>
          <cell r="AJ114">
            <v>0.62598199938579291</v>
          </cell>
          <cell r="AL114">
            <v>14359.15</v>
          </cell>
          <cell r="AM114">
            <v>20102.809999999998</v>
          </cell>
          <cell r="AN114">
            <v>-0.32802457816037534</v>
          </cell>
          <cell r="AO114" t="str">
            <v>259-G-75MALHIAKENT</v>
          </cell>
          <cell r="AQ114">
            <v>39330</v>
          </cell>
          <cell r="AX114">
            <v>1970.8595499999997</v>
          </cell>
          <cell r="AY114">
            <v>11920.16</v>
          </cell>
          <cell r="AZ114">
            <v>564.06000000000006</v>
          </cell>
        </row>
        <row r="115">
          <cell r="A115">
            <v>679955</v>
          </cell>
          <cell r="B115" t="str">
            <v>SOC HARMONIA MUNDI</v>
          </cell>
          <cell r="C115">
            <v>3.5000000000000003E-2</v>
          </cell>
          <cell r="D115">
            <v>3.5000000000000003E-2</v>
          </cell>
          <cell r="E115">
            <v>0.02</v>
          </cell>
          <cell r="F115">
            <v>41275</v>
          </cell>
          <cell r="I115">
            <v>0</v>
          </cell>
          <cell r="J115">
            <v>0</v>
          </cell>
          <cell r="K115" t="str">
            <v>OK</v>
          </cell>
          <cell r="L115" t="str">
            <v>OK</v>
          </cell>
          <cell r="M115" t="str">
            <v>Porte Feuille</v>
          </cell>
          <cell r="N115" t="str">
            <v>Non affecté</v>
          </cell>
          <cell r="O115" t="str">
            <v>MM</v>
          </cell>
          <cell r="P115" t="str">
            <v>Ok mon client</v>
          </cell>
          <cell r="Q115" t="str">
            <v>GENNEVILLIERS</v>
          </cell>
          <cell r="R115" t="str">
            <v>13</v>
          </cell>
          <cell r="S115" t="str">
            <v>PETITE ROUTE DE ST GILLES</v>
          </cell>
          <cell r="T115">
            <v>13200</v>
          </cell>
          <cell r="U115" t="str">
            <v>ARLES</v>
          </cell>
          <cell r="X115" t="str">
            <v>13631</v>
          </cell>
          <cell r="Y115" t="str">
            <v>ARLES CEDEX</v>
          </cell>
          <cell r="AA115">
            <v>65.8</v>
          </cell>
          <cell r="AB115">
            <v>18177.550000000003</v>
          </cell>
          <cell r="AD115">
            <v>18243.350000000002</v>
          </cell>
          <cell r="AI115">
            <v>14307.93</v>
          </cell>
          <cell r="AJ115">
            <v>0.51592225965835825</v>
          </cell>
          <cell r="AL115">
            <v>14307.93</v>
          </cell>
          <cell r="AM115">
            <v>20031.101999999999</v>
          </cell>
          <cell r="AN115">
            <v>9.7994721364222936E-2</v>
          </cell>
          <cell r="AO115" t="str">
            <v>001-G-95HARMONIA</v>
          </cell>
          <cell r="AX115">
            <v>0</v>
          </cell>
          <cell r="AY115">
            <v>14808.707549999999</v>
          </cell>
          <cell r="AZ115">
            <v>0</v>
          </cell>
        </row>
        <row r="116">
          <cell r="A116">
            <v>700256</v>
          </cell>
          <cell r="B116" t="str">
            <v>KRAUS</v>
          </cell>
          <cell r="C116">
            <v>0.04</v>
          </cell>
          <cell r="D116">
            <v>0</v>
          </cell>
          <cell r="E116">
            <v>0.02</v>
          </cell>
          <cell r="F116">
            <v>41306</v>
          </cell>
          <cell r="G116" t="str">
            <v>OUI</v>
          </cell>
          <cell r="I116">
            <v>0</v>
          </cell>
          <cell r="J116">
            <v>0</v>
          </cell>
          <cell r="K116" t="str">
            <v>OK</v>
          </cell>
          <cell r="L116" t="str">
            <v>OK</v>
          </cell>
          <cell r="M116" t="str">
            <v>Porte Feuille</v>
          </cell>
          <cell r="N116" t="str">
            <v>Non affecté</v>
          </cell>
          <cell r="O116" t="str">
            <v>JPP</v>
          </cell>
          <cell r="P116" t="str">
            <v>Ok mon client</v>
          </cell>
          <cell r="Q116" t="str">
            <v>GENNEVILLIERS</v>
          </cell>
          <cell r="R116" t="str">
            <v>75</v>
          </cell>
          <cell r="S116" t="str">
            <v>55-57 rue Bichat</v>
          </cell>
          <cell r="T116" t="str">
            <v>75010</v>
          </cell>
          <cell r="U116" t="str">
            <v>PARIS 10</v>
          </cell>
          <cell r="V116" t="str">
            <v>M.</v>
          </cell>
          <cell r="W116" t="str">
            <v>CARRE</v>
          </cell>
          <cell r="X116" t="str">
            <v>75010</v>
          </cell>
          <cell r="Y116" t="str">
            <v>PARIS 10</v>
          </cell>
          <cell r="AA116">
            <v>19853.18</v>
          </cell>
          <cell r="AB116">
            <v>36.479999999999997</v>
          </cell>
          <cell r="AD116">
            <v>19889.66</v>
          </cell>
          <cell r="AE116">
            <v>122</v>
          </cell>
          <cell r="AF116">
            <v>-16.95</v>
          </cell>
          <cell r="AG116">
            <v>13288.619999999999</v>
          </cell>
          <cell r="AH116">
            <v>0.21888681646696684</v>
          </cell>
          <cell r="AL116">
            <v>13410.619999999999</v>
          </cell>
          <cell r="AM116">
            <v>18774.867999999999</v>
          </cell>
          <cell r="AN116">
            <v>-5.6048821347373545E-2</v>
          </cell>
          <cell r="AO116" t="str">
            <v>259-G-75KRAUS</v>
          </cell>
          <cell r="AX116">
            <v>13820.164799999999</v>
          </cell>
          <cell r="AY116">
            <v>0</v>
          </cell>
          <cell r="AZ116">
            <v>124.44</v>
          </cell>
        </row>
        <row r="117">
          <cell r="A117">
            <v>827706</v>
          </cell>
          <cell r="B117" t="str">
            <v>SENSATIONS MATIERES</v>
          </cell>
          <cell r="C117">
            <v>0.04</v>
          </cell>
          <cell r="D117">
            <v>0</v>
          </cell>
          <cell r="E117">
            <v>0.02</v>
          </cell>
          <cell r="F117">
            <v>41306</v>
          </cell>
          <cell r="G117" t="str">
            <v>OUI</v>
          </cell>
          <cell r="I117">
            <v>0</v>
          </cell>
          <cell r="J117">
            <v>0</v>
          </cell>
          <cell r="K117" t="str">
            <v>OK</v>
          </cell>
          <cell r="L117" t="str">
            <v>OK</v>
          </cell>
          <cell r="M117" t="str">
            <v>Porte Feuille</v>
          </cell>
          <cell r="N117" t="str">
            <v>Non affecté</v>
          </cell>
          <cell r="O117" t="str">
            <v>JPP</v>
          </cell>
          <cell r="P117" t="str">
            <v>Ok mon client</v>
          </cell>
          <cell r="Q117" t="str">
            <v>GENNEVILLIERS</v>
          </cell>
          <cell r="R117" t="str">
            <v>92</v>
          </cell>
          <cell r="S117" t="str">
            <v>21 RUE DES MINIMES</v>
          </cell>
          <cell r="T117" t="str">
            <v>92400</v>
          </cell>
          <cell r="U117" t="str">
            <v>COURBEVOIE</v>
          </cell>
          <cell r="V117" t="str">
            <v>Mlle</v>
          </cell>
          <cell r="W117" t="str">
            <v>KAUV</v>
          </cell>
          <cell r="X117" t="str">
            <v>92400</v>
          </cell>
          <cell r="Y117" t="str">
            <v>COURBEVOIE</v>
          </cell>
          <cell r="Z117">
            <v>23487.289999999997</v>
          </cell>
          <cell r="AA117">
            <v>492.21</v>
          </cell>
          <cell r="AB117">
            <v>2881.6800000000003</v>
          </cell>
          <cell r="AD117">
            <v>26861.179999999997</v>
          </cell>
          <cell r="AE117">
            <v>11380.75</v>
          </cell>
          <cell r="AF117">
            <v>0.17523966907130201</v>
          </cell>
          <cell r="AG117">
            <v>253.73000000000002</v>
          </cell>
          <cell r="AH117">
            <v>0.39887339055793997</v>
          </cell>
          <cell r="AI117">
            <v>1698.6399999999999</v>
          </cell>
          <cell r="AJ117">
            <v>0.57666200498004561</v>
          </cell>
          <cell r="AL117">
            <v>13333.119999999999</v>
          </cell>
          <cell r="AM117">
            <v>18666.367999999999</v>
          </cell>
          <cell r="AN117">
            <v>-0.30508011933950774</v>
          </cell>
          <cell r="AO117" t="str">
            <v>001-G-92SIGNATUREMURALE</v>
          </cell>
          <cell r="AP117" t="str">
            <v>001-L-92SIGNATUREMURALE</v>
          </cell>
          <cell r="AQ117">
            <v>40316</v>
          </cell>
          <cell r="AX117">
            <v>263.87920000000003</v>
          </cell>
          <cell r="AY117">
            <v>1698.6399999999999</v>
          </cell>
          <cell r="AZ117">
            <v>11608.365</v>
          </cell>
        </row>
        <row r="118">
          <cell r="A118">
            <v>871214</v>
          </cell>
          <cell r="B118" t="str">
            <v>COMPTOIR EUROPEEN D' ELECTRICITE</v>
          </cell>
          <cell r="G118" t="str">
            <v>NON</v>
          </cell>
          <cell r="H118" t="str">
            <v>DATE D'ANNIV</v>
          </cell>
          <cell r="I118">
            <v>0</v>
          </cell>
          <cell r="J118">
            <v>0</v>
          </cell>
          <cell r="K118" t="str">
            <v>NON</v>
          </cell>
          <cell r="L118" t="str">
            <v>NON</v>
          </cell>
          <cell r="N118" t="str">
            <v>Non affecté</v>
          </cell>
          <cell r="O118" t="str">
            <v>JPP</v>
          </cell>
          <cell r="P118" t="str">
            <v>Ok mon client</v>
          </cell>
          <cell r="Q118" t="str">
            <v>GENNEVILLIERS</v>
          </cell>
          <cell r="R118" t="str">
            <v>93</v>
          </cell>
          <cell r="S118" t="str">
            <v>47 BIS RUE DU COMMANDANT ROLLAND</v>
          </cell>
          <cell r="T118">
            <v>93350</v>
          </cell>
          <cell r="U118" t="str">
            <v>LE BOURGET</v>
          </cell>
          <cell r="V118" t="str">
            <v>M</v>
          </cell>
          <cell r="W118" t="str">
            <v>DIOP</v>
          </cell>
          <cell r="X118" t="str">
            <v>93350</v>
          </cell>
          <cell r="Y118" t="str">
            <v>LE BOURGET</v>
          </cell>
          <cell r="AG118">
            <v>13323.34</v>
          </cell>
          <cell r="AH118">
            <v>0.22633618007486275</v>
          </cell>
          <cell r="AL118">
            <v>13323.34</v>
          </cell>
          <cell r="AM118">
            <v>18652.675999999999</v>
          </cell>
          <cell r="AO118" t="str">
            <v>001-G-93CEE</v>
          </cell>
          <cell r="AQ118">
            <v>41002</v>
          </cell>
          <cell r="AX118">
            <v>13323.34</v>
          </cell>
          <cell r="AY118">
            <v>0</v>
          </cell>
          <cell r="AZ118">
            <v>0</v>
          </cell>
        </row>
        <row r="119">
          <cell r="A119">
            <v>300194</v>
          </cell>
          <cell r="B119" t="str">
            <v>CONSTRUCTEUR DE POMPES</v>
          </cell>
          <cell r="C119">
            <v>4.2000000000000003E-2</v>
          </cell>
          <cell r="D119">
            <v>4.2000000000000003E-2</v>
          </cell>
          <cell r="E119">
            <v>0.02</v>
          </cell>
          <cell r="F119">
            <v>41275</v>
          </cell>
          <cell r="G119" t="str">
            <v>OUI</v>
          </cell>
          <cell r="I119">
            <v>0</v>
          </cell>
          <cell r="J119">
            <v>0</v>
          </cell>
          <cell r="K119" t="str">
            <v>OK</v>
          </cell>
          <cell r="L119" t="str">
            <v>OK</v>
          </cell>
          <cell r="M119" t="str">
            <v>Porte Feuille</v>
          </cell>
          <cell r="N119" t="str">
            <v>Non affecté</v>
          </cell>
          <cell r="O119" t="str">
            <v>AB</v>
          </cell>
          <cell r="P119" t="str">
            <v>Ok mon client</v>
          </cell>
          <cell r="Q119" t="str">
            <v>GENNEVILLIERS</v>
          </cell>
          <cell r="R119" t="str">
            <v>78</v>
          </cell>
          <cell r="S119" t="str">
            <v xml:space="preserve">5 RUE GUSTAVE EIFFEL            </v>
          </cell>
          <cell r="T119" t="str">
            <v>78570</v>
          </cell>
          <cell r="U119" t="str">
            <v>ANDRESY</v>
          </cell>
          <cell r="V119" t="str">
            <v>Mme</v>
          </cell>
          <cell r="W119" t="str">
            <v>JOLLY</v>
          </cell>
          <cell r="X119" t="str">
            <v>78570</v>
          </cell>
          <cell r="Y119" t="str">
            <v>ANDRESY</v>
          </cell>
          <cell r="AA119">
            <v>10377.120000000001</v>
          </cell>
          <cell r="AB119">
            <v>9092.39</v>
          </cell>
          <cell r="AD119">
            <v>19469.510000000002</v>
          </cell>
          <cell r="AG119">
            <v>7278.1900000000005</v>
          </cell>
          <cell r="AH119">
            <v>0.42091254752851709</v>
          </cell>
          <cell r="AI119">
            <v>6032.4500000000007</v>
          </cell>
          <cell r="AJ119">
            <v>0.71581267745684141</v>
          </cell>
          <cell r="AL119">
            <v>13310.64</v>
          </cell>
          <cell r="AM119">
            <v>18634.895999999997</v>
          </cell>
          <cell r="AN119">
            <v>-4.286774551593775E-2</v>
          </cell>
          <cell r="AO119" t="str">
            <v>001-G-78CPIPOMPES</v>
          </cell>
          <cell r="AP119" t="str">
            <v>001-L-78CPIPOMPES</v>
          </cell>
          <cell r="AX119">
            <v>7583.8739800000012</v>
          </cell>
          <cell r="AY119">
            <v>6285.8129000000008</v>
          </cell>
          <cell r="AZ119">
            <v>0</v>
          </cell>
        </row>
        <row r="120">
          <cell r="A120">
            <v>867204</v>
          </cell>
          <cell r="B120" t="str">
            <v>ELECTRODEPOSITION</v>
          </cell>
          <cell r="C120">
            <v>4.8000000000000001E-2</v>
          </cell>
          <cell r="D120">
            <v>0</v>
          </cell>
          <cell r="E120">
            <v>0.02</v>
          </cell>
          <cell r="F120">
            <v>41275</v>
          </cell>
          <cell r="I120">
            <v>0</v>
          </cell>
          <cell r="J120">
            <v>0</v>
          </cell>
          <cell r="K120" t="str">
            <v>OK</v>
          </cell>
          <cell r="L120" t="str">
            <v>OK</v>
          </cell>
          <cell r="N120" t="str">
            <v>Non affecté</v>
          </cell>
          <cell r="O120" t="str">
            <v>AB</v>
          </cell>
          <cell r="P120" t="str">
            <v>Ok mon client</v>
          </cell>
          <cell r="Q120" t="str">
            <v>GENNEVILLIERS</v>
          </cell>
          <cell r="R120" t="str">
            <v>78</v>
          </cell>
          <cell r="S120" t="str">
            <v>ZI DES AMANDIERS</v>
          </cell>
          <cell r="T120">
            <v>78420</v>
          </cell>
          <cell r="U120" t="str">
            <v>CARRIERES SUR SEINE</v>
          </cell>
          <cell r="V120" t="str">
            <v>M</v>
          </cell>
          <cell r="W120" t="str">
            <v>JACQUELINE</v>
          </cell>
          <cell r="X120" t="str">
            <v>78420</v>
          </cell>
          <cell r="Y120" t="str">
            <v>CARRIERES SUR SEINE</v>
          </cell>
          <cell r="AE120">
            <v>4744.12</v>
          </cell>
          <cell r="AF120">
            <v>0.29829421572399634</v>
          </cell>
          <cell r="AG120">
            <v>8277.9600000000009</v>
          </cell>
          <cell r="AH120">
            <v>0.33103944063021351</v>
          </cell>
          <cell r="AI120">
            <v>169.25</v>
          </cell>
          <cell r="AJ120">
            <v>0.81945645227981811</v>
          </cell>
          <cell r="AL120">
            <v>13191.330000000002</v>
          </cell>
          <cell r="AM120">
            <v>18467.862000000001</v>
          </cell>
          <cell r="AO120" t="str">
            <v>001-G-78ELECTRODEPOSITI</v>
          </cell>
          <cell r="AP120" t="str">
            <v>001-L-78ELECTRODEPOSITI</v>
          </cell>
          <cell r="AQ120">
            <v>40927</v>
          </cell>
          <cell r="AX120">
            <v>8675.3020800000013</v>
          </cell>
          <cell r="AY120">
            <v>169.25</v>
          </cell>
          <cell r="AZ120">
            <v>4839.0024000000003</v>
          </cell>
        </row>
        <row r="121">
          <cell r="A121">
            <v>565569</v>
          </cell>
          <cell r="B121" t="str">
            <v>ABIOTEC SARL</v>
          </cell>
          <cell r="C121">
            <v>3.7999999999999999E-2</v>
          </cell>
          <cell r="D121">
            <v>0</v>
          </cell>
          <cell r="E121">
            <v>0.02</v>
          </cell>
          <cell r="F121">
            <v>41306</v>
          </cell>
          <cell r="G121" t="str">
            <v>OUI</v>
          </cell>
          <cell r="I121">
            <v>0</v>
          </cell>
          <cell r="J121">
            <v>0</v>
          </cell>
          <cell r="K121" t="str">
            <v>OK</v>
          </cell>
          <cell r="L121" t="str">
            <v>OK</v>
          </cell>
          <cell r="M121" t="str">
            <v>Porte Feuille</v>
          </cell>
          <cell r="N121" t="str">
            <v>Non affecté</v>
          </cell>
          <cell r="O121" t="str">
            <v>JPP</v>
          </cell>
          <cell r="P121" t="str">
            <v>Ok mon client</v>
          </cell>
          <cell r="Q121" t="str">
            <v>GENNEVILLIERS</v>
          </cell>
          <cell r="R121" t="str">
            <v>92</v>
          </cell>
          <cell r="S121" t="str">
            <v xml:space="preserve">12, AVENUE ADOLPHE SCHNEIDER    </v>
          </cell>
          <cell r="T121" t="str">
            <v>92140</v>
          </cell>
          <cell r="U121" t="str">
            <v>CLAMART</v>
          </cell>
          <cell r="V121" t="str">
            <v>M.</v>
          </cell>
          <cell r="W121" t="str">
            <v>LE HERISSE</v>
          </cell>
          <cell r="X121" t="str">
            <v>92350</v>
          </cell>
          <cell r="Y121" t="str">
            <v>LE PLESSIS ROBINSON</v>
          </cell>
          <cell r="Z121">
            <v>100</v>
          </cell>
          <cell r="AB121">
            <v>16664.359999999997</v>
          </cell>
          <cell r="AD121">
            <v>16764.359999999997</v>
          </cell>
          <cell r="AE121">
            <v>164.25</v>
          </cell>
          <cell r="AG121">
            <v>55.45</v>
          </cell>
          <cell r="AH121">
            <v>-12.458333333333334</v>
          </cell>
          <cell r="AI121">
            <v>12555.539999999999</v>
          </cell>
          <cell r="AJ121">
            <v>0.58034499462920508</v>
          </cell>
          <cell r="AL121">
            <v>12775.24</v>
          </cell>
          <cell r="AM121">
            <v>17885.335999999999</v>
          </cell>
          <cell r="AN121">
            <v>6.6866614651558631E-2</v>
          </cell>
          <cell r="AO121" t="str">
            <v>001-G-92ABIOTEC</v>
          </cell>
          <cell r="AP121" t="str">
            <v>001-L-92ABIOTEC</v>
          </cell>
          <cell r="AX121">
            <v>57.557100000000005</v>
          </cell>
          <cell r="AY121">
            <v>12555.539999999999</v>
          </cell>
          <cell r="AZ121">
            <v>167.535</v>
          </cell>
        </row>
        <row r="122">
          <cell r="A122" t="str">
            <v>499132</v>
          </cell>
          <cell r="B122" t="str">
            <v>DISCIT ALLIANCE</v>
          </cell>
          <cell r="H122" t="str">
            <v>RAJOUTE SECTEUR 60. MESNAT &gt; TS +30% uniquement</v>
          </cell>
          <cell r="I122">
            <v>0</v>
          </cell>
          <cell r="J122">
            <v>0</v>
          </cell>
          <cell r="K122" t="str">
            <v>OK</v>
          </cell>
          <cell r="L122" t="str">
            <v>OK</v>
          </cell>
          <cell r="N122" t="str">
            <v>Non affecté</v>
          </cell>
          <cell r="O122" t="str">
            <v>JPP</v>
          </cell>
          <cell r="P122" t="str">
            <v>Ok mon client</v>
          </cell>
          <cell r="Q122" t="str">
            <v>GENNEVILLIERS</v>
          </cell>
          <cell r="R122">
            <v>60</v>
          </cell>
          <cell r="S122" t="str">
            <v>BATIMENT C LOT N°5 165RUE PIERRE C</v>
          </cell>
          <cell r="T122" t="str">
            <v>60230</v>
          </cell>
          <cell r="U122" t="str">
            <v>CHAMBLY</v>
          </cell>
          <cell r="AD122">
            <v>9974.48</v>
          </cell>
          <cell r="AG122">
            <v>8231.61</v>
          </cell>
          <cell r="AI122">
            <v>4527.79</v>
          </cell>
          <cell r="AL122">
            <v>12759.400000000001</v>
          </cell>
          <cell r="AM122">
            <v>17863.16</v>
          </cell>
          <cell r="AN122">
            <v>0.7908863419446428</v>
          </cell>
          <cell r="AX122">
            <v>8231.61</v>
          </cell>
          <cell r="AY122">
            <v>4527.79</v>
          </cell>
          <cell r="AZ122">
            <v>0</v>
          </cell>
        </row>
        <row r="123">
          <cell r="A123">
            <v>853791</v>
          </cell>
          <cell r="B123" t="str">
            <v>SUSHI SHOP DEVELOPPEMENT</v>
          </cell>
          <cell r="C123">
            <v>3.5000000000000003E-2</v>
          </cell>
          <cell r="D123">
            <v>3.5000000000000003E-2</v>
          </cell>
          <cell r="E123">
            <v>0.02</v>
          </cell>
          <cell r="F123">
            <v>41275</v>
          </cell>
          <cell r="I123">
            <v>0</v>
          </cell>
          <cell r="J123">
            <v>0</v>
          </cell>
          <cell r="K123" t="str">
            <v>OK</v>
          </cell>
          <cell r="L123" t="str">
            <v>OK</v>
          </cell>
          <cell r="M123" t="str">
            <v>Porte Feuille</v>
          </cell>
          <cell r="N123" t="str">
            <v>Non affecté</v>
          </cell>
          <cell r="O123" t="str">
            <v>MM</v>
          </cell>
          <cell r="P123" t="str">
            <v>Ok mon client</v>
          </cell>
          <cell r="Q123" t="str">
            <v>GENNEVILLIERS</v>
          </cell>
          <cell r="R123" t="str">
            <v>75</v>
          </cell>
          <cell r="S123" t="str">
            <v>108 RUE REAUMUR</v>
          </cell>
          <cell r="T123">
            <v>75002</v>
          </cell>
          <cell r="U123" t="str">
            <v>PARIS</v>
          </cell>
          <cell r="V123" t="str">
            <v>Mme</v>
          </cell>
          <cell r="W123" t="str">
            <v>Virginie ROUX</v>
          </cell>
          <cell r="X123" t="str">
            <v>75002</v>
          </cell>
          <cell r="Y123" t="str">
            <v>PARIS</v>
          </cell>
          <cell r="Z123">
            <v>1242.51</v>
          </cell>
          <cell r="AA123">
            <v>15516.6</v>
          </cell>
          <cell r="AB123">
            <v>1165.1799999999998</v>
          </cell>
          <cell r="AD123">
            <v>17924.29</v>
          </cell>
          <cell r="AE123">
            <v>375</v>
          </cell>
          <cell r="AF123">
            <v>0.18666666666666668</v>
          </cell>
          <cell r="AG123">
            <v>11597.850000000002</v>
          </cell>
          <cell r="AH123">
            <v>0.43225877216739494</v>
          </cell>
          <cell r="AI123">
            <v>300.95999999999998</v>
          </cell>
          <cell r="AJ123">
            <v>2.9904306220095697E-2</v>
          </cell>
          <cell r="AL123">
            <v>12273.810000000001</v>
          </cell>
          <cell r="AM123">
            <v>17183.334000000003</v>
          </cell>
          <cell r="AN123">
            <v>-4.1338094842250261E-2</v>
          </cell>
          <cell r="AO123" t="str">
            <v>001-G-75SUSHISHOPDEV</v>
          </cell>
          <cell r="AQ123">
            <v>40784</v>
          </cell>
          <cell r="AX123">
            <v>12003.77475</v>
          </cell>
          <cell r="AY123">
            <v>311.49359999999996</v>
          </cell>
          <cell r="AZ123">
            <v>382.5</v>
          </cell>
        </row>
        <row r="124">
          <cell r="A124">
            <v>572389</v>
          </cell>
          <cell r="B124" t="str">
            <v>ATEA SARL</v>
          </cell>
          <cell r="C124">
            <v>4.2000000000000003E-2</v>
          </cell>
          <cell r="D124">
            <v>0</v>
          </cell>
          <cell r="E124">
            <v>0.02</v>
          </cell>
          <cell r="F124">
            <v>41306</v>
          </cell>
          <cell r="G124" t="str">
            <v>OUI</v>
          </cell>
          <cell r="I124">
            <v>0</v>
          </cell>
          <cell r="J124">
            <v>0</v>
          </cell>
          <cell r="K124" t="str">
            <v>OK</v>
          </cell>
          <cell r="L124" t="str">
            <v>OK</v>
          </cell>
          <cell r="M124" t="str">
            <v>Porte Feuille</v>
          </cell>
          <cell r="N124" t="str">
            <v>Non affecté</v>
          </cell>
          <cell r="O124" t="str">
            <v>JPP</v>
          </cell>
          <cell r="P124" t="str">
            <v>Ok mon client</v>
          </cell>
          <cell r="Q124" t="str">
            <v>GENNEVILLIERS</v>
          </cell>
          <cell r="R124" t="str">
            <v>92</v>
          </cell>
          <cell r="S124" t="str">
            <v>16 AVENUE STENDHAL</v>
          </cell>
          <cell r="T124" t="str">
            <v>92140</v>
          </cell>
          <cell r="U124" t="str">
            <v>CLAMART</v>
          </cell>
          <cell r="V124" t="str">
            <v>Mme</v>
          </cell>
          <cell r="W124" t="str">
            <v>JOCOU</v>
          </cell>
          <cell r="X124" t="str">
            <v>92140</v>
          </cell>
          <cell r="Y124" t="str">
            <v>CLAMART</v>
          </cell>
          <cell r="AA124">
            <v>864.13</v>
          </cell>
          <cell r="AB124">
            <v>19189.759999999998</v>
          </cell>
          <cell r="AD124">
            <v>20053.89</v>
          </cell>
          <cell r="AG124">
            <v>128.26000000000002</v>
          </cell>
          <cell r="AH124">
            <v>-17.87916666666667</v>
          </cell>
          <cell r="AI124">
            <v>11833.52</v>
          </cell>
          <cell r="AJ124">
            <v>0.60992179763795806</v>
          </cell>
          <cell r="AL124">
            <v>11961.78</v>
          </cell>
          <cell r="AM124">
            <v>16746.491999999998</v>
          </cell>
          <cell r="AN124">
            <v>-0.16492550821810636</v>
          </cell>
          <cell r="AO124" t="str">
            <v>001-G-92ATEA</v>
          </cell>
          <cell r="AX124">
            <v>133.64692000000002</v>
          </cell>
          <cell r="AY124">
            <v>11833.52</v>
          </cell>
          <cell r="AZ124">
            <v>0</v>
          </cell>
        </row>
        <row r="125">
          <cell r="A125">
            <v>828176</v>
          </cell>
          <cell r="B125" t="str">
            <v>WALL COLMONOY TECHNOLOGIES</v>
          </cell>
          <cell r="C125">
            <v>3.5000000000000003E-2</v>
          </cell>
          <cell r="D125">
            <v>3.5000000000000003E-2</v>
          </cell>
          <cell r="E125">
            <v>0.02</v>
          </cell>
          <cell r="F125">
            <v>41275</v>
          </cell>
          <cell r="I125">
            <v>0</v>
          </cell>
          <cell r="J125">
            <v>0</v>
          </cell>
          <cell r="K125" t="str">
            <v>OK</v>
          </cell>
          <cell r="L125" t="str">
            <v>OK</v>
          </cell>
          <cell r="N125" t="str">
            <v>Non affecté</v>
          </cell>
          <cell r="O125" t="str">
            <v>MM</v>
          </cell>
          <cell r="P125" t="str">
            <v>Ok mon client</v>
          </cell>
          <cell r="Q125" t="str">
            <v>GENNEVILLIERS</v>
          </cell>
          <cell r="R125" t="str">
            <v>95</v>
          </cell>
          <cell r="S125" t="str">
            <v>9 RUE DES AULNETTES</v>
          </cell>
          <cell r="T125" t="str">
            <v>95100</v>
          </cell>
          <cell r="U125" t="str">
            <v>ARGENTEUIL</v>
          </cell>
          <cell r="V125" t="str">
            <v>M.</v>
          </cell>
          <cell r="W125" t="str">
            <v>DEGRAVE</v>
          </cell>
          <cell r="X125" t="str">
            <v>95100</v>
          </cell>
          <cell r="Y125" t="str">
            <v>ARGENTEUIL</v>
          </cell>
          <cell r="Z125">
            <v>369.4</v>
          </cell>
          <cell r="AA125">
            <v>9779.7899999999991</v>
          </cell>
          <cell r="AB125">
            <v>3884.6899999999996</v>
          </cell>
          <cell r="AD125">
            <v>14033.879999999997</v>
          </cell>
          <cell r="AE125">
            <v>777</v>
          </cell>
          <cell r="AF125">
            <v>-2.1060606060606064</v>
          </cell>
          <cell r="AG125">
            <v>6057.28</v>
          </cell>
          <cell r="AH125">
            <v>0.32993399392936817</v>
          </cell>
          <cell r="AI125">
            <v>4692.2700000000004</v>
          </cell>
          <cell r="AJ125">
            <v>0.51635158880452414</v>
          </cell>
          <cell r="AL125">
            <v>11526.55</v>
          </cell>
          <cell r="AM125">
            <v>16137.169999999998</v>
          </cell>
          <cell r="AN125">
            <v>0.14987230901219051</v>
          </cell>
          <cell r="AO125" t="str">
            <v>001-G-95WALLCOLMONOYTEC</v>
          </cell>
          <cell r="AQ125">
            <v>40323</v>
          </cell>
          <cell r="AX125">
            <v>6269.2847999999994</v>
          </cell>
          <cell r="AY125">
            <v>4856.4994500000003</v>
          </cell>
          <cell r="AZ125">
            <v>792.54</v>
          </cell>
        </row>
        <row r="126">
          <cell r="A126">
            <v>527874</v>
          </cell>
          <cell r="B126" t="str">
            <v>TSE &amp; TSE ASSOCIES</v>
          </cell>
          <cell r="C126">
            <v>4.4999999999999998E-2</v>
          </cell>
          <cell r="D126">
            <v>0</v>
          </cell>
          <cell r="E126">
            <v>0.02</v>
          </cell>
          <cell r="F126">
            <v>41306</v>
          </cell>
          <cell r="G126" t="str">
            <v>OUI</v>
          </cell>
          <cell r="I126">
            <v>0</v>
          </cell>
          <cell r="J126">
            <v>0</v>
          </cell>
          <cell r="K126" t="str">
            <v>OK</v>
          </cell>
          <cell r="L126" t="str">
            <v>OK</v>
          </cell>
          <cell r="N126" t="str">
            <v>Non affecté</v>
          </cell>
          <cell r="O126" t="str">
            <v>JPP</v>
          </cell>
          <cell r="P126" t="str">
            <v>Ok mon client</v>
          </cell>
          <cell r="Q126" t="str">
            <v>GENNEVILLIERS</v>
          </cell>
          <cell r="R126" t="str">
            <v>75</v>
          </cell>
          <cell r="S126" t="str">
            <v>20 RUE MOREAU</v>
          </cell>
          <cell r="T126" t="str">
            <v>75012</v>
          </cell>
          <cell r="U126" t="str">
            <v>PARIS 12</v>
          </cell>
          <cell r="X126" t="str">
            <v>75012</v>
          </cell>
          <cell r="Y126" t="str">
            <v>PARIS 12</v>
          </cell>
          <cell r="Z126">
            <v>778.88</v>
          </cell>
          <cell r="AA126">
            <v>6031.67</v>
          </cell>
          <cell r="AB126">
            <v>5656.73</v>
          </cell>
          <cell r="AD126">
            <v>12467.28</v>
          </cell>
          <cell r="AG126">
            <v>6336.7499999999991</v>
          </cell>
          <cell r="AH126">
            <v>0.72668234976052937</v>
          </cell>
          <cell r="AI126">
            <v>5180.9100000000008</v>
          </cell>
          <cell r="AJ126">
            <v>0.54973287553192929</v>
          </cell>
          <cell r="AL126">
            <v>11517.66</v>
          </cell>
          <cell r="AM126">
            <v>16124.723999999998</v>
          </cell>
          <cell r="AN126">
            <v>0.29336342810941907</v>
          </cell>
          <cell r="AO126" t="str">
            <v>001-G-93TSETSE</v>
          </cell>
          <cell r="AP126" t="str">
            <v>024-L-77TSE024</v>
          </cell>
          <cell r="AX126">
            <v>6621.9037499999986</v>
          </cell>
          <cell r="AY126">
            <v>5180.9100000000008</v>
          </cell>
          <cell r="AZ126">
            <v>0</v>
          </cell>
        </row>
        <row r="127">
          <cell r="A127">
            <v>589259</v>
          </cell>
          <cell r="B127" t="str">
            <v>LA GARD FRANCE SAS</v>
          </cell>
          <cell r="C127">
            <v>4.8000000000000001E-2</v>
          </cell>
          <cell r="D127">
            <v>4.8000000000000001E-2</v>
          </cell>
          <cell r="E127">
            <v>0.02</v>
          </cell>
          <cell r="F127">
            <v>41275</v>
          </cell>
          <cell r="I127">
            <v>0</v>
          </cell>
          <cell r="J127">
            <v>0</v>
          </cell>
          <cell r="K127" t="str">
            <v>OK</v>
          </cell>
          <cell r="L127" t="str">
            <v>OK</v>
          </cell>
          <cell r="N127" t="str">
            <v>Non affecté</v>
          </cell>
          <cell r="O127" t="str">
            <v>AB</v>
          </cell>
          <cell r="P127" t="str">
            <v>Ok mon client</v>
          </cell>
          <cell r="Q127" t="str">
            <v>GENNEVILLIERS</v>
          </cell>
          <cell r="R127" t="str">
            <v>78</v>
          </cell>
          <cell r="S127" t="str">
            <v xml:space="preserve">104 AVENUE JEAN MOULIN          </v>
          </cell>
          <cell r="T127" t="str">
            <v>78170</v>
          </cell>
          <cell r="U127" t="str">
            <v>LA CELLE SAINT CLOUD</v>
          </cell>
          <cell r="V127" t="str">
            <v>M.</v>
          </cell>
          <cell r="W127" t="str">
            <v>GHIONE</v>
          </cell>
          <cell r="X127" t="str">
            <v>78170</v>
          </cell>
          <cell r="Y127" t="str">
            <v>LA CELLE SAINT CLOUD</v>
          </cell>
          <cell r="AA127">
            <v>6582.17</v>
          </cell>
          <cell r="AB127">
            <v>10884.27</v>
          </cell>
          <cell r="AD127">
            <v>17466.440000000002</v>
          </cell>
          <cell r="AG127">
            <v>3983.49</v>
          </cell>
          <cell r="AH127">
            <v>0.77057231818518801</v>
          </cell>
          <cell r="AI127">
            <v>7083.7599999999993</v>
          </cell>
          <cell r="AJ127">
            <v>0.67777760662959596</v>
          </cell>
          <cell r="AL127">
            <v>11067.25</v>
          </cell>
          <cell r="AM127">
            <v>15494.15</v>
          </cell>
          <cell r="AN127">
            <v>-0.1129188317710994</v>
          </cell>
          <cell r="AO127" t="str">
            <v>001-G-78LAGARDFRANCE</v>
          </cell>
          <cell r="AP127" t="str">
            <v>001-L-78LAGARDFRANCE</v>
          </cell>
          <cell r="AX127">
            <v>4174.6975199999997</v>
          </cell>
          <cell r="AY127">
            <v>7423.7804799999994</v>
          </cell>
          <cell r="AZ127">
            <v>0</v>
          </cell>
        </row>
        <row r="128">
          <cell r="A128">
            <v>808910</v>
          </cell>
          <cell r="B128" t="str">
            <v>ERIKS</v>
          </cell>
          <cell r="C128">
            <v>4.8000000000000001E-2</v>
          </cell>
          <cell r="D128">
            <v>4.8000000000000001E-2</v>
          </cell>
          <cell r="E128">
            <v>0.02</v>
          </cell>
          <cell r="F128">
            <v>41275</v>
          </cell>
          <cell r="I128">
            <v>0</v>
          </cell>
          <cell r="J128">
            <v>0</v>
          </cell>
          <cell r="K128" t="str">
            <v>OK</v>
          </cell>
          <cell r="L128" t="str">
            <v>OK</v>
          </cell>
          <cell r="N128" t="str">
            <v>Non affecté</v>
          </cell>
          <cell r="O128" t="str">
            <v>AB</v>
          </cell>
          <cell r="P128" t="str">
            <v>Ok mon client</v>
          </cell>
          <cell r="Q128" t="str">
            <v>GENNEVILLIERS</v>
          </cell>
          <cell r="R128" t="str">
            <v>78</v>
          </cell>
          <cell r="S128" t="str">
            <v>57 AVENUE DES FRERES LUMIERES</v>
          </cell>
          <cell r="T128" t="str">
            <v>78190</v>
          </cell>
          <cell r="U128" t="str">
            <v>TRAPPES</v>
          </cell>
          <cell r="V128" t="str">
            <v>M.</v>
          </cell>
          <cell r="W128" t="str">
            <v>MUGNIER</v>
          </cell>
          <cell r="X128" t="str">
            <v>78317</v>
          </cell>
          <cell r="Y128" t="str">
            <v>MAUREPAS CEDEX</v>
          </cell>
          <cell r="Z128">
            <v>780.1</v>
          </cell>
          <cell r="AA128">
            <v>513.9</v>
          </cell>
          <cell r="AB128">
            <v>112.93</v>
          </cell>
          <cell r="AD128">
            <v>1406.93</v>
          </cell>
          <cell r="AE128">
            <v>134</v>
          </cell>
          <cell r="AF128">
            <v>-3.0305555555555554</v>
          </cell>
          <cell r="AG128">
            <v>10114.020000000002</v>
          </cell>
          <cell r="AH128">
            <v>0.2497018791416884</v>
          </cell>
          <cell r="AI128">
            <v>783.37</v>
          </cell>
          <cell r="AJ128">
            <v>0.36737915958222006</v>
          </cell>
          <cell r="AL128">
            <v>11031.390000000003</v>
          </cell>
          <cell r="AM128">
            <v>15443.946000000004</v>
          </cell>
          <cell r="AN128">
            <v>9.9770535847554633</v>
          </cell>
          <cell r="AO128" t="str">
            <v>001-G-78ERIKS</v>
          </cell>
          <cell r="AP128" t="str">
            <v>001-L1-T4-PML</v>
          </cell>
          <cell r="AQ128">
            <v>40361</v>
          </cell>
          <cell r="AX128">
            <v>10599.492960000003</v>
          </cell>
          <cell r="AY128">
            <v>820.97176000000002</v>
          </cell>
          <cell r="AZ128">
            <v>136.68</v>
          </cell>
        </row>
        <row r="129">
          <cell r="A129">
            <v>74085</v>
          </cell>
          <cell r="B129" t="str">
            <v>SERCAP</v>
          </cell>
          <cell r="C129">
            <v>0.04</v>
          </cell>
          <cell r="D129">
            <v>0.04</v>
          </cell>
          <cell r="E129">
            <v>0.02</v>
          </cell>
          <cell r="F129">
            <v>41306</v>
          </cell>
          <cell r="I129">
            <v>0</v>
          </cell>
          <cell r="J129">
            <v>0</v>
          </cell>
          <cell r="K129" t="str">
            <v>OK</v>
          </cell>
          <cell r="L129" t="str">
            <v>OK</v>
          </cell>
          <cell r="N129" t="str">
            <v>Non affecté</v>
          </cell>
          <cell r="O129" t="str">
            <v>JPP</v>
          </cell>
          <cell r="P129" t="str">
            <v>Ok mon client</v>
          </cell>
          <cell r="Q129" t="str">
            <v>GENNEVILLIERS</v>
          </cell>
          <cell r="R129" t="str">
            <v>92</v>
          </cell>
          <cell r="S129" t="str">
            <v>20 RUE LOUVEAU</v>
          </cell>
          <cell r="T129" t="str">
            <v>92320</v>
          </cell>
          <cell r="U129" t="str">
            <v>CHATILLON</v>
          </cell>
          <cell r="V129" t="str">
            <v>Mme</v>
          </cell>
          <cell r="W129" t="str">
            <v>DUMETZ</v>
          </cell>
          <cell r="X129" t="str">
            <v>92320</v>
          </cell>
          <cell r="Y129" t="str">
            <v>CHATILLON</v>
          </cell>
          <cell r="AA129">
            <v>12497.37</v>
          </cell>
          <cell r="AB129">
            <v>2367.7800000000002</v>
          </cell>
          <cell r="AD129">
            <v>14865.150000000001</v>
          </cell>
          <cell r="AG129">
            <v>9301.2100000000009</v>
          </cell>
          <cell r="AH129">
            <v>0.57861358591696266</v>
          </cell>
          <cell r="AI129">
            <v>1713.85</v>
          </cell>
          <cell r="AJ129">
            <v>0.78077714910954665</v>
          </cell>
          <cell r="AL129">
            <v>11015.060000000001</v>
          </cell>
          <cell r="AM129">
            <v>15421.084000000001</v>
          </cell>
          <cell r="AN129">
            <v>3.7398478992811901E-2</v>
          </cell>
          <cell r="AO129" t="str">
            <v>001-G-92SERCAP</v>
          </cell>
          <cell r="AP129" t="str">
            <v>001-L-92SERCAP</v>
          </cell>
          <cell r="AX129">
            <v>9673.2584000000006</v>
          </cell>
          <cell r="AY129">
            <v>1782.404</v>
          </cell>
          <cell r="AZ129">
            <v>0</v>
          </cell>
        </row>
        <row r="130">
          <cell r="A130">
            <v>522306</v>
          </cell>
          <cell r="B130" t="str">
            <v>DELTA EQUIPEMENT SAS</v>
          </cell>
          <cell r="C130">
            <v>7.4999999999999997E-2</v>
          </cell>
          <cell r="D130">
            <v>0.1</v>
          </cell>
          <cell r="E130">
            <v>0.02</v>
          </cell>
          <cell r="F130">
            <v>41306</v>
          </cell>
          <cell r="G130" t="str">
            <v>OUI</v>
          </cell>
          <cell r="I130">
            <v>0</v>
          </cell>
          <cell r="J130">
            <v>0</v>
          </cell>
          <cell r="K130" t="str">
            <v>OK</v>
          </cell>
          <cell r="L130" t="str">
            <v>OK</v>
          </cell>
          <cell r="N130" t="str">
            <v>Non affecté</v>
          </cell>
          <cell r="O130" t="str">
            <v>JPP</v>
          </cell>
          <cell r="P130" t="str">
            <v>Ok mon client</v>
          </cell>
          <cell r="Q130" t="str">
            <v>GENNEVILLIERS</v>
          </cell>
          <cell r="R130" t="str">
            <v>92</v>
          </cell>
          <cell r="S130" t="str">
            <v xml:space="preserve">1 RUE ROUSSEL                   </v>
          </cell>
          <cell r="T130" t="str">
            <v>92250</v>
          </cell>
          <cell r="U130" t="str">
            <v>LA GARENNE COLOMBES</v>
          </cell>
          <cell r="V130" t="str">
            <v>Mme</v>
          </cell>
          <cell r="W130" t="str">
            <v>OUDART</v>
          </cell>
          <cell r="X130" t="str">
            <v>92250</v>
          </cell>
          <cell r="Y130" t="str">
            <v>LA GARENNE COLOMBES</v>
          </cell>
          <cell r="AA130">
            <v>9214.74</v>
          </cell>
          <cell r="AB130">
            <v>4230.3</v>
          </cell>
          <cell r="AD130">
            <v>13445.04</v>
          </cell>
          <cell r="AG130">
            <v>5938.1299999999992</v>
          </cell>
          <cell r="AH130">
            <v>0.42052113202842539</v>
          </cell>
          <cell r="AI130">
            <v>4746.6600000000008</v>
          </cell>
          <cell r="AJ130">
            <v>0.71937715943598501</v>
          </cell>
          <cell r="AL130">
            <v>10684.789999999999</v>
          </cell>
          <cell r="AM130">
            <v>14958.705999999998</v>
          </cell>
          <cell r="AN130">
            <v>0.11258174018076539</v>
          </cell>
          <cell r="AO130" t="str">
            <v>001-G-92GROUPEDELTAEQUI</v>
          </cell>
          <cell r="AP130" t="str">
            <v>001-L-92GROUPEDELTAEQUI</v>
          </cell>
          <cell r="AX130">
            <v>6383.4897499999988</v>
          </cell>
          <cell r="AY130">
            <v>5221.3260000000009</v>
          </cell>
          <cell r="AZ130">
            <v>0</v>
          </cell>
        </row>
        <row r="131">
          <cell r="A131">
            <v>487099</v>
          </cell>
          <cell r="B131" t="str">
            <v>PACCOR</v>
          </cell>
          <cell r="H131" t="str">
            <v>DCM</v>
          </cell>
          <cell r="I131">
            <v>0</v>
          </cell>
          <cell r="J131">
            <v>0</v>
          </cell>
          <cell r="K131" t="str">
            <v>NON</v>
          </cell>
          <cell r="L131" t="str">
            <v>NON</v>
          </cell>
          <cell r="M131" t="str">
            <v>Porte Feuille</v>
          </cell>
          <cell r="N131" t="str">
            <v>Non affecté</v>
          </cell>
          <cell r="O131" t="str">
            <v>AB</v>
          </cell>
          <cell r="P131" t="str">
            <v>Ok mon client</v>
          </cell>
          <cell r="Q131" t="str">
            <v>GENNEVILLIERS</v>
          </cell>
          <cell r="R131" t="str">
            <v>28</v>
          </cell>
          <cell r="S131" t="str">
            <v>ROUTE DE REINVILLE</v>
          </cell>
          <cell r="T131" t="str">
            <v>28702</v>
          </cell>
          <cell r="U131" t="str">
            <v>AUNEAU CEDEX</v>
          </cell>
          <cell r="V131" t="str">
            <v>M,</v>
          </cell>
          <cell r="W131" t="str">
            <v>Olivier Pavard</v>
          </cell>
          <cell r="X131" t="str">
            <v>28700</v>
          </cell>
          <cell r="Y131" t="str">
            <v>AUNEAU</v>
          </cell>
          <cell r="Z131">
            <v>22409.67</v>
          </cell>
          <cell r="AD131">
            <v>22409.67</v>
          </cell>
          <cell r="AE131">
            <v>10383.290000000001</v>
          </cell>
          <cell r="AF131">
            <v>0.32865739475806183</v>
          </cell>
          <cell r="AL131">
            <v>10383.290000000001</v>
          </cell>
          <cell r="AM131">
            <v>14536.606</v>
          </cell>
          <cell r="AN131">
            <v>-0.35132440593725833</v>
          </cell>
          <cell r="AO131" t="str">
            <v>028-G-28HUHTAMAKI</v>
          </cell>
          <cell r="AP131" t="str">
            <v>001-L-28PACCOR</v>
          </cell>
          <cell r="AQ131">
            <v>39058</v>
          </cell>
          <cell r="AX131">
            <v>0</v>
          </cell>
          <cell r="AY131">
            <v>0</v>
          </cell>
          <cell r="AZ131">
            <v>10383.290000000001</v>
          </cell>
        </row>
        <row r="132">
          <cell r="A132">
            <v>537957</v>
          </cell>
          <cell r="B132" t="str">
            <v>ADHESIFS DU DRAC ( LES )</v>
          </cell>
          <cell r="G132" t="str">
            <v>NON</v>
          </cell>
          <cell r="H132" t="str">
            <v>COMPTE A FERMER</v>
          </cell>
          <cell r="I132">
            <v>0</v>
          </cell>
          <cell r="J132">
            <v>0</v>
          </cell>
          <cell r="K132" t="str">
            <v>NON</v>
          </cell>
          <cell r="L132" t="str">
            <v>NON</v>
          </cell>
          <cell r="M132" t="str">
            <v>Porte Feuille</v>
          </cell>
          <cell r="N132" t="str">
            <v>Non affecté</v>
          </cell>
          <cell r="O132" t="str">
            <v>MM</v>
          </cell>
          <cell r="P132" t="str">
            <v>Ok mon client</v>
          </cell>
          <cell r="Q132" t="str">
            <v>GENNEVILLIERS</v>
          </cell>
          <cell r="R132" t="str">
            <v>38</v>
          </cell>
          <cell r="S132" t="str">
            <v>4 PARC D'ACTIVIT2 DU COUDRIER</v>
          </cell>
          <cell r="T132">
            <v>95650</v>
          </cell>
          <cell r="U132" t="str">
            <v>BOISSY L'AILLERIE</v>
          </cell>
          <cell r="V132" t="str">
            <v>M.</v>
          </cell>
          <cell r="W132" t="str">
            <v>VIALLON Stéphane</v>
          </cell>
          <cell r="X132" t="str">
            <v>38800</v>
          </cell>
          <cell r="Y132" t="str">
            <v>PONT DE CLAIX</v>
          </cell>
          <cell r="AA132">
            <v>15192.149999999998</v>
          </cell>
          <cell r="AB132">
            <v>664.57999999999993</v>
          </cell>
          <cell r="AD132">
            <v>15856.729999999998</v>
          </cell>
          <cell r="AG132">
            <v>9715.9500000000007</v>
          </cell>
          <cell r="AH132">
            <v>0.27606730293471005</v>
          </cell>
          <cell r="AI132">
            <v>573.5</v>
          </cell>
          <cell r="AJ132">
            <v>0.75047657952069713</v>
          </cell>
          <cell r="AL132">
            <v>10289.450000000001</v>
          </cell>
          <cell r="AM132">
            <v>14405.23</v>
          </cell>
          <cell r="AN132">
            <v>-9.1538419333620391E-2</v>
          </cell>
          <cell r="AO132" t="str">
            <v>001-G-95ADHESIFSDUDRAC</v>
          </cell>
          <cell r="AX132">
            <v>9715.9500000000007</v>
          </cell>
          <cell r="AY132">
            <v>573.5</v>
          </cell>
          <cell r="AZ132">
            <v>0</v>
          </cell>
        </row>
        <row r="133">
          <cell r="A133">
            <v>552557</v>
          </cell>
          <cell r="B133" t="str">
            <v>GOURAND POINT G</v>
          </cell>
          <cell r="C133">
            <v>0.1</v>
          </cell>
          <cell r="D133">
            <v>0.1</v>
          </cell>
          <cell r="E133">
            <v>0.02</v>
          </cell>
          <cell r="F133">
            <v>41275</v>
          </cell>
          <cell r="G133" t="str">
            <v>OUI</v>
          </cell>
          <cell r="H133" t="str">
            <v>NE FAIT PAS DE MESSAGERIE. Hausse mes nat &gt; TS -5,04% // lot +2% // tarifs envoyes par mail le 16/01/13</v>
          </cell>
          <cell r="I133">
            <v>0</v>
          </cell>
          <cell r="J133">
            <v>0</v>
          </cell>
          <cell r="K133" t="str">
            <v>OK</v>
          </cell>
          <cell r="L133" t="str">
            <v>OK</v>
          </cell>
          <cell r="M133" t="str">
            <v>Porte Feuille</v>
          </cell>
          <cell r="N133" t="str">
            <v>Non affecté</v>
          </cell>
          <cell r="O133" t="str">
            <v>JPP</v>
          </cell>
          <cell r="P133" t="str">
            <v>Ok mon client</v>
          </cell>
          <cell r="Q133" t="str">
            <v>GENNEVILLIERS</v>
          </cell>
          <cell r="R133" t="str">
            <v>75</v>
          </cell>
          <cell r="S133" t="str">
            <v>14 BIS RUE BOUCHARDON</v>
          </cell>
          <cell r="T133" t="str">
            <v>75010</v>
          </cell>
          <cell r="U133" t="str">
            <v>PARIS 10</v>
          </cell>
          <cell r="V133" t="str">
            <v>Mme</v>
          </cell>
          <cell r="W133" t="str">
            <v>GOURAND</v>
          </cell>
          <cell r="X133" t="str">
            <v>75010</v>
          </cell>
          <cell r="Y133" t="str">
            <v>PARIS 10</v>
          </cell>
          <cell r="Z133">
            <v>20676.259999999998</v>
          </cell>
          <cell r="AD133">
            <v>20676.259999999998</v>
          </cell>
          <cell r="AE133">
            <v>10230.290000000001</v>
          </cell>
          <cell r="AF133">
            <v>0.18219724517906299</v>
          </cell>
          <cell r="AL133">
            <v>10230.290000000001</v>
          </cell>
          <cell r="AM133">
            <v>14322.406000000001</v>
          </cell>
          <cell r="AN133">
            <v>-0.30730190082732556</v>
          </cell>
          <cell r="AO133" t="str">
            <v>001-G-G-B-KG</v>
          </cell>
          <cell r="AP133" t="str">
            <v>259-L-75GOURANDPOINTG</v>
          </cell>
          <cell r="AQ133">
            <v>39239</v>
          </cell>
          <cell r="AX133">
            <v>0</v>
          </cell>
          <cell r="AY133">
            <v>0</v>
          </cell>
          <cell r="AZ133">
            <v>10434.8958</v>
          </cell>
        </row>
        <row r="134">
          <cell r="A134">
            <v>476707</v>
          </cell>
          <cell r="B134" t="str">
            <v>ULTIMEDIA</v>
          </cell>
          <cell r="C134">
            <v>3.5000000000000003E-2</v>
          </cell>
          <cell r="D134">
            <v>0.05</v>
          </cell>
          <cell r="E134">
            <v>0.02</v>
          </cell>
          <cell r="F134">
            <v>41275</v>
          </cell>
          <cell r="G134" t="str">
            <v>NON</v>
          </cell>
          <cell r="I134">
            <v>0</v>
          </cell>
          <cell r="J134">
            <v>0</v>
          </cell>
          <cell r="K134" t="str">
            <v>OK</v>
          </cell>
          <cell r="L134" t="str">
            <v>OK</v>
          </cell>
          <cell r="N134" t="str">
            <v>Non affecté</v>
          </cell>
          <cell r="O134" t="str">
            <v>MM</v>
          </cell>
          <cell r="P134" t="str">
            <v>Ok mon client</v>
          </cell>
          <cell r="Q134" t="str">
            <v>GENNEVILLIERS</v>
          </cell>
          <cell r="R134" t="str">
            <v>95</v>
          </cell>
          <cell r="S134" t="str">
            <v xml:space="preserve"> 7/9 RUE LOUIS ARMAND           </v>
          </cell>
          <cell r="T134" t="str">
            <v>95230</v>
          </cell>
          <cell r="U134" t="str">
            <v>SOISY SOUS MONTMORENCY</v>
          </cell>
          <cell r="V134" t="str">
            <v>Mme</v>
          </cell>
          <cell r="W134" t="str">
            <v>HUREAUX Magali</v>
          </cell>
          <cell r="X134" t="str">
            <v>95230</v>
          </cell>
          <cell r="Y134" t="str">
            <v>SOISY SOUS MONTMORENCY</v>
          </cell>
          <cell r="Z134">
            <v>3490.4</v>
          </cell>
          <cell r="AA134">
            <v>8824.4599999999991</v>
          </cell>
          <cell r="AB134">
            <v>719.05</v>
          </cell>
          <cell r="AD134">
            <v>13033.909999999998</v>
          </cell>
          <cell r="AE134">
            <v>1285.7999999999997</v>
          </cell>
          <cell r="AF134">
            <v>0.19317768382491302</v>
          </cell>
          <cell r="AG134">
            <v>7614.8499999999995</v>
          </cell>
          <cell r="AH134">
            <v>0.66660350474821739</v>
          </cell>
          <cell r="AI134">
            <v>1312.45</v>
          </cell>
          <cell r="AJ134">
            <v>0.59907803461802711</v>
          </cell>
          <cell r="AL134">
            <v>10213.1</v>
          </cell>
          <cell r="AM134">
            <v>14298.34</v>
          </cell>
          <cell r="AN134">
            <v>9.7010797220481226E-2</v>
          </cell>
          <cell r="AO134" t="str">
            <v>001-G-95ULTIMEDIA</v>
          </cell>
          <cell r="AQ134">
            <v>38155</v>
          </cell>
          <cell r="AX134">
            <v>7881.3697499999989</v>
          </cell>
          <cell r="AY134">
            <v>1378.0725000000002</v>
          </cell>
          <cell r="AZ134">
            <v>1311.5159999999998</v>
          </cell>
        </row>
        <row r="135">
          <cell r="A135">
            <v>36881</v>
          </cell>
          <cell r="B135" t="str">
            <v>CORDERIE CLEMENT</v>
          </cell>
          <cell r="C135">
            <v>7.4999999999999997E-2</v>
          </cell>
          <cell r="D135">
            <v>0.1</v>
          </cell>
          <cell r="E135">
            <v>0.02</v>
          </cell>
          <cell r="F135">
            <v>41306</v>
          </cell>
          <cell r="G135" t="str">
            <v>OUI</v>
          </cell>
          <cell r="I135">
            <v>0</v>
          </cell>
          <cell r="J135">
            <v>0</v>
          </cell>
          <cell r="K135" t="str">
            <v>OK</v>
          </cell>
          <cell r="L135" t="str">
            <v>OK</v>
          </cell>
          <cell r="M135" t="str">
            <v>Porte Feuille</v>
          </cell>
          <cell r="N135" t="str">
            <v>Non affecté</v>
          </cell>
          <cell r="O135" t="str">
            <v>JPP</v>
          </cell>
          <cell r="P135" t="str">
            <v>Ok mon client</v>
          </cell>
          <cell r="Q135" t="str">
            <v>GENNEVILLIERS</v>
          </cell>
          <cell r="R135" t="str">
            <v>92</v>
          </cell>
          <cell r="S135" t="str">
            <v xml:space="preserve">45 AV H BARBUSSE    BP 7        </v>
          </cell>
          <cell r="T135" t="str">
            <v>92222</v>
          </cell>
          <cell r="U135" t="str">
            <v>BAGNEUX CEDEX</v>
          </cell>
          <cell r="V135" t="str">
            <v>M.</v>
          </cell>
          <cell r="W135" t="str">
            <v>CLEMENT</v>
          </cell>
          <cell r="X135" t="str">
            <v>92222</v>
          </cell>
          <cell r="Y135" t="str">
            <v>BAGNEUX CEDEX</v>
          </cell>
          <cell r="AA135">
            <v>12607.619999999999</v>
          </cell>
          <cell r="AB135">
            <v>3511.46</v>
          </cell>
          <cell r="AD135">
            <v>16119.079999999998</v>
          </cell>
          <cell r="AG135">
            <v>8535.14</v>
          </cell>
          <cell r="AH135">
            <v>0.56415974508936639</v>
          </cell>
          <cell r="AI135">
            <v>1655.49</v>
          </cell>
          <cell r="AJ135">
            <v>0.90568362262497948</v>
          </cell>
          <cell r="AL135">
            <v>10190.629999999999</v>
          </cell>
          <cell r="AM135">
            <v>14266.881999999998</v>
          </cell>
          <cell r="AN135">
            <v>-0.11490717832531383</v>
          </cell>
          <cell r="AO135" t="str">
            <v>001-G-92CORDERIECLEMENT</v>
          </cell>
          <cell r="AP135" t="str">
            <v>001-L-92CORDERIECLEMENT</v>
          </cell>
          <cell r="AX135">
            <v>9175.2754999999997</v>
          </cell>
          <cell r="AY135">
            <v>1821.0390000000002</v>
          </cell>
          <cell r="AZ135">
            <v>0</v>
          </cell>
        </row>
        <row r="136">
          <cell r="A136">
            <v>568369</v>
          </cell>
          <cell r="B136" t="str">
            <v>ELNO SOCIETE NOUVELLE</v>
          </cell>
          <cell r="C136">
            <v>7.4999999999999997E-2</v>
          </cell>
          <cell r="D136">
            <v>0.05</v>
          </cell>
          <cell r="E136">
            <v>0.02</v>
          </cell>
          <cell r="F136">
            <v>41275</v>
          </cell>
          <cell r="G136" t="str">
            <v>oui</v>
          </cell>
          <cell r="I136">
            <v>0</v>
          </cell>
          <cell r="J136">
            <v>0</v>
          </cell>
          <cell r="K136" t="str">
            <v>OK</v>
          </cell>
          <cell r="L136" t="str">
            <v>OK</v>
          </cell>
          <cell r="N136" t="str">
            <v>Non affecté</v>
          </cell>
          <cell r="O136" t="str">
            <v>MM</v>
          </cell>
          <cell r="P136" t="str">
            <v>Ok mon client</v>
          </cell>
          <cell r="Q136" t="str">
            <v>GENNEVILLIERS</v>
          </cell>
          <cell r="R136" t="str">
            <v>95</v>
          </cell>
          <cell r="S136" t="str">
            <v>43 RUE MICHEL CARRE
BP 90046</v>
          </cell>
          <cell r="T136" t="str">
            <v>95100</v>
          </cell>
          <cell r="U136" t="str">
            <v>ARGENTEUIL</v>
          </cell>
          <cell r="W136" t="str">
            <v>JEAN LUC MEESMAN</v>
          </cell>
          <cell r="X136" t="str">
            <v>95100</v>
          </cell>
          <cell r="Y136" t="str">
            <v>ARGENTEUIL</v>
          </cell>
          <cell r="Z136">
            <v>2758.12</v>
          </cell>
          <cell r="AA136">
            <v>7926.630000000001</v>
          </cell>
          <cell r="AB136">
            <v>1957.63</v>
          </cell>
          <cell r="AD136">
            <v>12642.380000000001</v>
          </cell>
          <cell r="AE136">
            <v>2005.0500000000002</v>
          </cell>
          <cell r="AF136">
            <v>0.35416288977519944</v>
          </cell>
          <cell r="AG136">
            <v>6560.8200000000006</v>
          </cell>
          <cell r="AH136">
            <v>0.47495810587956278</v>
          </cell>
          <cell r="AI136">
            <v>1126.17</v>
          </cell>
          <cell r="AJ136">
            <v>0.73980364324580072</v>
          </cell>
          <cell r="AL136">
            <v>9692.0400000000009</v>
          </cell>
          <cell r="AM136">
            <v>13568.856</v>
          </cell>
          <cell r="AN136">
            <v>7.328335329265534E-2</v>
          </cell>
          <cell r="AO136" t="str">
            <v>001-G-95ELNOSN</v>
          </cell>
          <cell r="AP136" t="str">
            <v>001_T3_95ELNOSN</v>
          </cell>
          <cell r="AQ136">
            <v>39898</v>
          </cell>
          <cell r="AX136">
            <v>7052.8815000000004</v>
          </cell>
          <cell r="AY136">
            <v>1182.4785000000002</v>
          </cell>
          <cell r="AZ136">
            <v>2045.1510000000003</v>
          </cell>
        </row>
        <row r="137">
          <cell r="A137">
            <v>514404</v>
          </cell>
          <cell r="B137" t="str">
            <v>CABRI DEAL</v>
          </cell>
          <cell r="C137">
            <v>7.4999999999999997E-2</v>
          </cell>
          <cell r="D137">
            <v>0.1</v>
          </cell>
          <cell r="E137">
            <v>0.02</v>
          </cell>
          <cell r="F137">
            <v>41306</v>
          </cell>
          <cell r="G137" t="str">
            <v>OUI</v>
          </cell>
          <cell r="I137">
            <v>0</v>
          </cell>
          <cell r="J137">
            <v>0</v>
          </cell>
          <cell r="K137" t="str">
            <v>OK</v>
          </cell>
          <cell r="L137" t="str">
            <v>OK</v>
          </cell>
          <cell r="N137" t="str">
            <v>Non affecté</v>
          </cell>
          <cell r="O137" t="str">
            <v>JPP</v>
          </cell>
          <cell r="P137" t="str">
            <v>Ok mon client</v>
          </cell>
          <cell r="Q137" t="str">
            <v>GENNEVILLIERS</v>
          </cell>
          <cell r="R137" t="str">
            <v>93</v>
          </cell>
          <cell r="S137" t="str">
            <v>10 rue Jules CHATENAY</v>
          </cell>
          <cell r="T137" t="str">
            <v>93380</v>
          </cell>
          <cell r="U137" t="str">
            <v>PIERREFITTE SUR SEINE</v>
          </cell>
          <cell r="V137" t="str">
            <v>M.</v>
          </cell>
          <cell r="W137" t="str">
            <v>SEROR</v>
          </cell>
          <cell r="X137" t="str">
            <v>93380</v>
          </cell>
          <cell r="Y137" t="str">
            <v>PIERREFITTE SUR SEINE</v>
          </cell>
          <cell r="Z137">
            <v>1915.54</v>
          </cell>
          <cell r="AA137">
            <v>11360.560000000001</v>
          </cell>
          <cell r="AD137">
            <v>13276.100000000002</v>
          </cell>
          <cell r="AG137">
            <v>9619.8700000000008</v>
          </cell>
          <cell r="AH137">
            <v>0.14337308571790944</v>
          </cell>
          <cell r="AL137">
            <v>9619.8700000000008</v>
          </cell>
          <cell r="AM137">
            <v>13467.818000000001</v>
          </cell>
          <cell r="AN137">
            <v>1.4440837294084741E-2</v>
          </cell>
          <cell r="AO137" t="str">
            <v>259-G-93CABRIDEAL</v>
          </cell>
          <cell r="AP137" t="str">
            <v>001-L-93CABRIDEAL</v>
          </cell>
          <cell r="AX137">
            <v>10341.36025</v>
          </cell>
          <cell r="AY137">
            <v>0</v>
          </cell>
          <cell r="AZ137">
            <v>0</v>
          </cell>
        </row>
        <row r="138">
          <cell r="A138">
            <v>507115</v>
          </cell>
          <cell r="B138" t="str">
            <v>CHEVALIER</v>
          </cell>
          <cell r="C138">
            <v>7.4999999999999997E-2</v>
          </cell>
          <cell r="D138">
            <v>3.5000000000000003E-2</v>
          </cell>
          <cell r="E138">
            <v>0.02</v>
          </cell>
          <cell r="F138">
            <v>41275</v>
          </cell>
          <cell r="G138" t="str">
            <v>oui</v>
          </cell>
          <cell r="H138" t="str">
            <v>Développement sur l'inter, tarif déjà hauts</v>
          </cell>
          <cell r="I138">
            <v>0</v>
          </cell>
          <cell r="J138">
            <v>0</v>
          </cell>
          <cell r="K138" t="str">
            <v>OK</v>
          </cell>
          <cell r="L138" t="str">
            <v>OK</v>
          </cell>
          <cell r="N138" t="str">
            <v>Non affecté</v>
          </cell>
          <cell r="O138" t="str">
            <v>MM</v>
          </cell>
          <cell r="P138" t="str">
            <v>Ok mon client</v>
          </cell>
          <cell r="Q138" t="str">
            <v>GENNEVILLIERS</v>
          </cell>
          <cell r="R138" t="str">
            <v>95</v>
          </cell>
          <cell r="S138" t="str">
            <v xml:space="preserve">7 RUE JEAN POULMARCH            </v>
          </cell>
          <cell r="T138" t="str">
            <v>95100</v>
          </cell>
          <cell r="U138" t="str">
            <v>ARGENTEUIL</v>
          </cell>
          <cell r="V138" t="str">
            <v>M.</v>
          </cell>
          <cell r="W138" t="str">
            <v>ROCCI</v>
          </cell>
          <cell r="X138" t="str">
            <v>95100</v>
          </cell>
          <cell r="Y138" t="str">
            <v>ARGENTEUIL</v>
          </cell>
          <cell r="Z138">
            <v>569.24</v>
          </cell>
          <cell r="AA138">
            <v>211.59</v>
          </cell>
          <cell r="AB138">
            <v>4901.6500000000005</v>
          </cell>
          <cell r="AD138">
            <v>5682.4800000000005</v>
          </cell>
          <cell r="AG138">
            <v>236.22</v>
          </cell>
          <cell r="AH138">
            <v>0.36990516862400302</v>
          </cell>
          <cell r="AI138">
            <v>9256.9700000000012</v>
          </cell>
          <cell r="AJ138">
            <v>0.8935833172531088</v>
          </cell>
          <cell r="AL138">
            <v>9493.19</v>
          </cell>
          <cell r="AM138">
            <v>13290.466</v>
          </cell>
          <cell r="AN138">
            <v>1.3388495868001296</v>
          </cell>
          <cell r="AO138" t="str">
            <v>001-G-95CHEVALIER</v>
          </cell>
          <cell r="AP138" t="str">
            <v>001-L-95CHEVALIER</v>
          </cell>
          <cell r="AX138">
            <v>253.9365</v>
          </cell>
          <cell r="AY138">
            <v>9580.9639500000012</v>
          </cell>
          <cell r="AZ138">
            <v>0</v>
          </cell>
        </row>
        <row r="139">
          <cell r="A139">
            <v>834957</v>
          </cell>
          <cell r="B139" t="str">
            <v>E MOTION</v>
          </cell>
          <cell r="C139">
            <v>7.4999999999999997E-2</v>
          </cell>
          <cell r="D139">
            <v>0.1</v>
          </cell>
          <cell r="E139">
            <v>0.02</v>
          </cell>
          <cell r="F139">
            <v>41306</v>
          </cell>
          <cell r="G139" t="str">
            <v>OUI</v>
          </cell>
          <cell r="I139">
            <v>0</v>
          </cell>
          <cell r="J139">
            <v>0</v>
          </cell>
          <cell r="K139" t="str">
            <v>OK</v>
          </cell>
          <cell r="L139" t="str">
            <v>OK</v>
          </cell>
          <cell r="N139" t="str">
            <v>Non affecté</v>
          </cell>
          <cell r="O139" t="str">
            <v>JPP</v>
          </cell>
          <cell r="P139" t="str">
            <v>Ok mon client</v>
          </cell>
          <cell r="Q139" t="str">
            <v>GENNEVILLIERS</v>
          </cell>
          <cell r="R139" t="str">
            <v>75</v>
          </cell>
          <cell r="S139" t="str">
            <v>32-34 RUE FABERT</v>
          </cell>
          <cell r="T139">
            <v>75007</v>
          </cell>
          <cell r="U139" t="str">
            <v>PARIS</v>
          </cell>
          <cell r="V139" t="str">
            <v>M.</v>
          </cell>
          <cell r="W139" t="str">
            <v>CHERAMNAC</v>
          </cell>
          <cell r="X139" t="str">
            <v>75007</v>
          </cell>
          <cell r="Y139" t="str">
            <v>PARIS</v>
          </cell>
          <cell r="Z139">
            <v>500</v>
          </cell>
          <cell r="AA139">
            <v>2189.8000000000002</v>
          </cell>
          <cell r="AB139">
            <v>7275.9800000000005</v>
          </cell>
          <cell r="AD139">
            <v>9965.7800000000007</v>
          </cell>
          <cell r="AG139">
            <v>2369.3199999999997</v>
          </cell>
          <cell r="AH139">
            <v>0.5801782195688614</v>
          </cell>
          <cell r="AI139">
            <v>6859.0099999999993</v>
          </cell>
          <cell r="AJ139">
            <v>0.77286800364244712</v>
          </cell>
          <cell r="AL139">
            <v>9228.3299999999981</v>
          </cell>
          <cell r="AM139">
            <v>12919.661999999997</v>
          </cell>
          <cell r="AN139">
            <v>0.29640248931844737</v>
          </cell>
          <cell r="AO139" t="str">
            <v>001-G-92EMOTION</v>
          </cell>
          <cell r="AQ139">
            <v>40459</v>
          </cell>
          <cell r="AX139">
            <v>2547.0189999999998</v>
          </cell>
          <cell r="AY139">
            <v>7544.9110000000001</v>
          </cell>
          <cell r="AZ139">
            <v>0</v>
          </cell>
        </row>
        <row r="140">
          <cell r="A140">
            <v>205265</v>
          </cell>
          <cell r="B140" t="str">
            <v>BOULLAND</v>
          </cell>
          <cell r="C140">
            <v>7.4999999999999997E-2</v>
          </cell>
          <cell r="D140">
            <v>0.1</v>
          </cell>
          <cell r="E140">
            <v>0.02</v>
          </cell>
          <cell r="F140">
            <v>41306</v>
          </cell>
          <cell r="G140" t="str">
            <v>OUI</v>
          </cell>
          <cell r="I140">
            <v>0</v>
          </cell>
          <cell r="J140">
            <v>0</v>
          </cell>
          <cell r="K140" t="str">
            <v>OK</v>
          </cell>
          <cell r="L140" t="str">
            <v>OK</v>
          </cell>
          <cell r="M140" t="str">
            <v>Porte Feuille</v>
          </cell>
          <cell r="N140" t="str">
            <v>Non affecté</v>
          </cell>
          <cell r="O140" t="str">
            <v>JPP</v>
          </cell>
          <cell r="P140" t="str">
            <v>Ok mon client</v>
          </cell>
          <cell r="Q140" t="str">
            <v>GENNEVILLIERS</v>
          </cell>
          <cell r="R140" t="str">
            <v>75</v>
          </cell>
          <cell r="S140" t="str">
            <v>9 RUE CALMELS</v>
          </cell>
          <cell r="T140" t="str">
            <v>75018</v>
          </cell>
          <cell r="U140" t="str">
            <v>PARIS</v>
          </cell>
          <cell r="V140" t="str">
            <v>M.</v>
          </cell>
          <cell r="W140" t="str">
            <v>AYEM</v>
          </cell>
          <cell r="X140" t="str">
            <v>75018</v>
          </cell>
          <cell r="Y140" t="str">
            <v>PARIS</v>
          </cell>
          <cell r="Z140">
            <v>1083.9000000000001</v>
          </cell>
          <cell r="AA140">
            <v>21005.729999999996</v>
          </cell>
          <cell r="AB140">
            <v>538.11</v>
          </cell>
          <cell r="AD140">
            <v>22627.739999999998</v>
          </cell>
          <cell r="AG140">
            <v>9081.36</v>
          </cell>
          <cell r="AH140">
            <v>8.9606528956827206E-2</v>
          </cell>
          <cell r="AL140">
            <v>9081.36</v>
          </cell>
          <cell r="AM140">
            <v>12713.904</v>
          </cell>
          <cell r="AN140">
            <v>-0.43812753726178566</v>
          </cell>
          <cell r="AO140" t="str">
            <v>259-G-75BOULLAND</v>
          </cell>
          <cell r="AP140" t="str">
            <v>259-L-75BOULLAND</v>
          </cell>
          <cell r="AX140">
            <v>9762.4619999999995</v>
          </cell>
          <cell r="AY140">
            <v>0</v>
          </cell>
          <cell r="AZ140">
            <v>0</v>
          </cell>
        </row>
        <row r="141">
          <cell r="A141">
            <v>838812</v>
          </cell>
          <cell r="B141" t="str">
            <v>LAC</v>
          </cell>
          <cell r="C141">
            <v>7.4999999999999997E-2</v>
          </cell>
          <cell r="D141">
            <v>0.1</v>
          </cell>
          <cell r="E141">
            <v>0.02</v>
          </cell>
          <cell r="F141">
            <v>41306</v>
          </cell>
          <cell r="G141" t="str">
            <v>oui</v>
          </cell>
          <cell r="I141">
            <v>0</v>
          </cell>
          <cell r="J141">
            <v>0</v>
          </cell>
          <cell r="K141" t="str">
            <v>OK</v>
          </cell>
          <cell r="L141" t="str">
            <v>OK</v>
          </cell>
          <cell r="M141" t="str">
            <v>Porte Feuille</v>
          </cell>
          <cell r="N141" t="str">
            <v>Non affecté</v>
          </cell>
          <cell r="O141" t="str">
            <v>MM</v>
          </cell>
          <cell r="P141" t="str">
            <v>Ok mon client</v>
          </cell>
          <cell r="Q141" t="str">
            <v>GENNEVILLIERS</v>
          </cell>
          <cell r="R141" t="str">
            <v>95</v>
          </cell>
          <cell r="S141" t="str">
            <v>4 RUE DU DOCTEUR SENLECQ</v>
          </cell>
          <cell r="T141">
            <v>95290</v>
          </cell>
          <cell r="U141" t="str">
            <v>L'ISLE ADAM</v>
          </cell>
          <cell r="W141" t="str">
            <v>Directeur Logistique et Transports</v>
          </cell>
          <cell r="X141" t="str">
            <v>95290</v>
          </cell>
          <cell r="Y141" t="str">
            <v>L'ISLE ADAM</v>
          </cell>
          <cell r="Z141">
            <v>321.27999999999997</v>
          </cell>
          <cell r="AA141">
            <v>9592.86</v>
          </cell>
          <cell r="AB141">
            <v>6617.79</v>
          </cell>
          <cell r="AD141">
            <v>16531.93</v>
          </cell>
          <cell r="AE141">
            <v>866.92000000000007</v>
          </cell>
          <cell r="AF141">
            <v>0.46524464402656934</v>
          </cell>
          <cell r="AG141">
            <v>5403</v>
          </cell>
          <cell r="AH141">
            <v>0.48068339607621491</v>
          </cell>
          <cell r="AI141">
            <v>2611.4900000000002</v>
          </cell>
          <cell r="AJ141">
            <v>0.48693116801675695</v>
          </cell>
          <cell r="AL141">
            <v>8881.41</v>
          </cell>
          <cell r="AM141">
            <v>12433.973999999998</v>
          </cell>
          <cell r="AN141">
            <v>-0.24788128185880309</v>
          </cell>
          <cell r="AO141" t="str">
            <v>001-G-95FUSIBLESLAC</v>
          </cell>
          <cell r="AP141" t="str">
            <v>001-L-95FUSIBLESLAC</v>
          </cell>
          <cell r="AX141">
            <v>5808.2249999999995</v>
          </cell>
          <cell r="AY141">
            <v>2872.6390000000006</v>
          </cell>
          <cell r="AZ141">
            <v>884.25840000000005</v>
          </cell>
        </row>
        <row r="142">
          <cell r="A142">
            <v>869017</v>
          </cell>
          <cell r="B142" t="str">
            <v>PETERS SURGICAL</v>
          </cell>
          <cell r="C142">
            <v>7.4999999999999997E-2</v>
          </cell>
          <cell r="D142">
            <v>0.1</v>
          </cell>
          <cell r="E142">
            <v>0.02</v>
          </cell>
          <cell r="F142">
            <v>41306</v>
          </cell>
          <cell r="G142" t="str">
            <v>OUI</v>
          </cell>
          <cell r="H142" t="str">
            <v>NE FAIT PAS DE MESSAGERIE</v>
          </cell>
          <cell r="I142">
            <v>0</v>
          </cell>
          <cell r="J142">
            <v>0</v>
          </cell>
          <cell r="K142" t="str">
            <v>OK</v>
          </cell>
          <cell r="L142" t="str">
            <v>OK</v>
          </cell>
          <cell r="N142" t="str">
            <v>Non affecté</v>
          </cell>
          <cell r="O142" t="str">
            <v>JPP</v>
          </cell>
          <cell r="P142" t="str">
            <v>Ok mon client</v>
          </cell>
          <cell r="Q142" t="str">
            <v>GENNEVILLIERS</v>
          </cell>
          <cell r="R142" t="str">
            <v>93</v>
          </cell>
          <cell r="S142" t="str">
            <v>4 RUE ALBERT EINSTEIN</v>
          </cell>
          <cell r="T142">
            <v>93013</v>
          </cell>
          <cell r="U142" t="str">
            <v>BOBIGNY</v>
          </cell>
          <cell r="V142" t="str">
            <v>M</v>
          </cell>
          <cell r="W142" t="str">
            <v>HEDI TORCHANI</v>
          </cell>
          <cell r="X142" t="str">
            <v>93013</v>
          </cell>
          <cell r="Y142" t="str">
            <v>BOBIGNY</v>
          </cell>
          <cell r="AE142">
            <v>8665.0499999999993</v>
          </cell>
          <cell r="AF142">
            <v>0.20231595641380784</v>
          </cell>
          <cell r="AL142">
            <v>8665.0499999999993</v>
          </cell>
          <cell r="AM142">
            <v>12131.069999999998</v>
          </cell>
          <cell r="AP142" t="str">
            <v>001-L-93PETERSSURGICAL</v>
          </cell>
          <cell r="AQ142">
            <v>40961</v>
          </cell>
          <cell r="AX142">
            <v>0</v>
          </cell>
          <cell r="AY142">
            <v>0</v>
          </cell>
          <cell r="AZ142">
            <v>8838.3509999999987</v>
          </cell>
        </row>
        <row r="143">
          <cell r="A143">
            <v>857702</v>
          </cell>
          <cell r="B143" t="str">
            <v>DESTHER</v>
          </cell>
          <cell r="C143">
            <v>7.4999999999999997E-2</v>
          </cell>
          <cell r="D143">
            <v>0.1</v>
          </cell>
          <cell r="E143">
            <v>0.02</v>
          </cell>
          <cell r="F143">
            <v>41306</v>
          </cell>
          <cell r="G143" t="str">
            <v>OUI</v>
          </cell>
          <cell r="I143">
            <v>0</v>
          </cell>
          <cell r="J143">
            <v>0</v>
          </cell>
          <cell r="K143" t="str">
            <v>OK</v>
          </cell>
          <cell r="L143" t="str">
            <v>OK</v>
          </cell>
          <cell r="N143" t="str">
            <v>Non affecté</v>
          </cell>
          <cell r="O143" t="str">
            <v>JPP</v>
          </cell>
          <cell r="P143" t="str">
            <v>Ok mon client</v>
          </cell>
          <cell r="Q143" t="str">
            <v>GENNEVILLIERS</v>
          </cell>
          <cell r="R143" t="str">
            <v>93</v>
          </cell>
          <cell r="X143" t="str">
            <v>93170</v>
          </cell>
          <cell r="Y143" t="str">
            <v>BAGNOLET</v>
          </cell>
          <cell r="Z143">
            <v>2144.83</v>
          </cell>
          <cell r="AA143">
            <v>2116.3500000000004</v>
          </cell>
          <cell r="AD143">
            <v>4261.18</v>
          </cell>
          <cell r="AE143">
            <v>933.02</v>
          </cell>
          <cell r="AF143">
            <v>0.27566113205375381</v>
          </cell>
          <cell r="AG143">
            <v>7702.6299999999992</v>
          </cell>
          <cell r="AH143">
            <v>-0.18543559614988184</v>
          </cell>
          <cell r="AL143">
            <v>8635.65</v>
          </cell>
          <cell r="AM143">
            <v>12089.909999999998</v>
          </cell>
          <cell r="AN143">
            <v>1.8372211453165548</v>
          </cell>
          <cell r="AO143" t="str">
            <v>001-G-93DESTHERVIL</v>
          </cell>
          <cell r="AP143" t="str">
            <v>001-L-93DESTHERVIL</v>
          </cell>
          <cell r="AQ143">
            <v>40813</v>
          </cell>
          <cell r="AX143">
            <v>8280.3272499999985</v>
          </cell>
          <cell r="AY143">
            <v>0</v>
          </cell>
          <cell r="AZ143">
            <v>951.68039999999996</v>
          </cell>
        </row>
        <row r="144">
          <cell r="A144">
            <v>870326</v>
          </cell>
          <cell r="B144" t="str">
            <v>LABORATOIRE NUXE</v>
          </cell>
          <cell r="C144">
            <v>7.4999999999999997E-2</v>
          </cell>
          <cell r="D144">
            <v>0.1</v>
          </cell>
          <cell r="E144">
            <v>0.02</v>
          </cell>
          <cell r="F144">
            <v>41306</v>
          </cell>
          <cell r="G144" t="str">
            <v>OUI</v>
          </cell>
          <cell r="I144">
            <v>0</v>
          </cell>
          <cell r="J144">
            <v>0</v>
          </cell>
          <cell r="K144" t="str">
            <v>OK</v>
          </cell>
          <cell r="L144" t="str">
            <v>OK</v>
          </cell>
          <cell r="N144" t="str">
            <v>Non affecté</v>
          </cell>
          <cell r="O144" t="str">
            <v>JPP</v>
          </cell>
          <cell r="P144" t="str">
            <v>Ok mon client</v>
          </cell>
          <cell r="Q144" t="str">
            <v>GENNEVILLIERS</v>
          </cell>
          <cell r="R144" t="str">
            <v>75</v>
          </cell>
          <cell r="S144" t="str">
            <v>19 RUE PECLET</v>
          </cell>
          <cell r="T144">
            <v>75015</v>
          </cell>
          <cell r="U144" t="str">
            <v>PARIS 15</v>
          </cell>
          <cell r="X144" t="str">
            <v>75015</v>
          </cell>
          <cell r="Y144" t="str">
            <v>PARIS 15</v>
          </cell>
          <cell r="AE144">
            <v>7626.77</v>
          </cell>
          <cell r="AF144">
            <v>0.1496368676860389</v>
          </cell>
          <cell r="AI144">
            <v>899.61</v>
          </cell>
          <cell r="AJ144">
            <v>0.99925523282311224</v>
          </cell>
          <cell r="AL144">
            <v>8526.380000000001</v>
          </cell>
          <cell r="AM144">
            <v>11936.932000000001</v>
          </cell>
          <cell r="AP144" t="str">
            <v>001-L1-75LABORATOIRENUXE</v>
          </cell>
          <cell r="AQ144">
            <v>40988</v>
          </cell>
          <cell r="AX144">
            <v>0</v>
          </cell>
          <cell r="AY144">
            <v>989.57100000000014</v>
          </cell>
          <cell r="AZ144">
            <v>7779.3054000000002</v>
          </cell>
        </row>
        <row r="145">
          <cell r="A145">
            <v>511565</v>
          </cell>
          <cell r="B145" t="str">
            <v>RICIKA</v>
          </cell>
          <cell r="C145">
            <v>7.4999999999999997E-2</v>
          </cell>
          <cell r="D145">
            <v>0.1</v>
          </cell>
          <cell r="E145">
            <v>0.02</v>
          </cell>
          <cell r="F145">
            <v>41306</v>
          </cell>
          <cell r="G145" t="str">
            <v>OUI</v>
          </cell>
          <cell r="I145">
            <v>0</v>
          </cell>
          <cell r="J145">
            <v>0</v>
          </cell>
          <cell r="K145" t="str">
            <v>OK</v>
          </cell>
          <cell r="L145" t="str">
            <v>OK</v>
          </cell>
          <cell r="N145" t="str">
            <v>Non affecté</v>
          </cell>
          <cell r="O145" t="str">
            <v>JPP</v>
          </cell>
          <cell r="P145" t="str">
            <v>Ok mon client</v>
          </cell>
          <cell r="Q145" t="str">
            <v>GENNEVILLIERS</v>
          </cell>
          <cell r="R145" t="str">
            <v>92</v>
          </cell>
          <cell r="S145" t="str">
            <v xml:space="preserve">3 RUE MORICE                    </v>
          </cell>
          <cell r="T145" t="str">
            <v>92110</v>
          </cell>
          <cell r="U145" t="str">
            <v>CLICHY</v>
          </cell>
          <cell r="V145" t="str">
            <v>Mme</v>
          </cell>
          <cell r="W145" t="str">
            <v>GARBAILLET</v>
          </cell>
          <cell r="X145" t="str">
            <v>92110</v>
          </cell>
          <cell r="Y145" t="str">
            <v>CLICHY</v>
          </cell>
          <cell r="AA145">
            <v>14283.029999999999</v>
          </cell>
          <cell r="AD145">
            <v>14283.029999999999</v>
          </cell>
          <cell r="AG145">
            <v>8237.7199999999993</v>
          </cell>
          <cell r="AH145">
            <v>0.50129697757412861</v>
          </cell>
          <cell r="AL145">
            <v>8237.7199999999993</v>
          </cell>
          <cell r="AM145">
            <v>11532.807999999999</v>
          </cell>
          <cell r="AN145">
            <v>-0.19255172046827596</v>
          </cell>
          <cell r="AO145" t="str">
            <v>001-G-92RICIKA</v>
          </cell>
          <cell r="AX145">
            <v>8855.5489999999991</v>
          </cell>
          <cell r="AY145">
            <v>0</v>
          </cell>
          <cell r="AZ145">
            <v>0</v>
          </cell>
        </row>
        <row r="146">
          <cell r="A146">
            <v>530441</v>
          </cell>
          <cell r="B146" t="str">
            <v>GIE  G L M 1</v>
          </cell>
          <cell r="H146" t="str">
            <v>NON</v>
          </cell>
          <cell r="I146">
            <v>0</v>
          </cell>
          <cell r="J146">
            <v>0</v>
          </cell>
          <cell r="K146" t="str">
            <v>NON</v>
          </cell>
          <cell r="L146" t="str">
            <v>non</v>
          </cell>
          <cell r="N146" t="str">
            <v>Non affecté</v>
          </cell>
          <cell r="O146" t="str">
            <v>AB</v>
          </cell>
          <cell r="P146" t="str">
            <v>Ok mon client</v>
          </cell>
          <cell r="Q146" t="str">
            <v>GENNEVILLIERS</v>
          </cell>
          <cell r="R146" t="str">
            <v>78</v>
          </cell>
          <cell r="S146" t="str">
            <v>2 BOULEVARD DE L'EUROPE</v>
          </cell>
          <cell r="T146" t="str">
            <v>78300</v>
          </cell>
          <cell r="U146" t="str">
            <v>POISSY</v>
          </cell>
          <cell r="W146" t="str">
            <v>Directeur Logistique et Transports</v>
          </cell>
          <cell r="X146" t="str">
            <v>78300</v>
          </cell>
          <cell r="Y146" t="str">
            <v>POISSY</v>
          </cell>
          <cell r="Z146">
            <v>3285.66</v>
          </cell>
          <cell r="AA146">
            <v>12443.830000000002</v>
          </cell>
          <cell r="AB146">
            <v>1867.5800000000002</v>
          </cell>
          <cell r="AD146">
            <v>17597.07</v>
          </cell>
          <cell r="AE146">
            <v>319</v>
          </cell>
          <cell r="AG146">
            <v>7060.21</v>
          </cell>
          <cell r="AH146">
            <v>0.84889558232931728</v>
          </cell>
          <cell r="AI146">
            <v>656.69</v>
          </cell>
          <cell r="AL146">
            <v>8035.9000000000005</v>
          </cell>
          <cell r="AM146">
            <v>11250.26</v>
          </cell>
          <cell r="AN146">
            <v>-0.36067424861070618</v>
          </cell>
          <cell r="AX146">
            <v>7060.21</v>
          </cell>
          <cell r="AY146">
            <v>656.69</v>
          </cell>
          <cell r="AZ146">
            <v>319</v>
          </cell>
        </row>
        <row r="147">
          <cell r="A147">
            <v>806715</v>
          </cell>
          <cell r="B147" t="str">
            <v>ASMODEE SAS</v>
          </cell>
          <cell r="H147" t="str">
            <v>ACCORD DE DEMARRAGE GROUPAGE France</v>
          </cell>
          <cell r="I147">
            <v>0</v>
          </cell>
          <cell r="J147">
            <v>0</v>
          </cell>
          <cell r="K147" t="str">
            <v>NON</v>
          </cell>
          <cell r="L147" t="str">
            <v>NON</v>
          </cell>
          <cell r="N147" t="str">
            <v>Non affecté</v>
          </cell>
          <cell r="O147" t="str">
            <v>AB</v>
          </cell>
          <cell r="P147" t="str">
            <v>Ok mon client</v>
          </cell>
          <cell r="Q147" t="str">
            <v>GENNEVILLIERS</v>
          </cell>
          <cell r="R147" t="str">
            <v>78</v>
          </cell>
          <cell r="S147" t="str">
            <v>ZAC LE MERANTAIS - BP 00037</v>
          </cell>
          <cell r="T147">
            <v>78960</v>
          </cell>
          <cell r="U147" t="str">
            <v>VOISINS LE BRETONNEUX</v>
          </cell>
          <cell r="V147" t="str">
            <v>Mme</v>
          </cell>
          <cell r="W147" t="str">
            <v>CHRISTINE KLENAM</v>
          </cell>
          <cell r="X147" t="str">
            <v>78280</v>
          </cell>
          <cell r="Y147" t="str">
            <v>GUYANCOURT</v>
          </cell>
          <cell r="Z147">
            <v>12251.16</v>
          </cell>
          <cell r="AB147">
            <v>1947.0300000000002</v>
          </cell>
          <cell r="AD147">
            <v>14198.19</v>
          </cell>
          <cell r="AE147">
            <v>6931.5499999999993</v>
          </cell>
          <cell r="AF147">
            <v>8.104936660340907E-2</v>
          </cell>
          <cell r="AI147">
            <v>987.88</v>
          </cell>
          <cell r="AJ147">
            <v>0.51637710054115638</v>
          </cell>
          <cell r="AL147">
            <v>7919.4299999999994</v>
          </cell>
          <cell r="AM147">
            <v>11087.201999999999</v>
          </cell>
          <cell r="AN147">
            <v>-0.21911159098448474</v>
          </cell>
          <cell r="AO147" t="str">
            <v>001-G 78ASMODEE</v>
          </cell>
          <cell r="AP147" t="str">
            <v>001_T3_78ASMODEE</v>
          </cell>
          <cell r="AQ147">
            <v>39913</v>
          </cell>
          <cell r="AX147">
            <v>0</v>
          </cell>
          <cell r="AY147">
            <v>987.88</v>
          </cell>
          <cell r="AZ147">
            <v>6931.5499999999993</v>
          </cell>
        </row>
        <row r="148">
          <cell r="A148">
            <v>850625</v>
          </cell>
          <cell r="B148" t="str">
            <v>CHARMANT FRANCE</v>
          </cell>
          <cell r="C148">
            <v>7.4999999999999997E-2</v>
          </cell>
          <cell r="D148">
            <v>0.1</v>
          </cell>
          <cell r="E148">
            <v>0.02</v>
          </cell>
          <cell r="F148">
            <v>41306</v>
          </cell>
          <cell r="G148" t="str">
            <v>OUI</v>
          </cell>
          <cell r="I148">
            <v>0</v>
          </cell>
          <cell r="J148">
            <v>0</v>
          </cell>
          <cell r="K148" t="str">
            <v>OK</v>
          </cell>
          <cell r="L148" t="str">
            <v>OK</v>
          </cell>
          <cell r="N148" t="str">
            <v>Non affecté</v>
          </cell>
          <cell r="O148" t="str">
            <v>JPP</v>
          </cell>
          <cell r="P148" t="str">
            <v>Ok mon client</v>
          </cell>
          <cell r="Q148" t="str">
            <v>GENNEVILLIERS</v>
          </cell>
          <cell r="R148" t="str">
            <v>92</v>
          </cell>
          <cell r="S148" t="str">
            <v>10 RUE COMMANDANT D'ESTIENNE D'ORV</v>
          </cell>
          <cell r="T148">
            <v>92390</v>
          </cell>
          <cell r="U148" t="str">
            <v>VILLENEUVE LA GARENNE</v>
          </cell>
          <cell r="V148" t="str">
            <v>Mme</v>
          </cell>
          <cell r="W148" t="str">
            <v>DA FONSECA</v>
          </cell>
          <cell r="X148" t="str">
            <v>92390</v>
          </cell>
          <cell r="Y148" t="str">
            <v>VILLENEUVE LA GARENNE</v>
          </cell>
          <cell r="Z148">
            <v>8515.6</v>
          </cell>
          <cell r="AB148">
            <v>1801.44</v>
          </cell>
          <cell r="AD148">
            <v>10317.040000000001</v>
          </cell>
          <cell r="AE148">
            <v>6704.42</v>
          </cell>
          <cell r="AF148">
            <v>0.20315408498969367</v>
          </cell>
          <cell r="AG148">
            <v>104.53</v>
          </cell>
          <cell r="AH148">
            <v>1</v>
          </cell>
          <cell r="AI148">
            <v>1089.8400000000001</v>
          </cell>
          <cell r="AJ148">
            <v>0.62530175015087497</v>
          </cell>
          <cell r="AL148">
            <v>7898.79</v>
          </cell>
          <cell r="AM148">
            <v>11058.305999999999</v>
          </cell>
          <cell r="AN148">
            <v>7.1848708544310913E-2</v>
          </cell>
          <cell r="AO148" t="str">
            <v>001-G-92CHARMANTFRANCE</v>
          </cell>
          <cell r="AQ148">
            <v>40746</v>
          </cell>
          <cell r="AX148">
            <v>112.36975</v>
          </cell>
          <cell r="AY148">
            <v>1198.8240000000003</v>
          </cell>
          <cell r="AZ148">
            <v>6838.5084000000006</v>
          </cell>
        </row>
        <row r="149">
          <cell r="A149">
            <v>481275</v>
          </cell>
          <cell r="B149" t="str">
            <v>ZETES FRANCE SAS</v>
          </cell>
          <cell r="G149" t="str">
            <v>OUI</v>
          </cell>
          <cell r="H149" t="str">
            <v>CLIENT PERDU DEPUIS JANVIER</v>
          </cell>
          <cell r="I149">
            <v>0</v>
          </cell>
          <cell r="J149">
            <v>0</v>
          </cell>
          <cell r="K149" t="str">
            <v>NON</v>
          </cell>
          <cell r="L149" t="str">
            <v>NON</v>
          </cell>
          <cell r="M149" t="str">
            <v>Porte Feuille</v>
          </cell>
          <cell r="N149" t="str">
            <v>Non affecté</v>
          </cell>
          <cell r="O149" t="str">
            <v>JPP</v>
          </cell>
          <cell r="P149" t="str">
            <v>Ok mon client</v>
          </cell>
          <cell r="Q149" t="str">
            <v>GENNEVILLIERS</v>
          </cell>
          <cell r="R149" t="str">
            <v>92</v>
          </cell>
          <cell r="S149" t="str">
            <v>17-19 RUE GEORGES BESSE 
PARC SILIC</v>
          </cell>
          <cell r="T149" t="str">
            <v>92160</v>
          </cell>
          <cell r="U149" t="str">
            <v>ANTONY</v>
          </cell>
          <cell r="V149" t="str">
            <v>Mme</v>
          </cell>
          <cell r="W149" t="str">
            <v>LUDIVINE BURCKHART</v>
          </cell>
          <cell r="X149" t="str">
            <v>92160</v>
          </cell>
          <cell r="Y149" t="str">
            <v>ANTONY</v>
          </cell>
          <cell r="AA149">
            <v>51485.119999999995</v>
          </cell>
          <cell r="AB149">
            <v>460.09</v>
          </cell>
          <cell r="AD149">
            <v>51945.209999999992</v>
          </cell>
          <cell r="AG149">
            <v>7719.73</v>
          </cell>
          <cell r="AH149">
            <v>0.30730847108485937</v>
          </cell>
          <cell r="AI149">
            <v>115.78</v>
          </cell>
          <cell r="AJ149">
            <v>0.49793778999828153</v>
          </cell>
          <cell r="AL149">
            <v>7835.5099999999993</v>
          </cell>
          <cell r="AM149">
            <v>10969.713999999998</v>
          </cell>
          <cell r="AN149">
            <v>-0.78882145244960988</v>
          </cell>
          <cell r="AO149" t="str">
            <v>001-G-92ZETESFRANCE</v>
          </cell>
          <cell r="AQ149">
            <v>40324</v>
          </cell>
          <cell r="AX149">
            <v>7719.73</v>
          </cell>
          <cell r="AY149">
            <v>115.78</v>
          </cell>
          <cell r="AZ149">
            <v>0</v>
          </cell>
        </row>
        <row r="150">
          <cell r="A150">
            <v>855810</v>
          </cell>
          <cell r="B150" t="str">
            <v>ACCESSOIRES DE CONSTRUCTION</v>
          </cell>
          <cell r="C150">
            <v>0.1</v>
          </cell>
          <cell r="F150">
            <v>41306</v>
          </cell>
          <cell r="G150" t="str">
            <v>NON</v>
          </cell>
          <cell r="H150" t="str">
            <v>Mail au cial le 22/01/13. TS +10%</v>
          </cell>
          <cell r="I150">
            <v>0</v>
          </cell>
          <cell r="J150">
            <v>0</v>
          </cell>
          <cell r="K150" t="str">
            <v>OK</v>
          </cell>
          <cell r="L150" t="str">
            <v>OK</v>
          </cell>
          <cell r="N150" t="str">
            <v>Non affecté</v>
          </cell>
          <cell r="O150" t="str">
            <v>MM</v>
          </cell>
          <cell r="P150" t="str">
            <v>Ok mon client</v>
          </cell>
          <cell r="Q150" t="str">
            <v>GENNEVILLIERS</v>
          </cell>
          <cell r="R150" t="str">
            <v>95</v>
          </cell>
          <cell r="S150" t="str">
            <v>1 RUE JACQUES ROBERT</v>
          </cell>
          <cell r="T150">
            <v>95500</v>
          </cell>
          <cell r="U150" t="str">
            <v>LE THILLAY</v>
          </cell>
          <cell r="X150" t="str">
            <v>95500</v>
          </cell>
          <cell r="Y150" t="str">
            <v>LE THILLAY</v>
          </cell>
          <cell r="AB150">
            <v>84.45</v>
          </cell>
          <cell r="AD150">
            <v>84.45</v>
          </cell>
          <cell r="AE150">
            <v>3869.02</v>
          </cell>
          <cell r="AF150">
            <v>0.21439399125680919</v>
          </cell>
          <cell r="AI150">
            <v>3900.6899999999996</v>
          </cell>
          <cell r="AJ150">
            <v>0.42155128900188765</v>
          </cell>
          <cell r="AL150">
            <v>7769.7099999999991</v>
          </cell>
          <cell r="AM150">
            <v>10877.593999999997</v>
          </cell>
          <cell r="AN150">
            <v>127.80513913558315</v>
          </cell>
          <cell r="AO150" t="str">
            <v>001-G-95ADC</v>
          </cell>
          <cell r="AP150" t="str">
            <v>001-L1-95ADC</v>
          </cell>
          <cell r="AX150">
            <v>0</v>
          </cell>
          <cell r="AY150">
            <v>3900.6899999999996</v>
          </cell>
          <cell r="AZ150">
            <v>3869.02</v>
          </cell>
        </row>
        <row r="151">
          <cell r="A151">
            <v>845448</v>
          </cell>
          <cell r="B151" t="str">
            <v>ZINGARO</v>
          </cell>
          <cell r="C151">
            <v>7.4999999999999997E-2</v>
          </cell>
          <cell r="D151">
            <v>0.1</v>
          </cell>
          <cell r="E151">
            <v>0.02</v>
          </cell>
          <cell r="F151">
            <v>41306</v>
          </cell>
          <cell r="G151" t="str">
            <v>OUI</v>
          </cell>
          <cell r="I151">
            <v>0</v>
          </cell>
          <cell r="J151">
            <v>0</v>
          </cell>
          <cell r="K151" t="str">
            <v>OK</v>
          </cell>
          <cell r="L151" t="str">
            <v>OK</v>
          </cell>
          <cell r="N151" t="str">
            <v>Non affecté</v>
          </cell>
          <cell r="O151" t="str">
            <v>JPP</v>
          </cell>
          <cell r="P151" t="str">
            <v>Ok mon client</v>
          </cell>
          <cell r="Q151" t="str">
            <v>GENNEVILLIERS</v>
          </cell>
          <cell r="R151" t="str">
            <v>93</v>
          </cell>
          <cell r="S151" t="str">
            <v>176 AVENUE JEAN  JAURES</v>
          </cell>
          <cell r="T151">
            <v>93300</v>
          </cell>
          <cell r="U151" t="str">
            <v>AUBERVILLIERS</v>
          </cell>
          <cell r="V151" t="str">
            <v>M.</v>
          </cell>
          <cell r="W151" t="str">
            <v>David Fort</v>
          </cell>
          <cell r="X151" t="str">
            <v>93300</v>
          </cell>
          <cell r="Y151" t="str">
            <v>AUBERVILLIERS</v>
          </cell>
          <cell r="Z151">
            <v>8710.11</v>
          </cell>
          <cell r="AA151">
            <v>30.32</v>
          </cell>
          <cell r="AB151">
            <v>158.27000000000001</v>
          </cell>
          <cell r="AD151">
            <v>8898.7000000000007</v>
          </cell>
          <cell r="AE151">
            <v>6611</v>
          </cell>
          <cell r="AF151">
            <v>0.42946091566542766</v>
          </cell>
          <cell r="AG151">
            <v>917.40000000000009</v>
          </cell>
          <cell r="AH151">
            <v>0.43865546218487395</v>
          </cell>
          <cell r="AL151">
            <v>7528.4</v>
          </cell>
          <cell r="AM151">
            <v>10539.759999999998</v>
          </cell>
          <cell r="AN151">
            <v>0.18441570116983352</v>
          </cell>
          <cell r="AO151" t="str">
            <v>001-G-93ZINGARO</v>
          </cell>
          <cell r="AQ151">
            <v>40644</v>
          </cell>
          <cell r="AX151">
            <v>986.20500000000004</v>
          </cell>
          <cell r="AY151">
            <v>0</v>
          </cell>
          <cell r="AZ151">
            <v>6743.22</v>
          </cell>
        </row>
        <row r="152">
          <cell r="A152">
            <v>533211</v>
          </cell>
          <cell r="B152" t="str">
            <v>MODE INTERNATIONAL DIFFUSION</v>
          </cell>
          <cell r="C152">
            <v>7.4999999999999997E-2</v>
          </cell>
          <cell r="D152">
            <v>0.1</v>
          </cell>
          <cell r="E152">
            <v>0.02</v>
          </cell>
          <cell r="F152">
            <v>41306</v>
          </cell>
          <cell r="G152" t="str">
            <v>OUI</v>
          </cell>
          <cell r="I152">
            <v>0</v>
          </cell>
          <cell r="J152">
            <v>0</v>
          </cell>
          <cell r="K152" t="str">
            <v>OK</v>
          </cell>
          <cell r="L152" t="str">
            <v>OK</v>
          </cell>
          <cell r="N152" t="str">
            <v>Non affecté</v>
          </cell>
          <cell r="O152" t="str">
            <v>JPP</v>
          </cell>
          <cell r="P152" t="str">
            <v>Ok mon client</v>
          </cell>
          <cell r="Q152" t="str">
            <v>GENNEVILLIERS</v>
          </cell>
          <cell r="R152" t="str">
            <v>93</v>
          </cell>
          <cell r="S152" t="str">
            <v>228 RUE ETIENNE MARCEL</v>
          </cell>
          <cell r="T152">
            <v>93170</v>
          </cell>
          <cell r="U152" t="str">
            <v>BAGNOLET</v>
          </cell>
          <cell r="V152" t="str">
            <v>Mme</v>
          </cell>
          <cell r="W152" t="str">
            <v>Caroline</v>
          </cell>
          <cell r="X152" t="str">
            <v>93170</v>
          </cell>
          <cell r="Y152" t="str">
            <v>BAGNOLET</v>
          </cell>
          <cell r="Z152">
            <v>1012.7800000000001</v>
          </cell>
          <cell r="AA152">
            <v>30.95</v>
          </cell>
          <cell r="AD152">
            <v>1043.73</v>
          </cell>
          <cell r="AE152">
            <v>5676.16</v>
          </cell>
          <cell r="AF152">
            <v>0.18763182740402934</v>
          </cell>
          <cell r="AG152">
            <v>774.29000000000008</v>
          </cell>
          <cell r="AH152">
            <v>0.14046716258068245</v>
          </cell>
          <cell r="AI152">
            <v>883.55000000000018</v>
          </cell>
          <cell r="AJ152">
            <v>6.2748826430565965E-2</v>
          </cell>
          <cell r="AL152">
            <v>7334</v>
          </cell>
          <cell r="AM152">
            <v>10267.599999999999</v>
          </cell>
          <cell r="AN152">
            <v>8.8374100581568023</v>
          </cell>
          <cell r="AO152" t="str">
            <v>001-G-93MODEINTERDIFF</v>
          </cell>
          <cell r="AP152" t="str">
            <v>001-L1-93MODEINTERDIFF</v>
          </cell>
          <cell r="AQ152">
            <v>40786</v>
          </cell>
          <cell r="AX152">
            <v>832.36175000000003</v>
          </cell>
          <cell r="AY152">
            <v>971.90500000000031</v>
          </cell>
          <cell r="AZ152">
            <v>5789.6832000000004</v>
          </cell>
        </row>
        <row r="153">
          <cell r="A153">
            <v>2852</v>
          </cell>
          <cell r="B153" t="str">
            <v>JANBAC</v>
          </cell>
          <cell r="G153" t="str">
            <v>OUI</v>
          </cell>
          <cell r="H153" t="str">
            <v>PAS DE CONTRAT INES</v>
          </cell>
          <cell r="I153">
            <v>0</v>
          </cell>
          <cell r="J153">
            <v>0</v>
          </cell>
          <cell r="K153" t="str">
            <v>NON</v>
          </cell>
          <cell r="L153" t="str">
            <v>NON</v>
          </cell>
          <cell r="M153" t="str">
            <v>Porte Feuille</v>
          </cell>
          <cell r="N153" t="str">
            <v>Non affecté</v>
          </cell>
          <cell r="O153" t="str">
            <v>AB</v>
          </cell>
          <cell r="P153" t="str">
            <v>Ok mon client</v>
          </cell>
          <cell r="Q153" t="str">
            <v>GENNEVILLIERS</v>
          </cell>
          <cell r="R153" t="str">
            <v>78</v>
          </cell>
          <cell r="S153" t="str">
            <v>61 RUE SAINT LEGER</v>
          </cell>
          <cell r="T153">
            <v>78540</v>
          </cell>
          <cell r="U153" t="str">
            <v>VERNOUILLET</v>
          </cell>
          <cell r="V153" t="str">
            <v>Mme</v>
          </cell>
          <cell r="W153" t="str">
            <v>Christina COSNARD</v>
          </cell>
          <cell r="X153" t="str">
            <v>78540</v>
          </cell>
          <cell r="Y153" t="str">
            <v>VERNOUILLET</v>
          </cell>
          <cell r="Z153">
            <v>19453.260000000002</v>
          </cell>
          <cell r="AD153">
            <v>19453.260000000002</v>
          </cell>
          <cell r="AE153">
            <v>7331</v>
          </cell>
          <cell r="AF153">
            <v>0.17282503696853424</v>
          </cell>
          <cell r="AL153">
            <v>7331</v>
          </cell>
          <cell r="AM153">
            <v>10263.4</v>
          </cell>
          <cell r="AN153">
            <v>-0.47240719550347865</v>
          </cell>
          <cell r="AQ153">
            <v>40584</v>
          </cell>
          <cell r="AX153">
            <v>0</v>
          </cell>
          <cell r="AY153">
            <v>0</v>
          </cell>
          <cell r="AZ153">
            <v>7331</v>
          </cell>
        </row>
        <row r="154">
          <cell r="A154">
            <v>587192</v>
          </cell>
          <cell r="B154" t="str">
            <v>SETHI COMMUNICATION</v>
          </cell>
          <cell r="C154">
            <v>7.4999999999999997E-2</v>
          </cell>
          <cell r="D154">
            <v>0.1</v>
          </cell>
          <cell r="E154">
            <v>0.02</v>
          </cell>
          <cell r="F154">
            <v>41306</v>
          </cell>
          <cell r="G154" t="str">
            <v>OUI</v>
          </cell>
          <cell r="I154">
            <v>0</v>
          </cell>
          <cell r="J154">
            <v>0</v>
          </cell>
          <cell r="K154" t="str">
            <v>OK</v>
          </cell>
          <cell r="L154" t="str">
            <v>OK</v>
          </cell>
          <cell r="N154" t="str">
            <v>Non affecté</v>
          </cell>
          <cell r="O154" t="str">
            <v>JPP</v>
          </cell>
          <cell r="P154" t="str">
            <v>Ok mon client</v>
          </cell>
          <cell r="Q154" t="str">
            <v>GENNEVILLIERS</v>
          </cell>
          <cell r="R154" t="str">
            <v>93</v>
          </cell>
          <cell r="S154" t="str">
            <v>26 RUE GUTENBERG</v>
          </cell>
          <cell r="T154">
            <v>93000</v>
          </cell>
          <cell r="U154" t="str">
            <v>BOBIGNY</v>
          </cell>
          <cell r="V154" t="str">
            <v>M.</v>
          </cell>
          <cell r="W154" t="str">
            <v>ALEXANDRE</v>
          </cell>
          <cell r="X154" t="str">
            <v>93000</v>
          </cell>
          <cell r="Y154" t="str">
            <v>BOBIGNY</v>
          </cell>
          <cell r="Z154">
            <v>17093.010000000002</v>
          </cell>
          <cell r="AD154">
            <v>17093.010000000002</v>
          </cell>
          <cell r="AE154">
            <v>7309.5300000000007</v>
          </cell>
          <cell r="AF154">
            <v>0.20852773687665216</v>
          </cell>
          <cell r="AL154">
            <v>7309.5300000000007</v>
          </cell>
          <cell r="AM154">
            <v>10233.342000000001</v>
          </cell>
          <cell r="AN154">
            <v>-0.4013142214273554</v>
          </cell>
          <cell r="AP154" t="str">
            <v>001-L-93SETHI</v>
          </cell>
          <cell r="AQ154">
            <v>40567</v>
          </cell>
          <cell r="AX154">
            <v>0</v>
          </cell>
          <cell r="AY154">
            <v>0</v>
          </cell>
          <cell r="AZ154">
            <v>7455.7206000000006</v>
          </cell>
        </row>
        <row r="155">
          <cell r="A155">
            <v>560808</v>
          </cell>
          <cell r="B155" t="str">
            <v>ROULUNDS BRAKING FRANCE SAS</v>
          </cell>
          <cell r="G155" t="str">
            <v>OUI</v>
          </cell>
          <cell r="H155" t="str">
            <v>RATTACHE A DELPHI</v>
          </cell>
          <cell r="I155">
            <v>0</v>
          </cell>
          <cell r="J155">
            <v>0</v>
          </cell>
          <cell r="K155" t="str">
            <v>NON</v>
          </cell>
          <cell r="L155" t="str">
            <v>NON</v>
          </cell>
          <cell r="M155" t="str">
            <v>rattaché à DELPHI</v>
          </cell>
          <cell r="N155" t="str">
            <v>Non affecté</v>
          </cell>
          <cell r="O155" t="str">
            <v>JPP</v>
          </cell>
          <cell r="P155" t="str">
            <v>Ok mon client</v>
          </cell>
          <cell r="Q155" t="str">
            <v>GENNEVILLIERS</v>
          </cell>
          <cell r="R155" t="str">
            <v>60</v>
          </cell>
          <cell r="S155" t="str">
            <v>ZI DEVIATION PARIS BEAUVAIS</v>
          </cell>
          <cell r="T155">
            <v>60240</v>
          </cell>
          <cell r="U155" t="str">
            <v>CHAUMONT EN VEXIN</v>
          </cell>
          <cell r="X155" t="str">
            <v>60240</v>
          </cell>
          <cell r="Y155" t="str">
            <v>CHAUMONT EN VEXIN</v>
          </cell>
          <cell r="Z155">
            <v>8055.3099999999995</v>
          </cell>
          <cell r="AA155">
            <v>26.06</v>
          </cell>
          <cell r="AD155">
            <v>8081.37</v>
          </cell>
          <cell r="AE155">
            <v>7264.1900000000005</v>
          </cell>
          <cell r="AF155">
            <v>0.91874238973633615</v>
          </cell>
          <cell r="AL155">
            <v>7264.1900000000005</v>
          </cell>
          <cell r="AM155">
            <v>10169.866</v>
          </cell>
          <cell r="AN155">
            <v>0.25843340918680879</v>
          </cell>
          <cell r="AO155" t="str">
            <v>001-G-95DELPHIAFTERMARK</v>
          </cell>
          <cell r="AP155" t="str">
            <v>001-L-60ROULUNDSBRAKING</v>
          </cell>
          <cell r="AX155">
            <v>0</v>
          </cell>
          <cell r="AY155">
            <v>0</v>
          </cell>
          <cell r="AZ155">
            <v>7264.1900000000005</v>
          </cell>
        </row>
        <row r="156">
          <cell r="A156">
            <v>575371</v>
          </cell>
          <cell r="B156" t="str">
            <v>DOGTRA EUROPE</v>
          </cell>
          <cell r="C156">
            <v>4.8000000000000001E-2</v>
          </cell>
          <cell r="D156">
            <v>4.8000000000000001E-2</v>
          </cell>
          <cell r="E156">
            <v>0.02</v>
          </cell>
          <cell r="F156">
            <v>41275</v>
          </cell>
          <cell r="I156">
            <v>0</v>
          </cell>
          <cell r="J156">
            <v>0</v>
          </cell>
          <cell r="K156" t="str">
            <v>OK</v>
          </cell>
          <cell r="L156" t="str">
            <v>OK</v>
          </cell>
          <cell r="N156" t="str">
            <v>Non affecté</v>
          </cell>
          <cell r="O156" t="str">
            <v>AB</v>
          </cell>
          <cell r="P156" t="str">
            <v>Ok mon client</v>
          </cell>
          <cell r="Q156" t="str">
            <v>GENNEVILLIERS</v>
          </cell>
          <cell r="R156" t="str">
            <v>78</v>
          </cell>
          <cell r="S156" t="str">
            <v xml:space="preserve">IMMEUBLE"LE VAUBAN" PARC        </v>
          </cell>
          <cell r="T156" t="str">
            <v>78320</v>
          </cell>
          <cell r="U156" t="str">
            <v>LA VERRIERE</v>
          </cell>
          <cell r="V156" t="str">
            <v>Mme</v>
          </cell>
          <cell r="W156" t="str">
            <v>VALDENAIRE</v>
          </cell>
          <cell r="X156" t="str">
            <v>78320</v>
          </cell>
          <cell r="Y156" t="str">
            <v>LA VERRIERE</v>
          </cell>
          <cell r="AB156">
            <v>7762.5</v>
          </cell>
          <cell r="AD156">
            <v>7762.5</v>
          </cell>
          <cell r="AI156">
            <v>7250.2199999999993</v>
          </cell>
          <cell r="AJ156">
            <v>0.56876226161650012</v>
          </cell>
          <cell r="AL156">
            <v>7250.2199999999993</v>
          </cell>
          <cell r="AM156">
            <v>10150.307999999999</v>
          </cell>
          <cell r="AN156">
            <v>0.30760811594202897</v>
          </cell>
          <cell r="AO156" t="str">
            <v>001-G-78DOGTRAEUROPE</v>
          </cell>
          <cell r="AX156">
            <v>0</v>
          </cell>
          <cell r="AY156">
            <v>7598.23056</v>
          </cell>
          <cell r="AZ156">
            <v>0</v>
          </cell>
        </row>
        <row r="157">
          <cell r="A157">
            <v>501876</v>
          </cell>
          <cell r="B157" t="str">
            <v>CLARET AL</v>
          </cell>
          <cell r="C157">
            <v>7.4999999999999997E-2</v>
          </cell>
          <cell r="D157">
            <v>0.1</v>
          </cell>
          <cell r="E157">
            <v>0.02</v>
          </cell>
          <cell r="F157">
            <v>41275</v>
          </cell>
          <cell r="G157" t="str">
            <v>OUI</v>
          </cell>
          <cell r="I157">
            <v>0</v>
          </cell>
          <cell r="J157">
            <v>0</v>
          </cell>
          <cell r="K157" t="str">
            <v>OK</v>
          </cell>
          <cell r="L157" t="str">
            <v>OK</v>
          </cell>
          <cell r="M157" t="str">
            <v>Porte Feuille</v>
          </cell>
          <cell r="N157" t="str">
            <v>Non affecté</v>
          </cell>
          <cell r="O157" t="str">
            <v>MM</v>
          </cell>
          <cell r="P157" t="str">
            <v>Ok mon client</v>
          </cell>
          <cell r="Q157" t="str">
            <v>GENNEVILLIERS</v>
          </cell>
          <cell r="R157" t="str">
            <v>95</v>
          </cell>
          <cell r="S157" t="str">
            <v>18 RUE JULES VERCRUYSSE</v>
          </cell>
          <cell r="T157" t="str">
            <v>95100</v>
          </cell>
          <cell r="U157" t="str">
            <v>ARGENTEUIL</v>
          </cell>
          <cell r="V157" t="str">
            <v>Mme</v>
          </cell>
          <cell r="W157" t="str">
            <v>RECHNER</v>
          </cell>
          <cell r="X157" t="str">
            <v>95100</v>
          </cell>
          <cell r="Y157" t="str">
            <v>ARGENTEUIL</v>
          </cell>
          <cell r="AA157">
            <v>7350.53</v>
          </cell>
          <cell r="AB157">
            <v>8640.369999999999</v>
          </cell>
          <cell r="AD157">
            <v>15990.899999999998</v>
          </cell>
          <cell r="AG157">
            <v>3763.6500000000005</v>
          </cell>
          <cell r="AH157">
            <v>4.4411336295813252E-2</v>
          </cell>
          <cell r="AI157">
            <v>3472.63</v>
          </cell>
          <cell r="AJ157">
            <v>0.35129968527800409</v>
          </cell>
          <cell r="AL157">
            <v>7236.2800000000007</v>
          </cell>
          <cell r="AM157">
            <v>10130.791999999999</v>
          </cell>
          <cell r="AN157">
            <v>-0.36646517706945825</v>
          </cell>
          <cell r="AO157" t="str">
            <v>001-G-92ALCLARET</v>
          </cell>
          <cell r="AQ157">
            <v>39378</v>
          </cell>
          <cell r="AX157">
            <v>4045.9237500000004</v>
          </cell>
          <cell r="AY157">
            <v>3819.8930000000005</v>
          </cell>
          <cell r="AZ157">
            <v>0</v>
          </cell>
        </row>
        <row r="158">
          <cell r="A158">
            <v>377499</v>
          </cell>
          <cell r="B158" t="str">
            <v>ATLANTIS INFORMATIQUE</v>
          </cell>
          <cell r="C158">
            <v>7.4999999999999997E-2</v>
          </cell>
          <cell r="D158">
            <v>0.1</v>
          </cell>
          <cell r="E158">
            <v>0.02</v>
          </cell>
          <cell r="F158">
            <v>41306</v>
          </cell>
          <cell r="G158" t="str">
            <v>OUI</v>
          </cell>
          <cell r="I158">
            <v>0</v>
          </cell>
          <cell r="J158">
            <v>0</v>
          </cell>
          <cell r="K158" t="str">
            <v>OK</v>
          </cell>
          <cell r="L158" t="str">
            <v>OK</v>
          </cell>
          <cell r="N158" t="str">
            <v>Non affecté</v>
          </cell>
          <cell r="O158" t="str">
            <v>JPP</v>
          </cell>
          <cell r="P158" t="str">
            <v>Ok mon client</v>
          </cell>
          <cell r="Q158" t="str">
            <v>GENNEVILLIERS</v>
          </cell>
          <cell r="R158" t="str">
            <v>93</v>
          </cell>
          <cell r="S158" t="str">
            <v>51 RUE CREVE COEUR</v>
          </cell>
          <cell r="T158" t="str">
            <v>93120</v>
          </cell>
          <cell r="U158" t="str">
            <v>LA COURNEUVE</v>
          </cell>
          <cell r="V158" t="str">
            <v>M.</v>
          </cell>
          <cell r="W158" t="str">
            <v>DUGA</v>
          </cell>
          <cell r="X158" t="str">
            <v>93120</v>
          </cell>
          <cell r="Y158" t="str">
            <v>LA COURNEUVE</v>
          </cell>
          <cell r="Z158">
            <v>193.96</v>
          </cell>
          <cell r="AA158">
            <v>10272.169999999998</v>
          </cell>
          <cell r="AD158">
            <v>10466.129999999997</v>
          </cell>
          <cell r="AG158">
            <v>7194.1</v>
          </cell>
          <cell r="AH158">
            <v>0.46852970989388815</v>
          </cell>
          <cell r="AL158">
            <v>7194.1</v>
          </cell>
          <cell r="AM158">
            <v>10071.74</v>
          </cell>
          <cell r="AN158">
            <v>-3.7682505376867792E-2</v>
          </cell>
          <cell r="AO158" t="str">
            <v>259-G-93ATLANTISINFORMA</v>
          </cell>
          <cell r="AP158" t="str">
            <v>259-L-93ATLANTISINFORMA</v>
          </cell>
          <cell r="AX158">
            <v>7733.6575000000003</v>
          </cell>
          <cell r="AY158">
            <v>0</v>
          </cell>
          <cell r="AZ158">
            <v>0</v>
          </cell>
        </row>
        <row r="159">
          <cell r="A159">
            <v>816812</v>
          </cell>
          <cell r="B159" t="str">
            <v>TAP FRANCE</v>
          </cell>
          <cell r="C159">
            <v>4.8000000000000001E-2</v>
          </cell>
          <cell r="D159">
            <v>4.8000000000000001E-2</v>
          </cell>
          <cell r="E159">
            <v>0.02</v>
          </cell>
          <cell r="F159">
            <v>41275</v>
          </cell>
          <cell r="I159">
            <v>0</v>
          </cell>
          <cell r="J159">
            <v>0</v>
          </cell>
          <cell r="K159" t="str">
            <v>OK</v>
          </cell>
          <cell r="L159" t="str">
            <v>OK</v>
          </cell>
          <cell r="N159" t="str">
            <v>Non affecté</v>
          </cell>
          <cell r="O159" t="str">
            <v>AB</v>
          </cell>
          <cell r="P159" t="str">
            <v>Ok mon client</v>
          </cell>
          <cell r="Q159" t="str">
            <v>GENNEVILLIERS</v>
          </cell>
          <cell r="R159" t="str">
            <v>78</v>
          </cell>
          <cell r="V159" t="str">
            <v>M</v>
          </cell>
          <cell r="W159" t="str">
            <v>ALEXIS GUERBE</v>
          </cell>
          <cell r="X159" t="str">
            <v>78370</v>
          </cell>
          <cell r="Y159" t="str">
            <v>PLAISIR</v>
          </cell>
          <cell r="AG159">
            <v>6905.9600000000009</v>
          </cell>
          <cell r="AH159">
            <v>8.7264924237100847E-2</v>
          </cell>
          <cell r="AI159">
            <v>224.76999999999998</v>
          </cell>
          <cell r="AJ159">
            <v>8.9310187300136984E-2</v>
          </cell>
          <cell r="AL159">
            <v>7130.7300000000014</v>
          </cell>
          <cell r="AM159">
            <v>9983.0220000000008</v>
          </cell>
          <cell r="AO159" t="str">
            <v>001-G-78TAPFRANCE</v>
          </cell>
          <cell r="AP159" t="str">
            <v>001-L-78TAPFRANCE</v>
          </cell>
          <cell r="AQ159">
            <v>41082</v>
          </cell>
          <cell r="AX159">
            <v>7237.4460800000015</v>
          </cell>
          <cell r="AY159">
            <v>235.55895999999998</v>
          </cell>
          <cell r="AZ159">
            <v>0</v>
          </cell>
        </row>
        <row r="160">
          <cell r="A160">
            <v>478077</v>
          </cell>
          <cell r="B160" t="str">
            <v>WORLD EXPRESS SERVICES</v>
          </cell>
          <cell r="C160">
            <v>7.4999999999999997E-2</v>
          </cell>
          <cell r="D160">
            <v>0.1</v>
          </cell>
          <cell r="E160">
            <v>0.02</v>
          </cell>
          <cell r="F160">
            <v>41306</v>
          </cell>
          <cell r="G160" t="str">
            <v>OUI</v>
          </cell>
          <cell r="I160">
            <v>0</v>
          </cell>
          <cell r="J160">
            <v>0</v>
          </cell>
          <cell r="K160" t="str">
            <v>OK</v>
          </cell>
          <cell r="L160" t="str">
            <v>OK</v>
          </cell>
          <cell r="N160" t="str">
            <v>Non affecté</v>
          </cell>
          <cell r="O160" t="str">
            <v>JPP</v>
          </cell>
          <cell r="P160" t="str">
            <v>Ok mon client</v>
          </cell>
          <cell r="Q160" t="str">
            <v>GENNEVILLIERS</v>
          </cell>
          <cell r="R160" t="str">
            <v>06</v>
          </cell>
          <cell r="S160" t="str">
            <v>RUE DE LA JEUNE FILLE</v>
          </cell>
          <cell r="T160">
            <v>95</v>
          </cell>
          <cell r="U160" t="str">
            <v>ROISSY</v>
          </cell>
          <cell r="V160" t="str">
            <v>Mr</v>
          </cell>
          <cell r="W160" t="str">
            <v>LEMAITRE THIERRY</v>
          </cell>
          <cell r="X160" t="str">
            <v>06206</v>
          </cell>
          <cell r="Y160" t="str">
            <v>NICE CEDEX 3</v>
          </cell>
          <cell r="Z160">
            <v>559</v>
          </cell>
          <cell r="AA160">
            <v>512.25</v>
          </cell>
          <cell r="AB160">
            <v>588.30999999999995</v>
          </cell>
          <cell r="AD160">
            <v>1659.56</v>
          </cell>
          <cell r="AE160">
            <v>1831.5900000000001</v>
          </cell>
          <cell r="AG160">
            <v>3533.87</v>
          </cell>
          <cell r="AH160">
            <v>0.48823067058288161</v>
          </cell>
          <cell r="AI160">
            <v>1699.78</v>
          </cell>
          <cell r="AJ160">
            <v>0.56985767767555362</v>
          </cell>
          <cell r="AL160">
            <v>7065.24</v>
          </cell>
          <cell r="AM160">
            <v>9891.3359999999993</v>
          </cell>
          <cell r="AN160">
            <v>4.9602159608570942</v>
          </cell>
          <cell r="AO160" t="str">
            <v>001-G-95WES</v>
          </cell>
          <cell r="AP160" t="str">
            <v>001-L-95WES</v>
          </cell>
          <cell r="AQ160">
            <v>40820</v>
          </cell>
          <cell r="AX160">
            <v>3798.9102499999999</v>
          </cell>
          <cell r="AY160">
            <v>1869.758</v>
          </cell>
          <cell r="AZ160">
            <v>1868.2218000000003</v>
          </cell>
        </row>
        <row r="161">
          <cell r="A161">
            <v>571881</v>
          </cell>
          <cell r="B161" t="str">
            <v>JARDIN PAMPLEMOUSSE</v>
          </cell>
          <cell r="C161">
            <v>7.4999999999999997E-2</v>
          </cell>
          <cell r="D161">
            <v>0.1</v>
          </cell>
          <cell r="E161">
            <v>0.02</v>
          </cell>
          <cell r="F161">
            <v>41306</v>
          </cell>
          <cell r="G161" t="str">
            <v>OUI</v>
          </cell>
          <cell r="I161">
            <v>0</v>
          </cell>
          <cell r="J161">
            <v>0</v>
          </cell>
          <cell r="K161" t="str">
            <v>OK</v>
          </cell>
          <cell r="L161" t="str">
            <v>OK</v>
          </cell>
          <cell r="N161" t="str">
            <v>Non affecté</v>
          </cell>
          <cell r="O161" t="str">
            <v>JPP</v>
          </cell>
          <cell r="P161" t="str">
            <v>Ok mon client</v>
          </cell>
          <cell r="Q161" t="str">
            <v>GENNEVILLIERS</v>
          </cell>
          <cell r="R161" t="str">
            <v>92</v>
          </cell>
          <cell r="S161" t="str">
            <v>100 Bd Delattre de Tassigny</v>
          </cell>
          <cell r="T161" t="str">
            <v>92150</v>
          </cell>
          <cell r="U161" t="str">
            <v>SURESNES</v>
          </cell>
          <cell r="V161" t="str">
            <v>M.</v>
          </cell>
          <cell r="W161" t="str">
            <v>DE GRIVEL</v>
          </cell>
          <cell r="X161" t="str">
            <v>92150</v>
          </cell>
          <cell r="Y161" t="str">
            <v>SURESNES</v>
          </cell>
          <cell r="Z161">
            <v>505</v>
          </cell>
          <cell r="AA161">
            <v>6627.58</v>
          </cell>
          <cell r="AB161">
            <v>6383.89</v>
          </cell>
          <cell r="AD161">
            <v>13516.470000000001</v>
          </cell>
          <cell r="AE161">
            <v>129</v>
          </cell>
          <cell r="AG161">
            <v>3357.0600000000004</v>
          </cell>
          <cell r="AH161">
            <v>0.38173133423052868</v>
          </cell>
          <cell r="AI161">
            <v>3562.47</v>
          </cell>
          <cell r="AJ161">
            <v>0.34722745344214301</v>
          </cell>
          <cell r="AL161">
            <v>7048.5300000000007</v>
          </cell>
          <cell r="AM161">
            <v>9867.9420000000009</v>
          </cell>
          <cell r="AN161">
            <v>-0.26993201627347974</v>
          </cell>
          <cell r="AO161" t="str">
            <v>001-G-92JARDINPAMPLEMOU</v>
          </cell>
          <cell r="AP161" t="str">
            <v>001-L-92JARDINPAMPLEMOU</v>
          </cell>
          <cell r="AX161">
            <v>3608.8395000000005</v>
          </cell>
          <cell r="AY161">
            <v>3918.7170000000001</v>
          </cell>
          <cell r="AZ161">
            <v>131.58000000000001</v>
          </cell>
        </row>
        <row r="162">
          <cell r="A162">
            <v>691557</v>
          </cell>
          <cell r="B162" t="str">
            <v>NITRAM</v>
          </cell>
          <cell r="C162">
            <v>4.8000000000000001E-2</v>
          </cell>
          <cell r="D162">
            <v>4.8000000000000001E-2</v>
          </cell>
          <cell r="E162">
            <v>0.02</v>
          </cell>
          <cell r="F162">
            <v>41275</v>
          </cell>
          <cell r="H162" t="str">
            <v>A RAPATRIER SUR 001</v>
          </cell>
          <cell r="I162">
            <v>0</v>
          </cell>
          <cell r="J162">
            <v>0</v>
          </cell>
          <cell r="K162" t="str">
            <v>OK</v>
          </cell>
          <cell r="L162" t="str">
            <v>OK</v>
          </cell>
          <cell r="N162" t="str">
            <v>Non affecté</v>
          </cell>
          <cell r="O162" t="str">
            <v>AB</v>
          </cell>
          <cell r="P162" t="str">
            <v>Ok mon client</v>
          </cell>
          <cell r="Q162" t="str">
            <v>GENNEVILLIERS</v>
          </cell>
          <cell r="R162" t="str">
            <v>28</v>
          </cell>
          <cell r="S162" t="str">
            <v>ZI ST SEVERIN</v>
          </cell>
          <cell r="T162">
            <v>28220</v>
          </cell>
          <cell r="U162" t="str">
            <v>CLOYES SUR LE LOIR</v>
          </cell>
          <cell r="X162" t="str">
            <v>28220</v>
          </cell>
          <cell r="Y162" t="str">
            <v>CLOYES SUR LE LOIR</v>
          </cell>
          <cell r="Z162">
            <v>151</v>
          </cell>
          <cell r="AB162">
            <v>8941.31</v>
          </cell>
          <cell r="AD162">
            <v>9092.31</v>
          </cell>
          <cell r="AE162">
            <v>4148.7</v>
          </cell>
          <cell r="AF162">
            <v>1.7364981824476371</v>
          </cell>
          <cell r="AI162">
            <v>2460.36</v>
          </cell>
          <cell r="AJ162">
            <v>0.2513994467556796</v>
          </cell>
          <cell r="AL162">
            <v>6609.0599999999995</v>
          </cell>
          <cell r="AM162">
            <v>9252.6839999999993</v>
          </cell>
          <cell r="AN162">
            <v>1.7638421919182301E-2</v>
          </cell>
          <cell r="AQ162">
            <v>39654</v>
          </cell>
          <cell r="AX162">
            <v>0</v>
          </cell>
          <cell r="AY162">
            <v>2578.4572800000001</v>
          </cell>
          <cell r="AZ162">
            <v>4231.674</v>
          </cell>
        </row>
        <row r="163">
          <cell r="A163">
            <v>857096</v>
          </cell>
          <cell r="B163" t="str">
            <v>UNIVERSAL SOURCING NETWORK</v>
          </cell>
          <cell r="C163">
            <v>4.8000000000000001E-2</v>
          </cell>
          <cell r="D163">
            <v>4.8000000000000001E-2</v>
          </cell>
          <cell r="E163">
            <v>0.02</v>
          </cell>
          <cell r="F163">
            <v>41275</v>
          </cell>
          <cell r="H163" t="str">
            <v>A RAPATRIER SUR 001</v>
          </cell>
          <cell r="I163">
            <v>0</v>
          </cell>
          <cell r="J163">
            <v>0</v>
          </cell>
          <cell r="K163" t="str">
            <v>OK</v>
          </cell>
          <cell r="L163" t="str">
            <v>OK</v>
          </cell>
          <cell r="N163" t="str">
            <v>Non affecté</v>
          </cell>
          <cell r="O163" t="str">
            <v>AB</v>
          </cell>
          <cell r="P163" t="str">
            <v>Ok mon client</v>
          </cell>
          <cell r="Q163" t="str">
            <v>GENNEVILLIERS</v>
          </cell>
          <cell r="R163" t="str">
            <v>28</v>
          </cell>
          <cell r="S163" t="str">
            <v>123 AVENUE DU GENERAL LECLERC</v>
          </cell>
          <cell r="T163">
            <v>28100</v>
          </cell>
          <cell r="U163" t="str">
            <v>DREUX</v>
          </cell>
          <cell r="X163" t="str">
            <v>28100</v>
          </cell>
          <cell r="Y163" t="str">
            <v>DREUX</v>
          </cell>
          <cell r="Z163">
            <v>2487.3500000000004</v>
          </cell>
          <cell r="AD163">
            <v>2487.3500000000004</v>
          </cell>
          <cell r="AE163">
            <v>6231.08</v>
          </cell>
          <cell r="AF163">
            <v>0.42795772653420189</v>
          </cell>
          <cell r="AI163">
            <v>137.70999999999998</v>
          </cell>
          <cell r="AJ163">
            <v>5.623700623700606E-2</v>
          </cell>
          <cell r="AL163">
            <v>6368.79</v>
          </cell>
          <cell r="AM163">
            <v>8916.3059999999987</v>
          </cell>
          <cell r="AN163">
            <v>2.584660783564837</v>
          </cell>
          <cell r="AO163" t="str">
            <v>028-G-28UNIVERSALSOURC</v>
          </cell>
          <cell r="AP163" t="str">
            <v>028-L-28UNIVERSALSOURC</v>
          </cell>
          <cell r="AX163">
            <v>0</v>
          </cell>
          <cell r="AY163">
            <v>144.32007999999999</v>
          </cell>
          <cell r="AZ163">
            <v>6355.7016000000003</v>
          </cell>
        </row>
        <row r="164">
          <cell r="A164">
            <v>835707</v>
          </cell>
          <cell r="B164" t="str">
            <v>AFCM DIFFUSION</v>
          </cell>
          <cell r="C164">
            <v>4.8000000000000001E-2</v>
          </cell>
          <cell r="D164">
            <v>4.8000000000000001E-2</v>
          </cell>
          <cell r="E164">
            <v>0.02</v>
          </cell>
          <cell r="F164">
            <v>41275</v>
          </cell>
          <cell r="I164">
            <v>0</v>
          </cell>
          <cell r="J164">
            <v>0</v>
          </cell>
          <cell r="K164" t="str">
            <v>OK</v>
          </cell>
          <cell r="L164" t="str">
            <v>OK</v>
          </cell>
          <cell r="N164" t="str">
            <v>Non affecté</v>
          </cell>
          <cell r="O164" t="str">
            <v>AB</v>
          </cell>
          <cell r="P164" t="str">
            <v>Ok mon client</v>
          </cell>
          <cell r="Q164" t="str">
            <v>GENNEVILLIERS</v>
          </cell>
          <cell r="R164" t="str">
            <v>78</v>
          </cell>
          <cell r="S164" t="str">
            <v>101 CHEMIN DE RONDE</v>
          </cell>
          <cell r="T164">
            <v>78290</v>
          </cell>
          <cell r="U164" t="str">
            <v>CROISSY SUR SEINE</v>
          </cell>
          <cell r="W164" t="str">
            <v>Directeur Logistique et Transports</v>
          </cell>
          <cell r="X164" t="str">
            <v>78290</v>
          </cell>
          <cell r="Y164" t="str">
            <v>CROISSY SUR SEINE</v>
          </cell>
          <cell r="Z164">
            <v>292.56</v>
          </cell>
          <cell r="AA164">
            <v>1906.46</v>
          </cell>
          <cell r="AB164">
            <v>469.95000000000005</v>
          </cell>
          <cell r="AD164">
            <v>2668.9700000000003</v>
          </cell>
          <cell r="AE164">
            <v>690</v>
          </cell>
          <cell r="AG164">
            <v>2975.75</v>
          </cell>
          <cell r="AH164">
            <v>0.77949907235621507</v>
          </cell>
          <cell r="AI164">
            <v>2679.72</v>
          </cell>
          <cell r="AJ164">
            <v>0.74911733311437723</v>
          </cell>
          <cell r="AL164">
            <v>6345.47</v>
          </cell>
          <cell r="AM164">
            <v>8883.6579999999994</v>
          </cell>
          <cell r="AN164">
            <v>2.3284967609227523</v>
          </cell>
          <cell r="AO164" t="str">
            <v>001-G-75AFCMDIFFUSION</v>
          </cell>
          <cell r="AP164" t="str">
            <v>001-L-75AFCMDIFFUSION</v>
          </cell>
          <cell r="AX164">
            <v>3118.5860000000002</v>
          </cell>
          <cell r="AY164">
            <v>2808.34656</v>
          </cell>
          <cell r="AZ164">
            <v>703.80000000000007</v>
          </cell>
        </row>
        <row r="165">
          <cell r="A165">
            <v>474091</v>
          </cell>
          <cell r="B165" t="str">
            <v>LABORATOIRES HYPERIX</v>
          </cell>
          <cell r="C165">
            <v>7.4999999999999997E-2</v>
          </cell>
          <cell r="D165">
            <v>0.1</v>
          </cell>
          <cell r="E165">
            <v>0.02</v>
          </cell>
          <cell r="F165">
            <v>41275</v>
          </cell>
          <cell r="G165" t="str">
            <v>OUI</v>
          </cell>
          <cell r="I165">
            <v>0</v>
          </cell>
          <cell r="J165">
            <v>0</v>
          </cell>
          <cell r="K165" t="str">
            <v>OK</v>
          </cell>
          <cell r="L165" t="str">
            <v>OK</v>
          </cell>
          <cell r="N165" t="str">
            <v>Non affecté</v>
          </cell>
          <cell r="O165" t="str">
            <v>MM</v>
          </cell>
          <cell r="P165" t="str">
            <v>Ok mon client</v>
          </cell>
          <cell r="Q165" t="str">
            <v>GENNEVILLIERS</v>
          </cell>
          <cell r="R165" t="str">
            <v>95</v>
          </cell>
          <cell r="S165" t="str">
            <v>15 RUE LEOPOLD GAUTHERIN</v>
          </cell>
          <cell r="T165" t="str">
            <v>95101</v>
          </cell>
          <cell r="U165" t="str">
            <v>ARGENTEUIL CEDEX</v>
          </cell>
          <cell r="V165" t="str">
            <v>M.</v>
          </cell>
          <cell r="W165" t="str">
            <v>LEROUX</v>
          </cell>
          <cell r="X165" t="str">
            <v>95101</v>
          </cell>
          <cell r="Y165" t="str">
            <v>ARGENTEUIL CEDEX</v>
          </cell>
          <cell r="AA165">
            <v>5100.07</v>
          </cell>
          <cell r="AB165">
            <v>692.93999999999994</v>
          </cell>
          <cell r="AD165">
            <v>5793.0099999999993</v>
          </cell>
          <cell r="AG165">
            <v>6320.95</v>
          </cell>
          <cell r="AH165">
            <v>0.71361309197293832</v>
          </cell>
          <cell r="AL165">
            <v>6320.95</v>
          </cell>
          <cell r="AM165">
            <v>8849.33</v>
          </cell>
          <cell r="AN165">
            <v>0.52758755810882452</v>
          </cell>
          <cell r="AO165" t="str">
            <v>001-G-95LABORATOIRESHYP</v>
          </cell>
          <cell r="AP165" t="str">
            <v>001-L-95LABORATOIRESHYP</v>
          </cell>
          <cell r="AQ165">
            <v>38093</v>
          </cell>
          <cell r="AX165">
            <v>6795.0212499999998</v>
          </cell>
          <cell r="AY165">
            <v>0</v>
          </cell>
          <cell r="AZ165">
            <v>0</v>
          </cell>
        </row>
        <row r="166">
          <cell r="A166">
            <v>574718</v>
          </cell>
          <cell r="B166" t="str">
            <v>EXWOO1FR</v>
          </cell>
          <cell r="G166" t="str">
            <v>OUI</v>
          </cell>
          <cell r="H166" t="str">
            <v>POUBELLE</v>
          </cell>
          <cell r="I166">
            <v>0</v>
          </cell>
          <cell r="J166">
            <v>0</v>
          </cell>
          <cell r="K166" t="str">
            <v>NON</v>
          </cell>
          <cell r="L166" t="str">
            <v>NON</v>
          </cell>
          <cell r="N166" t="str">
            <v>Non affecté</v>
          </cell>
          <cell r="O166" t="str">
            <v>JPP</v>
          </cell>
          <cell r="P166" t="str">
            <v>Ok mon client</v>
          </cell>
          <cell r="Q166" t="str">
            <v>GENNEVILLIERS</v>
          </cell>
          <cell r="R166" t="str">
            <v>92</v>
          </cell>
          <cell r="S166" t="str">
            <v>-</v>
          </cell>
          <cell r="T166">
            <v>92000</v>
          </cell>
          <cell r="U166" t="str">
            <v>NANTERRE</v>
          </cell>
          <cell r="X166" t="str">
            <v>92000</v>
          </cell>
          <cell r="Y166" t="str">
            <v>NANTERRE</v>
          </cell>
          <cell r="Z166">
            <v>4254</v>
          </cell>
          <cell r="AA166">
            <v>976.2</v>
          </cell>
          <cell r="AD166">
            <v>5230.2</v>
          </cell>
          <cell r="AE166">
            <v>5998.92</v>
          </cell>
          <cell r="AF166">
            <v>0.1226229508196722</v>
          </cell>
          <cell r="AG166">
            <v>212.37</v>
          </cell>
          <cell r="AI166">
            <v>96.22999999999999</v>
          </cell>
          <cell r="AL166">
            <v>6307.5199999999995</v>
          </cell>
          <cell r="AM166">
            <v>8830.5279999999984</v>
          </cell>
          <cell r="AN166">
            <v>0.68837291116974475</v>
          </cell>
          <cell r="AX166">
            <v>212.37</v>
          </cell>
          <cell r="AY166">
            <v>96.22999999999999</v>
          </cell>
          <cell r="AZ166">
            <v>5998.92</v>
          </cell>
        </row>
        <row r="167">
          <cell r="A167">
            <v>533609</v>
          </cell>
          <cell r="B167" t="str">
            <v>CDTEL</v>
          </cell>
          <cell r="C167">
            <v>0.03</v>
          </cell>
          <cell r="D167">
            <v>0.03</v>
          </cell>
          <cell r="F167">
            <v>41275</v>
          </cell>
          <cell r="G167" t="str">
            <v>NON</v>
          </cell>
          <cell r="I167">
            <v>0</v>
          </cell>
          <cell r="J167">
            <v>0</v>
          </cell>
          <cell r="K167" t="str">
            <v>OK</v>
          </cell>
          <cell r="L167" t="str">
            <v>OK</v>
          </cell>
          <cell r="M167" t="str">
            <v>Porte Feuille</v>
          </cell>
          <cell r="N167" t="str">
            <v>Non affecté</v>
          </cell>
          <cell r="O167" t="str">
            <v>JPP</v>
          </cell>
          <cell r="P167" t="str">
            <v>Ok mon client</v>
          </cell>
          <cell r="Q167" t="str">
            <v>GENNEVILLIERS</v>
          </cell>
          <cell r="R167" t="str">
            <v>75</v>
          </cell>
          <cell r="S167" t="str">
            <v>10 BIS RUE BUISSON</v>
          </cell>
          <cell r="T167" t="str">
            <v>75020</v>
          </cell>
          <cell r="U167" t="str">
            <v>PARIS</v>
          </cell>
          <cell r="V167" t="str">
            <v>M.</v>
          </cell>
          <cell r="W167" t="str">
            <v>BOISSON</v>
          </cell>
          <cell r="X167" t="str">
            <v>75020</v>
          </cell>
          <cell r="Y167" t="str">
            <v>PARIS</v>
          </cell>
          <cell r="Z167">
            <v>1401.27</v>
          </cell>
          <cell r="AA167">
            <v>18334.259999999998</v>
          </cell>
          <cell r="AB167">
            <v>2340.59</v>
          </cell>
          <cell r="AD167">
            <v>22076.12</v>
          </cell>
          <cell r="AG167">
            <v>5547.76</v>
          </cell>
          <cell r="AH167">
            <v>0.58280979880711947</v>
          </cell>
          <cell r="AI167">
            <v>739.03</v>
          </cell>
          <cell r="AJ167">
            <v>0.69372842347525887</v>
          </cell>
          <cell r="AL167">
            <v>6286.79</v>
          </cell>
          <cell r="AM167">
            <v>8801.5059999999994</v>
          </cell>
          <cell r="AN167">
            <v>-0.60131100936215243</v>
          </cell>
          <cell r="AX167">
            <v>5714.1928000000007</v>
          </cell>
          <cell r="AY167">
            <v>761.20090000000005</v>
          </cell>
          <cell r="AZ167">
            <v>0</v>
          </cell>
        </row>
        <row r="168">
          <cell r="A168">
            <v>434036</v>
          </cell>
          <cell r="B168" t="str">
            <v>FRANCE ECLAIRAGE DISTRIBUTION</v>
          </cell>
          <cell r="C168">
            <v>7.4999999999999997E-2</v>
          </cell>
          <cell r="D168">
            <v>0.1</v>
          </cell>
          <cell r="E168">
            <v>0.02</v>
          </cell>
          <cell r="F168">
            <v>41275</v>
          </cell>
          <cell r="G168" t="str">
            <v>OUI</v>
          </cell>
          <cell r="I168">
            <v>0</v>
          </cell>
          <cell r="J168">
            <v>0</v>
          </cell>
          <cell r="K168" t="str">
            <v>OK</v>
          </cell>
          <cell r="L168" t="str">
            <v>OK</v>
          </cell>
          <cell r="N168" t="str">
            <v>Non affecté</v>
          </cell>
          <cell r="O168" t="str">
            <v>JPP</v>
          </cell>
          <cell r="P168" t="str">
            <v>Ok mon client</v>
          </cell>
          <cell r="Q168" t="str">
            <v>GENNEVILLIERS</v>
          </cell>
          <cell r="R168" t="str">
            <v>75</v>
          </cell>
          <cell r="S168" t="str">
            <v>14 PASSAGE STE ANNE POPINCOURT</v>
          </cell>
          <cell r="T168" t="str">
            <v>75011</v>
          </cell>
          <cell r="U168" t="str">
            <v>PARIS</v>
          </cell>
          <cell r="V168" t="str">
            <v>Mme</v>
          </cell>
          <cell r="W168" t="str">
            <v>MEGUIRA</v>
          </cell>
          <cell r="X168" t="str">
            <v>75011</v>
          </cell>
          <cell r="Y168" t="str">
            <v>PARIS</v>
          </cell>
          <cell r="AA168">
            <v>9696.7799999999988</v>
          </cell>
          <cell r="AD168">
            <v>9696.7799999999988</v>
          </cell>
          <cell r="AG168">
            <v>6279.88</v>
          </cell>
          <cell r="AH168">
            <v>0.51673612044629624</v>
          </cell>
          <cell r="AL168">
            <v>6279.88</v>
          </cell>
          <cell r="AM168">
            <v>8791.8320000000003</v>
          </cell>
          <cell r="AN168">
            <v>-9.332458816225575E-2</v>
          </cell>
          <cell r="AO168" t="str">
            <v>259-G-75FRANCEECLAIRAGE</v>
          </cell>
          <cell r="AQ168">
            <v>38722</v>
          </cell>
          <cell r="AX168">
            <v>6750.8710000000001</v>
          </cell>
          <cell r="AY168">
            <v>0</v>
          </cell>
          <cell r="AZ168">
            <v>0</v>
          </cell>
        </row>
        <row r="169">
          <cell r="A169">
            <v>576222</v>
          </cell>
          <cell r="B169" t="str">
            <v>SANDOW TECHNIC</v>
          </cell>
          <cell r="C169">
            <v>7.4999999999999997E-2</v>
          </cell>
          <cell r="D169">
            <v>0.1</v>
          </cell>
          <cell r="E169">
            <v>0.02</v>
          </cell>
          <cell r="F169">
            <v>41275</v>
          </cell>
          <cell r="G169" t="str">
            <v>OUI</v>
          </cell>
          <cell r="I169">
            <v>0</v>
          </cell>
          <cell r="J169">
            <v>0</v>
          </cell>
          <cell r="K169" t="str">
            <v>OK</v>
          </cell>
          <cell r="L169" t="str">
            <v>OK</v>
          </cell>
          <cell r="N169" t="str">
            <v>Non affecté</v>
          </cell>
          <cell r="O169" t="str">
            <v>JPP</v>
          </cell>
          <cell r="P169" t="str">
            <v>Ok mon client</v>
          </cell>
          <cell r="Q169" t="str">
            <v>GENNEVILLIERS</v>
          </cell>
          <cell r="R169" t="str">
            <v>92</v>
          </cell>
          <cell r="S169" t="str">
            <v>32 RUE CHANCE MILLY</v>
          </cell>
          <cell r="T169" t="str">
            <v>92110</v>
          </cell>
          <cell r="U169" t="str">
            <v>CLICHY</v>
          </cell>
          <cell r="V169" t="str">
            <v>Mme</v>
          </cell>
          <cell r="W169" t="str">
            <v>MOULIN</v>
          </cell>
          <cell r="X169" t="str">
            <v>92110</v>
          </cell>
          <cell r="Y169" t="str">
            <v>CLICHY</v>
          </cell>
          <cell r="Z169">
            <v>274.64</v>
          </cell>
          <cell r="AA169">
            <v>7317.27</v>
          </cell>
          <cell r="AB169">
            <v>3717.05</v>
          </cell>
          <cell r="AD169">
            <v>11308.960000000001</v>
          </cell>
          <cell r="AG169">
            <v>4012.8000000000006</v>
          </cell>
          <cell r="AH169">
            <v>0.62431682191104809</v>
          </cell>
          <cell r="AI169">
            <v>2259.06</v>
          </cell>
          <cell r="AJ169">
            <v>0.67086413565551517</v>
          </cell>
          <cell r="AL169">
            <v>6271.8600000000006</v>
          </cell>
          <cell r="AM169">
            <v>8780.6039999999994</v>
          </cell>
          <cell r="AN169">
            <v>-0.22357104455228438</v>
          </cell>
          <cell r="AO169" t="str">
            <v>001-G-92SANDOWTECHNIC</v>
          </cell>
          <cell r="AX169">
            <v>4313.76</v>
          </cell>
          <cell r="AY169">
            <v>2484.9660000000003</v>
          </cell>
          <cell r="AZ169">
            <v>0</v>
          </cell>
        </row>
        <row r="170">
          <cell r="A170">
            <v>831628</v>
          </cell>
          <cell r="B170" t="str">
            <v>SOFDI S.A.S. SOCIETE FRANCAISE DE</v>
          </cell>
          <cell r="C170">
            <v>7.4999999999999997E-2</v>
          </cell>
          <cell r="D170">
            <v>0.1</v>
          </cell>
          <cell r="E170">
            <v>0.02</v>
          </cell>
          <cell r="F170">
            <v>41306</v>
          </cell>
          <cell r="G170" t="str">
            <v>OUI</v>
          </cell>
          <cell r="H170" t="str">
            <v xml:space="preserve">NE FAIS PAS DE MESSAGRERIE OK POUR 2% </v>
          </cell>
          <cell r="I170">
            <v>0</v>
          </cell>
          <cell r="J170">
            <v>0</v>
          </cell>
          <cell r="K170" t="str">
            <v>OK</v>
          </cell>
          <cell r="L170" t="str">
            <v>OK</v>
          </cell>
          <cell r="N170" t="str">
            <v>Non affecté</v>
          </cell>
          <cell r="O170" t="str">
            <v>JPP</v>
          </cell>
          <cell r="P170" t="str">
            <v>Ok mon client</v>
          </cell>
          <cell r="Q170" t="str">
            <v>GENNEVILLIERS</v>
          </cell>
          <cell r="R170" t="str">
            <v>92</v>
          </cell>
          <cell r="S170" t="str">
            <v>61 RUE DE BONGARDE</v>
          </cell>
          <cell r="T170" t="str">
            <v>92230</v>
          </cell>
          <cell r="U170" t="str">
            <v>GENNEVILLIERS</v>
          </cell>
          <cell r="V170" t="str">
            <v>M.</v>
          </cell>
          <cell r="W170" t="str">
            <v>ERIC FERNANDES</v>
          </cell>
          <cell r="X170" t="str">
            <v>92230</v>
          </cell>
          <cell r="Y170" t="str">
            <v>GENNEVILLIERS</v>
          </cell>
          <cell r="Z170">
            <v>3546.58</v>
          </cell>
          <cell r="AD170">
            <v>3546.58</v>
          </cell>
          <cell r="AE170">
            <v>5995</v>
          </cell>
          <cell r="AF170">
            <v>4.7754102731921355E-3</v>
          </cell>
          <cell r="AL170">
            <v>5995</v>
          </cell>
          <cell r="AM170">
            <v>8393</v>
          </cell>
          <cell r="AN170">
            <v>1.366505196555555</v>
          </cell>
          <cell r="AP170" t="str">
            <v>024-L-92SOFDI</v>
          </cell>
          <cell r="AQ170">
            <v>40951</v>
          </cell>
          <cell r="AX170">
            <v>0</v>
          </cell>
          <cell r="AY170">
            <v>0</v>
          </cell>
          <cell r="AZ170">
            <v>6114.9000000000005</v>
          </cell>
        </row>
        <row r="171">
          <cell r="A171">
            <v>572321</v>
          </cell>
          <cell r="B171" t="str">
            <v>MANUFACTURE PARISIENNE DE COSMETIQU</v>
          </cell>
          <cell r="C171">
            <v>7.4999999999999997E-2</v>
          </cell>
          <cell r="D171">
            <v>0.1</v>
          </cell>
          <cell r="E171">
            <v>0.02</v>
          </cell>
          <cell r="F171">
            <v>41306</v>
          </cell>
          <cell r="G171" t="str">
            <v>OUI</v>
          </cell>
          <cell r="H171" t="str">
            <v>DEVELOPPEMENT EN OVS</v>
          </cell>
          <cell r="I171">
            <v>0</v>
          </cell>
          <cell r="J171">
            <v>0</v>
          </cell>
          <cell r="K171" t="str">
            <v>OK</v>
          </cell>
          <cell r="L171" t="str">
            <v>OK</v>
          </cell>
          <cell r="N171" t="str">
            <v>Non affecté</v>
          </cell>
          <cell r="O171" t="str">
            <v>JPP</v>
          </cell>
          <cell r="P171" t="str">
            <v>Ok mon client</v>
          </cell>
          <cell r="Q171" t="str">
            <v>GENNEVILLIERS</v>
          </cell>
          <cell r="R171" t="str">
            <v>93</v>
          </cell>
          <cell r="S171" t="str">
            <v>19-27 RUE DES HULEUX</v>
          </cell>
          <cell r="T171">
            <v>93240</v>
          </cell>
          <cell r="U171" t="str">
            <v>STAINS</v>
          </cell>
          <cell r="V171" t="str">
            <v>Mme</v>
          </cell>
          <cell r="W171" t="str">
            <v>nadine Bondoux</v>
          </cell>
          <cell r="X171" t="str">
            <v>93240</v>
          </cell>
          <cell r="Y171" t="str">
            <v>STAINS</v>
          </cell>
          <cell r="Z171">
            <v>5011.5</v>
          </cell>
          <cell r="AB171">
            <v>202.09</v>
          </cell>
          <cell r="AD171">
            <v>5213.59</v>
          </cell>
          <cell r="AE171">
            <v>5529.7899999999991</v>
          </cell>
          <cell r="AF171">
            <v>0.11151739224761355</v>
          </cell>
          <cell r="AG171">
            <v>85.71</v>
          </cell>
          <cell r="AH171">
            <v>6.4636565161591331E-2</v>
          </cell>
          <cell r="AI171">
            <v>345</v>
          </cell>
          <cell r="AJ171">
            <v>0.33274871259049188</v>
          </cell>
          <cell r="AL171">
            <v>5960.4999999999991</v>
          </cell>
          <cell r="AM171">
            <v>8344.6999999999989</v>
          </cell>
          <cell r="AN171">
            <v>0.60056697975866902</v>
          </cell>
          <cell r="AO171" t="str">
            <v>001-G-93MPCOSMETIQUE</v>
          </cell>
          <cell r="AP171" t="str">
            <v>001-L-93MPCOSMETIQUE</v>
          </cell>
          <cell r="AQ171">
            <v>40824</v>
          </cell>
          <cell r="AX171">
            <v>92.138249999999985</v>
          </cell>
          <cell r="AY171">
            <v>379.50000000000006</v>
          </cell>
          <cell r="AZ171">
            <v>5640.3857999999991</v>
          </cell>
        </row>
        <row r="172">
          <cell r="A172">
            <v>568727</v>
          </cell>
          <cell r="B172" t="str">
            <v>K 5600 LIGHTING SA</v>
          </cell>
          <cell r="C172">
            <v>4.8000000000000001E-2</v>
          </cell>
          <cell r="D172">
            <v>4.8000000000000001E-2</v>
          </cell>
          <cell r="E172">
            <v>0.02</v>
          </cell>
          <cell r="F172">
            <v>41275</v>
          </cell>
          <cell r="I172">
            <v>0</v>
          </cell>
          <cell r="J172">
            <v>0</v>
          </cell>
          <cell r="K172" t="str">
            <v>OK</v>
          </cell>
          <cell r="L172" t="str">
            <v>OK</v>
          </cell>
          <cell r="N172" t="str">
            <v>Non affecté</v>
          </cell>
          <cell r="O172" t="str">
            <v>AB</v>
          </cell>
          <cell r="P172" t="str">
            <v>Ok mon client</v>
          </cell>
          <cell r="Q172" t="str">
            <v>GENNEVILLIERS</v>
          </cell>
          <cell r="R172" t="str">
            <v>78</v>
          </cell>
          <cell r="S172" t="str">
            <v>475 RUE DE FLINS</v>
          </cell>
          <cell r="T172" t="str">
            <v>78410</v>
          </cell>
          <cell r="U172" t="str">
            <v>BOUAFLE</v>
          </cell>
          <cell r="W172" t="str">
            <v>Carlos</v>
          </cell>
          <cell r="X172" t="str">
            <v>78410</v>
          </cell>
          <cell r="Y172" t="str">
            <v>BOUAFLE</v>
          </cell>
          <cell r="AA172">
            <v>422.41999999999996</v>
          </cell>
          <cell r="AB172">
            <v>10711.009999999998</v>
          </cell>
          <cell r="AD172">
            <v>11133.429999999998</v>
          </cell>
          <cell r="AG172">
            <v>419.42999999999995</v>
          </cell>
          <cell r="AH172">
            <v>0.83434661326085402</v>
          </cell>
          <cell r="AI172">
            <v>5535.4</v>
          </cell>
          <cell r="AJ172">
            <v>0.77693107704868636</v>
          </cell>
          <cell r="AL172">
            <v>5954.83</v>
          </cell>
          <cell r="AM172">
            <v>8336.7619999999988</v>
          </cell>
          <cell r="AN172">
            <v>-0.251195543511748</v>
          </cell>
          <cell r="AX172">
            <v>439.56263999999999</v>
          </cell>
          <cell r="AY172">
            <v>5801.0991999999997</v>
          </cell>
          <cell r="AZ172">
            <v>0</v>
          </cell>
        </row>
        <row r="173">
          <cell r="A173">
            <v>303353</v>
          </cell>
          <cell r="B173" t="str">
            <v>VIROJANGLOR SA</v>
          </cell>
          <cell r="G173" t="str">
            <v>NON</v>
          </cell>
          <cell r="H173" t="str">
            <v>CLIENT SUR COTATION.NE FAIT PAS DE MESSAGERIE.DEVELOPPEMENT EN OVS</v>
          </cell>
          <cell r="I173">
            <v>0</v>
          </cell>
          <cell r="J173">
            <v>0</v>
          </cell>
          <cell r="K173" t="str">
            <v>NON</v>
          </cell>
          <cell r="L173" t="str">
            <v>NON</v>
          </cell>
          <cell r="N173" t="str">
            <v>Non affecté</v>
          </cell>
          <cell r="O173" t="str">
            <v>JPP</v>
          </cell>
          <cell r="P173" t="str">
            <v>Ok mon client</v>
          </cell>
          <cell r="Q173" t="str">
            <v>GENNEVILLIERS</v>
          </cell>
          <cell r="R173" t="str">
            <v>93</v>
          </cell>
          <cell r="S173" t="str">
            <v>10 AVENUE ALBERT EINSTEIN</v>
          </cell>
          <cell r="T173">
            <v>93150</v>
          </cell>
          <cell r="U173" t="str">
            <v>LE BLANC MESNIL</v>
          </cell>
          <cell r="V173" t="str">
            <v>Mme</v>
          </cell>
          <cell r="W173" t="str">
            <v>Sarah Ouidir</v>
          </cell>
          <cell r="X173" t="str">
            <v>93150</v>
          </cell>
          <cell r="Y173" t="str">
            <v>LE BLANC MESNIL</v>
          </cell>
          <cell r="Z173">
            <v>49363.03</v>
          </cell>
          <cell r="AD173">
            <v>49363.03</v>
          </cell>
          <cell r="AE173">
            <v>5201</v>
          </cell>
          <cell r="AF173">
            <v>1.9799483414899404</v>
          </cell>
          <cell r="AI173">
            <v>703.13</v>
          </cell>
          <cell r="AJ173">
            <v>-1.2927087002465656</v>
          </cell>
          <cell r="AL173">
            <v>5904.13</v>
          </cell>
          <cell r="AM173">
            <v>8265.7819999999992</v>
          </cell>
          <cell r="AN173">
            <v>-0.83255116227670789</v>
          </cell>
          <cell r="AO173" t="str">
            <v>001-G-93VIROJANGLOR</v>
          </cell>
          <cell r="AP173" t="str">
            <v>001-L1-93VIROJANGLOR</v>
          </cell>
          <cell r="AX173">
            <v>0</v>
          </cell>
          <cell r="AY173">
            <v>703.13</v>
          </cell>
          <cell r="AZ173">
            <v>5201</v>
          </cell>
        </row>
        <row r="174">
          <cell r="A174">
            <v>563121</v>
          </cell>
          <cell r="B174" t="str">
            <v>RADIO RELAIS</v>
          </cell>
          <cell r="C174">
            <v>7.4999999999999997E-2</v>
          </cell>
          <cell r="D174">
            <v>0.1</v>
          </cell>
          <cell r="E174">
            <v>0.02</v>
          </cell>
          <cell r="F174">
            <v>41306</v>
          </cell>
          <cell r="G174" t="str">
            <v>OUI</v>
          </cell>
          <cell r="I174">
            <v>0</v>
          </cell>
          <cell r="J174">
            <v>0</v>
          </cell>
          <cell r="K174" t="str">
            <v>OK</v>
          </cell>
          <cell r="L174" t="str">
            <v>OK</v>
          </cell>
          <cell r="N174" t="str">
            <v>Non affecté</v>
          </cell>
          <cell r="O174" t="str">
            <v>JPP</v>
          </cell>
          <cell r="P174" t="str">
            <v>Ok mon client</v>
          </cell>
          <cell r="Q174" t="str">
            <v>GENNEVILLIERS</v>
          </cell>
          <cell r="R174" t="str">
            <v>75</v>
          </cell>
          <cell r="S174" t="str">
            <v>18 rue Crozatier</v>
          </cell>
          <cell r="T174" t="str">
            <v>75012</v>
          </cell>
          <cell r="U174" t="str">
            <v>PARIS 12</v>
          </cell>
          <cell r="V174" t="str">
            <v>M.</v>
          </cell>
          <cell r="W174" t="str">
            <v>ALISIER</v>
          </cell>
          <cell r="X174" t="str">
            <v>75012</v>
          </cell>
          <cell r="Y174" t="str">
            <v>PARIS 12</v>
          </cell>
          <cell r="Z174">
            <v>281.34000000000003</v>
          </cell>
          <cell r="AA174">
            <v>11666.400000000001</v>
          </cell>
          <cell r="AB174">
            <v>185.07999999999998</v>
          </cell>
          <cell r="AD174">
            <v>12132.820000000002</v>
          </cell>
          <cell r="AG174">
            <v>5383.1299999999992</v>
          </cell>
          <cell r="AH174">
            <v>0.64578284052350943</v>
          </cell>
          <cell r="AI174">
            <v>409.57000000000005</v>
          </cell>
          <cell r="AJ174">
            <v>0.37355488643544854</v>
          </cell>
          <cell r="AL174">
            <v>5792.6999999999989</v>
          </cell>
          <cell r="AM174">
            <v>8109.7799999999979</v>
          </cell>
          <cell r="AN174">
            <v>-0.33158325929173948</v>
          </cell>
          <cell r="AO174" t="str">
            <v>259-G-75RADIORELAIS</v>
          </cell>
          <cell r="AQ174">
            <v>38616</v>
          </cell>
          <cell r="AX174">
            <v>5786.8647499999988</v>
          </cell>
          <cell r="AY174">
            <v>450.5270000000001</v>
          </cell>
          <cell r="AZ174">
            <v>0</v>
          </cell>
        </row>
        <row r="175">
          <cell r="A175">
            <v>622738</v>
          </cell>
          <cell r="B175" t="str">
            <v>PACIFIC TECHNOLOGY</v>
          </cell>
          <cell r="C175">
            <v>7.4999999999999997E-2</v>
          </cell>
          <cell r="D175">
            <v>0.1</v>
          </cell>
          <cell r="E175">
            <v>0.02</v>
          </cell>
          <cell r="F175">
            <v>41275</v>
          </cell>
          <cell r="G175" t="str">
            <v>OUI</v>
          </cell>
          <cell r="I175">
            <v>0</v>
          </cell>
          <cell r="J175">
            <v>0</v>
          </cell>
          <cell r="K175" t="str">
            <v>OK</v>
          </cell>
          <cell r="L175" t="str">
            <v>OK</v>
          </cell>
          <cell r="N175" t="str">
            <v>Non affecté</v>
          </cell>
          <cell r="O175" t="str">
            <v>JPP</v>
          </cell>
          <cell r="P175" t="str">
            <v>Ok mon client</v>
          </cell>
          <cell r="Q175" t="str">
            <v>GENNEVILLIERS</v>
          </cell>
          <cell r="R175" t="str">
            <v>92</v>
          </cell>
          <cell r="S175" t="str">
            <v>10 AVENUE TEAUMUR</v>
          </cell>
          <cell r="T175" t="str">
            <v>92140</v>
          </cell>
          <cell r="U175" t="str">
            <v>CLAMART</v>
          </cell>
          <cell r="V175" t="str">
            <v>M.</v>
          </cell>
          <cell r="W175" t="str">
            <v>OHAYON</v>
          </cell>
          <cell r="X175" t="str">
            <v>92140</v>
          </cell>
          <cell r="Y175" t="str">
            <v>CLAMART</v>
          </cell>
          <cell r="AA175">
            <v>16783.820000000003</v>
          </cell>
          <cell r="AD175">
            <v>16783.820000000003</v>
          </cell>
          <cell r="AG175">
            <v>5776.52</v>
          </cell>
          <cell r="AH175">
            <v>0.776851990196047</v>
          </cell>
          <cell r="AL175">
            <v>5776.52</v>
          </cell>
          <cell r="AM175">
            <v>8087.1279999999997</v>
          </cell>
          <cell r="AN175">
            <v>-0.51815927482539736</v>
          </cell>
          <cell r="AO175" t="str">
            <v>001-G-92PACIFICTECHNO</v>
          </cell>
          <cell r="AP175" t="str">
            <v>001-L-92PACIFICTECHNO</v>
          </cell>
          <cell r="AQ175">
            <v>39043</v>
          </cell>
          <cell r="AX175">
            <v>6209.759</v>
          </cell>
          <cell r="AY175">
            <v>0</v>
          </cell>
          <cell r="AZ175">
            <v>0</v>
          </cell>
        </row>
        <row r="176">
          <cell r="A176">
            <v>697546</v>
          </cell>
          <cell r="B176" t="str">
            <v>TERCAP</v>
          </cell>
          <cell r="G176" t="str">
            <v>NON</v>
          </cell>
          <cell r="H176" t="str">
            <v>SOUS COMPTE SCTI</v>
          </cell>
          <cell r="I176">
            <v>0</v>
          </cell>
          <cell r="J176">
            <v>0</v>
          </cell>
          <cell r="K176" t="str">
            <v>NON</v>
          </cell>
          <cell r="L176" t="str">
            <v>NON</v>
          </cell>
          <cell r="N176" t="str">
            <v>Non affecté</v>
          </cell>
          <cell r="O176" t="str">
            <v>MM</v>
          </cell>
          <cell r="P176" t="str">
            <v>Ok mon client</v>
          </cell>
          <cell r="Q176" t="str">
            <v>GENNEVILLIERS</v>
          </cell>
          <cell r="R176" t="str">
            <v>95</v>
          </cell>
          <cell r="S176" t="str">
            <v>7 RUE DE LA HUTTE GAILLONET</v>
          </cell>
          <cell r="T176">
            <v>95450</v>
          </cell>
          <cell r="U176" t="str">
            <v>SERAINCOURT</v>
          </cell>
          <cell r="V176" t="str">
            <v>M.</v>
          </cell>
          <cell r="W176" t="str">
            <v>HAMEL</v>
          </cell>
          <cell r="X176" t="str">
            <v>95450</v>
          </cell>
          <cell r="Y176" t="str">
            <v>SERAINCOURT</v>
          </cell>
          <cell r="AA176">
            <v>11573.07</v>
          </cell>
          <cell r="AB176">
            <v>91.77000000000001</v>
          </cell>
          <cell r="AD176">
            <v>11664.84</v>
          </cell>
          <cell r="AG176">
            <v>5721.6100000000006</v>
          </cell>
          <cell r="AH176">
            <v>0.44138801234705916</v>
          </cell>
          <cell r="AL176">
            <v>5721.6100000000006</v>
          </cell>
          <cell r="AM176">
            <v>8010.2539999999999</v>
          </cell>
          <cell r="AN176">
            <v>-0.31329928228762671</v>
          </cell>
          <cell r="AO176" t="str">
            <v>001-G-95TERCAP</v>
          </cell>
          <cell r="AQ176">
            <v>39764</v>
          </cell>
          <cell r="AX176">
            <v>5721.6100000000006</v>
          </cell>
          <cell r="AY176">
            <v>0</v>
          </cell>
          <cell r="AZ176">
            <v>0</v>
          </cell>
        </row>
        <row r="177">
          <cell r="A177">
            <v>52717</v>
          </cell>
          <cell r="B177" t="str">
            <v>TITANOX INDUSTRIE</v>
          </cell>
          <cell r="C177">
            <v>0.04</v>
          </cell>
          <cell r="D177">
            <v>0.04</v>
          </cell>
          <cell r="F177">
            <v>40969</v>
          </cell>
          <cell r="G177" t="str">
            <v>A FAIRE</v>
          </cell>
          <cell r="H177" t="str">
            <v>Que messagerie</v>
          </cell>
          <cell r="I177" t="str">
            <v>A faire</v>
          </cell>
          <cell r="J177">
            <v>0</v>
          </cell>
          <cell r="L177" t="str">
            <v>ok</v>
          </cell>
          <cell r="M177" t="str">
            <v>Porte Feuille</v>
          </cell>
          <cell r="N177" t="str">
            <v>Non affecté</v>
          </cell>
          <cell r="O177" t="str">
            <v>JPP</v>
          </cell>
          <cell r="P177" t="str">
            <v>Ok mon client</v>
          </cell>
          <cell r="Q177" t="str">
            <v>GENNEVILLIERS</v>
          </cell>
          <cell r="R177" t="str">
            <v>92</v>
          </cell>
          <cell r="S177" t="str">
            <v>141-143 RUE DU 1ER MAI</v>
          </cell>
          <cell r="T177" t="str">
            <v>92737</v>
          </cell>
          <cell r="U177" t="str">
            <v>NANTERRE CEDEX</v>
          </cell>
          <cell r="V177" t="str">
            <v>Mme</v>
          </cell>
          <cell r="W177" t="str">
            <v>POUPHARY AGNES</v>
          </cell>
          <cell r="X177" t="str">
            <v>92737</v>
          </cell>
          <cell r="Y177" t="str">
            <v>NANTERRE CEDEX</v>
          </cell>
          <cell r="AB177">
            <v>7967.5200000000013</v>
          </cell>
          <cell r="AC177">
            <v>684.9</v>
          </cell>
          <cell r="AD177">
            <v>8652.4200000000019</v>
          </cell>
          <cell r="AI177">
            <v>5061.0999999999995</v>
          </cell>
          <cell r="AK177">
            <v>632</v>
          </cell>
          <cell r="AL177">
            <v>5693.0999999999995</v>
          </cell>
          <cell r="AM177">
            <v>7970.3399999999983</v>
          </cell>
          <cell r="AN177">
            <v>-7.8831124702684718E-2</v>
          </cell>
          <cell r="AO177" t="str">
            <v>001-G-92TITANOXINDUS</v>
          </cell>
          <cell r="AX177">
            <v>0</v>
          </cell>
          <cell r="AY177">
            <v>5263.5439999999999</v>
          </cell>
          <cell r="AZ177">
            <v>0</v>
          </cell>
        </row>
        <row r="178">
          <cell r="A178">
            <v>847255</v>
          </cell>
          <cell r="B178" t="str">
            <v>DIVERSITY</v>
          </cell>
          <cell r="C178">
            <v>7.4999999999999997E-2</v>
          </cell>
          <cell r="D178">
            <v>0.1</v>
          </cell>
          <cell r="E178">
            <v>0.02</v>
          </cell>
          <cell r="F178">
            <v>41306</v>
          </cell>
          <cell r="G178" t="str">
            <v>OUI</v>
          </cell>
          <cell r="I178">
            <v>0</v>
          </cell>
          <cell r="J178">
            <v>0</v>
          </cell>
          <cell r="K178" t="str">
            <v>OK</v>
          </cell>
          <cell r="L178" t="str">
            <v>OK</v>
          </cell>
          <cell r="N178" t="str">
            <v>Non affecté</v>
          </cell>
          <cell r="O178" t="str">
            <v>JPP</v>
          </cell>
          <cell r="P178" t="str">
            <v>Ok mon client</v>
          </cell>
          <cell r="Q178" t="str">
            <v>GENNEVILLIERS</v>
          </cell>
          <cell r="R178" t="str">
            <v>92</v>
          </cell>
          <cell r="S178" t="str">
            <v>121 RUE JEAN BAPTISTE CHARCOT</v>
          </cell>
          <cell r="T178">
            <v>92400</v>
          </cell>
          <cell r="U178" t="str">
            <v>COURBEVOIE</v>
          </cell>
          <cell r="V178" t="str">
            <v>M.</v>
          </cell>
          <cell r="W178" t="str">
            <v>ATTALI MIKAEL</v>
          </cell>
          <cell r="X178" t="str">
            <v>92400</v>
          </cell>
          <cell r="Y178" t="str">
            <v>COURBEVOIE</v>
          </cell>
          <cell r="Z178">
            <v>2453.34</v>
          </cell>
          <cell r="AA178">
            <v>3177.45</v>
          </cell>
          <cell r="AB178">
            <v>342.27</v>
          </cell>
          <cell r="AD178">
            <v>5973.0599999999995</v>
          </cell>
          <cell r="AE178">
            <v>1849</v>
          </cell>
          <cell r="AG178">
            <v>3287.5599999999995</v>
          </cell>
          <cell r="AH178">
            <v>0.60320687886846891</v>
          </cell>
          <cell r="AI178">
            <v>547.15</v>
          </cell>
          <cell r="AJ178">
            <v>0.77393187490823667</v>
          </cell>
          <cell r="AL178">
            <v>5683.7099999999991</v>
          </cell>
          <cell r="AM178">
            <v>7957.1939999999986</v>
          </cell>
          <cell r="AN178">
            <v>0.33218049040190434</v>
          </cell>
          <cell r="AO178" t="str">
            <v>001-G-92DIVERSITY</v>
          </cell>
          <cell r="AQ178">
            <v>40689</v>
          </cell>
          <cell r="AX178">
            <v>3534.1269999999995</v>
          </cell>
          <cell r="AY178">
            <v>601.86500000000001</v>
          </cell>
          <cell r="AZ178">
            <v>1885.98</v>
          </cell>
        </row>
        <row r="179">
          <cell r="A179" t="str">
            <v>678197</v>
          </cell>
          <cell r="B179" t="str">
            <v>CABINES SILVIA TAVARES</v>
          </cell>
          <cell r="C179">
            <v>0.02</v>
          </cell>
          <cell r="D179">
            <v>0.02</v>
          </cell>
          <cell r="E179">
            <v>0.02</v>
          </cell>
          <cell r="F179">
            <v>41306</v>
          </cell>
          <cell r="H179" t="str">
            <v>RAJOUTE SECTEUR 60</v>
          </cell>
          <cell r="I179">
            <v>0</v>
          </cell>
          <cell r="J179">
            <v>0</v>
          </cell>
          <cell r="K179" t="str">
            <v>OK</v>
          </cell>
          <cell r="L179" t="str">
            <v>OK</v>
          </cell>
          <cell r="N179" t="str">
            <v>Non affecté</v>
          </cell>
          <cell r="O179" t="str">
            <v>JPP</v>
          </cell>
          <cell r="P179" t="str">
            <v>Ok mon client</v>
          </cell>
          <cell r="Q179" t="str">
            <v>GENNEVILLIERS</v>
          </cell>
          <cell r="R179">
            <v>60</v>
          </cell>
          <cell r="S179" t="str">
            <v>17 RUE DE LA MOLIERE</v>
          </cell>
          <cell r="T179" t="str">
            <v>60240</v>
          </cell>
          <cell r="U179" t="str">
            <v>MONTAGNY EN VEXIN</v>
          </cell>
          <cell r="AD179">
            <v>9449.49</v>
          </cell>
          <cell r="AE179">
            <v>3410.36</v>
          </cell>
          <cell r="AG179">
            <v>908.53</v>
          </cell>
          <cell r="AI179">
            <v>1286.26</v>
          </cell>
          <cell r="AL179">
            <v>5605.1500000000005</v>
          </cell>
          <cell r="AM179">
            <v>7847.21</v>
          </cell>
          <cell r="AN179">
            <v>-0.1695625901503679</v>
          </cell>
          <cell r="AX179">
            <v>926.70060000000001</v>
          </cell>
          <cell r="AY179">
            <v>1311.9852000000001</v>
          </cell>
          <cell r="AZ179">
            <v>3478.5672000000004</v>
          </cell>
        </row>
        <row r="180">
          <cell r="A180">
            <v>496000</v>
          </cell>
          <cell r="B180" t="str">
            <v>AKORE</v>
          </cell>
          <cell r="E180">
            <v>0.02</v>
          </cell>
          <cell r="F180">
            <v>41306</v>
          </cell>
          <cell r="G180" t="str">
            <v>OUI</v>
          </cell>
          <cell r="H180" t="str">
            <v>Pas de tarif en mess</v>
          </cell>
          <cell r="I180">
            <v>0</v>
          </cell>
          <cell r="J180">
            <v>0</v>
          </cell>
          <cell r="K180" t="str">
            <v>OK</v>
          </cell>
          <cell r="L180" t="str">
            <v>OK</v>
          </cell>
          <cell r="N180" t="str">
            <v>Non affecté</v>
          </cell>
          <cell r="O180" t="str">
            <v>MM</v>
          </cell>
          <cell r="P180" t="str">
            <v>Ok mon client</v>
          </cell>
          <cell r="Q180" t="str">
            <v>GENNEVILLIERS</v>
          </cell>
          <cell r="R180" t="str">
            <v>95</v>
          </cell>
          <cell r="S180" t="str">
            <v>9 CHAUSSEE JULES CESAR</v>
          </cell>
          <cell r="T180">
            <v>95520</v>
          </cell>
          <cell r="U180" t="str">
            <v>OSNY</v>
          </cell>
          <cell r="V180" t="str">
            <v>Mme</v>
          </cell>
          <cell r="W180" t="str">
            <v>FOURNIER</v>
          </cell>
          <cell r="X180" t="str">
            <v>95520</v>
          </cell>
          <cell r="Y180" t="str">
            <v>OSNY</v>
          </cell>
          <cell r="Z180">
            <v>822.7700000000001</v>
          </cell>
          <cell r="AD180">
            <v>822.7700000000001</v>
          </cell>
          <cell r="AE180">
            <v>5597.9100000000008</v>
          </cell>
          <cell r="AF180">
            <v>0.26096252200888737</v>
          </cell>
          <cell r="AL180">
            <v>5597.9100000000008</v>
          </cell>
          <cell r="AM180">
            <v>7837.0740000000005</v>
          </cell>
          <cell r="AN180">
            <v>8.5252306233819901</v>
          </cell>
          <cell r="AP180" t="str">
            <v>001-L1-95AKORE</v>
          </cell>
          <cell r="AQ180">
            <v>40654</v>
          </cell>
          <cell r="AX180">
            <v>0</v>
          </cell>
          <cell r="AY180">
            <v>0</v>
          </cell>
          <cell r="AZ180">
            <v>5709.8682000000008</v>
          </cell>
        </row>
        <row r="181">
          <cell r="A181">
            <v>631644</v>
          </cell>
          <cell r="B181" t="str">
            <v>FIRALUX SAS</v>
          </cell>
          <cell r="C181">
            <v>7.4999999999999997E-2</v>
          </cell>
          <cell r="D181">
            <v>0.1</v>
          </cell>
          <cell r="E181">
            <v>0.02</v>
          </cell>
          <cell r="F181">
            <v>41306</v>
          </cell>
          <cell r="G181" t="str">
            <v>OUI</v>
          </cell>
          <cell r="I181">
            <v>0</v>
          </cell>
          <cell r="J181">
            <v>0</v>
          </cell>
          <cell r="K181" t="str">
            <v>OK</v>
          </cell>
          <cell r="L181" t="str">
            <v>OK</v>
          </cell>
          <cell r="N181" t="str">
            <v>Non affecté</v>
          </cell>
          <cell r="O181" t="str">
            <v>JPP</v>
          </cell>
          <cell r="P181" t="str">
            <v>Ok mon client</v>
          </cell>
          <cell r="Q181" t="str">
            <v>GENNEVILLIERS</v>
          </cell>
          <cell r="R181" t="str">
            <v>93</v>
          </cell>
          <cell r="S181" t="str">
            <v>80 RUE ANDRE KARMAN</v>
          </cell>
          <cell r="T181" t="str">
            <v>93300</v>
          </cell>
          <cell r="U181" t="str">
            <v>AUBERVILLIERS</v>
          </cell>
          <cell r="V181" t="str">
            <v>M.</v>
          </cell>
          <cell r="W181" t="str">
            <v>BEHAR JACQUES</v>
          </cell>
          <cell r="X181" t="str">
            <v>93300</v>
          </cell>
          <cell r="Y181" t="str">
            <v>AUBERVILLIERS</v>
          </cell>
          <cell r="AA181">
            <v>6435.5599999999995</v>
          </cell>
          <cell r="AB181">
            <v>2882.3300000000004</v>
          </cell>
          <cell r="AD181">
            <v>9317.8900000000012</v>
          </cell>
          <cell r="AG181">
            <v>4552.45</v>
          </cell>
          <cell r="AH181">
            <v>0.49779410272540914</v>
          </cell>
          <cell r="AI181">
            <v>978.11999999999989</v>
          </cell>
          <cell r="AJ181">
            <v>0.74039048486612891</v>
          </cell>
          <cell r="AL181">
            <v>5530.57</v>
          </cell>
          <cell r="AM181">
            <v>7742.7979999999989</v>
          </cell>
          <cell r="AN181">
            <v>-0.16903955723881714</v>
          </cell>
          <cell r="AO181" t="str">
            <v>259-G-93FIRALUXSAS</v>
          </cell>
          <cell r="AQ181">
            <v>39168</v>
          </cell>
          <cell r="AX181">
            <v>4893.88375</v>
          </cell>
          <cell r="AY181">
            <v>1075.932</v>
          </cell>
          <cell r="AZ181">
            <v>0</v>
          </cell>
        </row>
        <row r="182">
          <cell r="A182">
            <v>51668</v>
          </cell>
          <cell r="B182" t="str">
            <v>M F V T A  SARL</v>
          </cell>
          <cell r="C182">
            <v>3.7999999999999999E-2</v>
          </cell>
          <cell r="D182">
            <v>3.7999999999999999E-2</v>
          </cell>
          <cell r="E182">
            <v>0.02</v>
          </cell>
          <cell r="F182">
            <v>41275</v>
          </cell>
          <cell r="I182">
            <v>0</v>
          </cell>
          <cell r="J182">
            <v>0</v>
          </cell>
          <cell r="K182" t="str">
            <v>OK</v>
          </cell>
          <cell r="L182" t="str">
            <v>OK</v>
          </cell>
          <cell r="N182" t="str">
            <v>Non affecté</v>
          </cell>
          <cell r="O182" t="str">
            <v>AB</v>
          </cell>
          <cell r="P182" t="str">
            <v>Ok mon client</v>
          </cell>
          <cell r="Q182" t="str">
            <v>GENNEVILLIERS</v>
          </cell>
          <cell r="R182" t="str">
            <v>78</v>
          </cell>
          <cell r="S182" t="str">
            <v>117 RTE DE MAISONS</v>
          </cell>
          <cell r="T182" t="str">
            <v>78400</v>
          </cell>
          <cell r="U182" t="str">
            <v>CHATOU</v>
          </cell>
          <cell r="V182" t="str">
            <v>M.</v>
          </cell>
          <cell r="W182" t="str">
            <v>CHATRIAN</v>
          </cell>
          <cell r="X182" t="str">
            <v>78400</v>
          </cell>
          <cell r="Y182" t="str">
            <v>CHATOU</v>
          </cell>
          <cell r="AA182">
            <v>5356.55</v>
          </cell>
          <cell r="AB182">
            <v>253.57</v>
          </cell>
          <cell r="AD182">
            <v>5610.12</v>
          </cell>
          <cell r="AG182">
            <v>4569.7999999999993</v>
          </cell>
          <cell r="AH182">
            <v>0.53537091787221547</v>
          </cell>
          <cell r="AI182">
            <v>895.86000000000013</v>
          </cell>
          <cell r="AJ182">
            <v>0.89287284956667956</v>
          </cell>
          <cell r="AL182">
            <v>5465.66</v>
          </cell>
          <cell r="AM182">
            <v>7651.9239999999991</v>
          </cell>
          <cell r="AN182">
            <v>0.36395014723392705</v>
          </cell>
          <cell r="AO182" t="str">
            <v>001-G-78MFVTA</v>
          </cell>
          <cell r="AX182">
            <v>4743.4523999999992</v>
          </cell>
          <cell r="AY182">
            <v>929.90268000000015</v>
          </cell>
          <cell r="AZ182">
            <v>0</v>
          </cell>
        </row>
        <row r="183">
          <cell r="A183">
            <v>567184</v>
          </cell>
          <cell r="B183" t="str">
            <v>SOCHAPE</v>
          </cell>
          <cell r="D183">
            <v>3.5000000000000003E-2</v>
          </cell>
          <cell r="F183">
            <v>41275</v>
          </cell>
          <cell r="G183" t="str">
            <v>OUI</v>
          </cell>
          <cell r="I183">
            <v>0</v>
          </cell>
          <cell r="J183">
            <v>0</v>
          </cell>
          <cell r="K183" t="str">
            <v>OK</v>
          </cell>
          <cell r="L183" t="str">
            <v>OK</v>
          </cell>
          <cell r="N183" t="str">
            <v>Non affecté</v>
          </cell>
          <cell r="O183" t="str">
            <v>JPP</v>
          </cell>
          <cell r="P183" t="str">
            <v>Ok mon client</v>
          </cell>
          <cell r="Q183" t="str">
            <v>GENNEVILLIERS</v>
          </cell>
          <cell r="R183" t="str">
            <v>93</v>
          </cell>
          <cell r="S183" t="str">
            <v>37 BLD JEANNE D ARC</v>
          </cell>
          <cell r="T183">
            <v>93108</v>
          </cell>
          <cell r="U183" t="str">
            <v>MONTREUIL</v>
          </cell>
          <cell r="W183" t="str">
            <v>Directeur Logistique et Transports</v>
          </cell>
          <cell r="X183" t="str">
            <v>93108</v>
          </cell>
          <cell r="Y183" t="str">
            <v>MONTREUIL</v>
          </cell>
          <cell r="Z183">
            <v>1264</v>
          </cell>
          <cell r="AB183">
            <v>1975.21</v>
          </cell>
          <cell r="AD183">
            <v>3239.21</v>
          </cell>
          <cell r="AI183">
            <v>5331.66</v>
          </cell>
          <cell r="AJ183">
            <v>6.2985448435469271E-2</v>
          </cell>
          <cell r="AL183">
            <v>5331.66</v>
          </cell>
          <cell r="AM183">
            <v>7464.3239999999996</v>
          </cell>
          <cell r="AN183">
            <v>1.3043655706175268</v>
          </cell>
          <cell r="AO183" t="str">
            <v>259-G-93SOSCINTRES</v>
          </cell>
          <cell r="AQ183">
            <v>39140</v>
          </cell>
          <cell r="AX183">
            <v>0</v>
          </cell>
          <cell r="AY183">
            <v>5518.2680999999993</v>
          </cell>
          <cell r="AZ183">
            <v>0</v>
          </cell>
        </row>
        <row r="184">
          <cell r="A184">
            <v>379508</v>
          </cell>
          <cell r="B184" t="str">
            <v>EUROFILETAGE</v>
          </cell>
          <cell r="C184">
            <v>4.8000000000000001E-2</v>
          </cell>
          <cell r="D184">
            <v>4.8000000000000001E-2</v>
          </cell>
          <cell r="E184">
            <v>0.02</v>
          </cell>
          <cell r="F184">
            <v>41275</v>
          </cell>
          <cell r="I184">
            <v>0</v>
          </cell>
          <cell r="J184">
            <v>0</v>
          </cell>
          <cell r="K184" t="str">
            <v>OK</v>
          </cell>
          <cell r="L184" t="str">
            <v>OK</v>
          </cell>
          <cell r="N184" t="str">
            <v>Non affecté</v>
          </cell>
          <cell r="O184" t="str">
            <v>AB</v>
          </cell>
          <cell r="P184" t="str">
            <v>Ok mon client</v>
          </cell>
          <cell r="Q184" t="str">
            <v>GENNEVILLIERS</v>
          </cell>
          <cell r="R184" t="str">
            <v>78</v>
          </cell>
          <cell r="S184" t="str">
            <v>USINE LA CROIX FERRA</v>
          </cell>
          <cell r="T184">
            <v>45320</v>
          </cell>
          <cell r="U184" t="str">
            <v>CHANTECOQ</v>
          </cell>
          <cell r="X184" t="str">
            <v>78681</v>
          </cell>
          <cell r="Y184" t="str">
            <v>EPONE CEDEX</v>
          </cell>
          <cell r="Z184">
            <v>238.34</v>
          </cell>
          <cell r="AA184">
            <v>305.86</v>
          </cell>
          <cell r="AD184">
            <v>544.20000000000005</v>
          </cell>
          <cell r="AE184">
            <v>5278.66</v>
          </cell>
          <cell r="AF184">
            <v>0.17635352873961666</v>
          </cell>
          <cell r="AL184">
            <v>5278.66</v>
          </cell>
          <cell r="AM184">
            <v>7390.1239999999989</v>
          </cell>
          <cell r="AN184">
            <v>12.57979419331128</v>
          </cell>
          <cell r="AP184" t="str">
            <v>001-L1-78EUROFILETAGE</v>
          </cell>
          <cell r="AQ184">
            <v>40990</v>
          </cell>
          <cell r="AX184">
            <v>0</v>
          </cell>
          <cell r="AY184">
            <v>0</v>
          </cell>
          <cell r="AZ184">
            <v>5384.2331999999997</v>
          </cell>
        </row>
        <row r="185">
          <cell r="A185">
            <v>697217</v>
          </cell>
          <cell r="B185" t="str">
            <v>ADEQUAT</v>
          </cell>
          <cell r="C185">
            <v>7.4999999999999997E-2</v>
          </cell>
          <cell r="D185">
            <v>0.1</v>
          </cell>
          <cell r="E185">
            <v>0.02</v>
          </cell>
          <cell r="F185">
            <v>41306</v>
          </cell>
          <cell r="G185" t="str">
            <v>OUI</v>
          </cell>
          <cell r="I185">
            <v>0</v>
          </cell>
          <cell r="J185">
            <v>0</v>
          </cell>
          <cell r="K185" t="str">
            <v>OK</v>
          </cell>
          <cell r="L185" t="str">
            <v>OK</v>
          </cell>
          <cell r="N185" t="str">
            <v>Non affecté</v>
          </cell>
          <cell r="O185" t="str">
            <v>JPP</v>
          </cell>
          <cell r="P185" t="str">
            <v>Ok mon client</v>
          </cell>
          <cell r="Q185" t="str">
            <v>GENNEVILLIERS</v>
          </cell>
          <cell r="R185" t="str">
            <v>75</v>
          </cell>
          <cell r="S185" t="str">
            <v>13 RUE RUBENS</v>
          </cell>
          <cell r="T185">
            <v>75013</v>
          </cell>
          <cell r="U185" t="str">
            <v>PARIS</v>
          </cell>
          <cell r="V185" t="str">
            <v>M.</v>
          </cell>
          <cell r="W185" t="str">
            <v>AGEORGE</v>
          </cell>
          <cell r="X185" t="str">
            <v>75013</v>
          </cell>
          <cell r="Y185" t="str">
            <v>PARIS 13</v>
          </cell>
          <cell r="AA185">
            <v>1522.87</v>
          </cell>
          <cell r="AB185">
            <v>898.19</v>
          </cell>
          <cell r="AD185">
            <v>2421.06</v>
          </cell>
          <cell r="AG185">
            <v>3522.7400000000002</v>
          </cell>
          <cell r="AH185">
            <v>0.21161403063996159</v>
          </cell>
          <cell r="AI185">
            <v>1639.52</v>
          </cell>
          <cell r="AJ185">
            <v>0.17986946269781984</v>
          </cell>
          <cell r="AL185">
            <v>5162.26</v>
          </cell>
          <cell r="AM185">
            <v>7227.1639999999998</v>
          </cell>
          <cell r="AN185">
            <v>1.9851238713621306</v>
          </cell>
          <cell r="AO185" t="str">
            <v>001-G-75ADEQUAT</v>
          </cell>
          <cell r="AP185" t="str">
            <v>001-L-75ADEQUAT</v>
          </cell>
          <cell r="AQ185">
            <v>39939</v>
          </cell>
          <cell r="AX185">
            <v>3786.9455000000003</v>
          </cell>
          <cell r="AY185">
            <v>1803.4720000000002</v>
          </cell>
          <cell r="AZ185">
            <v>0</v>
          </cell>
        </row>
        <row r="186">
          <cell r="A186">
            <v>391111</v>
          </cell>
          <cell r="B186" t="str">
            <v>MOA</v>
          </cell>
          <cell r="C186">
            <v>7.4999999999999997E-2</v>
          </cell>
          <cell r="D186">
            <v>0.1</v>
          </cell>
          <cell r="E186">
            <v>0.02</v>
          </cell>
          <cell r="F186">
            <v>41306</v>
          </cell>
          <cell r="G186" t="str">
            <v>OUI</v>
          </cell>
          <cell r="I186">
            <v>0</v>
          </cell>
          <cell r="J186">
            <v>0</v>
          </cell>
          <cell r="K186" t="str">
            <v>OK</v>
          </cell>
          <cell r="L186" t="str">
            <v>OK</v>
          </cell>
          <cell r="N186" t="str">
            <v>Non affecté</v>
          </cell>
          <cell r="O186" t="str">
            <v>JPP</v>
          </cell>
          <cell r="P186" t="str">
            <v>Ok mon client</v>
          </cell>
          <cell r="Q186" t="str">
            <v>GENNEVILLIERS</v>
          </cell>
          <cell r="R186" t="str">
            <v>75</v>
          </cell>
          <cell r="S186" t="str">
            <v>49 BOULEVARD SAINT MARTIN</v>
          </cell>
          <cell r="T186">
            <v>75003</v>
          </cell>
          <cell r="U186" t="str">
            <v>PARIS</v>
          </cell>
          <cell r="W186" t="str">
            <v>Directeur Logistique et Transports</v>
          </cell>
          <cell r="X186" t="str">
            <v>75003</v>
          </cell>
          <cell r="Y186" t="str">
            <v>PARIS</v>
          </cell>
          <cell r="AA186">
            <v>7788.1800000000012</v>
          </cell>
          <cell r="AD186">
            <v>7788.1800000000012</v>
          </cell>
          <cell r="AE186">
            <v>1521.81</v>
          </cell>
          <cell r="AF186">
            <v>0.32823376296234102</v>
          </cell>
          <cell r="AG186">
            <v>3631.0499999999997</v>
          </cell>
          <cell r="AH186">
            <v>0.5917864221597452</v>
          </cell>
          <cell r="AL186">
            <v>5152.8599999999997</v>
          </cell>
          <cell r="AM186">
            <v>7214.003999999999</v>
          </cell>
          <cell r="AN186">
            <v>-7.3724027950047621E-2</v>
          </cell>
          <cell r="AO186" t="str">
            <v>001-G-75MOA</v>
          </cell>
          <cell r="AP186" t="str">
            <v>001-L-75MOA</v>
          </cell>
          <cell r="AX186">
            <v>3903.3787499999994</v>
          </cell>
          <cell r="AY186">
            <v>0</v>
          </cell>
          <cell r="AZ186">
            <v>1552.2462</v>
          </cell>
        </row>
        <row r="187">
          <cell r="A187">
            <v>700105</v>
          </cell>
          <cell r="B187" t="str">
            <v>METEOR 2013</v>
          </cell>
          <cell r="C187">
            <v>7.4999999999999997E-2</v>
          </cell>
          <cell r="D187">
            <v>0.1</v>
          </cell>
          <cell r="E187">
            <v>0.02</v>
          </cell>
          <cell r="F187">
            <v>41306</v>
          </cell>
          <cell r="G187" t="str">
            <v>OUI</v>
          </cell>
          <cell r="I187">
            <v>0</v>
          </cell>
          <cell r="J187">
            <v>0</v>
          </cell>
          <cell r="K187" t="str">
            <v>OK</v>
          </cell>
          <cell r="L187" t="str">
            <v>OK</v>
          </cell>
          <cell r="N187" t="str">
            <v>Non affecté</v>
          </cell>
          <cell r="O187" t="str">
            <v>JPP</v>
          </cell>
          <cell r="P187" t="str">
            <v>Ok mon client</v>
          </cell>
          <cell r="Q187" t="str">
            <v>GENNEVILLIERS</v>
          </cell>
          <cell r="R187" t="str">
            <v>93</v>
          </cell>
          <cell r="S187" t="str">
            <v>20 RUE CHARLES GROS</v>
          </cell>
          <cell r="T187" t="str">
            <v>93290</v>
          </cell>
          <cell r="U187" t="str">
            <v>TREMBLAY EN FRANCE CEDEX</v>
          </cell>
          <cell r="W187" t="str">
            <v>Directeur Logistique et Transports</v>
          </cell>
          <cell r="X187" t="str">
            <v>93290</v>
          </cell>
          <cell r="Y187" t="str">
            <v>TREMBLAY EN FRANCE CEDEX</v>
          </cell>
          <cell r="AA187">
            <v>1240.56</v>
          </cell>
          <cell r="AD187">
            <v>1240.56</v>
          </cell>
          <cell r="AE187">
            <v>631</v>
          </cell>
          <cell r="AF187">
            <v>0.99955357142857137</v>
          </cell>
          <cell r="AG187">
            <v>4472.99</v>
          </cell>
          <cell r="AH187">
            <v>0.68372364307174782</v>
          </cell>
          <cell r="AL187">
            <v>5103.99</v>
          </cell>
          <cell r="AM187">
            <v>7145.5859999999993</v>
          </cell>
          <cell r="AN187">
            <v>4.7599680789320953</v>
          </cell>
          <cell r="AO187" t="str">
            <v>259-G-93METEOR</v>
          </cell>
          <cell r="AX187">
            <v>4808.46425</v>
          </cell>
          <cell r="AY187">
            <v>0</v>
          </cell>
          <cell r="AZ187">
            <v>643.62</v>
          </cell>
        </row>
        <row r="188">
          <cell r="A188">
            <v>700232</v>
          </cell>
          <cell r="B188" t="str">
            <v>TECHNOLOGIE MEDICALE</v>
          </cell>
          <cell r="C188">
            <v>7.4999999999999997E-2</v>
          </cell>
          <cell r="D188">
            <v>0.1</v>
          </cell>
          <cell r="E188">
            <v>0.02</v>
          </cell>
          <cell r="F188">
            <v>41306</v>
          </cell>
          <cell r="G188" t="str">
            <v>OUI</v>
          </cell>
          <cell r="I188">
            <v>0</v>
          </cell>
          <cell r="J188">
            <v>0</v>
          </cell>
          <cell r="K188" t="str">
            <v>OK</v>
          </cell>
          <cell r="L188" t="str">
            <v>OK</v>
          </cell>
          <cell r="N188" t="str">
            <v>Non affecté</v>
          </cell>
          <cell r="O188" t="str">
            <v>JPP</v>
          </cell>
          <cell r="P188" t="str">
            <v>Ok mon client</v>
          </cell>
          <cell r="Q188" t="str">
            <v>GENNEVILLIERS</v>
          </cell>
          <cell r="R188" t="str">
            <v>93</v>
          </cell>
          <cell r="S188" t="str">
            <v>101 rue Paul Vaillant Couturier</v>
          </cell>
          <cell r="T188" t="str">
            <v>93130</v>
          </cell>
          <cell r="U188" t="str">
            <v>NOISY LE SEC</v>
          </cell>
          <cell r="V188" t="str">
            <v>Mme</v>
          </cell>
          <cell r="W188" t="str">
            <v>GALISSANT Delphine</v>
          </cell>
          <cell r="X188" t="str">
            <v>93130</v>
          </cell>
          <cell r="Y188" t="str">
            <v>NOISY LE SEC</v>
          </cell>
          <cell r="AB188">
            <v>8405.4499999999989</v>
          </cell>
          <cell r="AD188">
            <v>8405.4499999999989</v>
          </cell>
          <cell r="AI188">
            <v>5055.6400000000003</v>
          </cell>
          <cell r="AJ188">
            <v>0.7643590718904526</v>
          </cell>
          <cell r="AL188">
            <v>5055.6400000000003</v>
          </cell>
          <cell r="AM188">
            <v>7077.8959999999997</v>
          </cell>
          <cell r="AN188">
            <v>-0.15793967009499776</v>
          </cell>
          <cell r="AO188" t="str">
            <v>259-G-93TECHNOMEDICALE</v>
          </cell>
          <cell r="AX188">
            <v>0</v>
          </cell>
          <cell r="AY188">
            <v>5561.2040000000006</v>
          </cell>
          <cell r="AZ188">
            <v>0</v>
          </cell>
        </row>
        <row r="189">
          <cell r="A189">
            <v>569982</v>
          </cell>
          <cell r="B189" t="str">
            <v>JB CONTROLS</v>
          </cell>
          <cell r="C189">
            <v>7.4999999999999997E-2</v>
          </cell>
          <cell r="D189">
            <v>0.1</v>
          </cell>
          <cell r="E189">
            <v>0.02</v>
          </cell>
          <cell r="F189">
            <v>41306</v>
          </cell>
          <cell r="G189" t="str">
            <v>OUI</v>
          </cell>
          <cell r="I189">
            <v>0</v>
          </cell>
          <cell r="J189">
            <v>0</v>
          </cell>
          <cell r="K189" t="str">
            <v>OK</v>
          </cell>
          <cell r="L189" t="str">
            <v>OK</v>
          </cell>
          <cell r="N189" t="str">
            <v>Non affecté</v>
          </cell>
          <cell r="O189" t="str">
            <v>JPP</v>
          </cell>
          <cell r="P189" t="str">
            <v>Ok mon client</v>
          </cell>
          <cell r="Q189" t="str">
            <v>GENNEVILLIERS</v>
          </cell>
          <cell r="R189" t="str">
            <v>92</v>
          </cell>
          <cell r="S189" t="str">
            <v>63 RUE EMILE DESCHANEL</v>
          </cell>
          <cell r="T189" t="str">
            <v>92400</v>
          </cell>
          <cell r="U189" t="str">
            <v>COURBEVOIE</v>
          </cell>
          <cell r="V189" t="str">
            <v>Mme</v>
          </cell>
          <cell r="W189" t="str">
            <v>ISABELLE BERTIN</v>
          </cell>
          <cell r="X189" t="str">
            <v>92400</v>
          </cell>
          <cell r="Y189" t="str">
            <v>COURBEVOIE</v>
          </cell>
          <cell r="AA189">
            <v>660.66</v>
          </cell>
          <cell r="AB189">
            <v>5398.92</v>
          </cell>
          <cell r="AD189">
            <v>6059.58</v>
          </cell>
          <cell r="AI189">
            <v>4948.3100000000004</v>
          </cell>
          <cell r="AJ189">
            <v>0.67826198884982625</v>
          </cell>
          <cell r="AL189">
            <v>4948.3100000000004</v>
          </cell>
          <cell r="AM189">
            <v>6927.634</v>
          </cell>
          <cell r="AN189">
            <v>0.14325316276045541</v>
          </cell>
          <cell r="AO189" t="str">
            <v>001-G-92JBCONTROLS</v>
          </cell>
          <cell r="AQ189">
            <v>39918</v>
          </cell>
          <cell r="AX189">
            <v>0</v>
          </cell>
          <cell r="AY189">
            <v>5443.1410000000005</v>
          </cell>
          <cell r="AZ189">
            <v>0</v>
          </cell>
        </row>
        <row r="190">
          <cell r="A190">
            <v>853905</v>
          </cell>
          <cell r="B190" t="str">
            <v>BALDI</v>
          </cell>
          <cell r="C190">
            <v>3.5999999999999997E-2</v>
          </cell>
          <cell r="D190">
            <v>3.5999999999999997E-2</v>
          </cell>
          <cell r="E190">
            <v>3.5999999999999997E-2</v>
          </cell>
          <cell r="F190">
            <v>41275</v>
          </cell>
          <cell r="G190" t="str">
            <v>Par mail le 29/10/2012</v>
          </cell>
          <cell r="I190">
            <v>0</v>
          </cell>
          <cell r="J190">
            <v>0</v>
          </cell>
          <cell r="K190" t="str">
            <v>OK</v>
          </cell>
          <cell r="L190" t="str">
            <v>OK</v>
          </cell>
          <cell r="N190" t="str">
            <v>Non affecté</v>
          </cell>
          <cell r="O190" t="str">
            <v>JPP</v>
          </cell>
          <cell r="P190" t="str">
            <v>Ok mon client</v>
          </cell>
          <cell r="Q190" t="str">
            <v>GENNEVILLIERS</v>
          </cell>
          <cell r="R190" t="str">
            <v>93</v>
          </cell>
          <cell r="S190" t="str">
            <v>24 AV MARCEL DASSAULT</v>
          </cell>
          <cell r="T190">
            <v>93370</v>
          </cell>
          <cell r="U190" t="str">
            <v>MONTFERMEIL</v>
          </cell>
          <cell r="W190" t="str">
            <v>Directeur Logistique et Transports</v>
          </cell>
          <cell r="X190" t="str">
            <v>93370</v>
          </cell>
          <cell r="Y190" t="str">
            <v>MONTFERMEIL</v>
          </cell>
          <cell r="Z190">
            <v>250.83</v>
          </cell>
          <cell r="AA190">
            <v>7908.7100000000009</v>
          </cell>
          <cell r="AD190">
            <v>8159.5400000000009</v>
          </cell>
          <cell r="AE190">
            <v>151.82000000000002</v>
          </cell>
          <cell r="AF190">
            <v>0.35067843498880252</v>
          </cell>
          <cell r="AG190">
            <v>4736.1099999999997</v>
          </cell>
          <cell r="AH190">
            <v>-8.0699638118202598E-3</v>
          </cell>
          <cell r="AL190">
            <v>4887.9299999999994</v>
          </cell>
          <cell r="AM190">
            <v>6843.101999999999</v>
          </cell>
          <cell r="AN190">
            <v>-0.16133728126830704</v>
          </cell>
          <cell r="AO190" t="str">
            <v>259-G-93BODI</v>
          </cell>
          <cell r="AP190" t="str">
            <v>259-L-93BODI</v>
          </cell>
          <cell r="AX190">
            <v>4906.6099599999998</v>
          </cell>
          <cell r="AY190">
            <v>0</v>
          </cell>
          <cell r="AZ190">
            <v>157.28552000000002</v>
          </cell>
        </row>
        <row r="191">
          <cell r="A191">
            <v>81848</v>
          </cell>
          <cell r="B191" t="str">
            <v>IDIPS</v>
          </cell>
          <cell r="C191">
            <v>4.8000000000000001E-2</v>
          </cell>
          <cell r="D191">
            <v>4.8000000000000001E-2</v>
          </cell>
          <cell r="E191">
            <v>0.02</v>
          </cell>
          <cell r="F191">
            <v>41275</v>
          </cell>
          <cell r="I191">
            <v>0</v>
          </cell>
          <cell r="J191">
            <v>0</v>
          </cell>
          <cell r="K191" t="str">
            <v>OK</v>
          </cell>
          <cell r="L191" t="str">
            <v>OK</v>
          </cell>
          <cell r="N191" t="str">
            <v>Non affecté</v>
          </cell>
          <cell r="O191" t="str">
            <v>AB</v>
          </cell>
          <cell r="P191" t="str">
            <v>Ok mon client</v>
          </cell>
          <cell r="Q191" t="str">
            <v>GENNEVILLIERS</v>
          </cell>
          <cell r="R191" t="str">
            <v>78</v>
          </cell>
          <cell r="S191" t="str">
            <v xml:space="preserve">104 AVE JEAN MOULIN             </v>
          </cell>
          <cell r="T191" t="str">
            <v>78170</v>
          </cell>
          <cell r="U191" t="str">
            <v>LA CELLE ST CLOUD</v>
          </cell>
          <cell r="W191" t="str">
            <v>Directeur Logistique et Transports</v>
          </cell>
          <cell r="X191" t="str">
            <v>78170</v>
          </cell>
          <cell r="Y191" t="str">
            <v>LA CELLE ST CLOUD</v>
          </cell>
          <cell r="AA191">
            <v>360.89</v>
          </cell>
          <cell r="AB191">
            <v>1720.4099999999999</v>
          </cell>
          <cell r="AD191">
            <v>2081.2999999999997</v>
          </cell>
          <cell r="AG191">
            <v>1845.2699999999998</v>
          </cell>
          <cell r="AH191">
            <v>0.85716490073037743</v>
          </cell>
          <cell r="AI191">
            <v>2778</v>
          </cell>
          <cell r="AJ191">
            <v>0.88211856895537721</v>
          </cell>
          <cell r="AL191">
            <v>4623.2699999999995</v>
          </cell>
          <cell r="AM191">
            <v>6472.5779999999986</v>
          </cell>
          <cell r="AN191">
            <v>2.1098726757315136</v>
          </cell>
          <cell r="AO191" t="str">
            <v>001-G-78IDIPS</v>
          </cell>
          <cell r="AP191" t="str">
            <v>001-L-78IDIPS</v>
          </cell>
          <cell r="AX191">
            <v>1933.8429599999997</v>
          </cell>
          <cell r="AY191">
            <v>2911.3440000000001</v>
          </cell>
          <cell r="AZ191">
            <v>0</v>
          </cell>
        </row>
        <row r="192">
          <cell r="A192">
            <v>845755</v>
          </cell>
          <cell r="B192" t="str">
            <v>LABORATOIRE A</v>
          </cell>
          <cell r="C192">
            <v>4.8000000000000001E-2</v>
          </cell>
          <cell r="D192">
            <v>4.8000000000000001E-2</v>
          </cell>
          <cell r="E192">
            <v>0.02</v>
          </cell>
          <cell r="F192">
            <v>41275</v>
          </cell>
          <cell r="I192">
            <v>0</v>
          </cell>
          <cell r="J192">
            <v>0</v>
          </cell>
          <cell r="K192" t="str">
            <v>OK</v>
          </cell>
          <cell r="L192" t="str">
            <v>OK</v>
          </cell>
          <cell r="N192" t="str">
            <v>Non affecté</v>
          </cell>
          <cell r="O192" t="str">
            <v>AB</v>
          </cell>
          <cell r="P192" t="str">
            <v>Ok mon client</v>
          </cell>
          <cell r="Q192" t="str">
            <v>GENNEVILLIERS</v>
          </cell>
          <cell r="R192" t="str">
            <v>78</v>
          </cell>
          <cell r="S192" t="str">
            <v>242 AVENUE PASTEUR</v>
          </cell>
          <cell r="T192">
            <v>78630</v>
          </cell>
          <cell r="U192" t="str">
            <v>ORGEVAL</v>
          </cell>
          <cell r="V192" t="str">
            <v>Mme</v>
          </cell>
          <cell r="W192" t="str">
            <v>FABBRI</v>
          </cell>
          <cell r="X192" t="str">
            <v>78630</v>
          </cell>
          <cell r="Y192" t="str">
            <v>ORGEVAL</v>
          </cell>
          <cell r="Z192">
            <v>824.65</v>
          </cell>
          <cell r="AA192">
            <v>799.63</v>
          </cell>
          <cell r="AB192">
            <v>354.75</v>
          </cell>
          <cell r="AD192">
            <v>1979.03</v>
          </cell>
          <cell r="AE192">
            <v>2169.48</v>
          </cell>
          <cell r="AF192">
            <v>0.233418592864131</v>
          </cell>
          <cell r="AG192">
            <v>465.22</v>
          </cell>
          <cell r="AH192">
            <v>0.5253772878090549</v>
          </cell>
          <cell r="AK192">
            <v>1885</v>
          </cell>
          <cell r="AL192">
            <v>4519.7</v>
          </cell>
          <cell r="AM192">
            <v>6327.579999999999</v>
          </cell>
          <cell r="AN192">
            <v>2.1973138355659083</v>
          </cell>
          <cell r="AO192" t="str">
            <v>001-G-78LABORATOIREA</v>
          </cell>
          <cell r="AP192" t="str">
            <v>001-L-78LABORATOIREA</v>
          </cell>
          <cell r="AQ192">
            <v>40660</v>
          </cell>
          <cell r="AX192">
            <v>487.55056000000008</v>
          </cell>
          <cell r="AY192">
            <v>0</v>
          </cell>
          <cell r="AZ192">
            <v>2212.8696</v>
          </cell>
        </row>
        <row r="193">
          <cell r="A193">
            <v>848520</v>
          </cell>
          <cell r="B193" t="str">
            <v>CP EXPORT</v>
          </cell>
          <cell r="G193" t="str">
            <v>OUI</v>
          </cell>
          <cell r="H193" t="str">
            <v>A LA COTATION</v>
          </cell>
          <cell r="I193">
            <v>0</v>
          </cell>
          <cell r="J193">
            <v>0</v>
          </cell>
          <cell r="K193" t="str">
            <v>NON</v>
          </cell>
          <cell r="L193" t="str">
            <v>NON</v>
          </cell>
          <cell r="N193" t="str">
            <v>Non affecté</v>
          </cell>
          <cell r="O193" t="str">
            <v>JPP</v>
          </cell>
          <cell r="P193" t="str">
            <v>Ok mon client</v>
          </cell>
          <cell r="Q193" t="str">
            <v>GENNEVILLIERS</v>
          </cell>
          <cell r="R193" t="str">
            <v>75</v>
          </cell>
          <cell r="S193" t="str">
            <v>23 RUE DU GENERAL BERTRAND</v>
          </cell>
          <cell r="T193">
            <v>75007</v>
          </cell>
          <cell r="U193" t="str">
            <v>PARIS</v>
          </cell>
          <cell r="V193" t="str">
            <v>M.</v>
          </cell>
          <cell r="W193" t="str">
            <v>PLESSIER</v>
          </cell>
          <cell r="X193" t="str">
            <v>75007</v>
          </cell>
          <cell r="Y193" t="str">
            <v>PARIS</v>
          </cell>
          <cell r="Z193">
            <v>5567.4</v>
          </cell>
          <cell r="AD193">
            <v>5567.4</v>
          </cell>
          <cell r="AE193">
            <v>4480.2</v>
          </cell>
          <cell r="AF193">
            <v>0.15792744960403718</v>
          </cell>
          <cell r="AL193">
            <v>4480.2</v>
          </cell>
          <cell r="AM193">
            <v>6272.28</v>
          </cell>
          <cell r="AN193">
            <v>0.12660847074038162</v>
          </cell>
          <cell r="AQ193">
            <v>40718</v>
          </cell>
          <cell r="AX193">
            <v>0</v>
          </cell>
          <cell r="AY193">
            <v>0</v>
          </cell>
          <cell r="AZ193">
            <v>4480.2</v>
          </cell>
        </row>
        <row r="194">
          <cell r="A194">
            <v>573458</v>
          </cell>
          <cell r="B194" t="str">
            <v>THE MAGIC TOUCH 123 APPLICAT</v>
          </cell>
          <cell r="C194">
            <v>7.4999999999999997E-2</v>
          </cell>
          <cell r="D194">
            <v>0.1</v>
          </cell>
          <cell r="E194">
            <v>0.02</v>
          </cell>
          <cell r="F194">
            <v>41306</v>
          </cell>
          <cell r="G194" t="str">
            <v>OUI</v>
          </cell>
          <cell r="I194">
            <v>0</v>
          </cell>
          <cell r="J194">
            <v>0</v>
          </cell>
          <cell r="K194" t="str">
            <v>OK</v>
          </cell>
          <cell r="L194" t="str">
            <v>OK</v>
          </cell>
          <cell r="N194" t="str">
            <v>Non affecté</v>
          </cell>
          <cell r="O194" t="str">
            <v>JPP</v>
          </cell>
          <cell r="P194" t="str">
            <v>Ok mon client</v>
          </cell>
          <cell r="Q194" t="str">
            <v>GENNEVILLIERS</v>
          </cell>
          <cell r="R194" t="str">
            <v>75</v>
          </cell>
          <cell r="S194" t="str">
            <v>9 RUE PARADIS</v>
          </cell>
          <cell r="T194" t="str">
            <v>75010</v>
          </cell>
          <cell r="U194" t="str">
            <v>PARIS</v>
          </cell>
          <cell r="V194" t="str">
            <v>Mme</v>
          </cell>
          <cell r="W194" t="str">
            <v>GUILLERAY</v>
          </cell>
          <cell r="X194" t="str">
            <v>75010</v>
          </cell>
          <cell r="Y194" t="str">
            <v>PARIS</v>
          </cell>
          <cell r="AB194">
            <v>6971.05</v>
          </cell>
          <cell r="AD194">
            <v>6971.05</v>
          </cell>
          <cell r="AI194">
            <v>4265.0199999999995</v>
          </cell>
          <cell r="AJ194">
            <v>0.61860403834118383</v>
          </cell>
          <cell r="AL194">
            <v>4265.0199999999995</v>
          </cell>
          <cell r="AM194">
            <v>5971.0279999999993</v>
          </cell>
          <cell r="AN194">
            <v>-0.14345356868764403</v>
          </cell>
          <cell r="AO194" t="str">
            <v>259-G-75THRMAGIC123APP</v>
          </cell>
          <cell r="AX194">
            <v>0</v>
          </cell>
          <cell r="AY194">
            <v>4691.5219999999999</v>
          </cell>
          <cell r="AZ194">
            <v>0</v>
          </cell>
        </row>
        <row r="195">
          <cell r="A195">
            <v>577464</v>
          </cell>
          <cell r="B195" t="str">
            <v>CAVE MANNEVY</v>
          </cell>
          <cell r="C195">
            <v>7.4999999999999997E-2</v>
          </cell>
          <cell r="D195">
            <v>0.1</v>
          </cell>
          <cell r="E195">
            <v>0.02</v>
          </cell>
          <cell r="F195">
            <v>41306</v>
          </cell>
          <cell r="G195" t="str">
            <v>OUI</v>
          </cell>
          <cell r="I195">
            <v>0</v>
          </cell>
          <cell r="J195">
            <v>0</v>
          </cell>
          <cell r="K195" t="str">
            <v>OK</v>
          </cell>
          <cell r="L195" t="str">
            <v>OK</v>
          </cell>
          <cell r="N195" t="str">
            <v>Non affecté</v>
          </cell>
          <cell r="O195" t="str">
            <v>JPP</v>
          </cell>
          <cell r="P195" t="str">
            <v>Ok mon client</v>
          </cell>
          <cell r="Q195" t="str">
            <v>GENNEVILLIERS</v>
          </cell>
          <cell r="R195" t="str">
            <v>92</v>
          </cell>
          <cell r="S195" t="str">
            <v>50 BLD RICHARD WALLACE</v>
          </cell>
          <cell r="T195">
            <v>92800</v>
          </cell>
          <cell r="U195" t="str">
            <v>PUTEAUX</v>
          </cell>
          <cell r="V195" t="str">
            <v>M.</v>
          </cell>
          <cell r="W195" t="str">
            <v>BOURGEOT</v>
          </cell>
          <cell r="X195" t="str">
            <v>92800</v>
          </cell>
          <cell r="Y195" t="str">
            <v>PUTEAUX</v>
          </cell>
          <cell r="Z195">
            <v>2036.58</v>
          </cell>
          <cell r="AA195">
            <v>1997.04</v>
          </cell>
          <cell r="AB195">
            <v>1020.96</v>
          </cell>
          <cell r="AD195">
            <v>5054.58</v>
          </cell>
          <cell r="AE195">
            <v>-275</v>
          </cell>
          <cell r="AF195">
            <v>0.76363636363636367</v>
          </cell>
          <cell r="AG195">
            <v>2616.12</v>
          </cell>
          <cell r="AH195">
            <v>0.50706036350156958</v>
          </cell>
          <cell r="AI195">
            <v>1839.8400000000001</v>
          </cell>
          <cell r="AJ195">
            <v>0.64676793031687807</v>
          </cell>
          <cell r="AL195">
            <v>4180.96</v>
          </cell>
          <cell r="AM195">
            <v>5853.3440000000001</v>
          </cell>
          <cell r="AN195">
            <v>0.15802776887496095</v>
          </cell>
          <cell r="AO195" t="str">
            <v>001-G-92CAVEMANNEVY</v>
          </cell>
          <cell r="AP195" t="str">
            <v>001-L-92CAVEMANNEVY</v>
          </cell>
          <cell r="AQ195">
            <v>40687</v>
          </cell>
          <cell r="AX195">
            <v>2812.3289999999997</v>
          </cell>
          <cell r="AY195">
            <v>2023.8240000000003</v>
          </cell>
          <cell r="AZ195">
            <v>-280.5</v>
          </cell>
        </row>
        <row r="196">
          <cell r="A196">
            <v>544682</v>
          </cell>
          <cell r="B196" t="str">
            <v>FA BREMART</v>
          </cell>
          <cell r="C196">
            <v>7.4999999999999997E-2</v>
          </cell>
          <cell r="D196">
            <v>0.1</v>
          </cell>
          <cell r="E196">
            <v>0.02</v>
          </cell>
          <cell r="F196">
            <v>41306</v>
          </cell>
          <cell r="G196" t="str">
            <v>OUI</v>
          </cell>
          <cell r="I196">
            <v>0</v>
          </cell>
          <cell r="J196">
            <v>0</v>
          </cell>
          <cell r="K196" t="str">
            <v>OK</v>
          </cell>
          <cell r="L196" t="str">
            <v>OK</v>
          </cell>
          <cell r="N196" t="str">
            <v>Non affecté</v>
          </cell>
          <cell r="O196" t="str">
            <v>JPP</v>
          </cell>
          <cell r="P196" t="str">
            <v>Ok mon client</v>
          </cell>
          <cell r="Q196" t="str">
            <v>GENNEVILLIERS</v>
          </cell>
          <cell r="R196" t="str">
            <v>92</v>
          </cell>
          <cell r="S196" t="str">
            <v>12 CHEMIN LATERAL</v>
          </cell>
          <cell r="T196" t="str">
            <v>92220</v>
          </cell>
          <cell r="U196" t="str">
            <v>BAGNEUX</v>
          </cell>
          <cell r="V196" t="str">
            <v>M.</v>
          </cell>
          <cell r="W196" t="str">
            <v>BROCHET</v>
          </cell>
          <cell r="X196" t="str">
            <v>92220</v>
          </cell>
          <cell r="Y196" t="str">
            <v>BAGNEUX</v>
          </cell>
          <cell r="AA196">
            <v>4728.8200000000006</v>
          </cell>
          <cell r="AD196">
            <v>4728.8200000000006</v>
          </cell>
          <cell r="AG196">
            <v>4180.7300000000005</v>
          </cell>
          <cell r="AH196">
            <v>0.86087774668016437</v>
          </cell>
          <cell r="AL196">
            <v>4180.7300000000005</v>
          </cell>
          <cell r="AM196">
            <v>5853.0219999999999</v>
          </cell>
          <cell r="AN196">
            <v>0.2377341493226639</v>
          </cell>
          <cell r="AO196" t="str">
            <v>001-G-92FABREMART</v>
          </cell>
          <cell r="AP196" t="str">
            <v>001-L-92FABREMART</v>
          </cell>
          <cell r="AX196">
            <v>4494.2847500000007</v>
          </cell>
          <cell r="AY196">
            <v>0</v>
          </cell>
          <cell r="AZ196">
            <v>0</v>
          </cell>
        </row>
        <row r="197">
          <cell r="A197">
            <v>440648</v>
          </cell>
          <cell r="B197" t="str">
            <v>TRANSFLEX</v>
          </cell>
          <cell r="C197">
            <v>7.4999999999999997E-2</v>
          </cell>
          <cell r="D197">
            <v>0.1</v>
          </cell>
          <cell r="E197">
            <v>0.02</v>
          </cell>
          <cell r="F197">
            <v>41306</v>
          </cell>
          <cell r="G197" t="str">
            <v>OUI</v>
          </cell>
          <cell r="I197">
            <v>0</v>
          </cell>
          <cell r="J197">
            <v>0</v>
          </cell>
          <cell r="K197" t="str">
            <v>OK</v>
          </cell>
          <cell r="L197" t="str">
            <v>OK</v>
          </cell>
          <cell r="N197" t="str">
            <v>Non affecté</v>
          </cell>
          <cell r="O197" t="str">
            <v>JPP</v>
          </cell>
          <cell r="P197" t="str">
            <v>Ok mon client</v>
          </cell>
          <cell r="Q197" t="str">
            <v>GENNEVILLIERS</v>
          </cell>
          <cell r="R197" t="str">
            <v>92</v>
          </cell>
          <cell r="S197" t="str">
            <v>17 RUE DE LA GLACIERE</v>
          </cell>
          <cell r="T197" t="str">
            <v>92254</v>
          </cell>
          <cell r="U197" t="str">
            <v>LA GARENNE COLOMBES</v>
          </cell>
          <cell r="V197" t="str">
            <v>Mr</v>
          </cell>
          <cell r="W197" t="str">
            <v>LOPEZ</v>
          </cell>
          <cell r="X197" t="str">
            <v>92250</v>
          </cell>
          <cell r="Y197" t="str">
            <v>LA GARENNE COLOMBES</v>
          </cell>
          <cell r="Z197">
            <v>2918.58</v>
          </cell>
          <cell r="AA197">
            <v>18709.629999999997</v>
          </cell>
          <cell r="AB197">
            <v>1089.6400000000001</v>
          </cell>
          <cell r="AD197">
            <v>22717.85</v>
          </cell>
          <cell r="AG197">
            <v>4095.3</v>
          </cell>
          <cell r="AH197">
            <v>0.81928641894113774</v>
          </cell>
          <cell r="AL197">
            <v>4095.3</v>
          </cell>
          <cell r="AM197">
            <v>5733.42</v>
          </cell>
          <cell r="AN197">
            <v>-0.74762488527743598</v>
          </cell>
          <cell r="AO197" t="str">
            <v>001-G-92TRANSFLEX</v>
          </cell>
          <cell r="AP197" t="str">
            <v>001-L-92TRANSFLEX</v>
          </cell>
          <cell r="AQ197">
            <v>39128</v>
          </cell>
          <cell r="AX197">
            <v>4402.4475000000002</v>
          </cell>
          <cell r="AY197">
            <v>0</v>
          </cell>
          <cell r="AZ197">
            <v>0</v>
          </cell>
        </row>
        <row r="198">
          <cell r="A198">
            <v>37820</v>
          </cell>
          <cell r="B198" t="str">
            <v>GKN GLENCO</v>
          </cell>
          <cell r="C198">
            <v>0.1</v>
          </cell>
          <cell r="D198">
            <v>0.1</v>
          </cell>
          <cell r="E198">
            <v>0.02</v>
          </cell>
          <cell r="F198">
            <v>41275</v>
          </cell>
          <cell r="I198">
            <v>0</v>
          </cell>
          <cell r="J198">
            <v>0</v>
          </cell>
          <cell r="K198" t="str">
            <v>NON</v>
          </cell>
          <cell r="L198" t="str">
            <v>OK</v>
          </cell>
          <cell r="M198" t="str">
            <v>Porte Feuille</v>
          </cell>
          <cell r="N198" t="str">
            <v>Non affecté</v>
          </cell>
          <cell r="O198" t="str">
            <v>AB</v>
          </cell>
          <cell r="P198" t="str">
            <v>Ok mon client</v>
          </cell>
          <cell r="Q198" t="str">
            <v>GENNEVILLIERS</v>
          </cell>
          <cell r="R198" t="str">
            <v>78</v>
          </cell>
          <cell r="S198" t="str">
            <v xml:space="preserve">170 RUE LEONARD DE VINCI        </v>
          </cell>
          <cell r="T198" t="str">
            <v>78302</v>
          </cell>
          <cell r="U198" t="str">
            <v>POISSY CEDEX</v>
          </cell>
          <cell r="V198" t="str">
            <v>M.</v>
          </cell>
          <cell r="W198" t="str">
            <v>PETIT</v>
          </cell>
          <cell r="X198" t="str">
            <v>78302</v>
          </cell>
          <cell r="Y198" t="str">
            <v>POISSY CEDEX</v>
          </cell>
          <cell r="Z198">
            <v>14287.309999999998</v>
          </cell>
          <cell r="AB198">
            <v>2042.46</v>
          </cell>
          <cell r="AD198">
            <v>16329.769999999997</v>
          </cell>
          <cell r="AE198">
            <v>4024.9700000000003</v>
          </cell>
          <cell r="AF198">
            <v>0.27644752750943441</v>
          </cell>
          <cell r="AL198">
            <v>4024.9700000000003</v>
          </cell>
          <cell r="AM198">
            <v>5634.9579999999996</v>
          </cell>
          <cell r="AN198">
            <v>-0.65492728923922372</v>
          </cell>
          <cell r="AO198" t="str">
            <v>001-G-78GKNGLENCO</v>
          </cell>
          <cell r="AP198" t="str">
            <v>001-L-78GKNGLENCO</v>
          </cell>
          <cell r="AX198">
            <v>0</v>
          </cell>
          <cell r="AY198">
            <v>0</v>
          </cell>
          <cell r="AZ198">
            <v>4105.4694</v>
          </cell>
        </row>
        <row r="199">
          <cell r="A199">
            <v>77136</v>
          </cell>
          <cell r="B199" t="str">
            <v>CECOP SARL</v>
          </cell>
          <cell r="C199">
            <v>7.4999999999999997E-2</v>
          </cell>
          <cell r="D199">
            <v>0.1</v>
          </cell>
          <cell r="E199">
            <v>0.02</v>
          </cell>
          <cell r="F199">
            <v>41306</v>
          </cell>
          <cell r="G199" t="str">
            <v>OUI</v>
          </cell>
          <cell r="I199">
            <v>0</v>
          </cell>
          <cell r="J199">
            <v>0</v>
          </cell>
          <cell r="K199" t="str">
            <v>OK</v>
          </cell>
          <cell r="L199" t="str">
            <v>OK</v>
          </cell>
          <cell r="N199" t="str">
            <v>Non affecté</v>
          </cell>
          <cell r="O199" t="str">
            <v>JPP</v>
          </cell>
          <cell r="P199" t="str">
            <v>Ok mon client</v>
          </cell>
          <cell r="Q199" t="str">
            <v>GENNEVILLIERS</v>
          </cell>
          <cell r="R199" t="str">
            <v>92</v>
          </cell>
          <cell r="S199" t="str">
            <v xml:space="preserve">24 RUE THOMAS EDISON            </v>
          </cell>
          <cell r="T199" t="str">
            <v>92230</v>
          </cell>
          <cell r="U199" t="str">
            <v>GENNEVILLIERS</v>
          </cell>
          <cell r="V199" t="str">
            <v>Mme</v>
          </cell>
          <cell r="W199" t="str">
            <v>WARGNIER</v>
          </cell>
          <cell r="X199" t="str">
            <v>92230</v>
          </cell>
          <cell r="Y199" t="str">
            <v>GENNEVILLIERS</v>
          </cell>
          <cell r="AA199">
            <v>43.85</v>
          </cell>
          <cell r="AB199">
            <v>10254.65</v>
          </cell>
          <cell r="AD199">
            <v>10298.5</v>
          </cell>
          <cell r="AE199">
            <v>335</v>
          </cell>
          <cell r="AF199">
            <v>0.40051384527547818</v>
          </cell>
          <cell r="AG199">
            <v>3420.9300000000003</v>
          </cell>
          <cell r="AH199">
            <v>0.5769484280110323</v>
          </cell>
          <cell r="AI199">
            <v>196.54</v>
          </cell>
          <cell r="AL199">
            <v>3952.4700000000003</v>
          </cell>
          <cell r="AM199">
            <v>5533.4579999999996</v>
          </cell>
          <cell r="AN199">
            <v>-0.46269281934262274</v>
          </cell>
          <cell r="AO199" t="str">
            <v>001-G-92CECOP</v>
          </cell>
          <cell r="AP199" t="str">
            <v>001-L-92CECOP</v>
          </cell>
          <cell r="AX199">
            <v>3677.4997499999999</v>
          </cell>
          <cell r="AY199">
            <v>216.19400000000002</v>
          </cell>
          <cell r="AZ199">
            <v>341.7</v>
          </cell>
        </row>
        <row r="200">
          <cell r="A200">
            <v>576822</v>
          </cell>
          <cell r="B200" t="str">
            <v>CD TEL</v>
          </cell>
          <cell r="C200">
            <v>7.4999999999999997E-2</v>
          </cell>
          <cell r="D200">
            <v>0.1</v>
          </cell>
          <cell r="E200">
            <v>0.02</v>
          </cell>
          <cell r="F200">
            <v>41275</v>
          </cell>
          <cell r="G200" t="str">
            <v>NON</v>
          </cell>
          <cell r="I200">
            <v>0</v>
          </cell>
          <cell r="J200">
            <v>0</v>
          </cell>
          <cell r="K200" t="str">
            <v>OK</v>
          </cell>
          <cell r="L200" t="str">
            <v>OK</v>
          </cell>
          <cell r="N200" t="str">
            <v>Non affecté</v>
          </cell>
          <cell r="O200" t="str">
            <v>JPP</v>
          </cell>
          <cell r="P200" t="str">
            <v>Ok mon client</v>
          </cell>
          <cell r="Q200" t="str">
            <v>GENNEVILLIERS</v>
          </cell>
          <cell r="R200" t="str">
            <v>75</v>
          </cell>
          <cell r="S200" t="str">
            <v>10 BIS RUE BISSON</v>
          </cell>
          <cell r="T200">
            <v>75020</v>
          </cell>
          <cell r="U200" t="str">
            <v>PARIS</v>
          </cell>
          <cell r="X200" t="str">
            <v>75020</v>
          </cell>
          <cell r="Y200" t="str">
            <v>PARIS</v>
          </cell>
          <cell r="AG200">
            <v>3462.96</v>
          </cell>
          <cell r="AH200">
            <v>-0.4875315294657192</v>
          </cell>
          <cell r="AI200">
            <v>474.36</v>
          </cell>
          <cell r="AL200">
            <v>3937.32</v>
          </cell>
          <cell r="AM200">
            <v>5512.2479999999996</v>
          </cell>
          <cell r="AO200" t="str">
            <v>259-G-75CDTEL</v>
          </cell>
          <cell r="AP200" t="str">
            <v>001-L1-75CDTEL</v>
          </cell>
          <cell r="AX200">
            <v>3722.6819999999998</v>
          </cell>
          <cell r="AY200">
            <v>521.79600000000005</v>
          </cell>
          <cell r="AZ200">
            <v>0</v>
          </cell>
        </row>
        <row r="201">
          <cell r="A201">
            <v>606085</v>
          </cell>
          <cell r="B201" t="str">
            <v>OFFICE DEPOT FRANCE SNC</v>
          </cell>
          <cell r="G201" t="str">
            <v>OUI</v>
          </cell>
          <cell r="H201" t="str">
            <v>RIEN DANS INS</v>
          </cell>
          <cell r="I201">
            <v>0</v>
          </cell>
          <cell r="J201">
            <v>0</v>
          </cell>
          <cell r="K201" t="str">
            <v>NON</v>
          </cell>
          <cell r="L201" t="str">
            <v>NON</v>
          </cell>
          <cell r="N201" t="str">
            <v>Non affecté</v>
          </cell>
          <cell r="O201" t="str">
            <v>JPP</v>
          </cell>
          <cell r="P201" t="str">
            <v>Ok mon client</v>
          </cell>
          <cell r="Q201" t="str">
            <v>GENNEVILLIERS</v>
          </cell>
          <cell r="R201" t="str">
            <v>60</v>
          </cell>
          <cell r="X201" t="str">
            <v>60300</v>
          </cell>
          <cell r="Y201" t="str">
            <v>SENLIS</v>
          </cell>
          <cell r="AB201">
            <v>3021.25</v>
          </cell>
          <cell r="AD201">
            <v>3021.25</v>
          </cell>
          <cell r="AI201">
            <v>3871.04</v>
          </cell>
          <cell r="AL201">
            <v>3871.04</v>
          </cell>
          <cell r="AM201">
            <v>5419.4559999999992</v>
          </cell>
          <cell r="AN201">
            <v>0.79377939594538649</v>
          </cell>
          <cell r="AX201">
            <v>0</v>
          </cell>
          <cell r="AY201">
            <v>3871.04</v>
          </cell>
          <cell r="AZ201">
            <v>0</v>
          </cell>
        </row>
        <row r="202">
          <cell r="A202">
            <v>826552</v>
          </cell>
          <cell r="B202" t="str">
            <v>UEENSAM</v>
          </cell>
          <cell r="G202" t="str">
            <v>OUI</v>
          </cell>
          <cell r="H202" t="str">
            <v>HS INES</v>
          </cell>
          <cell r="I202">
            <v>0</v>
          </cell>
          <cell r="J202">
            <v>0</v>
          </cell>
          <cell r="K202" t="str">
            <v>NON</v>
          </cell>
          <cell r="L202" t="str">
            <v>NON</v>
          </cell>
          <cell r="N202" t="str">
            <v>Non affecté</v>
          </cell>
          <cell r="O202" t="str">
            <v>JPP</v>
          </cell>
          <cell r="P202" t="str">
            <v>Ok mon client</v>
          </cell>
          <cell r="Q202" t="str">
            <v>GENNEVILLIERS</v>
          </cell>
          <cell r="R202" t="str">
            <v>75</v>
          </cell>
          <cell r="X202" t="str">
            <v>75014</v>
          </cell>
          <cell r="Y202" t="str">
            <v>PARIS</v>
          </cell>
          <cell r="AE202">
            <v>3867</v>
          </cell>
          <cell r="AF202">
            <v>-0.634598254053091</v>
          </cell>
          <cell r="AL202">
            <v>3867</v>
          </cell>
          <cell r="AM202">
            <v>5413.7999999999993</v>
          </cell>
          <cell r="AX202">
            <v>0</v>
          </cell>
          <cell r="AY202">
            <v>0</v>
          </cell>
          <cell r="AZ202">
            <v>3867</v>
          </cell>
        </row>
        <row r="203">
          <cell r="A203">
            <v>85787</v>
          </cell>
          <cell r="B203" t="str">
            <v>COMPOSANTS INDUSTRIELS VARAY SA</v>
          </cell>
          <cell r="C203">
            <v>-0.19</v>
          </cell>
          <cell r="D203">
            <v>0</v>
          </cell>
          <cell r="E203">
            <v>0</v>
          </cell>
          <cell r="F203">
            <v>41275</v>
          </cell>
          <cell r="I203">
            <v>0</v>
          </cell>
          <cell r="J203">
            <v>0</v>
          </cell>
          <cell r="K203" t="str">
            <v>OK</v>
          </cell>
          <cell r="L203" t="str">
            <v>OK</v>
          </cell>
          <cell r="M203" t="str">
            <v>Porte Feuille</v>
          </cell>
          <cell r="N203" t="str">
            <v>Non affecté</v>
          </cell>
          <cell r="O203" t="str">
            <v>AB</v>
          </cell>
          <cell r="P203" t="str">
            <v>Ok mon client</v>
          </cell>
          <cell r="Q203" t="str">
            <v>GENNEVILLIERS</v>
          </cell>
          <cell r="R203" t="str">
            <v>78</v>
          </cell>
          <cell r="S203" t="str">
            <v xml:space="preserve">Z.I. DES AMANDIERS              </v>
          </cell>
          <cell r="T203" t="str">
            <v>78420</v>
          </cell>
          <cell r="U203" t="str">
            <v>CARRIERES SUR SEINE</v>
          </cell>
          <cell r="V203" t="str">
            <v>M.</v>
          </cell>
          <cell r="W203" t="str">
            <v>MARAND</v>
          </cell>
          <cell r="X203" t="str">
            <v>78420</v>
          </cell>
          <cell r="Y203" t="str">
            <v>CARRIERES SUR SEINE</v>
          </cell>
          <cell r="Z203">
            <v>1273.6600000000001</v>
          </cell>
          <cell r="AB203">
            <v>17624.710000000003</v>
          </cell>
          <cell r="AD203">
            <v>18898.370000000003</v>
          </cell>
          <cell r="AH203">
            <v>0.49290681502086231</v>
          </cell>
          <cell r="AI203">
            <v>3777.06</v>
          </cell>
          <cell r="AJ203">
            <v>0.48193170959435677</v>
          </cell>
          <cell r="AL203">
            <v>3777.06</v>
          </cell>
          <cell r="AM203">
            <v>5287.884</v>
          </cell>
          <cell r="AN203">
            <v>-0.72019364633034488</v>
          </cell>
          <cell r="AO203" t="str">
            <v>001-G-78CIV</v>
          </cell>
          <cell r="AP203" t="str">
            <v>001-L-78CIV</v>
          </cell>
          <cell r="AX203">
            <v>0</v>
          </cell>
          <cell r="AY203">
            <v>3777.06</v>
          </cell>
          <cell r="AZ203">
            <v>0</v>
          </cell>
        </row>
        <row r="204">
          <cell r="A204">
            <v>872645</v>
          </cell>
          <cell r="B204" t="str">
            <v>MELET SCHLOESING LABORATOIRES</v>
          </cell>
          <cell r="G204" t="str">
            <v>NON</v>
          </cell>
          <cell r="H204" t="str">
            <v>VOIR AVEC OVS</v>
          </cell>
          <cell r="I204">
            <v>0</v>
          </cell>
          <cell r="J204">
            <v>0</v>
          </cell>
          <cell r="K204" t="str">
            <v>NON</v>
          </cell>
          <cell r="L204" t="str">
            <v>NON</v>
          </cell>
          <cell r="N204" t="str">
            <v>Non affecté</v>
          </cell>
          <cell r="O204" t="str">
            <v>MM</v>
          </cell>
          <cell r="P204" t="str">
            <v>Ok mon client</v>
          </cell>
          <cell r="Q204" t="str">
            <v>GENNEVILLIERS</v>
          </cell>
          <cell r="R204" t="str">
            <v>95</v>
          </cell>
          <cell r="S204" t="str">
            <v>EVOLIC 402 9 CHAUSSEE JULES CESAR</v>
          </cell>
          <cell r="T204">
            <v>95520</v>
          </cell>
          <cell r="U204" t="str">
            <v>OSNY</v>
          </cell>
          <cell r="X204" t="str">
            <v>95520</v>
          </cell>
          <cell r="Y204" t="str">
            <v>OSNY</v>
          </cell>
          <cell r="AE204">
            <v>3714</v>
          </cell>
          <cell r="AF204">
            <v>0.60563521508071794</v>
          </cell>
          <cell r="AL204">
            <v>3714</v>
          </cell>
          <cell r="AM204">
            <v>5199.5999999999995</v>
          </cell>
          <cell r="AX204">
            <v>0</v>
          </cell>
          <cell r="AY204">
            <v>0</v>
          </cell>
          <cell r="AZ204">
            <v>3714</v>
          </cell>
        </row>
        <row r="205">
          <cell r="A205">
            <v>540222</v>
          </cell>
          <cell r="B205" t="str">
            <v>PASSE PASSE</v>
          </cell>
          <cell r="C205">
            <v>0.1</v>
          </cell>
          <cell r="D205">
            <v>0.1</v>
          </cell>
          <cell r="E205">
            <v>0.02</v>
          </cell>
          <cell r="F205">
            <v>41306</v>
          </cell>
          <cell r="G205" t="str">
            <v>OUI</v>
          </cell>
          <cell r="I205">
            <v>0</v>
          </cell>
          <cell r="J205">
            <v>0</v>
          </cell>
          <cell r="K205" t="str">
            <v>OK</v>
          </cell>
          <cell r="L205" t="str">
            <v>OK</v>
          </cell>
          <cell r="N205" t="str">
            <v>Non affecté</v>
          </cell>
          <cell r="O205" t="str">
            <v>JPP</v>
          </cell>
          <cell r="P205" t="str">
            <v>Ok mon client</v>
          </cell>
          <cell r="Q205" t="str">
            <v>GENNEVILLIERS</v>
          </cell>
          <cell r="R205" t="str">
            <v>75</v>
          </cell>
          <cell r="S205" t="str">
            <v>66 RUE HERMEL</v>
          </cell>
          <cell r="T205" t="str">
            <v>75018</v>
          </cell>
          <cell r="U205" t="str">
            <v>PARIS</v>
          </cell>
          <cell r="V205" t="str">
            <v>M.</v>
          </cell>
          <cell r="W205" t="str">
            <v>BLAIR</v>
          </cell>
          <cell r="X205" t="str">
            <v>75018</v>
          </cell>
          <cell r="Y205" t="str">
            <v>PARIS</v>
          </cell>
          <cell r="Z205">
            <v>2278.19</v>
          </cell>
          <cell r="AA205">
            <v>6475.340000000002</v>
          </cell>
          <cell r="AB205">
            <v>17236.070000000003</v>
          </cell>
          <cell r="AD205">
            <v>25989.600000000002</v>
          </cell>
          <cell r="AG205">
            <v>179.13</v>
          </cell>
          <cell r="AH205">
            <v>0.11144090663788457</v>
          </cell>
          <cell r="AI205">
            <v>3347.7400000000002</v>
          </cell>
          <cell r="AJ205">
            <v>0.69247830074001404</v>
          </cell>
          <cell r="AL205">
            <v>3526.8700000000003</v>
          </cell>
          <cell r="AM205">
            <v>4937.6180000000004</v>
          </cell>
          <cell r="AN205">
            <v>-0.81001562163326868</v>
          </cell>
          <cell r="AO205" t="str">
            <v>259-G-75PASSEPASSE</v>
          </cell>
          <cell r="AP205" t="str">
            <v>259-L-GENERAL-KG</v>
          </cell>
          <cell r="AX205">
            <v>197.04300000000001</v>
          </cell>
          <cell r="AY205">
            <v>3682.5140000000006</v>
          </cell>
          <cell r="AZ205">
            <v>0</v>
          </cell>
        </row>
        <row r="206">
          <cell r="A206">
            <v>568224</v>
          </cell>
          <cell r="B206" t="str">
            <v>BIA</v>
          </cell>
          <cell r="H206" t="str">
            <v>PAS DE CONTRAT INES</v>
          </cell>
          <cell r="I206">
            <v>0</v>
          </cell>
          <cell r="J206">
            <v>0</v>
          </cell>
          <cell r="K206" t="str">
            <v>NON</v>
          </cell>
          <cell r="L206" t="str">
            <v>NON</v>
          </cell>
          <cell r="N206" t="str">
            <v>Non affecté</v>
          </cell>
          <cell r="O206" t="str">
            <v>AB</v>
          </cell>
          <cell r="P206" t="str">
            <v>Ok mon client</v>
          </cell>
          <cell r="Q206" t="str">
            <v>GENNEVILLIERS</v>
          </cell>
          <cell r="R206" t="str">
            <v>78</v>
          </cell>
          <cell r="S206" t="str">
            <v>8 RUE DE L HAUTIL</v>
          </cell>
          <cell r="T206">
            <v>78700</v>
          </cell>
          <cell r="U206" t="str">
            <v>CONFLANS STE HONORINE</v>
          </cell>
          <cell r="V206" t="str">
            <v>M</v>
          </cell>
          <cell r="W206" t="str">
            <v>YAROVITSKIY</v>
          </cell>
          <cell r="X206" t="str">
            <v>78700</v>
          </cell>
          <cell r="Y206" t="str">
            <v>CONFLANS STE HONORINE</v>
          </cell>
          <cell r="AE206">
            <v>3475</v>
          </cell>
          <cell r="AL206">
            <v>3475</v>
          </cell>
          <cell r="AM206">
            <v>4865</v>
          </cell>
          <cell r="AQ206">
            <v>41009</v>
          </cell>
          <cell r="AX206">
            <v>0</v>
          </cell>
          <cell r="AY206">
            <v>0</v>
          </cell>
          <cell r="AZ206">
            <v>3475</v>
          </cell>
        </row>
        <row r="207">
          <cell r="A207">
            <v>534502</v>
          </cell>
          <cell r="B207" t="str">
            <v>sofdi</v>
          </cell>
          <cell r="G207" t="str">
            <v>NON</v>
          </cell>
          <cell r="H207" t="str">
            <v>AO EN COURS</v>
          </cell>
          <cell r="I207">
            <v>0</v>
          </cell>
          <cell r="J207">
            <v>0</v>
          </cell>
          <cell r="K207" t="str">
            <v>NON</v>
          </cell>
          <cell r="L207" t="str">
            <v>non</v>
          </cell>
          <cell r="M207" t="str">
            <v>Doublon</v>
          </cell>
          <cell r="N207" t="str">
            <v>Non affecté</v>
          </cell>
          <cell r="O207" t="str">
            <v>JPP</v>
          </cell>
          <cell r="P207" t="str">
            <v>Ok mon client</v>
          </cell>
          <cell r="Q207" t="str">
            <v>GENNEVILLIERS</v>
          </cell>
          <cell r="R207" t="str">
            <v>92</v>
          </cell>
          <cell r="S207" t="str">
            <v>11 BLD GALLIENI</v>
          </cell>
          <cell r="T207">
            <v>92230</v>
          </cell>
          <cell r="U207" t="str">
            <v>GENNEVILLIERS</v>
          </cell>
          <cell r="W207" t="str">
            <v>Directeur Logistique et Transports</v>
          </cell>
          <cell r="X207" t="str">
            <v>92230</v>
          </cell>
          <cell r="Y207" t="str">
            <v>GENNEVILLIERS</v>
          </cell>
          <cell r="AE207">
            <v>3258.25</v>
          </cell>
          <cell r="AF207">
            <v>0.23407581086361859</v>
          </cell>
          <cell r="AI207">
            <v>187.35</v>
          </cell>
          <cell r="AJ207">
            <v>0.60021350413664265</v>
          </cell>
          <cell r="AL207">
            <v>3445.6</v>
          </cell>
          <cell r="AM207">
            <v>4823.8399999999992</v>
          </cell>
          <cell r="AO207" t="str">
            <v>001-G-GENERAL-KG</v>
          </cell>
          <cell r="AP207" t="str">
            <v>001-L-92AGSPARIS</v>
          </cell>
          <cell r="AX207">
            <v>0</v>
          </cell>
          <cell r="AY207">
            <v>187.35</v>
          </cell>
          <cell r="AZ207">
            <v>3258.25</v>
          </cell>
        </row>
        <row r="208">
          <cell r="A208">
            <v>857637</v>
          </cell>
          <cell r="B208" t="str">
            <v>AJ PLUS</v>
          </cell>
          <cell r="C208">
            <v>4.8000000000000001E-2</v>
          </cell>
          <cell r="D208">
            <v>4.8000000000000001E-2</v>
          </cell>
          <cell r="E208">
            <v>0.02</v>
          </cell>
          <cell r="F208">
            <v>41275</v>
          </cell>
          <cell r="I208">
            <v>0</v>
          </cell>
          <cell r="J208">
            <v>0</v>
          </cell>
          <cell r="K208" t="str">
            <v>OK</v>
          </cell>
          <cell r="L208" t="str">
            <v>OK</v>
          </cell>
          <cell r="N208" t="str">
            <v>Non affecté</v>
          </cell>
          <cell r="O208" t="str">
            <v>AB</v>
          </cell>
          <cell r="P208" t="str">
            <v>Ok mon client</v>
          </cell>
          <cell r="Q208" t="str">
            <v>GENNEVILLIERS</v>
          </cell>
          <cell r="R208" t="str">
            <v>78</v>
          </cell>
          <cell r="S208" t="str">
            <v>3/5 RUE PAVLOV - ZAI DES BRUYERES</v>
          </cell>
          <cell r="T208">
            <v>78190</v>
          </cell>
          <cell r="U208" t="str">
            <v>TRAPPES</v>
          </cell>
          <cell r="V208" t="str">
            <v>Mme</v>
          </cell>
          <cell r="W208" t="str">
            <v>Valèrie Merceron</v>
          </cell>
          <cell r="X208" t="str">
            <v>78190</v>
          </cell>
          <cell r="Y208" t="str">
            <v>TRAPPES</v>
          </cell>
          <cell r="Z208">
            <v>419</v>
          </cell>
          <cell r="AA208">
            <v>2079.5699999999997</v>
          </cell>
          <cell r="AB208">
            <v>160.35</v>
          </cell>
          <cell r="AD208">
            <v>2658.9199999999996</v>
          </cell>
          <cell r="AG208">
            <v>3244.61</v>
          </cell>
          <cell r="AH208">
            <v>0.32787709146243571</v>
          </cell>
          <cell r="AI208">
            <v>95.88000000000001</v>
          </cell>
          <cell r="AJ208">
            <v>-3.2227784730913679E-2</v>
          </cell>
          <cell r="AL208">
            <v>3340.4900000000002</v>
          </cell>
          <cell r="AM208">
            <v>4676.6859999999997</v>
          </cell>
          <cell r="AN208">
            <v>0.75886675793179204</v>
          </cell>
          <cell r="AO208" t="str">
            <v>001-G-78AJPLUS</v>
          </cell>
          <cell r="AP208" t="str">
            <v>001-L-78AJPLUS</v>
          </cell>
          <cell r="AQ208">
            <v>40814</v>
          </cell>
          <cell r="AX208">
            <v>3400.3512800000003</v>
          </cell>
          <cell r="AY208">
            <v>100.48224000000002</v>
          </cell>
          <cell r="AZ208">
            <v>0</v>
          </cell>
        </row>
        <row r="209">
          <cell r="A209">
            <v>809662</v>
          </cell>
          <cell r="B209" t="str">
            <v>PEIKER FRANCE</v>
          </cell>
          <cell r="C209">
            <v>3.5000000000000003E-2</v>
          </cell>
          <cell r="D209">
            <v>3.5000000000000003E-2</v>
          </cell>
          <cell r="E209">
            <v>0.02</v>
          </cell>
          <cell r="F209">
            <v>41275</v>
          </cell>
          <cell r="G209" t="str">
            <v>OUI</v>
          </cell>
          <cell r="I209">
            <v>0</v>
          </cell>
          <cell r="J209">
            <v>0</v>
          </cell>
          <cell r="K209" t="str">
            <v>OK</v>
          </cell>
          <cell r="L209" t="str">
            <v>OK</v>
          </cell>
          <cell r="M209" t="str">
            <v>Porte Feuille</v>
          </cell>
          <cell r="N209" t="str">
            <v>Non affecté</v>
          </cell>
          <cell r="O209" t="str">
            <v>AB</v>
          </cell>
          <cell r="P209" t="str">
            <v>Rajouté</v>
          </cell>
          <cell r="Q209" t="str">
            <v>GENNEVILLIERS</v>
          </cell>
          <cell r="R209" t="str">
            <v>78</v>
          </cell>
          <cell r="S209" t="str">
            <v>2 RUE EDOUARD JEANNERET</v>
          </cell>
          <cell r="T209">
            <v>78306</v>
          </cell>
          <cell r="U209" t="str">
            <v>POISSY CEDEX</v>
          </cell>
          <cell r="W209" t="str">
            <v>Directeur Logistique et Transports</v>
          </cell>
          <cell r="X209" t="str">
            <v>78306</v>
          </cell>
          <cell r="Y209" t="str">
            <v>POISSY CEDEX</v>
          </cell>
          <cell r="AA209">
            <v>325.49</v>
          </cell>
          <cell r="AB209">
            <v>3703.5700000000006</v>
          </cell>
          <cell r="AD209">
            <v>4029.0600000000004</v>
          </cell>
          <cell r="AG209">
            <v>544.25</v>
          </cell>
          <cell r="AH209">
            <v>0.85833716123105186</v>
          </cell>
          <cell r="AI209">
            <v>2767.23</v>
          </cell>
          <cell r="AJ209">
            <v>0.75978139793929267</v>
          </cell>
          <cell r="AL209">
            <v>3311.48</v>
          </cell>
          <cell r="AM209">
            <v>4636.0720000000001</v>
          </cell>
          <cell r="AN209">
            <v>0.15065846624274637</v>
          </cell>
          <cell r="AO209" t="str">
            <v>001-G-78PEIKERFRANCE</v>
          </cell>
          <cell r="AX209">
            <v>563.29874999999993</v>
          </cell>
          <cell r="AY209">
            <v>2864.0830499999997</v>
          </cell>
          <cell r="AZ209">
            <v>0</v>
          </cell>
        </row>
        <row r="210">
          <cell r="A210">
            <v>871695</v>
          </cell>
          <cell r="B210" t="str">
            <v>SPEED EMBALLAGES</v>
          </cell>
          <cell r="G210" t="str">
            <v>NON</v>
          </cell>
          <cell r="H210" t="str">
            <v>TARIFS DÉJÀ ENVOYES ET EN PLACE DEPUIOS DEBUT NOV</v>
          </cell>
          <cell r="I210">
            <v>0</v>
          </cell>
          <cell r="J210">
            <v>0</v>
          </cell>
          <cell r="K210" t="str">
            <v>NON</v>
          </cell>
          <cell r="L210" t="str">
            <v>NON</v>
          </cell>
          <cell r="N210" t="str">
            <v>Non affecté</v>
          </cell>
          <cell r="O210" t="str">
            <v>MM</v>
          </cell>
          <cell r="P210" t="str">
            <v>Ok mon client</v>
          </cell>
          <cell r="Q210" t="str">
            <v>GENNEVILLIERS</v>
          </cell>
          <cell r="R210" t="str">
            <v>95</v>
          </cell>
          <cell r="S210" t="str">
            <v>ZI DE SAINT WITZ</v>
          </cell>
          <cell r="T210">
            <v>95470</v>
          </cell>
          <cell r="U210" t="str">
            <v>SAINT WITZ</v>
          </cell>
          <cell r="V210" t="str">
            <v>M</v>
          </cell>
          <cell r="W210" t="str">
            <v>SINGERY</v>
          </cell>
          <cell r="X210" t="str">
            <v>95470</v>
          </cell>
          <cell r="Y210" t="str">
            <v>SAINT WITZ</v>
          </cell>
          <cell r="AE210">
            <v>486</v>
          </cell>
          <cell r="AG210">
            <v>2033.4500000000003</v>
          </cell>
          <cell r="AH210">
            <v>-1.8245641184359855</v>
          </cell>
          <cell r="AI210">
            <v>715.40000000000009</v>
          </cell>
          <cell r="AL210">
            <v>3234.8500000000004</v>
          </cell>
          <cell r="AM210">
            <v>4528.79</v>
          </cell>
          <cell r="AO210" t="str">
            <v>001-G-95SPEED</v>
          </cell>
          <cell r="AP210" t="str">
            <v>001-L1-95SPEED</v>
          </cell>
          <cell r="AQ210">
            <v>41016</v>
          </cell>
          <cell r="AX210">
            <v>2033.4500000000003</v>
          </cell>
          <cell r="AY210">
            <v>715.40000000000009</v>
          </cell>
          <cell r="AZ210">
            <v>486</v>
          </cell>
        </row>
        <row r="211">
          <cell r="A211">
            <v>14061</v>
          </cell>
          <cell r="B211" t="str">
            <v>FRANTZ ELECTROLYSE</v>
          </cell>
          <cell r="C211">
            <v>0.1</v>
          </cell>
          <cell r="D211">
            <v>0.1</v>
          </cell>
          <cell r="E211">
            <v>0.02</v>
          </cell>
          <cell r="F211">
            <v>41306</v>
          </cell>
          <cell r="G211" t="str">
            <v>OUI</v>
          </cell>
          <cell r="I211">
            <v>0</v>
          </cell>
          <cell r="J211">
            <v>0</v>
          </cell>
          <cell r="K211" t="str">
            <v>OK</v>
          </cell>
          <cell r="L211" t="str">
            <v>OK</v>
          </cell>
          <cell r="N211" t="str">
            <v>Non affecté</v>
          </cell>
          <cell r="O211" t="str">
            <v>JPP</v>
          </cell>
          <cell r="P211" t="str">
            <v>Ok mon client</v>
          </cell>
          <cell r="Q211" t="str">
            <v>GENNEVILLIERS</v>
          </cell>
          <cell r="R211" t="str">
            <v>92</v>
          </cell>
          <cell r="S211" t="str">
            <v>23 CHEMIN DES RENIERS</v>
          </cell>
          <cell r="T211" t="str">
            <v>92390</v>
          </cell>
          <cell r="U211" t="str">
            <v>VILLENEUVE LA GARENNE CX</v>
          </cell>
          <cell r="V211" t="str">
            <v>M.</v>
          </cell>
          <cell r="W211" t="str">
            <v>PIET</v>
          </cell>
          <cell r="X211">
            <v>92397</v>
          </cell>
          <cell r="Y211" t="str">
            <v>VILLENEUVE LA GARENNE</v>
          </cell>
          <cell r="AA211">
            <v>5106.7599999999993</v>
          </cell>
          <cell r="AB211">
            <v>1018.26</v>
          </cell>
          <cell r="AD211">
            <v>6125.0199999999995</v>
          </cell>
          <cell r="AG211">
            <v>3996.63</v>
          </cell>
          <cell r="AH211">
            <v>0.69132152291399074</v>
          </cell>
          <cell r="AI211">
            <v>-880.21</v>
          </cell>
          <cell r="AJ211">
            <v>1</v>
          </cell>
          <cell r="AL211">
            <v>3116.42</v>
          </cell>
          <cell r="AM211">
            <v>4362.9879999999994</v>
          </cell>
          <cell r="AN211">
            <v>-0.28767775452161792</v>
          </cell>
          <cell r="AO211" t="str">
            <v>001-G-92FRANTZELECTROLY</v>
          </cell>
          <cell r="AP211" t="str">
            <v>001-L-92FRANTZELECTROLY</v>
          </cell>
          <cell r="AX211">
            <v>4396.2930000000006</v>
          </cell>
          <cell r="AY211">
            <v>-968.23100000000011</v>
          </cell>
          <cell r="AZ211">
            <v>0</v>
          </cell>
        </row>
        <row r="212">
          <cell r="A212">
            <v>518126</v>
          </cell>
          <cell r="B212" t="str">
            <v>DIAM FRANCE</v>
          </cell>
          <cell r="E212">
            <v>0.02</v>
          </cell>
          <cell r="F212">
            <v>41306</v>
          </cell>
          <cell r="G212" t="str">
            <v>OUI</v>
          </cell>
          <cell r="I212">
            <v>0</v>
          </cell>
          <cell r="J212">
            <v>0</v>
          </cell>
          <cell r="K212" t="str">
            <v>OK</v>
          </cell>
          <cell r="L212" t="str">
            <v>OK</v>
          </cell>
          <cell r="M212" t="str">
            <v>Porte Feuille</v>
          </cell>
          <cell r="N212" t="str">
            <v>Non affecté</v>
          </cell>
          <cell r="O212" t="str">
            <v>AB</v>
          </cell>
          <cell r="P212" t="str">
            <v>Ok mon client</v>
          </cell>
          <cell r="Q212" t="str">
            <v>GENNEVILLIERS</v>
          </cell>
          <cell r="R212" t="str">
            <v>78</v>
          </cell>
          <cell r="S212" t="str">
            <v>40 RUE PIERRE CURIE</v>
          </cell>
          <cell r="T212" t="str">
            <v>78130</v>
          </cell>
          <cell r="U212" t="str">
            <v>LES MUREAUX</v>
          </cell>
          <cell r="V212" t="str">
            <v>M.</v>
          </cell>
          <cell r="W212" t="str">
            <v>VEUILLET</v>
          </cell>
          <cell r="X212" t="str">
            <v>78130</v>
          </cell>
          <cell r="Y212" t="str">
            <v>LES MUREAUX</v>
          </cell>
          <cell r="Z212">
            <v>26059.49</v>
          </cell>
          <cell r="AA212">
            <v>1543.7600000000002</v>
          </cell>
          <cell r="AB212">
            <v>3506.2</v>
          </cell>
          <cell r="AD212">
            <v>31109.45</v>
          </cell>
          <cell r="AE212">
            <v>2960.7799999999997</v>
          </cell>
          <cell r="AF212">
            <v>0.33810164855251673</v>
          </cell>
          <cell r="AG212">
            <v>39.04</v>
          </cell>
          <cell r="AH212">
            <v>1</v>
          </cell>
          <cell r="AL212">
            <v>2999.8199999999997</v>
          </cell>
          <cell r="AM212">
            <v>4199.7479999999996</v>
          </cell>
          <cell r="AN212">
            <v>-0.86500089201191277</v>
          </cell>
          <cell r="AO212" t="str">
            <v>001-G-78DIAMFRANCE</v>
          </cell>
          <cell r="AP212" t="str">
            <v>001-L1-78DIAMFRANCE</v>
          </cell>
          <cell r="AQ212">
            <v>40123</v>
          </cell>
          <cell r="AX212">
            <v>39.04</v>
          </cell>
          <cell r="AY212">
            <v>0</v>
          </cell>
          <cell r="AZ212">
            <v>3019.9955999999997</v>
          </cell>
        </row>
        <row r="213">
          <cell r="A213">
            <v>840786</v>
          </cell>
          <cell r="B213" t="str">
            <v>SAVTA TRADING GROUPE</v>
          </cell>
          <cell r="C213">
            <v>0.1</v>
          </cell>
          <cell r="D213">
            <v>0.1</v>
          </cell>
          <cell r="E213">
            <v>0.02</v>
          </cell>
          <cell r="F213">
            <v>41306</v>
          </cell>
          <cell r="G213" t="str">
            <v>OUI</v>
          </cell>
          <cell r="H213" t="str">
            <v>FAIT PAS DE MESSAGERIE</v>
          </cell>
          <cell r="I213">
            <v>0</v>
          </cell>
          <cell r="J213">
            <v>0</v>
          </cell>
          <cell r="K213" t="str">
            <v>OK</v>
          </cell>
          <cell r="L213" t="str">
            <v>OK</v>
          </cell>
          <cell r="N213" t="str">
            <v>Non affecté</v>
          </cell>
          <cell r="O213" t="str">
            <v>JPP</v>
          </cell>
          <cell r="P213" t="str">
            <v>Ok mon client</v>
          </cell>
          <cell r="Q213" t="str">
            <v>GENNEVILLIERS</v>
          </cell>
          <cell r="R213" t="str">
            <v>93</v>
          </cell>
          <cell r="S213" t="str">
            <v>TOUR ESSOR 14 RUE SANDICCI</v>
          </cell>
          <cell r="T213">
            <v>93500</v>
          </cell>
          <cell r="U213" t="str">
            <v>PANTIN</v>
          </cell>
          <cell r="W213" t="str">
            <v>Directeur Logistique et Transports</v>
          </cell>
          <cell r="X213" t="str">
            <v>93500</v>
          </cell>
          <cell r="Y213" t="str">
            <v>PANTIN</v>
          </cell>
          <cell r="Z213">
            <v>30920.739999999998</v>
          </cell>
          <cell r="AD213">
            <v>30920.739999999998</v>
          </cell>
          <cell r="AE213">
            <v>2990</v>
          </cell>
          <cell r="AF213">
            <v>0.10397165017384329</v>
          </cell>
          <cell r="AL213">
            <v>2990</v>
          </cell>
          <cell r="AM213">
            <v>4186</v>
          </cell>
          <cell r="AN213">
            <v>-0.8646216099614692</v>
          </cell>
          <cell r="AP213" t="str">
            <v>001-L1-93SAVTATRADING</v>
          </cell>
          <cell r="AQ213">
            <v>40575</v>
          </cell>
          <cell r="AX213">
            <v>0</v>
          </cell>
          <cell r="AY213">
            <v>0</v>
          </cell>
          <cell r="AZ213">
            <v>3049.8</v>
          </cell>
        </row>
        <row r="214">
          <cell r="A214">
            <v>641010</v>
          </cell>
          <cell r="B214" t="str">
            <v>PEGASYS GROUPE</v>
          </cell>
          <cell r="H214" t="str">
            <v>2 sites. Prendre le 78PEGASYS</v>
          </cell>
          <cell r="I214">
            <v>0</v>
          </cell>
          <cell r="J214">
            <v>0</v>
          </cell>
          <cell r="K214" t="str">
            <v>NON</v>
          </cell>
          <cell r="L214" t="str">
            <v>NON</v>
          </cell>
          <cell r="N214" t="str">
            <v>Non affecté</v>
          </cell>
          <cell r="O214" t="str">
            <v>AB</v>
          </cell>
          <cell r="P214" t="str">
            <v>Rajouté</v>
          </cell>
          <cell r="Q214" t="str">
            <v>GENNEVILLIERS</v>
          </cell>
          <cell r="R214" t="str">
            <v>91</v>
          </cell>
          <cell r="S214" t="str">
            <v>6 AVENUE DU PACIFIQUE</v>
          </cell>
          <cell r="T214">
            <v>91940</v>
          </cell>
          <cell r="U214" t="str">
            <v>LES ULIS</v>
          </cell>
          <cell r="W214" t="str">
            <v>Directeur Logistique et Transports</v>
          </cell>
          <cell r="X214" t="str">
            <v>91940</v>
          </cell>
          <cell r="Y214" t="str">
            <v>LES ULIS</v>
          </cell>
          <cell r="Z214">
            <v>1285</v>
          </cell>
          <cell r="AB214">
            <v>91.45</v>
          </cell>
          <cell r="AD214">
            <v>1376.45</v>
          </cell>
          <cell r="AE214">
            <v>2806</v>
          </cell>
          <cell r="AF214">
            <v>0.80399144689950108</v>
          </cell>
          <cell r="AL214">
            <v>2806</v>
          </cell>
          <cell r="AM214">
            <v>3928.3999999999996</v>
          </cell>
          <cell r="AN214">
            <v>1.8540085001271382</v>
          </cell>
          <cell r="AP214" t="str">
            <v>001-L1-78PEGASYS</v>
          </cell>
          <cell r="AQ214">
            <v>40626</v>
          </cell>
          <cell r="AX214">
            <v>0</v>
          </cell>
          <cell r="AY214">
            <v>0</v>
          </cell>
          <cell r="AZ214">
            <v>2806</v>
          </cell>
        </row>
        <row r="215">
          <cell r="A215">
            <v>638126</v>
          </cell>
          <cell r="B215" t="str">
            <v>SARL LA BERGERE</v>
          </cell>
          <cell r="C215">
            <v>0.1</v>
          </cell>
          <cell r="D215">
            <v>0.1</v>
          </cell>
          <cell r="E215">
            <v>0.02</v>
          </cell>
          <cell r="F215">
            <v>41275</v>
          </cell>
          <cell r="I215">
            <v>0</v>
          </cell>
          <cell r="J215">
            <v>0</v>
          </cell>
          <cell r="K215" t="str">
            <v>OK</v>
          </cell>
          <cell r="L215" t="str">
            <v>OK</v>
          </cell>
          <cell r="N215" t="str">
            <v>Non affecté</v>
          </cell>
          <cell r="O215" t="str">
            <v>AB</v>
          </cell>
          <cell r="P215" t="str">
            <v>Ok mon client</v>
          </cell>
          <cell r="Q215" t="str">
            <v>GENNEVILLIERS</v>
          </cell>
          <cell r="R215" t="str">
            <v>33</v>
          </cell>
          <cell r="S215" t="str">
            <v>FERME DE LA ROLANDERIE</v>
          </cell>
          <cell r="T215" t="str">
            <v>78910</v>
          </cell>
          <cell r="U215" t="str">
            <v>ORGERUS</v>
          </cell>
          <cell r="V215" t="str">
            <v>M.</v>
          </cell>
          <cell r="W215" t="str">
            <v>BENOIST</v>
          </cell>
          <cell r="X215" t="str">
            <v>33570</v>
          </cell>
          <cell r="Y215" t="str">
            <v>MONTAGNE</v>
          </cell>
          <cell r="Z215">
            <v>842.96</v>
          </cell>
          <cell r="AA215">
            <v>11172.670000000002</v>
          </cell>
          <cell r="AB215">
            <v>1158.31</v>
          </cell>
          <cell r="AD215">
            <v>13173.94</v>
          </cell>
          <cell r="AG215">
            <v>2616.34</v>
          </cell>
          <cell r="AH215">
            <v>0.32594285714285709</v>
          </cell>
          <cell r="AI215">
            <v>173.31</v>
          </cell>
          <cell r="AJ215">
            <v>0.69477306947730699</v>
          </cell>
          <cell r="AL215">
            <v>2789.65</v>
          </cell>
          <cell r="AM215">
            <v>3905.5099999999998</v>
          </cell>
          <cell r="AN215">
            <v>-0.70354275182671244</v>
          </cell>
          <cell r="AO215" t="str">
            <v>001-G-78LABERGERE</v>
          </cell>
          <cell r="AQ215">
            <v>40154</v>
          </cell>
          <cell r="AX215">
            <v>2877.9740000000006</v>
          </cell>
          <cell r="AY215">
            <v>190.64100000000002</v>
          </cell>
          <cell r="AZ215">
            <v>0</v>
          </cell>
        </row>
        <row r="216">
          <cell r="A216">
            <v>856876</v>
          </cell>
          <cell r="B216" t="str">
            <v>THOMSON BROADCAST</v>
          </cell>
          <cell r="G216" t="str">
            <v>OUI</v>
          </cell>
          <cell r="H216" t="str">
            <v>RJ</v>
          </cell>
          <cell r="I216">
            <v>0</v>
          </cell>
          <cell r="J216">
            <v>0</v>
          </cell>
          <cell r="K216" t="str">
            <v>NON</v>
          </cell>
          <cell r="L216" t="str">
            <v>NON</v>
          </cell>
          <cell r="M216" t="str">
            <v>Porte Feuille</v>
          </cell>
          <cell r="N216" t="str">
            <v>Non affecté</v>
          </cell>
          <cell r="O216" t="str">
            <v>AB</v>
          </cell>
          <cell r="P216" t="str">
            <v>Ok mon client</v>
          </cell>
          <cell r="Q216" t="str">
            <v>GENNEVILLIERS</v>
          </cell>
          <cell r="R216" t="str">
            <v>78</v>
          </cell>
          <cell r="S216" t="str">
            <v>ZONE DES BOUTRIES</v>
          </cell>
          <cell r="T216">
            <v>78700</v>
          </cell>
          <cell r="U216" t="str">
            <v>CONFLANS SAINTE HONORINE</v>
          </cell>
          <cell r="X216" t="str">
            <v>78700</v>
          </cell>
          <cell r="Y216" t="str">
            <v>CONFLANS SAINTE HONORINE</v>
          </cell>
          <cell r="Z216">
            <v>22278.95</v>
          </cell>
          <cell r="AB216">
            <v>899.36</v>
          </cell>
          <cell r="AD216">
            <v>23178.31</v>
          </cell>
          <cell r="AE216">
            <v>2430</v>
          </cell>
          <cell r="AF216">
            <v>7.0417900625205587E-2</v>
          </cell>
          <cell r="AI216">
            <v>303.74</v>
          </cell>
          <cell r="AJ216">
            <v>0.58978073352209115</v>
          </cell>
          <cell r="AL216">
            <v>2733.74</v>
          </cell>
          <cell r="AM216">
            <v>3827.2359999999994</v>
          </cell>
          <cell r="AN216">
            <v>-0.83487855671962286</v>
          </cell>
          <cell r="AP216" t="str">
            <v>001-L1-78THOMSONGRASS</v>
          </cell>
          <cell r="AX216">
            <v>0</v>
          </cell>
          <cell r="AY216">
            <v>303.74</v>
          </cell>
          <cell r="AZ216">
            <v>2430</v>
          </cell>
        </row>
        <row r="217">
          <cell r="A217">
            <v>69868</v>
          </cell>
          <cell r="B217" t="str">
            <v>SACRED</v>
          </cell>
          <cell r="C217">
            <v>0.34</v>
          </cell>
          <cell r="D217">
            <v>0.1</v>
          </cell>
          <cell r="E217">
            <v>0.02</v>
          </cell>
          <cell r="F217">
            <v>41275</v>
          </cell>
          <cell r="I217">
            <v>0</v>
          </cell>
          <cell r="J217">
            <v>0</v>
          </cell>
          <cell r="K217" t="str">
            <v>OK</v>
          </cell>
          <cell r="L217" t="str">
            <v>OK</v>
          </cell>
          <cell r="N217" t="str">
            <v>Non affecté</v>
          </cell>
          <cell r="O217" t="str">
            <v>AB</v>
          </cell>
          <cell r="P217" t="str">
            <v>Ok mon client</v>
          </cell>
          <cell r="Q217" t="str">
            <v>GENNEVILLIERS</v>
          </cell>
          <cell r="R217" t="str">
            <v>28</v>
          </cell>
          <cell r="S217" t="str">
            <v>BP 89 ROUTE DE DAMPIERRE</v>
          </cell>
          <cell r="T217" t="str">
            <v>28348</v>
          </cell>
          <cell r="U217" t="str">
            <v>ST LUBIN DES JONCHERETS</v>
          </cell>
          <cell r="X217" t="str">
            <v>28348</v>
          </cell>
          <cell r="Y217" t="str">
            <v>ST LUBIN DES JONCHERETS</v>
          </cell>
          <cell r="AA217">
            <v>43.36</v>
          </cell>
          <cell r="AB217">
            <v>13405.929999999997</v>
          </cell>
          <cell r="AD217">
            <v>13449.289999999997</v>
          </cell>
          <cell r="AG217">
            <v>23.259999999999998</v>
          </cell>
          <cell r="AH217">
            <v>0.18314703353396394</v>
          </cell>
          <cell r="AI217">
            <v>2599.71</v>
          </cell>
          <cell r="AJ217">
            <v>0.64619554715286243</v>
          </cell>
          <cell r="AL217">
            <v>2622.9700000000003</v>
          </cell>
          <cell r="AM217">
            <v>3672.1579999999999</v>
          </cell>
          <cell r="AN217">
            <v>-0.72696268724966151</v>
          </cell>
          <cell r="AO217" t="str">
            <v>001-G-28SACRED</v>
          </cell>
          <cell r="AP217" t="str">
            <v>001-L-28SACRED</v>
          </cell>
          <cell r="AX217">
            <v>31.168399999999998</v>
          </cell>
          <cell r="AY217">
            <v>2859.6810000000005</v>
          </cell>
          <cell r="AZ217">
            <v>0</v>
          </cell>
        </row>
        <row r="218">
          <cell r="A218">
            <v>822949</v>
          </cell>
          <cell r="B218" t="str">
            <v>LUMENEO</v>
          </cell>
          <cell r="C218">
            <v>4.8000000000000001E-2</v>
          </cell>
          <cell r="D218">
            <v>4.8000000000000001E-2</v>
          </cell>
          <cell r="E218">
            <v>0.02</v>
          </cell>
          <cell r="F218">
            <v>41275</v>
          </cell>
          <cell r="I218">
            <v>0</v>
          </cell>
          <cell r="J218">
            <v>0</v>
          </cell>
          <cell r="K218" t="str">
            <v>OK</v>
          </cell>
          <cell r="L218" t="str">
            <v>OK</v>
          </cell>
          <cell r="N218" t="str">
            <v>Non affecté</v>
          </cell>
          <cell r="O218" t="str">
            <v>AB</v>
          </cell>
          <cell r="P218" t="str">
            <v>Ok mon client</v>
          </cell>
          <cell r="Q218" t="str">
            <v>GENNEVILLIERS</v>
          </cell>
          <cell r="R218" t="str">
            <v>78</v>
          </cell>
          <cell r="S218" t="str">
            <v>4 RUE DE L'AMANDIER 
ZA DE LA GROSSE PIERRE</v>
          </cell>
          <cell r="T218" t="str">
            <v>78540</v>
          </cell>
          <cell r="U218" t="str">
            <v>VERNOUILLET</v>
          </cell>
          <cell r="W218" t="str">
            <v>Directeur Logistique et Transports</v>
          </cell>
          <cell r="X218" t="str">
            <v>78540</v>
          </cell>
          <cell r="Y218" t="str">
            <v>VERNOUILLET</v>
          </cell>
          <cell r="Z218">
            <v>1000</v>
          </cell>
          <cell r="AA218">
            <v>112.13</v>
          </cell>
          <cell r="AD218">
            <v>1112.1300000000001</v>
          </cell>
          <cell r="AE218">
            <v>1805</v>
          </cell>
          <cell r="AF218">
            <v>0.21214405360134012</v>
          </cell>
          <cell r="AG218">
            <v>495.40000000000003</v>
          </cell>
          <cell r="AH218">
            <v>0.61713796724882342</v>
          </cell>
          <cell r="AI218">
            <v>318.39</v>
          </cell>
          <cell r="AJ218">
            <v>0.81635074789994688</v>
          </cell>
          <cell r="AL218">
            <v>2618.79</v>
          </cell>
          <cell r="AM218">
            <v>3666.3059999999996</v>
          </cell>
          <cell r="AN218">
            <v>2.2966523697769139</v>
          </cell>
          <cell r="AO218" t="str">
            <v>001-G-78LUMENEO</v>
          </cell>
          <cell r="AX218">
            <v>519.17920000000004</v>
          </cell>
          <cell r="AY218">
            <v>333.67272000000003</v>
          </cell>
          <cell r="AZ218">
            <v>1841.1000000000001</v>
          </cell>
        </row>
        <row r="219">
          <cell r="A219">
            <v>496968</v>
          </cell>
          <cell r="B219" t="str">
            <v>LEASECOM</v>
          </cell>
          <cell r="G219" t="str">
            <v>OUI</v>
          </cell>
          <cell r="I219">
            <v>0</v>
          </cell>
          <cell r="J219">
            <v>0</v>
          </cell>
          <cell r="K219" t="str">
            <v>NON</v>
          </cell>
          <cell r="L219" t="str">
            <v>non</v>
          </cell>
          <cell r="N219" t="str">
            <v>Non affecté</v>
          </cell>
          <cell r="O219" t="str">
            <v>JPP</v>
          </cell>
          <cell r="P219" t="str">
            <v>Ok mon client</v>
          </cell>
          <cell r="Q219" t="str">
            <v>GENNEVILLIERS</v>
          </cell>
          <cell r="R219" t="str">
            <v>75</v>
          </cell>
          <cell r="S219" t="str">
            <v>35 QUAI ANDRE CITROEN</v>
          </cell>
          <cell r="T219" t="str">
            <v>75738</v>
          </cell>
          <cell r="U219" t="str">
            <v>PARIS CEDEX 15</v>
          </cell>
          <cell r="X219" t="str">
            <v>75738</v>
          </cell>
          <cell r="Y219" t="str">
            <v>PARIS CEDEX 15</v>
          </cell>
          <cell r="Z219">
            <v>693.01</v>
          </cell>
          <cell r="AA219">
            <v>10057.799999999999</v>
          </cell>
          <cell r="AB219">
            <v>907.88000000000011</v>
          </cell>
          <cell r="AD219">
            <v>11658.689999999999</v>
          </cell>
          <cell r="AE219">
            <v>967</v>
          </cell>
          <cell r="AF219">
            <v>0.15989159891598917</v>
          </cell>
          <cell r="AG219">
            <v>1362.13</v>
          </cell>
          <cell r="AH219">
            <v>0.65719569302353331</v>
          </cell>
          <cell r="AI219">
            <v>281.52</v>
          </cell>
          <cell r="AJ219">
            <v>0.55846831486217674</v>
          </cell>
          <cell r="AL219">
            <v>2610.65</v>
          </cell>
          <cell r="AM219">
            <v>3654.91</v>
          </cell>
          <cell r="AN219">
            <v>-0.68650766080923331</v>
          </cell>
          <cell r="AO219" t="str">
            <v>024-G-94LEASECOM</v>
          </cell>
          <cell r="AP219" t="str">
            <v>024-L-94LEASECOM</v>
          </cell>
          <cell r="AX219">
            <v>1362.13</v>
          </cell>
          <cell r="AY219">
            <v>281.52</v>
          </cell>
          <cell r="AZ219">
            <v>967</v>
          </cell>
        </row>
        <row r="220">
          <cell r="A220">
            <v>302256</v>
          </cell>
          <cell r="B220" t="str">
            <v>COMP INTER DE LA CHEMISE</v>
          </cell>
          <cell r="C220">
            <v>3.7999999999999999E-2</v>
          </cell>
          <cell r="D220">
            <v>3.7999999999999999E-2</v>
          </cell>
          <cell r="E220">
            <v>0.02</v>
          </cell>
          <cell r="F220">
            <v>41275</v>
          </cell>
          <cell r="I220">
            <v>0</v>
          </cell>
          <cell r="J220">
            <v>0</v>
          </cell>
          <cell r="K220" t="str">
            <v>OK</v>
          </cell>
          <cell r="L220" t="str">
            <v>OK</v>
          </cell>
          <cell r="N220" t="str">
            <v>Non affecté</v>
          </cell>
          <cell r="O220" t="str">
            <v>AB</v>
          </cell>
          <cell r="P220" t="str">
            <v>Ok mon client</v>
          </cell>
          <cell r="Q220" t="str">
            <v>GENNEVILLIERS</v>
          </cell>
          <cell r="R220" t="str">
            <v>78</v>
          </cell>
          <cell r="S220" t="str">
            <v>89, CHEMIN DE RONDE</v>
          </cell>
          <cell r="T220" t="str">
            <v>78290</v>
          </cell>
          <cell r="U220" t="str">
            <v>CROISSY SUR SEINE</v>
          </cell>
          <cell r="V220" t="str">
            <v>M.</v>
          </cell>
          <cell r="W220" t="str">
            <v>LOUAZE</v>
          </cell>
          <cell r="X220" t="str">
            <v>78290</v>
          </cell>
          <cell r="Y220" t="str">
            <v>CROISSY SUR SEINE</v>
          </cell>
          <cell r="Z220">
            <v>335</v>
          </cell>
          <cell r="AA220">
            <v>1311.35</v>
          </cell>
          <cell r="AB220">
            <v>495.01</v>
          </cell>
          <cell r="AD220">
            <v>2141.3599999999997</v>
          </cell>
          <cell r="AG220">
            <v>2604.0099999999998</v>
          </cell>
          <cell r="AH220">
            <v>-0.58816827831499408</v>
          </cell>
          <cell r="AL220">
            <v>2604.0099999999998</v>
          </cell>
          <cell r="AM220">
            <v>3645.6139999999996</v>
          </cell>
          <cell r="AN220">
            <v>0.70247599656293214</v>
          </cell>
          <cell r="AO220" t="str">
            <v>001-G-78COMPTOIRINTER</v>
          </cell>
          <cell r="AP220" t="str">
            <v>001-L-78COMPTOIRINTER</v>
          </cell>
          <cell r="AQ220">
            <v>39191</v>
          </cell>
          <cell r="AX220">
            <v>2702.9623799999999</v>
          </cell>
          <cell r="AY220">
            <v>0</v>
          </cell>
          <cell r="AZ220">
            <v>0</v>
          </cell>
        </row>
        <row r="221">
          <cell r="A221">
            <v>562536</v>
          </cell>
          <cell r="B221" t="str">
            <v>S T R</v>
          </cell>
          <cell r="C221">
            <v>0.1</v>
          </cell>
          <cell r="D221">
            <v>0.1</v>
          </cell>
          <cell r="E221">
            <v>0.02</v>
          </cell>
          <cell r="F221">
            <v>41306</v>
          </cell>
          <cell r="G221" t="str">
            <v>OUI</v>
          </cell>
          <cell r="I221">
            <v>0</v>
          </cell>
          <cell r="J221">
            <v>0</v>
          </cell>
          <cell r="K221" t="str">
            <v>OK</v>
          </cell>
          <cell r="L221" t="str">
            <v>OK</v>
          </cell>
          <cell r="N221" t="str">
            <v>Non affecté</v>
          </cell>
          <cell r="O221" t="str">
            <v>JPP</v>
          </cell>
          <cell r="P221" t="str">
            <v>Ok mon client</v>
          </cell>
          <cell r="Q221" t="str">
            <v>GENNEVILLIERS</v>
          </cell>
          <cell r="R221" t="str">
            <v>93</v>
          </cell>
          <cell r="S221" t="str">
            <v>55 RUE DE PARIS</v>
          </cell>
          <cell r="T221" t="str">
            <v>93230</v>
          </cell>
          <cell r="U221" t="str">
            <v>ROMAINVILLE</v>
          </cell>
          <cell r="W221" t="str">
            <v>Directeur Logistique et Transports</v>
          </cell>
          <cell r="X221" t="str">
            <v>93230</v>
          </cell>
          <cell r="Y221" t="str">
            <v>ROMAINVILLE</v>
          </cell>
          <cell r="AA221">
            <v>1039.7100000000003</v>
          </cell>
          <cell r="AD221">
            <v>1039.7100000000003</v>
          </cell>
          <cell r="AG221">
            <v>2577.1699999999996</v>
          </cell>
          <cell r="AH221">
            <v>0.83237487170198643</v>
          </cell>
          <cell r="AL221">
            <v>2577.1699999999996</v>
          </cell>
          <cell r="AM221">
            <v>3608.0379999999991</v>
          </cell>
          <cell r="AN221">
            <v>2.470234969366456</v>
          </cell>
          <cell r="AO221" t="str">
            <v>001-G-93STR</v>
          </cell>
          <cell r="AP221" t="str">
            <v>001-L-93STR</v>
          </cell>
          <cell r="AX221">
            <v>2834.8869999999997</v>
          </cell>
          <cell r="AY221">
            <v>0</v>
          </cell>
          <cell r="AZ221">
            <v>0</v>
          </cell>
        </row>
        <row r="222">
          <cell r="A222">
            <v>444172</v>
          </cell>
          <cell r="B222" t="str">
            <v>ORLIS COMMERCE INTERNATIONAL</v>
          </cell>
          <cell r="E222">
            <v>0.02</v>
          </cell>
          <cell r="F222">
            <v>41306</v>
          </cell>
          <cell r="G222" t="str">
            <v>OUI</v>
          </cell>
          <cell r="I222">
            <v>0</v>
          </cell>
          <cell r="J222">
            <v>0</v>
          </cell>
          <cell r="K222" t="str">
            <v>OK</v>
          </cell>
          <cell r="L222" t="str">
            <v>OK</v>
          </cell>
          <cell r="N222" t="str">
            <v>Non affecté</v>
          </cell>
          <cell r="O222" t="str">
            <v>JPP</v>
          </cell>
          <cell r="P222" t="str">
            <v>Ok mon client</v>
          </cell>
          <cell r="Q222" t="str">
            <v>GENNEVILLIERS</v>
          </cell>
          <cell r="R222" t="str">
            <v>93</v>
          </cell>
          <cell r="S222" t="str">
            <v>111 AVENUE VICTOR HUGO</v>
          </cell>
          <cell r="T222">
            <v>93300</v>
          </cell>
          <cell r="U222" t="str">
            <v>AUBERVILLIERS</v>
          </cell>
          <cell r="W222" t="str">
            <v>Directeur Logistique et Transports</v>
          </cell>
          <cell r="X222" t="str">
            <v>93170</v>
          </cell>
          <cell r="Y222" t="str">
            <v>BAGNOLET</v>
          </cell>
          <cell r="Z222">
            <v>1999.4400000000003</v>
          </cell>
          <cell r="AD222">
            <v>1999.4400000000003</v>
          </cell>
          <cell r="AE222">
            <v>1740.5900000000001</v>
          </cell>
          <cell r="AF222">
            <v>2.4938793509829121E-3</v>
          </cell>
          <cell r="AG222">
            <v>714.42</v>
          </cell>
          <cell r="AH222">
            <v>-0.90447380990288173</v>
          </cell>
          <cell r="AI222">
            <v>116.97</v>
          </cell>
          <cell r="AJ222">
            <v>0.9976426214049976</v>
          </cell>
          <cell r="AL222">
            <v>2571.98</v>
          </cell>
          <cell r="AM222">
            <v>3600.7719999999999</v>
          </cell>
          <cell r="AN222">
            <v>0.80089024926979535</v>
          </cell>
          <cell r="AP222" t="str">
            <v>001-L1-93MODEINTERDIFF</v>
          </cell>
          <cell r="AQ222">
            <v>40815</v>
          </cell>
          <cell r="AX222">
            <v>714.42</v>
          </cell>
          <cell r="AY222">
            <v>116.97</v>
          </cell>
          <cell r="AZ222">
            <v>1775.4018000000001</v>
          </cell>
        </row>
        <row r="223">
          <cell r="A223">
            <v>629281</v>
          </cell>
          <cell r="B223" t="str">
            <v>ISG LA MARIEE</v>
          </cell>
          <cell r="C223">
            <v>0.1</v>
          </cell>
          <cell r="D223">
            <v>0.1</v>
          </cell>
          <cell r="E223">
            <v>0.02</v>
          </cell>
          <cell r="F223">
            <v>41306</v>
          </cell>
          <cell r="G223" t="str">
            <v>OUI</v>
          </cell>
          <cell r="I223">
            <v>0</v>
          </cell>
          <cell r="J223">
            <v>0</v>
          </cell>
          <cell r="K223" t="str">
            <v>OK</v>
          </cell>
          <cell r="L223" t="str">
            <v>OK</v>
          </cell>
          <cell r="N223" t="str">
            <v>Non affecté</v>
          </cell>
          <cell r="O223" t="str">
            <v>JPP</v>
          </cell>
          <cell r="P223" t="str">
            <v>Ok mon client</v>
          </cell>
          <cell r="Q223" t="str">
            <v>GENNEVILLIERS</v>
          </cell>
          <cell r="R223" t="str">
            <v>93</v>
          </cell>
          <cell r="S223" t="str">
            <v>155 AVENUE JEAN JAURES</v>
          </cell>
          <cell r="T223">
            <v>93300</v>
          </cell>
          <cell r="U223" t="str">
            <v>AUBERVILLIERS</v>
          </cell>
          <cell r="V223" t="str">
            <v>M.</v>
          </cell>
          <cell r="W223" t="str">
            <v>MOULY STEPHANE</v>
          </cell>
          <cell r="X223" t="str">
            <v>93300</v>
          </cell>
          <cell r="Y223" t="str">
            <v>AUBERVILLIERS</v>
          </cell>
          <cell r="AA223">
            <v>400.91999999999996</v>
          </cell>
          <cell r="AB223">
            <v>3234.48</v>
          </cell>
          <cell r="AD223">
            <v>3635.4</v>
          </cell>
          <cell r="AE223">
            <v>859</v>
          </cell>
          <cell r="AF223">
            <v>0.19079302283761918</v>
          </cell>
          <cell r="AG223">
            <v>675.40000000000009</v>
          </cell>
          <cell r="AH223">
            <v>0.53571262605139636</v>
          </cell>
          <cell r="AI223">
            <v>981.52</v>
          </cell>
          <cell r="AJ223">
            <v>0.82967234493438746</v>
          </cell>
          <cell r="AL223">
            <v>2515.92</v>
          </cell>
          <cell r="AM223">
            <v>3522.288</v>
          </cell>
          <cell r="AN223">
            <v>-3.1114045221983799E-2</v>
          </cell>
          <cell r="AO223" t="str">
            <v>259-G-93ISGLAMARIEE</v>
          </cell>
          <cell r="AQ223">
            <v>39128</v>
          </cell>
          <cell r="AX223">
            <v>742.94000000000017</v>
          </cell>
          <cell r="AY223">
            <v>1079.672</v>
          </cell>
          <cell r="AZ223">
            <v>876.18000000000006</v>
          </cell>
        </row>
        <row r="224">
          <cell r="A224">
            <v>52857</v>
          </cell>
          <cell r="B224" t="str">
            <v>MECANINDUS</v>
          </cell>
          <cell r="C224">
            <v>0.32</v>
          </cell>
          <cell r="D224">
            <v>0.1</v>
          </cell>
          <cell r="E224">
            <v>0.02</v>
          </cell>
          <cell r="F224">
            <v>41275</v>
          </cell>
          <cell r="I224">
            <v>0</v>
          </cell>
          <cell r="J224">
            <v>0</v>
          </cell>
          <cell r="K224" t="str">
            <v>OK</v>
          </cell>
          <cell r="L224" t="str">
            <v>OK</v>
          </cell>
          <cell r="N224" t="str">
            <v>Non affecté</v>
          </cell>
          <cell r="O224" t="str">
            <v>AB</v>
          </cell>
          <cell r="P224" t="str">
            <v>Ok mon client</v>
          </cell>
          <cell r="Q224" t="str">
            <v>GENNEVILLIERS</v>
          </cell>
          <cell r="R224" t="str">
            <v>78</v>
          </cell>
          <cell r="S224" t="str">
            <v>Z I DE LA GARE  RUE BAUCHET</v>
          </cell>
          <cell r="T224" t="str">
            <v>78490</v>
          </cell>
          <cell r="U224" t="str">
            <v>MERE</v>
          </cell>
          <cell r="V224" t="str">
            <v>M.</v>
          </cell>
          <cell r="W224" t="str">
            <v>JARDE</v>
          </cell>
          <cell r="X224" t="str">
            <v>78490</v>
          </cell>
          <cell r="Y224" t="str">
            <v>MERE</v>
          </cell>
          <cell r="AA224">
            <v>2930.5</v>
          </cell>
          <cell r="AB224">
            <v>1361.6100000000001</v>
          </cell>
          <cell r="AD224">
            <v>4292.1100000000006</v>
          </cell>
          <cell r="AG224">
            <v>2160.5500000000002</v>
          </cell>
          <cell r="AH224">
            <v>-1.5401819377817696</v>
          </cell>
          <cell r="AI224">
            <v>325.62</v>
          </cell>
          <cell r="AJ224">
            <v>-1.0956219705020869</v>
          </cell>
          <cell r="AL224">
            <v>2486.17</v>
          </cell>
          <cell r="AM224">
            <v>3480.6379999999999</v>
          </cell>
          <cell r="AN224">
            <v>-0.18906132415059274</v>
          </cell>
          <cell r="AO224" t="str">
            <v>001-G-78MECANINDUS</v>
          </cell>
          <cell r="AX224">
            <v>2851.9260000000004</v>
          </cell>
          <cell r="AY224">
            <v>358.18200000000002</v>
          </cell>
          <cell r="AZ224">
            <v>0</v>
          </cell>
        </row>
        <row r="225">
          <cell r="A225">
            <v>516552</v>
          </cell>
          <cell r="B225" t="str">
            <v>GREMCO</v>
          </cell>
          <cell r="G225" t="str">
            <v>NON</v>
          </cell>
          <cell r="H225" t="str">
            <v>ETUDE EN COURS</v>
          </cell>
          <cell r="I225">
            <v>0</v>
          </cell>
          <cell r="J225">
            <v>0</v>
          </cell>
          <cell r="K225" t="str">
            <v>NON</v>
          </cell>
          <cell r="L225" t="str">
            <v>non</v>
          </cell>
          <cell r="N225" t="str">
            <v>Non affecté</v>
          </cell>
          <cell r="O225" t="str">
            <v>JPP</v>
          </cell>
          <cell r="P225" t="str">
            <v>Ok mon client</v>
          </cell>
          <cell r="Q225" t="str">
            <v>GENNEVILLIERS</v>
          </cell>
          <cell r="R225" t="str">
            <v>93</v>
          </cell>
          <cell r="S225" t="str">
            <v>4/8 QUAI DE SEINE</v>
          </cell>
          <cell r="T225">
            <v>93400</v>
          </cell>
          <cell r="U225" t="str">
            <v>ST OUEN</v>
          </cell>
          <cell r="W225" t="str">
            <v>Directeur Logistique et Transports</v>
          </cell>
          <cell r="X225" t="str">
            <v>93400</v>
          </cell>
          <cell r="Y225" t="str">
            <v>ST OUEN</v>
          </cell>
          <cell r="AI225">
            <v>2468.2200000000003</v>
          </cell>
          <cell r="AJ225">
            <v>0.57697549157455275</v>
          </cell>
          <cell r="AL225">
            <v>2468.2200000000003</v>
          </cell>
          <cell r="AM225">
            <v>3455.5080000000003</v>
          </cell>
          <cell r="AO225" t="str">
            <v>001-G-93GREMCO</v>
          </cell>
          <cell r="AX225">
            <v>0</v>
          </cell>
          <cell r="AY225">
            <v>2468.2200000000003</v>
          </cell>
          <cell r="AZ225">
            <v>0</v>
          </cell>
        </row>
        <row r="226">
          <cell r="A226">
            <v>582316</v>
          </cell>
          <cell r="B226" t="str">
            <v>DOUDOU   COMPAGNIE</v>
          </cell>
          <cell r="G226" t="str">
            <v>NON</v>
          </cell>
          <cell r="H226" t="str">
            <v>DEMARRAGE 2012 TARIFS VALABLES SUR 2013</v>
          </cell>
          <cell r="I226">
            <v>0</v>
          </cell>
          <cell r="J226">
            <v>0</v>
          </cell>
          <cell r="K226" t="str">
            <v>NON</v>
          </cell>
          <cell r="L226" t="str">
            <v>NON</v>
          </cell>
          <cell r="N226" t="str">
            <v>Non affecté</v>
          </cell>
          <cell r="O226" t="str">
            <v>MM</v>
          </cell>
          <cell r="P226" t="str">
            <v>Ok mon client</v>
          </cell>
          <cell r="Q226" t="str">
            <v>GENNEVILLIERS</v>
          </cell>
          <cell r="R226" t="str">
            <v>95</v>
          </cell>
          <cell r="S226" t="str">
            <v>48-52 AV DES CHATAIGNIERS</v>
          </cell>
          <cell r="T226">
            <v>95150</v>
          </cell>
          <cell r="U226" t="str">
            <v>TAVERNY</v>
          </cell>
          <cell r="X226" t="str">
            <v>95150</v>
          </cell>
          <cell r="Y226" t="str">
            <v>TAVERNY</v>
          </cell>
          <cell r="AD226">
            <v>0</v>
          </cell>
          <cell r="AI226">
            <v>2445.56</v>
          </cell>
          <cell r="AJ226">
            <v>0.42249479588296529</v>
          </cell>
          <cell r="AL226">
            <v>2445.56</v>
          </cell>
          <cell r="AM226">
            <v>3423.7839999999997</v>
          </cell>
          <cell r="AO226" t="str">
            <v>001-G-95DOUDOUCOMPAGNIE</v>
          </cell>
          <cell r="AP226" t="str">
            <v>001-L-95DOUDOUCOMPAGNIE</v>
          </cell>
          <cell r="AX226">
            <v>0</v>
          </cell>
          <cell r="AY226">
            <v>2445.56</v>
          </cell>
          <cell r="AZ226">
            <v>0</v>
          </cell>
        </row>
        <row r="227">
          <cell r="A227">
            <v>504986</v>
          </cell>
          <cell r="B227" t="str">
            <v>PROVEMAT</v>
          </cell>
          <cell r="C227">
            <v>4.8000000000000001E-2</v>
          </cell>
          <cell r="D227">
            <v>4.8000000000000001E-2</v>
          </cell>
          <cell r="E227">
            <v>0.02</v>
          </cell>
          <cell r="F227">
            <v>41275</v>
          </cell>
          <cell r="I227">
            <v>0</v>
          </cell>
          <cell r="J227">
            <v>0</v>
          </cell>
          <cell r="K227" t="str">
            <v>OK</v>
          </cell>
          <cell r="L227" t="str">
            <v>OK</v>
          </cell>
          <cell r="N227" t="str">
            <v>Non affecté</v>
          </cell>
          <cell r="O227" t="str">
            <v>AB</v>
          </cell>
          <cell r="P227" t="str">
            <v>Ok mon client</v>
          </cell>
          <cell r="Q227" t="str">
            <v>GENNEVILLIERS</v>
          </cell>
          <cell r="R227" t="str">
            <v>78</v>
          </cell>
          <cell r="S227" t="str">
            <v>USINE LA CROIX FERRA</v>
          </cell>
          <cell r="T227" t="str">
            <v>45320</v>
          </cell>
          <cell r="U227" t="str">
            <v>CHANTECOQ</v>
          </cell>
          <cell r="V227" t="str">
            <v>M</v>
          </cell>
          <cell r="W227" t="str">
            <v>EL METIOUI</v>
          </cell>
          <cell r="X227" t="str">
            <v>78680</v>
          </cell>
          <cell r="Y227" t="str">
            <v>EPONE</v>
          </cell>
          <cell r="AA227">
            <v>264.78999999999996</v>
          </cell>
          <cell r="AD227">
            <v>264.78999999999996</v>
          </cell>
          <cell r="AE227">
            <v>2351.0100000000002</v>
          </cell>
          <cell r="AF227">
            <v>0.16778205064176197</v>
          </cell>
          <cell r="AL227">
            <v>2351.0100000000002</v>
          </cell>
          <cell r="AM227">
            <v>3291.4140000000002</v>
          </cell>
          <cell r="AN227">
            <v>11.430280599720536</v>
          </cell>
          <cell r="AP227" t="str">
            <v>001-L1-78PROVEMAT</v>
          </cell>
          <cell r="AQ227">
            <v>40989</v>
          </cell>
          <cell r="AX227">
            <v>0</v>
          </cell>
          <cell r="AY227">
            <v>0</v>
          </cell>
          <cell r="AZ227">
            <v>2398.0302000000001</v>
          </cell>
        </row>
        <row r="228">
          <cell r="A228">
            <v>466668</v>
          </cell>
          <cell r="B228" t="str">
            <v>THE MILLENIUM ESSENCES COMPAGNY</v>
          </cell>
          <cell r="C228">
            <v>0.05</v>
          </cell>
          <cell r="D228">
            <v>0.05</v>
          </cell>
          <cell r="E228">
            <v>0.05</v>
          </cell>
          <cell r="F228">
            <v>41275</v>
          </cell>
          <cell r="G228" t="str">
            <v>non</v>
          </cell>
          <cell r="H228" t="str">
            <v>Client perdu</v>
          </cell>
          <cell r="I228">
            <v>0</v>
          </cell>
          <cell r="J228">
            <v>0</v>
          </cell>
          <cell r="K228" t="str">
            <v>OK</v>
          </cell>
          <cell r="L228" t="str">
            <v>OK</v>
          </cell>
          <cell r="N228" t="str">
            <v>Non affecté</v>
          </cell>
          <cell r="O228" t="str">
            <v>JPP</v>
          </cell>
          <cell r="P228" t="str">
            <v>Ok mon client</v>
          </cell>
          <cell r="Q228" t="str">
            <v>GENNEVILLIERS</v>
          </cell>
          <cell r="R228" t="str">
            <v>92</v>
          </cell>
          <cell r="S228" t="str">
            <v>69 RUE DE BELLEVUE</v>
          </cell>
          <cell r="T228" t="str">
            <v>92100</v>
          </cell>
          <cell r="U228" t="str">
            <v>BOULOGNE</v>
          </cell>
          <cell r="V228" t="str">
            <v>M.</v>
          </cell>
          <cell r="W228" t="str">
            <v>BEAULIEU</v>
          </cell>
          <cell r="X228" t="str">
            <v>92100</v>
          </cell>
          <cell r="Y228" t="str">
            <v>BOULOGNE</v>
          </cell>
          <cell r="Z228">
            <v>2387.5100000000002</v>
          </cell>
          <cell r="AA228">
            <v>1055.05</v>
          </cell>
          <cell r="AD228">
            <v>3442.5600000000004</v>
          </cell>
          <cell r="AE228">
            <v>1826.4</v>
          </cell>
          <cell r="AF228">
            <v>0.2568041905173345</v>
          </cell>
          <cell r="AG228">
            <v>523.29</v>
          </cell>
          <cell r="AH228">
            <v>-0.22547598575113598</v>
          </cell>
          <cell r="AL228">
            <v>2349.69</v>
          </cell>
          <cell r="AM228">
            <v>3289.5659999999998</v>
          </cell>
          <cell r="AN228">
            <v>-4.4441926938092791E-2</v>
          </cell>
          <cell r="AO228" t="str">
            <v>028-G-28WIVINE</v>
          </cell>
          <cell r="AP228" t="str">
            <v>028-L-28THEMILLENIUM</v>
          </cell>
          <cell r="AQ228">
            <v>38995</v>
          </cell>
          <cell r="AX228">
            <v>549.45449999999994</v>
          </cell>
          <cell r="AY228">
            <v>0</v>
          </cell>
          <cell r="AZ228">
            <v>1917.7200000000003</v>
          </cell>
        </row>
        <row r="229">
          <cell r="A229">
            <v>536788</v>
          </cell>
          <cell r="B229" t="str">
            <v>ASWO FRANCE</v>
          </cell>
          <cell r="C229">
            <v>0.1</v>
          </cell>
          <cell r="D229">
            <v>0.1</v>
          </cell>
          <cell r="E229">
            <v>0.02</v>
          </cell>
          <cell r="F229">
            <v>41275</v>
          </cell>
          <cell r="G229" t="str">
            <v>OUI</v>
          </cell>
          <cell r="I229">
            <v>0</v>
          </cell>
          <cell r="J229">
            <v>0</v>
          </cell>
          <cell r="K229" t="str">
            <v>OK</v>
          </cell>
          <cell r="L229" t="str">
            <v>OK</v>
          </cell>
          <cell r="N229" t="str">
            <v>Non affecté</v>
          </cell>
          <cell r="O229" t="str">
            <v>MM</v>
          </cell>
          <cell r="P229" t="str">
            <v>Ok mon client</v>
          </cell>
          <cell r="Q229" t="str">
            <v>GENNEVILLIERS</v>
          </cell>
          <cell r="R229" t="str">
            <v>95</v>
          </cell>
          <cell r="S229" t="str">
            <v xml:space="preserve">49/51 RUE CASIMIR PERIER        </v>
          </cell>
          <cell r="T229" t="str">
            <v>95872</v>
          </cell>
          <cell r="U229" t="str">
            <v>BEZONS</v>
          </cell>
          <cell r="V229" t="str">
            <v>M.</v>
          </cell>
          <cell r="W229" t="str">
            <v>AIT SIALI</v>
          </cell>
          <cell r="X229" t="str">
            <v>95872</v>
          </cell>
          <cell r="Y229" t="str">
            <v>BEZONS CEDEX</v>
          </cell>
          <cell r="Z229">
            <v>812</v>
          </cell>
          <cell r="AA229">
            <v>2322.96</v>
          </cell>
          <cell r="AB229">
            <v>2789.2</v>
          </cell>
          <cell r="AD229">
            <v>5924.16</v>
          </cell>
          <cell r="AG229">
            <v>991.03</v>
          </cell>
          <cell r="AH229">
            <v>0.33017692499377033</v>
          </cell>
          <cell r="AI229">
            <v>1310.0499999999997</v>
          </cell>
          <cell r="AJ229">
            <v>0.58552876422541289</v>
          </cell>
          <cell r="AL229">
            <v>2301.08</v>
          </cell>
          <cell r="AM229">
            <v>3221.5119999999997</v>
          </cell>
          <cell r="AN229">
            <v>-0.45620779992437754</v>
          </cell>
          <cell r="AO229" t="str">
            <v>001-G-95ASWOFRANCE</v>
          </cell>
          <cell r="AP229" t="str">
            <v>001-L-95ASWOFRANCE</v>
          </cell>
          <cell r="AX229">
            <v>1090.133</v>
          </cell>
          <cell r="AY229">
            <v>1441.0549999999998</v>
          </cell>
          <cell r="AZ229">
            <v>0</v>
          </cell>
        </row>
        <row r="230">
          <cell r="A230">
            <v>571615</v>
          </cell>
          <cell r="B230" t="str">
            <v>LINEA ITALIANA</v>
          </cell>
          <cell r="C230">
            <v>0.1</v>
          </cell>
          <cell r="D230">
            <v>0.1</v>
          </cell>
          <cell r="E230">
            <v>0.02</v>
          </cell>
          <cell r="F230">
            <v>41275</v>
          </cell>
          <cell r="G230" t="str">
            <v>OUI</v>
          </cell>
          <cell r="I230">
            <v>0</v>
          </cell>
          <cell r="J230">
            <v>0</v>
          </cell>
          <cell r="K230" t="str">
            <v>OK</v>
          </cell>
          <cell r="L230" t="str">
            <v>OK</v>
          </cell>
          <cell r="N230" t="str">
            <v>Non affecté</v>
          </cell>
          <cell r="O230" t="str">
            <v>JPP</v>
          </cell>
          <cell r="P230" t="str">
            <v>Ok mon client</v>
          </cell>
          <cell r="Q230" t="str">
            <v>GENNEVILLIERS</v>
          </cell>
          <cell r="R230" t="str">
            <v>75</v>
          </cell>
          <cell r="S230" t="str">
            <v>35 RUE HENRI ROCHEFORT</v>
          </cell>
          <cell r="T230" t="str">
            <v>75017</v>
          </cell>
          <cell r="U230" t="str">
            <v>PARIS</v>
          </cell>
          <cell r="W230" t="str">
            <v>Directeur Logistique et Transports</v>
          </cell>
          <cell r="X230" t="str">
            <v>75017</v>
          </cell>
          <cell r="Y230" t="str">
            <v>PARIS</v>
          </cell>
          <cell r="AB230">
            <v>1631.77</v>
          </cell>
          <cell r="AD230">
            <v>1631.77</v>
          </cell>
          <cell r="AI230">
            <v>2274.16</v>
          </cell>
          <cell r="AJ230">
            <v>0.86084268944720599</v>
          </cell>
          <cell r="AL230">
            <v>2274.16</v>
          </cell>
          <cell r="AM230">
            <v>3183.8239999999996</v>
          </cell>
          <cell r="AN230">
            <v>0.95114752691862181</v>
          </cell>
          <cell r="AO230" t="str">
            <v>001-G-75LINEAITALIANA</v>
          </cell>
          <cell r="AP230" t="str">
            <v>001-L-75LINEAITALIANA</v>
          </cell>
          <cell r="AX230">
            <v>0</v>
          </cell>
          <cell r="AY230">
            <v>2501.576</v>
          </cell>
          <cell r="AZ230">
            <v>0</v>
          </cell>
        </row>
        <row r="231">
          <cell r="A231">
            <v>377416</v>
          </cell>
          <cell r="B231" t="str">
            <v>AGATHA DIFFUSION</v>
          </cell>
          <cell r="C231">
            <v>0.1</v>
          </cell>
          <cell r="D231">
            <v>0.1</v>
          </cell>
          <cell r="E231">
            <v>0.02</v>
          </cell>
          <cell r="F231">
            <v>41275</v>
          </cell>
          <cell r="G231" t="str">
            <v>OUI</v>
          </cell>
          <cell r="I231">
            <v>0</v>
          </cell>
          <cell r="J231">
            <v>0</v>
          </cell>
          <cell r="K231" t="str">
            <v>OK</v>
          </cell>
          <cell r="L231" t="str">
            <v>OK</v>
          </cell>
          <cell r="N231" t="str">
            <v>Non affecté</v>
          </cell>
          <cell r="O231" t="str">
            <v>JPP</v>
          </cell>
          <cell r="P231" t="str">
            <v>Ok mon client</v>
          </cell>
          <cell r="Q231" t="str">
            <v>GENNEVILLIERS</v>
          </cell>
          <cell r="R231">
            <v>93</v>
          </cell>
          <cell r="S231" t="str">
            <v>43/45 AV, VICTOR HUGO BAT 258 SUD</v>
          </cell>
          <cell r="T231" t="str">
            <v>93534</v>
          </cell>
          <cell r="U231" t="str">
            <v>AUBERVILLIERS</v>
          </cell>
          <cell r="V231" t="str">
            <v>M.</v>
          </cell>
          <cell r="W231" t="str">
            <v>TALUREAU</v>
          </cell>
          <cell r="X231" t="str">
            <v>93534</v>
          </cell>
          <cell r="Y231" t="str">
            <v>AUBERVILLIERS</v>
          </cell>
          <cell r="Z231">
            <v>5454.2</v>
          </cell>
          <cell r="AB231">
            <v>2142.62</v>
          </cell>
          <cell r="AD231">
            <v>7596.8199999999988</v>
          </cell>
          <cell r="AE231">
            <v>1578.65</v>
          </cell>
          <cell r="AF231">
            <v>0.21969213307795987</v>
          </cell>
          <cell r="AI231">
            <v>611.56000000000006</v>
          </cell>
          <cell r="AJ231">
            <v>0.73774746051753537</v>
          </cell>
          <cell r="AL231">
            <v>2190.21</v>
          </cell>
          <cell r="AM231">
            <v>3066.2939999999999</v>
          </cell>
          <cell r="AN231">
            <v>-0.59637137644435434</v>
          </cell>
          <cell r="AO231" t="str">
            <v>259-G-75AGATHA</v>
          </cell>
          <cell r="AP231" t="str">
            <v>259-L-75AGATHA</v>
          </cell>
          <cell r="AX231">
            <v>0</v>
          </cell>
          <cell r="AY231">
            <v>672.71600000000012</v>
          </cell>
          <cell r="AZ231">
            <v>1610.2230000000002</v>
          </cell>
        </row>
        <row r="232">
          <cell r="A232">
            <v>509909</v>
          </cell>
          <cell r="B232" t="str">
            <v>LIATECH</v>
          </cell>
          <cell r="C232">
            <v>0.2</v>
          </cell>
          <cell r="D232">
            <v>0.1</v>
          </cell>
          <cell r="E232">
            <v>0.02</v>
          </cell>
          <cell r="F232">
            <v>41306</v>
          </cell>
          <cell r="I232">
            <v>0</v>
          </cell>
          <cell r="J232">
            <v>0</v>
          </cell>
          <cell r="K232" t="str">
            <v>NON</v>
          </cell>
          <cell r="L232" t="str">
            <v>OK</v>
          </cell>
          <cell r="N232" t="str">
            <v>Non affecté</v>
          </cell>
          <cell r="O232" t="str">
            <v>MM</v>
          </cell>
          <cell r="P232" t="str">
            <v>Rajouté</v>
          </cell>
          <cell r="Q232" t="str">
            <v>GENNEVILLIERS</v>
          </cell>
          <cell r="R232" t="str">
            <v>91</v>
          </cell>
          <cell r="S232" t="str">
            <v>10 RUE DES MEUNIERS - PARC D'ACTIVITE</v>
          </cell>
          <cell r="T232" t="str">
            <v>91520</v>
          </cell>
          <cell r="U232" t="str">
            <v>EGLY</v>
          </cell>
          <cell r="W232" t="str">
            <v>Directeur Logistique et Transports</v>
          </cell>
          <cell r="X232" t="str">
            <v>91520</v>
          </cell>
          <cell r="Y232" t="str">
            <v>EGLY</v>
          </cell>
          <cell r="AB232">
            <v>3710.94</v>
          </cell>
          <cell r="AC232">
            <v>304.8</v>
          </cell>
          <cell r="AD232">
            <v>4015.7400000000002</v>
          </cell>
          <cell r="AI232">
            <v>1920.2399999999998</v>
          </cell>
          <cell r="AK232">
            <v>243.84</v>
          </cell>
          <cell r="AL232">
            <v>2164.08</v>
          </cell>
          <cell r="AM232">
            <v>3029.7119999999995</v>
          </cell>
          <cell r="AN232">
            <v>-0.24554079696394704</v>
          </cell>
          <cell r="AO232" t="str">
            <v>001-G-GENERAL-KG</v>
          </cell>
          <cell r="AP232" t="str">
            <v>001-L-GENERAL-KG</v>
          </cell>
          <cell r="AX232">
            <v>0</v>
          </cell>
          <cell r="AY232">
            <v>2112.2640000000001</v>
          </cell>
          <cell r="AZ232">
            <v>0</v>
          </cell>
        </row>
        <row r="233">
          <cell r="A233">
            <v>635138</v>
          </cell>
          <cell r="B233" t="str">
            <v>HP TURBO'S HOET SAS</v>
          </cell>
          <cell r="C233">
            <v>0.1</v>
          </cell>
          <cell r="D233">
            <v>0.1</v>
          </cell>
          <cell r="E233">
            <v>0.02</v>
          </cell>
          <cell r="F233">
            <v>41275</v>
          </cell>
          <cell r="G233" t="str">
            <v>OUI</v>
          </cell>
          <cell r="I233">
            <v>0</v>
          </cell>
          <cell r="J233">
            <v>0</v>
          </cell>
          <cell r="K233" t="str">
            <v>OK</v>
          </cell>
          <cell r="L233" t="str">
            <v>OK</v>
          </cell>
          <cell r="N233" t="str">
            <v>Non affecté</v>
          </cell>
          <cell r="O233" t="str">
            <v>JPP</v>
          </cell>
          <cell r="P233" t="str">
            <v>Ok mon client</v>
          </cell>
          <cell r="Q233" t="str">
            <v>GENNEVILLIERS</v>
          </cell>
          <cell r="R233" t="str">
            <v>59</v>
          </cell>
          <cell r="S233" t="str">
            <v>12 RUE DES NOELS</v>
          </cell>
          <cell r="T233" t="str">
            <v>92230</v>
          </cell>
          <cell r="U233" t="str">
            <v>GENNEVILLIERS</v>
          </cell>
          <cell r="V233" t="str">
            <v>M.</v>
          </cell>
          <cell r="W233" t="str">
            <v>ROUHAUT</v>
          </cell>
          <cell r="X233" t="str">
            <v>59435</v>
          </cell>
          <cell r="Y233" t="str">
            <v>RONCQ CEDEX</v>
          </cell>
          <cell r="AA233">
            <v>1885.23</v>
          </cell>
          <cell r="AB233">
            <v>259.29000000000002</v>
          </cell>
          <cell r="AD233">
            <v>2144.52</v>
          </cell>
          <cell r="AG233">
            <v>2033.3</v>
          </cell>
          <cell r="AH233">
            <v>0.725611209705189</v>
          </cell>
          <cell r="AL233">
            <v>2033.3</v>
          </cell>
          <cell r="AM233">
            <v>2846.62</v>
          </cell>
          <cell r="AN233">
            <v>0.3273926100013056</v>
          </cell>
          <cell r="AO233" t="str">
            <v>001-G-92HPTURBO001</v>
          </cell>
          <cell r="AQ233">
            <v>39209</v>
          </cell>
          <cell r="AX233">
            <v>2236.63</v>
          </cell>
          <cell r="AY233">
            <v>0</v>
          </cell>
          <cell r="AZ233">
            <v>0</v>
          </cell>
        </row>
        <row r="234">
          <cell r="A234">
            <v>534502</v>
          </cell>
          <cell r="B234" t="str">
            <v>SA DE LA BONGARDE</v>
          </cell>
          <cell r="G234" t="str">
            <v>OUI</v>
          </cell>
          <cell r="H234" t="str">
            <v>SOFID //AO EN COURS</v>
          </cell>
          <cell r="I234">
            <v>0</v>
          </cell>
          <cell r="J234">
            <v>0</v>
          </cell>
          <cell r="K234" t="str">
            <v>NON</v>
          </cell>
          <cell r="L234" t="str">
            <v>non</v>
          </cell>
          <cell r="M234" t="str">
            <v>Doublon</v>
          </cell>
          <cell r="N234" t="str">
            <v>Non affecté</v>
          </cell>
          <cell r="O234" t="str">
            <v>JPP</v>
          </cell>
          <cell r="P234" t="str">
            <v>Ok mon client</v>
          </cell>
          <cell r="Q234" t="str">
            <v>GENNEVILLIERS</v>
          </cell>
          <cell r="R234" t="str">
            <v>92</v>
          </cell>
          <cell r="S234" t="str">
            <v>11 BLD GALLIENI</v>
          </cell>
          <cell r="T234">
            <v>92230</v>
          </cell>
          <cell r="U234" t="str">
            <v>GENNEVILLIERS</v>
          </cell>
          <cell r="W234" t="str">
            <v>Directeur Logistique et Transports</v>
          </cell>
          <cell r="X234" t="str">
            <v>92230</v>
          </cell>
          <cell r="Y234" t="str">
            <v>GENNEVILLIERS</v>
          </cell>
          <cell r="Z234">
            <v>2039.75</v>
          </cell>
          <cell r="AD234">
            <v>2039.75</v>
          </cell>
          <cell r="AE234">
            <v>2027</v>
          </cell>
          <cell r="AF234">
            <v>0.23407581086361859</v>
          </cell>
          <cell r="AJ234">
            <v>0.60021350413664265</v>
          </cell>
          <cell r="AL234">
            <v>2027</v>
          </cell>
          <cell r="AM234">
            <v>2837.7999999999997</v>
          </cell>
          <cell r="AN234">
            <v>0.39124892756465246</v>
          </cell>
          <cell r="AO234" t="str">
            <v>001-G-GENERAL-KG</v>
          </cell>
          <cell r="AP234" t="str">
            <v>001-L-92AGSPARIS</v>
          </cell>
          <cell r="AX234">
            <v>0</v>
          </cell>
          <cell r="AY234">
            <v>0</v>
          </cell>
          <cell r="AZ234">
            <v>2027</v>
          </cell>
        </row>
        <row r="235">
          <cell r="A235">
            <v>558889</v>
          </cell>
          <cell r="B235" t="str">
            <v>WAGRAM MUSIC S A</v>
          </cell>
          <cell r="G235" t="str">
            <v>non</v>
          </cell>
          <cell r="H235" t="str">
            <v>Démarrage Août</v>
          </cell>
          <cell r="I235">
            <v>0</v>
          </cell>
          <cell r="J235">
            <v>0</v>
          </cell>
          <cell r="K235" t="str">
            <v>NON</v>
          </cell>
          <cell r="L235" t="str">
            <v>non</v>
          </cell>
          <cell r="N235" t="str">
            <v>Non affecté</v>
          </cell>
          <cell r="O235" t="str">
            <v>JPP</v>
          </cell>
          <cell r="P235" t="str">
            <v>Ok mon client</v>
          </cell>
          <cell r="Q235" t="str">
            <v>GENNEVILLIERS</v>
          </cell>
          <cell r="R235" t="str">
            <v>75</v>
          </cell>
          <cell r="S235" t="str">
            <v>19, RUE DES PLANTES</v>
          </cell>
          <cell r="T235">
            <v>75014</v>
          </cell>
          <cell r="U235" t="str">
            <v>PARIS</v>
          </cell>
          <cell r="X235" t="str">
            <v>75014</v>
          </cell>
          <cell r="Y235" t="str">
            <v>PARIS</v>
          </cell>
          <cell r="AD235">
            <v>0</v>
          </cell>
          <cell r="AE235">
            <v>1410.4099999999999</v>
          </cell>
          <cell r="AF235">
            <v>0.12162162162162163</v>
          </cell>
          <cell r="AI235">
            <v>589.30000000000007</v>
          </cell>
          <cell r="AJ235">
            <v>0.53127439334803994</v>
          </cell>
          <cell r="AL235">
            <v>1999.71</v>
          </cell>
          <cell r="AM235">
            <v>2799.5940000000001</v>
          </cell>
          <cell r="AO235" t="str">
            <v>001-G-75WAGRAMMUSIC</v>
          </cell>
          <cell r="AP235" t="str">
            <v>001-L-75WAGRAMMUSIC</v>
          </cell>
          <cell r="AQ235">
            <v>41122</v>
          </cell>
          <cell r="AX235">
            <v>0</v>
          </cell>
          <cell r="AY235">
            <v>589.30000000000007</v>
          </cell>
          <cell r="AZ235">
            <v>1410.4099999999999</v>
          </cell>
        </row>
        <row r="236">
          <cell r="A236">
            <v>558690</v>
          </cell>
          <cell r="B236" t="str">
            <v>MAESA</v>
          </cell>
          <cell r="G236" t="str">
            <v>OUI</v>
          </cell>
          <cell r="H236" t="str">
            <v>COTATION</v>
          </cell>
          <cell r="I236">
            <v>0</v>
          </cell>
          <cell r="J236">
            <v>0</v>
          </cell>
          <cell r="K236" t="str">
            <v>NON</v>
          </cell>
          <cell r="L236" t="str">
            <v>NON</v>
          </cell>
          <cell r="N236" t="str">
            <v>Non affecté</v>
          </cell>
          <cell r="O236" t="str">
            <v>JPP</v>
          </cell>
          <cell r="P236" t="str">
            <v>Ok mon client</v>
          </cell>
          <cell r="Q236" t="str">
            <v>GENNEVILLIERS</v>
          </cell>
          <cell r="R236" t="str">
            <v>92</v>
          </cell>
          <cell r="S236" t="str">
            <v>15 RUE PASTEUR</v>
          </cell>
          <cell r="T236">
            <v>92300</v>
          </cell>
          <cell r="U236" t="str">
            <v>LEVALLOIS PERRET</v>
          </cell>
          <cell r="W236" t="str">
            <v>Directeur Logistique et Transports</v>
          </cell>
          <cell r="X236" t="str">
            <v>92300</v>
          </cell>
          <cell r="Y236" t="str">
            <v>LEVALLOIS PERRET</v>
          </cell>
          <cell r="Z236">
            <v>7777.84</v>
          </cell>
          <cell r="AD236">
            <v>7777.84</v>
          </cell>
          <cell r="AE236">
            <v>1895.58</v>
          </cell>
          <cell r="AF236">
            <v>0.10317686407326514</v>
          </cell>
          <cell r="AL236">
            <v>1895.58</v>
          </cell>
          <cell r="AM236">
            <v>2653.8119999999999</v>
          </cell>
          <cell r="AN236">
            <v>-0.65879832961336304</v>
          </cell>
          <cell r="AO236" t="str">
            <v>001-G-92PARFUMDIMAGE</v>
          </cell>
          <cell r="AP236" t="str">
            <v>001-L-92PARFUMDIMAGE</v>
          </cell>
          <cell r="AQ236">
            <v>40618</v>
          </cell>
          <cell r="AX236">
            <v>0</v>
          </cell>
          <cell r="AY236">
            <v>0</v>
          </cell>
          <cell r="AZ236">
            <v>1895.58</v>
          </cell>
        </row>
        <row r="237">
          <cell r="A237">
            <v>492857</v>
          </cell>
          <cell r="B237" t="str">
            <v>ARCIL</v>
          </cell>
          <cell r="C237">
            <v>0.1</v>
          </cell>
          <cell r="D237">
            <v>0.15</v>
          </cell>
          <cell r="E237">
            <v>0.02</v>
          </cell>
          <cell r="F237">
            <v>41275</v>
          </cell>
          <cell r="G237" t="str">
            <v>NON</v>
          </cell>
          <cell r="H237" t="str">
            <v>DEMANDE DES COT</v>
          </cell>
          <cell r="I237">
            <v>0</v>
          </cell>
          <cell r="J237">
            <v>0</v>
          </cell>
          <cell r="K237" t="str">
            <v>OK</v>
          </cell>
          <cell r="L237" t="str">
            <v>OK</v>
          </cell>
          <cell r="N237" t="str">
            <v>Non affecté</v>
          </cell>
          <cell r="O237" t="str">
            <v>MM</v>
          </cell>
          <cell r="P237" t="str">
            <v>Ok mon client</v>
          </cell>
          <cell r="Q237" t="str">
            <v>GENNEVILLIERS</v>
          </cell>
          <cell r="R237" t="str">
            <v>95</v>
          </cell>
          <cell r="S237" t="str">
            <v>ZAC DU MOULIN A VENT</v>
          </cell>
          <cell r="T237">
            <v>95650</v>
          </cell>
          <cell r="U237" t="str">
            <v>PUISEUX PONTOISE</v>
          </cell>
          <cell r="X237" t="str">
            <v>95650</v>
          </cell>
          <cell r="Y237" t="str">
            <v>PUISEUX PONTOISE</v>
          </cell>
          <cell r="AB237">
            <v>63.02</v>
          </cell>
          <cell r="AD237">
            <v>63.02</v>
          </cell>
          <cell r="AE237">
            <v>662.24</v>
          </cell>
          <cell r="AF237">
            <v>3.2062495030611537E-2</v>
          </cell>
          <cell r="AG237">
            <v>512.99</v>
          </cell>
          <cell r="AH237">
            <v>0.64266956871466085</v>
          </cell>
          <cell r="AI237">
            <v>694.74000000000012</v>
          </cell>
          <cell r="AJ237">
            <v>0.29378594160013416</v>
          </cell>
          <cell r="AL237">
            <v>1869.9700000000003</v>
          </cell>
          <cell r="AM237">
            <v>2617.9580000000001</v>
          </cell>
          <cell r="AN237">
            <v>40.541701047286573</v>
          </cell>
          <cell r="AO237" t="str">
            <v>001-G-GENERAL-KG</v>
          </cell>
          <cell r="AQ237">
            <v>38642</v>
          </cell>
          <cell r="AX237">
            <v>564.2890000000001</v>
          </cell>
          <cell r="AY237">
            <v>798.95100000000014</v>
          </cell>
          <cell r="AZ237">
            <v>675.48480000000006</v>
          </cell>
        </row>
        <row r="238">
          <cell r="A238">
            <v>630626</v>
          </cell>
          <cell r="B238" t="str">
            <v>ISB WATER</v>
          </cell>
          <cell r="C238">
            <v>0.1</v>
          </cell>
          <cell r="D238">
            <v>0.1</v>
          </cell>
          <cell r="E238">
            <v>0.02</v>
          </cell>
          <cell r="F238">
            <v>41275</v>
          </cell>
          <cell r="G238" t="str">
            <v>OUI</v>
          </cell>
          <cell r="I238">
            <v>0</v>
          </cell>
          <cell r="J238">
            <v>0</v>
          </cell>
          <cell r="K238" t="str">
            <v>OK</v>
          </cell>
          <cell r="L238" t="str">
            <v>OK</v>
          </cell>
          <cell r="N238" t="str">
            <v>Non affecté</v>
          </cell>
          <cell r="O238" t="str">
            <v>JPP</v>
          </cell>
          <cell r="P238" t="str">
            <v>Ok mon client</v>
          </cell>
          <cell r="Q238" t="str">
            <v>GENNEVILLIERS</v>
          </cell>
          <cell r="R238" t="str">
            <v>92</v>
          </cell>
          <cell r="S238" t="str">
            <v>35 RUE DE BEZONS</v>
          </cell>
          <cell r="T238" t="str">
            <v>92000</v>
          </cell>
          <cell r="U238" t="str">
            <v>NANTERRE</v>
          </cell>
          <cell r="W238" t="str">
            <v>Sarah FAVRE</v>
          </cell>
          <cell r="X238" t="str">
            <v>92000</v>
          </cell>
          <cell r="Y238" t="str">
            <v>NANTERRE</v>
          </cell>
          <cell r="AA238">
            <v>748.68000000000006</v>
          </cell>
          <cell r="AB238">
            <v>1471.06</v>
          </cell>
          <cell r="AD238">
            <v>2219.7399999999998</v>
          </cell>
          <cell r="AI238">
            <v>1822.81</v>
          </cell>
          <cell r="AJ238">
            <v>0.83611459142024791</v>
          </cell>
          <cell r="AL238">
            <v>1822.81</v>
          </cell>
          <cell r="AM238">
            <v>2551.9339999999997</v>
          </cell>
          <cell r="AN238">
            <v>0.14965446403632865</v>
          </cell>
          <cell r="AO238" t="str">
            <v>001-G-92ISBWATER</v>
          </cell>
          <cell r="AQ238">
            <v>39615</v>
          </cell>
          <cell r="AX238">
            <v>0</v>
          </cell>
          <cell r="AY238">
            <v>2005.0910000000001</v>
          </cell>
          <cell r="AZ238">
            <v>0</v>
          </cell>
        </row>
        <row r="239">
          <cell r="A239">
            <v>383598</v>
          </cell>
          <cell r="B239" t="str">
            <v>MURVAL</v>
          </cell>
          <cell r="G239" t="str">
            <v>OUI</v>
          </cell>
          <cell r="H239" t="str">
            <v>CESS ACT</v>
          </cell>
          <cell r="I239">
            <v>0</v>
          </cell>
          <cell r="J239">
            <v>0</v>
          </cell>
          <cell r="K239" t="str">
            <v>NON</v>
          </cell>
          <cell r="L239" t="str">
            <v>NON</v>
          </cell>
          <cell r="N239" t="str">
            <v>Non affecté</v>
          </cell>
          <cell r="O239" t="str">
            <v>JPP</v>
          </cell>
          <cell r="P239" t="str">
            <v>Ok mon client</v>
          </cell>
          <cell r="Q239" t="str">
            <v>GENNEVILLIERS</v>
          </cell>
          <cell r="R239" t="str">
            <v>93</v>
          </cell>
          <cell r="S239" t="str">
            <v>15 AVENUE DU PDT WILSON</v>
          </cell>
          <cell r="T239" t="str">
            <v>93230</v>
          </cell>
          <cell r="U239" t="str">
            <v>ROMAINVILLE</v>
          </cell>
          <cell r="V239" t="str">
            <v>M.</v>
          </cell>
          <cell r="W239" t="str">
            <v>SOUSSAN</v>
          </cell>
          <cell r="X239" t="str">
            <v>93230</v>
          </cell>
          <cell r="Y239" t="str">
            <v>ROMAINVILLE</v>
          </cell>
          <cell r="AA239">
            <v>24849.689999999995</v>
          </cell>
          <cell r="AB239">
            <v>134.57</v>
          </cell>
          <cell r="AD239">
            <v>24984.259999999995</v>
          </cell>
          <cell r="AG239">
            <v>1775.49</v>
          </cell>
          <cell r="AH239">
            <v>0.48775703804185916</v>
          </cell>
          <cell r="AL239">
            <v>1775.49</v>
          </cell>
          <cell r="AM239">
            <v>2485.6859999999997</v>
          </cell>
          <cell r="AN239">
            <v>-0.9005099210462908</v>
          </cell>
          <cell r="AO239" t="str">
            <v>259-G-93MURVAL</v>
          </cell>
          <cell r="AP239" t="str">
            <v>259-L-93MURVAL</v>
          </cell>
          <cell r="AQ239">
            <v>38009</v>
          </cell>
          <cell r="AX239">
            <v>1775.49</v>
          </cell>
          <cell r="AY239">
            <v>0</v>
          </cell>
          <cell r="AZ239">
            <v>0</v>
          </cell>
        </row>
        <row r="240">
          <cell r="A240">
            <v>570556</v>
          </cell>
          <cell r="B240" t="str">
            <v>PELICAN ROUGE</v>
          </cell>
          <cell r="C240">
            <v>0.1</v>
          </cell>
          <cell r="D240">
            <v>0.1</v>
          </cell>
          <cell r="E240">
            <v>0.02</v>
          </cell>
          <cell r="F240">
            <v>41275</v>
          </cell>
          <cell r="G240" t="str">
            <v>OUI</v>
          </cell>
          <cell r="I240">
            <v>0</v>
          </cell>
          <cell r="J240">
            <v>0</v>
          </cell>
          <cell r="K240" t="str">
            <v>OK</v>
          </cell>
          <cell r="L240" t="str">
            <v>OK</v>
          </cell>
          <cell r="N240" t="str">
            <v>Non affecté</v>
          </cell>
          <cell r="O240" t="str">
            <v>JPP</v>
          </cell>
          <cell r="P240" t="str">
            <v>Ok mon client</v>
          </cell>
          <cell r="Q240" t="str">
            <v>GENNEVILLIERS</v>
          </cell>
          <cell r="R240" t="str">
            <v>92</v>
          </cell>
          <cell r="S240" t="str">
            <v>26-28 AVE DU VX CHEMIN DE ST DENIS</v>
          </cell>
          <cell r="T240" t="str">
            <v>92390</v>
          </cell>
          <cell r="U240" t="str">
            <v>VILLENEUVE LA GARENNE</v>
          </cell>
          <cell r="W240" t="str">
            <v>Directeur Logistique et Transports</v>
          </cell>
          <cell r="X240" t="str">
            <v>92390</v>
          </cell>
          <cell r="Y240" t="str">
            <v>VILLENEUVE LA GARENNE</v>
          </cell>
          <cell r="AB240">
            <v>1968.7</v>
          </cell>
          <cell r="AD240">
            <v>1968.7</v>
          </cell>
          <cell r="AI240">
            <v>1706.3</v>
          </cell>
          <cell r="AJ240">
            <v>0.87245361737833316</v>
          </cell>
          <cell r="AL240">
            <v>1706.3</v>
          </cell>
          <cell r="AM240">
            <v>2388.8199999999997</v>
          </cell>
          <cell r="AN240">
            <v>0.21339970538934305</v>
          </cell>
          <cell r="AO240" t="str">
            <v>001-G-92PELICANROUGE</v>
          </cell>
          <cell r="AX240">
            <v>0</v>
          </cell>
          <cell r="AY240">
            <v>1876.93</v>
          </cell>
          <cell r="AZ240">
            <v>0</v>
          </cell>
        </row>
        <row r="241">
          <cell r="A241">
            <v>839751</v>
          </cell>
          <cell r="B241" t="str">
            <v>MAVIP</v>
          </cell>
          <cell r="C241">
            <v>0.69</v>
          </cell>
          <cell r="D241">
            <v>0.1</v>
          </cell>
          <cell r="E241">
            <v>0.02</v>
          </cell>
          <cell r="F241">
            <v>41275</v>
          </cell>
          <cell r="I241">
            <v>0</v>
          </cell>
          <cell r="J241">
            <v>0</v>
          </cell>
          <cell r="K241" t="str">
            <v>OK</v>
          </cell>
          <cell r="L241" t="str">
            <v>OK</v>
          </cell>
          <cell r="N241" t="str">
            <v>Non affecté</v>
          </cell>
          <cell r="O241" t="str">
            <v>AB</v>
          </cell>
          <cell r="P241" t="str">
            <v>Ok mon client</v>
          </cell>
          <cell r="Q241" t="str">
            <v>GENNEVILLIERS</v>
          </cell>
          <cell r="R241" t="str">
            <v>78</v>
          </cell>
          <cell r="S241" t="str">
            <v>15 RUE DES ENTREPRENEURS</v>
          </cell>
          <cell r="T241">
            <v>78420</v>
          </cell>
          <cell r="U241" t="str">
            <v>CARRIERES SUR SEINE</v>
          </cell>
          <cell r="V241" t="str">
            <v>Mme</v>
          </cell>
          <cell r="W241" t="str">
            <v>CROUAN</v>
          </cell>
          <cell r="X241" t="str">
            <v>78420</v>
          </cell>
          <cell r="Y241" t="str">
            <v>CARRIERES SUR SEINE</v>
          </cell>
          <cell r="Z241">
            <v>5135</v>
          </cell>
          <cell r="AA241">
            <v>4888.8899999999994</v>
          </cell>
          <cell r="AB241">
            <v>572.41999999999996</v>
          </cell>
          <cell r="AD241">
            <v>10596.31</v>
          </cell>
          <cell r="AG241">
            <v>1363.02</v>
          </cell>
          <cell r="AH241">
            <v>0.69191033600303309</v>
          </cell>
          <cell r="AI241">
            <v>316.32</v>
          </cell>
          <cell r="AJ241">
            <v>0.28789173789173789</v>
          </cell>
          <cell r="AL241">
            <v>1679.3400000000001</v>
          </cell>
          <cell r="AM241">
            <v>2351.076</v>
          </cell>
          <cell r="AN241">
            <v>-0.77812313909275965</v>
          </cell>
          <cell r="AO241" t="str">
            <v>001-G-78MAVIPMOTORS</v>
          </cell>
          <cell r="AX241">
            <v>2303.5038</v>
          </cell>
          <cell r="AY241">
            <v>347.952</v>
          </cell>
          <cell r="AZ241">
            <v>0</v>
          </cell>
        </row>
        <row r="242">
          <cell r="A242">
            <v>802926</v>
          </cell>
          <cell r="B242" t="str">
            <v>ABEILLE MUSIQUE</v>
          </cell>
          <cell r="C242">
            <v>0.1</v>
          </cell>
          <cell r="D242">
            <v>0.1</v>
          </cell>
          <cell r="E242">
            <v>0.02</v>
          </cell>
          <cell r="F242">
            <v>41275</v>
          </cell>
          <cell r="G242" t="str">
            <v>OUI</v>
          </cell>
          <cell r="I242">
            <v>0</v>
          </cell>
          <cell r="J242">
            <v>0</v>
          </cell>
          <cell r="K242" t="str">
            <v>OK</v>
          </cell>
          <cell r="L242" t="str">
            <v>OK</v>
          </cell>
          <cell r="N242" t="str">
            <v>Non affecté</v>
          </cell>
          <cell r="O242" t="str">
            <v>JPP</v>
          </cell>
          <cell r="P242" t="str">
            <v>Ok mon client</v>
          </cell>
          <cell r="Q242" t="str">
            <v>GENNEVILLIERS</v>
          </cell>
          <cell r="R242" t="str">
            <v>75</v>
          </cell>
          <cell r="S242" t="str">
            <v>5 PASSAGE PIVER</v>
          </cell>
          <cell r="T242" t="str">
            <v>75011</v>
          </cell>
          <cell r="U242" t="str">
            <v>PARIS 11</v>
          </cell>
          <cell r="V242" t="str">
            <v>Mme</v>
          </cell>
          <cell r="W242" t="str">
            <v>Marie-Anne OURSEL</v>
          </cell>
          <cell r="X242" t="str">
            <v>75011</v>
          </cell>
          <cell r="Y242" t="str">
            <v>PARIS</v>
          </cell>
          <cell r="Z242">
            <v>1188</v>
          </cell>
          <cell r="AA242">
            <v>262.07</v>
          </cell>
          <cell r="AB242">
            <v>3691.02</v>
          </cell>
          <cell r="AD242">
            <v>5141.09</v>
          </cell>
          <cell r="AG242">
            <v>40.56</v>
          </cell>
          <cell r="AH242">
            <v>0.61932938856015785</v>
          </cell>
          <cell r="AI242">
            <v>1589.77</v>
          </cell>
          <cell r="AJ242">
            <v>0.59744249914177838</v>
          </cell>
          <cell r="AL242">
            <v>1630.33</v>
          </cell>
          <cell r="AM242">
            <v>2282.4619999999995</v>
          </cell>
          <cell r="AN242">
            <v>-0.55603539327263296</v>
          </cell>
          <cell r="AO242" t="str">
            <v>001-G-95ABEILLEMUSI</v>
          </cell>
          <cell r="AP242" t="str">
            <v>001-G-75CBAACTIVA</v>
          </cell>
          <cell r="AQ242">
            <v>39892</v>
          </cell>
          <cell r="AX242">
            <v>44.616000000000007</v>
          </cell>
          <cell r="AY242">
            <v>1748.7470000000001</v>
          </cell>
          <cell r="AZ242">
            <v>0</v>
          </cell>
        </row>
        <row r="243">
          <cell r="A243">
            <v>686434</v>
          </cell>
          <cell r="B243" t="str">
            <v>KAVIARI SAS</v>
          </cell>
          <cell r="C243">
            <v>0.1</v>
          </cell>
          <cell r="D243">
            <v>0.1</v>
          </cell>
          <cell r="E243">
            <v>0.02</v>
          </cell>
          <cell r="F243">
            <v>41275</v>
          </cell>
          <cell r="G243" t="str">
            <v>OUI</v>
          </cell>
          <cell r="I243">
            <v>0</v>
          </cell>
          <cell r="J243">
            <v>0</v>
          </cell>
          <cell r="K243" t="str">
            <v>OK</v>
          </cell>
          <cell r="L243" t="str">
            <v>OK</v>
          </cell>
          <cell r="N243" t="str">
            <v>Non affecté</v>
          </cell>
          <cell r="O243" t="str">
            <v>JPP</v>
          </cell>
          <cell r="P243" t="str">
            <v>Ok mon client</v>
          </cell>
          <cell r="Q243" t="str">
            <v>GENNEVILLIERS</v>
          </cell>
          <cell r="R243" t="str">
            <v>75</v>
          </cell>
          <cell r="S243" t="str">
            <v>43/45 AVENUE VICTOR HUGO BAT 221 PARC DES PORTES DE PARIS</v>
          </cell>
          <cell r="T243">
            <v>93300</v>
          </cell>
          <cell r="U243" t="str">
            <v>AUBERVILLIERS</v>
          </cell>
          <cell r="V243" t="str">
            <v>M.</v>
          </cell>
          <cell r="W243" t="str">
            <v>J. CHAUVELIERE</v>
          </cell>
          <cell r="X243" t="str">
            <v>75004</v>
          </cell>
          <cell r="Y243" t="str">
            <v>PARIS</v>
          </cell>
          <cell r="AA243">
            <v>824.36</v>
          </cell>
          <cell r="AB243">
            <v>95.42</v>
          </cell>
          <cell r="AD243">
            <v>919.78</v>
          </cell>
          <cell r="AG243">
            <v>1618.6500000000003</v>
          </cell>
          <cell r="AH243">
            <v>0.49143046912225469</v>
          </cell>
          <cell r="AL243">
            <v>1618.6500000000003</v>
          </cell>
          <cell r="AM243">
            <v>2266.11</v>
          </cell>
          <cell r="AN243">
            <v>1.4637522016134294</v>
          </cell>
          <cell r="AO243" t="str">
            <v>001-CONTRAT TYPE +50%</v>
          </cell>
          <cell r="AQ243">
            <v>39581</v>
          </cell>
          <cell r="AX243">
            <v>1780.5150000000006</v>
          </cell>
          <cell r="AY243">
            <v>0</v>
          </cell>
          <cell r="AZ243">
            <v>0</v>
          </cell>
        </row>
        <row r="244">
          <cell r="A244">
            <v>483498</v>
          </cell>
          <cell r="B244" t="str">
            <v>LITRA</v>
          </cell>
          <cell r="C244">
            <v>0.1</v>
          </cell>
          <cell r="D244">
            <v>0.2</v>
          </cell>
          <cell r="E244">
            <v>0.02</v>
          </cell>
          <cell r="F244">
            <v>41275</v>
          </cell>
          <cell r="G244" t="str">
            <v>OUI</v>
          </cell>
          <cell r="I244">
            <v>0</v>
          </cell>
          <cell r="J244">
            <v>0</v>
          </cell>
          <cell r="K244" t="str">
            <v>OK</v>
          </cell>
          <cell r="L244" t="str">
            <v>OK</v>
          </cell>
          <cell r="N244" t="str">
            <v>Non affecté</v>
          </cell>
          <cell r="O244" t="str">
            <v>MM</v>
          </cell>
          <cell r="P244" t="str">
            <v>Ok mon client</v>
          </cell>
          <cell r="Q244" t="str">
            <v>GENNEVILLIERS</v>
          </cell>
          <cell r="R244" t="str">
            <v>95</v>
          </cell>
          <cell r="S244" t="str">
            <v>30 RUE CONDORCET</v>
          </cell>
          <cell r="T244">
            <v>95150</v>
          </cell>
          <cell r="U244" t="str">
            <v>TAVERNY</v>
          </cell>
          <cell r="W244" t="str">
            <v>Directeur Logistique et Transports</v>
          </cell>
          <cell r="X244" t="str">
            <v>95150</v>
          </cell>
          <cell r="Y244" t="str">
            <v>TAVERNY</v>
          </cell>
          <cell r="Z244">
            <v>32560.730000000003</v>
          </cell>
          <cell r="AD244">
            <v>32560.730000000003</v>
          </cell>
          <cell r="AI244">
            <v>1606.7000000000003</v>
          </cell>
          <cell r="AJ244">
            <v>0.45763391653681001</v>
          </cell>
          <cell r="AL244">
            <v>1606.7000000000003</v>
          </cell>
          <cell r="AM244">
            <v>2249.38</v>
          </cell>
          <cell r="AN244">
            <v>-0.93091739650800209</v>
          </cell>
          <cell r="AO244" t="str">
            <v>001-G-95LITRA</v>
          </cell>
          <cell r="AP244" t="str">
            <v>001_L1-95LITRA</v>
          </cell>
          <cell r="AX244">
            <v>0</v>
          </cell>
          <cell r="AY244">
            <v>1928.0400000000002</v>
          </cell>
          <cell r="AZ244">
            <v>0</v>
          </cell>
        </row>
        <row r="245">
          <cell r="A245">
            <v>587193</v>
          </cell>
          <cell r="B245" t="str">
            <v>COMEPA</v>
          </cell>
          <cell r="C245">
            <v>0.1</v>
          </cell>
          <cell r="D245">
            <v>0.1</v>
          </cell>
          <cell r="E245">
            <v>0.02</v>
          </cell>
          <cell r="F245">
            <v>41275</v>
          </cell>
          <cell r="G245" t="str">
            <v>OUI</v>
          </cell>
          <cell r="I245">
            <v>0</v>
          </cell>
          <cell r="J245">
            <v>0</v>
          </cell>
          <cell r="K245" t="str">
            <v>OK</v>
          </cell>
          <cell r="L245" t="str">
            <v>OK</v>
          </cell>
          <cell r="N245" t="str">
            <v>Non affecté</v>
          </cell>
          <cell r="O245" t="str">
            <v>JPP</v>
          </cell>
          <cell r="P245" t="str">
            <v>Ok mon client</v>
          </cell>
          <cell r="Q245" t="str">
            <v>GENNEVILLIERS</v>
          </cell>
          <cell r="R245" t="str">
            <v>93</v>
          </cell>
          <cell r="S245" t="str">
            <v>88 AV, DU GENERAL DE GAULLE</v>
          </cell>
          <cell r="T245" t="str">
            <v>93170</v>
          </cell>
          <cell r="U245" t="str">
            <v>BAGNOLET</v>
          </cell>
          <cell r="V245" t="str">
            <v>M.</v>
          </cell>
          <cell r="W245" t="str">
            <v>HAUTIN</v>
          </cell>
          <cell r="X245" t="str">
            <v>93170</v>
          </cell>
          <cell r="Y245" t="str">
            <v>BAGNOLET</v>
          </cell>
          <cell r="Z245">
            <v>1312.3600000000001</v>
          </cell>
          <cell r="AA245">
            <v>1061.1400000000001</v>
          </cell>
          <cell r="AD245">
            <v>2373.5</v>
          </cell>
          <cell r="AE245">
            <v>223.23000000000002</v>
          </cell>
          <cell r="AF245">
            <v>1</v>
          </cell>
          <cell r="AG245">
            <v>1321.18</v>
          </cell>
          <cell r="AH245">
            <v>0.87477590816166062</v>
          </cell>
          <cell r="AL245">
            <v>1544.41</v>
          </cell>
          <cell r="AM245">
            <v>2162.174</v>
          </cell>
          <cell r="AN245">
            <v>-8.903560143248368E-2</v>
          </cell>
          <cell r="AO245" t="str">
            <v>259-G-93COMEPA</v>
          </cell>
          <cell r="AP245" t="str">
            <v>259-L-GENERAL-KG</v>
          </cell>
          <cell r="AX245">
            <v>1453.2980000000002</v>
          </cell>
          <cell r="AY245">
            <v>0</v>
          </cell>
          <cell r="AZ245">
            <v>227.69460000000001</v>
          </cell>
        </row>
        <row r="246">
          <cell r="A246">
            <v>436727</v>
          </cell>
          <cell r="B246" t="str">
            <v>IPS FRANCE</v>
          </cell>
          <cell r="C246">
            <v>0.1</v>
          </cell>
          <cell r="D246">
            <v>0.1</v>
          </cell>
          <cell r="E246">
            <v>0.02</v>
          </cell>
          <cell r="F246">
            <v>41275</v>
          </cell>
          <cell r="G246" t="str">
            <v>OUI</v>
          </cell>
          <cell r="I246">
            <v>0</v>
          </cell>
          <cell r="J246">
            <v>0</v>
          </cell>
          <cell r="K246" t="str">
            <v>OK</v>
          </cell>
          <cell r="L246" t="str">
            <v>OK</v>
          </cell>
          <cell r="N246" t="str">
            <v>Non affecté</v>
          </cell>
          <cell r="O246" t="str">
            <v>MM</v>
          </cell>
          <cell r="P246" t="str">
            <v>Ok mon client</v>
          </cell>
          <cell r="Q246" t="str">
            <v>GENNEVILLIERS</v>
          </cell>
          <cell r="R246" t="str">
            <v>13</v>
          </cell>
          <cell r="S246" t="str">
            <v>37 RUE DU DR GOLDSTEIN</v>
          </cell>
          <cell r="T246" t="str">
            <v>95410</v>
          </cell>
          <cell r="U246" t="str">
            <v>GROSLAY</v>
          </cell>
          <cell r="V246" t="str">
            <v>M.</v>
          </cell>
          <cell r="W246" t="str">
            <v>GOSSET Adrien</v>
          </cell>
          <cell r="X246" t="str">
            <v>13015</v>
          </cell>
          <cell r="Y246" t="str">
            <v>MARSEILLE</v>
          </cell>
          <cell r="Z246">
            <v>168.68</v>
          </cell>
          <cell r="AA246">
            <v>651.90000000000009</v>
          </cell>
          <cell r="AB246">
            <v>1586.1899999999998</v>
          </cell>
          <cell r="AD246">
            <v>2406.77</v>
          </cell>
          <cell r="AG246">
            <v>87.89</v>
          </cell>
          <cell r="AH246">
            <v>-9.5</v>
          </cell>
          <cell r="AI246">
            <v>1429.72</v>
          </cell>
          <cell r="AJ246">
            <v>0.67844195912070959</v>
          </cell>
          <cell r="AL246">
            <v>1517.6100000000001</v>
          </cell>
          <cell r="AM246">
            <v>2124.654</v>
          </cell>
          <cell r="AN246">
            <v>-0.11721768178928604</v>
          </cell>
          <cell r="AO246" t="str">
            <v>001-G-95IPS</v>
          </cell>
          <cell r="AP246" t="str">
            <v>001-L-95IPS</v>
          </cell>
          <cell r="AQ246">
            <v>38754</v>
          </cell>
          <cell r="AX246">
            <v>96.679000000000002</v>
          </cell>
          <cell r="AY246">
            <v>1572.6920000000002</v>
          </cell>
          <cell r="AZ246">
            <v>0</v>
          </cell>
        </row>
        <row r="247">
          <cell r="A247">
            <v>589812</v>
          </cell>
          <cell r="B247" t="str">
            <v>SOFIMEX</v>
          </cell>
          <cell r="C247">
            <v>0.31</v>
          </cell>
          <cell r="D247">
            <v>0.1</v>
          </cell>
          <cell r="E247">
            <v>0.02</v>
          </cell>
          <cell r="F247">
            <v>41275</v>
          </cell>
          <cell r="I247">
            <v>0</v>
          </cell>
          <cell r="J247">
            <v>0</v>
          </cell>
          <cell r="K247" t="str">
            <v>OK</v>
          </cell>
          <cell r="L247" t="str">
            <v>OK</v>
          </cell>
          <cell r="N247" t="str">
            <v>Non affecté</v>
          </cell>
          <cell r="O247" t="str">
            <v>AB</v>
          </cell>
          <cell r="P247" t="str">
            <v>Ok mon client</v>
          </cell>
          <cell r="Q247" t="str">
            <v>GENNEVILLIERS</v>
          </cell>
          <cell r="R247" t="str">
            <v>78</v>
          </cell>
          <cell r="S247" t="str">
            <v xml:space="preserve">IMPASSE DE LA MARRE             </v>
          </cell>
          <cell r="T247" t="str">
            <v>78310</v>
          </cell>
          <cell r="U247" t="str">
            <v>COIGNIERES</v>
          </cell>
          <cell r="V247" t="str">
            <v>M.</v>
          </cell>
          <cell r="W247" t="str">
            <v>MOUVET</v>
          </cell>
          <cell r="X247" t="str">
            <v>78310</v>
          </cell>
          <cell r="Y247" t="str">
            <v>COIGNIERES</v>
          </cell>
          <cell r="AA247">
            <v>5629.66</v>
          </cell>
          <cell r="AD247">
            <v>5629.66</v>
          </cell>
          <cell r="AG247">
            <v>1464.56</v>
          </cell>
          <cell r="AH247">
            <v>0.79548891452005643</v>
          </cell>
          <cell r="AL247">
            <v>1464.56</v>
          </cell>
          <cell r="AM247">
            <v>2050.384</v>
          </cell>
          <cell r="AN247">
            <v>-0.63578901745398475</v>
          </cell>
          <cell r="AO247" t="str">
            <v>001-G-78SOFIMEX</v>
          </cell>
          <cell r="AP247" t="str">
            <v>001-L-78SOFIMEX</v>
          </cell>
          <cell r="AX247">
            <v>1918.5735999999999</v>
          </cell>
          <cell r="AY247">
            <v>0</v>
          </cell>
          <cell r="AZ247">
            <v>0</v>
          </cell>
        </row>
        <row r="248">
          <cell r="A248">
            <v>585465</v>
          </cell>
          <cell r="B248" t="str">
            <v>HELIOS</v>
          </cell>
          <cell r="C248">
            <v>0.1</v>
          </cell>
          <cell r="D248">
            <v>0.1</v>
          </cell>
          <cell r="E248">
            <v>0.02</v>
          </cell>
          <cell r="F248">
            <v>41306</v>
          </cell>
          <cell r="G248" t="str">
            <v>OUI</v>
          </cell>
          <cell r="H248" t="str">
            <v>TS +20% PAR DEFAUT</v>
          </cell>
          <cell r="I248">
            <v>0</v>
          </cell>
          <cell r="J248">
            <v>0</v>
          </cell>
          <cell r="K248" t="str">
            <v>NON</v>
          </cell>
          <cell r="L248" t="str">
            <v>OK</v>
          </cell>
          <cell r="M248" t="str">
            <v>EN ATTENTE</v>
          </cell>
          <cell r="N248" t="str">
            <v>Non affecté</v>
          </cell>
          <cell r="O248" t="str">
            <v>JPP</v>
          </cell>
          <cell r="P248" t="str">
            <v>Ok mon client</v>
          </cell>
          <cell r="Q248" t="str">
            <v>GENNEVILLIERS</v>
          </cell>
          <cell r="R248" t="str">
            <v>93</v>
          </cell>
          <cell r="S248" t="str">
            <v>10 RUE DE LA VICTOIRE</v>
          </cell>
          <cell r="T248">
            <v>93150</v>
          </cell>
          <cell r="U248" t="str">
            <v>LE BLANC MESNIL</v>
          </cell>
          <cell r="X248" t="str">
            <v>93150</v>
          </cell>
          <cell r="Y248" t="str">
            <v>BLANC MESNIL</v>
          </cell>
          <cell r="AE248">
            <v>1419</v>
          </cell>
          <cell r="AF248">
            <v>0.1014799154334038</v>
          </cell>
          <cell r="AL248">
            <v>1419</v>
          </cell>
          <cell r="AM248">
            <v>1986.6</v>
          </cell>
          <cell r="AO248" t="str">
            <v>259-G-93HELIOS</v>
          </cell>
          <cell r="AX248">
            <v>0</v>
          </cell>
          <cell r="AY248">
            <v>0</v>
          </cell>
          <cell r="AZ248">
            <v>1447.38</v>
          </cell>
        </row>
        <row r="249">
          <cell r="A249">
            <v>825781</v>
          </cell>
          <cell r="B249" t="str">
            <v>POLY DISPENSING SYSTEMS</v>
          </cell>
          <cell r="C249">
            <v>1.2</v>
          </cell>
          <cell r="D249">
            <v>0.1</v>
          </cell>
          <cell r="E249">
            <v>0.02</v>
          </cell>
          <cell r="F249">
            <v>41275</v>
          </cell>
          <cell r="I249">
            <v>0</v>
          </cell>
          <cell r="J249">
            <v>0</v>
          </cell>
          <cell r="K249" t="str">
            <v>OK</v>
          </cell>
          <cell r="L249" t="str">
            <v>OK</v>
          </cell>
          <cell r="N249" t="str">
            <v>Non affecté</v>
          </cell>
          <cell r="O249" t="str">
            <v>AB</v>
          </cell>
          <cell r="P249" t="str">
            <v>Ok mon client</v>
          </cell>
          <cell r="Q249" t="str">
            <v>GENNEVILLIERS</v>
          </cell>
          <cell r="R249" t="str">
            <v>78</v>
          </cell>
          <cell r="S249" t="str">
            <v>20 RUE DU BUISSON RICHARD</v>
          </cell>
          <cell r="T249">
            <v>78600</v>
          </cell>
          <cell r="U249" t="str">
            <v>LE MESNIL LE ROI</v>
          </cell>
          <cell r="V249" t="str">
            <v>M.</v>
          </cell>
          <cell r="W249" t="str">
            <v>J. PIC</v>
          </cell>
          <cell r="X249" t="str">
            <v>78600</v>
          </cell>
          <cell r="Y249" t="str">
            <v>LE MESNIL LE ROI</v>
          </cell>
          <cell r="AA249">
            <v>1319.66</v>
          </cell>
          <cell r="AB249">
            <v>527.42999999999995</v>
          </cell>
          <cell r="AD249">
            <v>1847.0900000000001</v>
          </cell>
          <cell r="AE249">
            <v>234.36</v>
          </cell>
          <cell r="AF249">
            <v>-0.14057315233785833</v>
          </cell>
          <cell r="AG249">
            <v>1053.26</v>
          </cell>
          <cell r="AH249">
            <v>0.74232836503640454</v>
          </cell>
          <cell r="AI249">
            <v>104.52</v>
          </cell>
          <cell r="AJ249">
            <v>0.7469383849980864</v>
          </cell>
          <cell r="AL249">
            <v>1392.1399999999999</v>
          </cell>
          <cell r="AM249">
            <v>1948.9959999999996</v>
          </cell>
          <cell r="AN249">
            <v>5.5171106984499563E-2</v>
          </cell>
          <cell r="AO249" t="str">
            <v>001-G-78POLYDISPENSING</v>
          </cell>
          <cell r="AQ249">
            <v>40485</v>
          </cell>
          <cell r="AX249">
            <v>2317.172</v>
          </cell>
          <cell r="AY249">
            <v>114.97200000000001</v>
          </cell>
          <cell r="AZ249">
            <v>239.04720000000003</v>
          </cell>
        </row>
        <row r="250">
          <cell r="A250">
            <v>597101</v>
          </cell>
          <cell r="B250" t="str">
            <v>MIM</v>
          </cell>
          <cell r="H250" t="str">
            <v>CLIENT MOISSY</v>
          </cell>
          <cell r="I250">
            <v>0</v>
          </cell>
          <cell r="J250">
            <v>0</v>
          </cell>
          <cell r="K250" t="str">
            <v>NON</v>
          </cell>
          <cell r="L250" t="str">
            <v>NON</v>
          </cell>
          <cell r="M250" t="str">
            <v>Porte Feuille</v>
          </cell>
          <cell r="N250" t="str">
            <v>Non affecté</v>
          </cell>
          <cell r="O250" t="str">
            <v>MSD</v>
          </cell>
          <cell r="P250" t="str">
            <v>Ok mon client</v>
          </cell>
          <cell r="Q250" t="str">
            <v>MOISSY CRAMAYEL</v>
          </cell>
          <cell r="R250" t="str">
            <v>94</v>
          </cell>
          <cell r="S250" t="str">
            <v>18-24 RUE DES OLIVIERS</v>
          </cell>
          <cell r="T250">
            <v>94321</v>
          </cell>
          <cell r="U250" t="str">
            <v>THIAIS CEDEX</v>
          </cell>
          <cell r="V250" t="str">
            <v>Mme</v>
          </cell>
          <cell r="W250" t="str">
            <v xml:space="preserve">Florence LORY </v>
          </cell>
          <cell r="X250" t="str">
            <v>94321</v>
          </cell>
          <cell r="Y250" t="str">
            <v>THIAIS CEDEX</v>
          </cell>
          <cell r="Z250">
            <v>19089.72</v>
          </cell>
          <cell r="AB250">
            <v>1441.78</v>
          </cell>
          <cell r="AD250">
            <v>20531.5</v>
          </cell>
          <cell r="AE250">
            <v>1346.39</v>
          </cell>
          <cell r="AF250">
            <v>0.30183676349348992</v>
          </cell>
          <cell r="AL250">
            <v>1346.39</v>
          </cell>
          <cell r="AM250">
            <v>1884.9459999999999</v>
          </cell>
          <cell r="AN250">
            <v>-0.90819248471860314</v>
          </cell>
          <cell r="AO250" t="str">
            <v>024-G-94MIM024</v>
          </cell>
          <cell r="AP250" t="str">
            <v>024-L-94MIM024</v>
          </cell>
          <cell r="AQ250">
            <v>40697</v>
          </cell>
          <cell r="AX250">
            <v>0</v>
          </cell>
          <cell r="AY250">
            <v>0</v>
          </cell>
          <cell r="AZ250">
            <v>1346.39</v>
          </cell>
        </row>
        <row r="251">
          <cell r="A251">
            <v>582411</v>
          </cell>
          <cell r="B251" t="str">
            <v>DEPOT FRANCAIS DE TEXTILES</v>
          </cell>
          <cell r="G251" t="str">
            <v>NON</v>
          </cell>
          <cell r="H251" t="str">
            <v>LIQUIDATION JUDICIAIRE</v>
          </cell>
          <cell r="I251">
            <v>0</v>
          </cell>
          <cell r="J251">
            <v>0</v>
          </cell>
          <cell r="K251" t="str">
            <v>NON</v>
          </cell>
          <cell r="L251" t="str">
            <v>NON</v>
          </cell>
          <cell r="N251" t="str">
            <v>Non affecté</v>
          </cell>
          <cell r="O251" t="str">
            <v>AB</v>
          </cell>
          <cell r="P251" t="str">
            <v>Ok mon client</v>
          </cell>
          <cell r="Q251" t="str">
            <v>GENNEVILLIERS</v>
          </cell>
          <cell r="R251" t="str">
            <v>78</v>
          </cell>
          <cell r="S251" t="str">
            <v>26-32 RUE DES FRERES LUMIERES</v>
          </cell>
          <cell r="T251" t="str">
            <v>78190</v>
          </cell>
          <cell r="U251" t="str">
            <v>TRAPPES</v>
          </cell>
          <cell r="W251" t="str">
            <v>Directeur Logistique et Transports</v>
          </cell>
          <cell r="X251" t="str">
            <v>78190</v>
          </cell>
          <cell r="Y251" t="str">
            <v>TRAPPES</v>
          </cell>
          <cell r="AA251">
            <v>35.54</v>
          </cell>
          <cell r="AB251">
            <v>1935.45</v>
          </cell>
          <cell r="AD251">
            <v>1970.99</v>
          </cell>
          <cell r="AI251">
            <v>1326.4099999999999</v>
          </cell>
          <cell r="AJ251">
            <v>0.76017503655236063</v>
          </cell>
          <cell r="AL251">
            <v>1326.4099999999999</v>
          </cell>
          <cell r="AM251">
            <v>1856.9739999999997</v>
          </cell>
          <cell r="AN251">
            <v>-5.7847071776112702E-2</v>
          </cell>
          <cell r="AO251" t="str">
            <v>001-G-78DFTE001</v>
          </cell>
          <cell r="AQ251">
            <v>38804</v>
          </cell>
          <cell r="AX251">
            <v>0</v>
          </cell>
          <cell r="AY251">
            <v>1326.4099999999999</v>
          </cell>
          <cell r="AZ251">
            <v>0</v>
          </cell>
        </row>
        <row r="252">
          <cell r="A252">
            <v>563218</v>
          </cell>
          <cell r="B252" t="str">
            <v>LUXIOL SARL</v>
          </cell>
          <cell r="G252" t="str">
            <v>NON</v>
          </cell>
          <cell r="H252" t="str">
            <v>COTATION</v>
          </cell>
          <cell r="I252">
            <v>0</v>
          </cell>
          <cell r="J252">
            <v>0</v>
          </cell>
          <cell r="K252" t="str">
            <v>NON</v>
          </cell>
          <cell r="L252" t="str">
            <v>NON</v>
          </cell>
          <cell r="N252" t="str">
            <v>Non affecté</v>
          </cell>
          <cell r="O252" t="str">
            <v>AB</v>
          </cell>
          <cell r="P252" t="str">
            <v>Ok mon client</v>
          </cell>
          <cell r="Q252" t="str">
            <v>GENNEVILLIERS</v>
          </cell>
          <cell r="R252" t="str">
            <v>78</v>
          </cell>
          <cell r="S252" t="str">
            <v>9, RUE GABRIEL GIRODON</v>
          </cell>
          <cell r="T252">
            <v>78270</v>
          </cell>
          <cell r="U252" t="str">
            <v>LIMETZ VILLEZ</v>
          </cell>
          <cell r="X252" t="str">
            <v>78270</v>
          </cell>
          <cell r="Y252" t="str">
            <v>LIMETZ VILLEZ</v>
          </cell>
          <cell r="AE252">
            <v>1320</v>
          </cell>
          <cell r="AF252">
            <v>9.0909090909090912E-2</v>
          </cell>
          <cell r="AL252">
            <v>1320</v>
          </cell>
          <cell r="AM252">
            <v>1847.9999999999998</v>
          </cell>
          <cell r="AX252">
            <v>0</v>
          </cell>
          <cell r="AY252">
            <v>0</v>
          </cell>
          <cell r="AZ252">
            <v>1320</v>
          </cell>
        </row>
        <row r="253">
          <cell r="A253">
            <v>624131</v>
          </cell>
          <cell r="B253" t="str">
            <v>SOFAME</v>
          </cell>
          <cell r="G253" t="str">
            <v>OUI</v>
          </cell>
          <cell r="H253" t="str">
            <v>PAS GERE PAR 001</v>
          </cell>
          <cell r="I253">
            <v>0</v>
          </cell>
          <cell r="J253">
            <v>0</v>
          </cell>
          <cell r="K253" t="str">
            <v>NON</v>
          </cell>
          <cell r="L253" t="str">
            <v>NON</v>
          </cell>
          <cell r="N253" t="str">
            <v>Non affecté</v>
          </cell>
          <cell r="O253" t="str">
            <v>JPP</v>
          </cell>
          <cell r="P253" t="str">
            <v>Ok mon client</v>
          </cell>
          <cell r="Q253" t="str">
            <v>GENNEVILLIERS</v>
          </cell>
          <cell r="R253" t="str">
            <v>72</v>
          </cell>
          <cell r="S253" t="str">
            <v>ROUTE DE BONNETABLE</v>
          </cell>
          <cell r="T253" t="str">
            <v>72190</v>
          </cell>
          <cell r="U253" t="str">
            <v>SARGE LES LE MANS</v>
          </cell>
          <cell r="W253" t="str">
            <v>Directeur Logistique et Transports</v>
          </cell>
          <cell r="X253" t="str">
            <v>72190</v>
          </cell>
          <cell r="Y253" t="str">
            <v>SARGE LES LE MANS</v>
          </cell>
          <cell r="AB253">
            <v>2251.0700000000002</v>
          </cell>
          <cell r="AD253">
            <v>2251.0700000000002</v>
          </cell>
          <cell r="AI253">
            <v>1318.41</v>
          </cell>
          <cell r="AL253">
            <v>1318.41</v>
          </cell>
          <cell r="AM253">
            <v>1845.7739999999999</v>
          </cell>
          <cell r="AN253">
            <v>-0.180045933711524</v>
          </cell>
          <cell r="AX253">
            <v>0</v>
          </cell>
          <cell r="AY253">
            <v>1318.41</v>
          </cell>
          <cell r="AZ253">
            <v>0</v>
          </cell>
        </row>
        <row r="254">
          <cell r="A254">
            <v>870408</v>
          </cell>
          <cell r="B254" t="str">
            <v>RED PARTS</v>
          </cell>
          <cell r="C254">
            <v>0.1</v>
          </cell>
          <cell r="D254">
            <v>0.1</v>
          </cell>
          <cell r="E254">
            <v>0.02</v>
          </cell>
          <cell r="F254">
            <v>41275</v>
          </cell>
          <cell r="I254">
            <v>0</v>
          </cell>
          <cell r="J254">
            <v>0</v>
          </cell>
          <cell r="K254" t="str">
            <v>OK</v>
          </cell>
          <cell r="L254" t="str">
            <v>OK</v>
          </cell>
          <cell r="N254" t="str">
            <v>Non affecté</v>
          </cell>
          <cell r="O254" t="str">
            <v>AB</v>
          </cell>
          <cell r="P254" t="str">
            <v>Ok mon client</v>
          </cell>
          <cell r="Q254" t="str">
            <v>GENNEVILLIERS</v>
          </cell>
          <cell r="R254" t="str">
            <v>78</v>
          </cell>
          <cell r="S254" t="str">
            <v>1 RUE FRANCOIS GEOFFRE</v>
          </cell>
          <cell r="T254">
            <v>78180</v>
          </cell>
          <cell r="U254" t="str">
            <v>MONTIGNY LE BRETONNEUX</v>
          </cell>
          <cell r="V254" t="str">
            <v>MME</v>
          </cell>
          <cell r="W254" t="str">
            <v>AGUILERA</v>
          </cell>
          <cell r="X254" t="str">
            <v>78180</v>
          </cell>
          <cell r="Y254" t="str">
            <v>MONTIGNY LE BRETONNEUX</v>
          </cell>
          <cell r="AG254">
            <v>600.82999999999993</v>
          </cell>
          <cell r="AH254">
            <v>0.41933522496959874</v>
          </cell>
          <cell r="AI254">
            <v>675.03</v>
          </cell>
          <cell r="AJ254">
            <v>0.8968093188148899</v>
          </cell>
          <cell r="AL254">
            <v>1275.8599999999999</v>
          </cell>
          <cell r="AM254">
            <v>1786.2039999999997</v>
          </cell>
          <cell r="AO254" t="str">
            <v>001-G-78REDPARTS</v>
          </cell>
          <cell r="AP254" t="str">
            <v>001-L1-78REDPARTS</v>
          </cell>
          <cell r="AQ254">
            <v>40991</v>
          </cell>
          <cell r="AX254">
            <v>660.91300000000001</v>
          </cell>
          <cell r="AY254">
            <v>742.53300000000002</v>
          </cell>
          <cell r="AZ254">
            <v>0</v>
          </cell>
        </row>
        <row r="255">
          <cell r="A255">
            <v>461019</v>
          </cell>
          <cell r="B255" t="str">
            <v>FUNKY JUNK FRANCE</v>
          </cell>
          <cell r="C255">
            <v>0.1</v>
          </cell>
          <cell r="D255">
            <v>0.1</v>
          </cell>
          <cell r="E255">
            <v>0.02</v>
          </cell>
          <cell r="F255">
            <v>41275</v>
          </cell>
          <cell r="G255" t="str">
            <v>OUI</v>
          </cell>
          <cell r="I255">
            <v>0</v>
          </cell>
          <cell r="J255">
            <v>0</v>
          </cell>
          <cell r="K255" t="str">
            <v>OK</v>
          </cell>
          <cell r="L255" t="str">
            <v>OK</v>
          </cell>
          <cell r="N255" t="str">
            <v>Non affecté</v>
          </cell>
          <cell r="O255" t="str">
            <v>JPP</v>
          </cell>
          <cell r="P255" t="str">
            <v>Ok mon client</v>
          </cell>
          <cell r="Q255" t="str">
            <v>GENNEVILLIERS</v>
          </cell>
          <cell r="R255" t="str">
            <v>92</v>
          </cell>
          <cell r="S255" t="str">
            <v>19 RUE DES PARISIENS</v>
          </cell>
          <cell r="T255" t="str">
            <v>92600</v>
          </cell>
          <cell r="U255" t="str">
            <v>ASNIERES SUR SEINE</v>
          </cell>
          <cell r="W255" t="str">
            <v>Directeur Logistique et Transports</v>
          </cell>
          <cell r="X255" t="str">
            <v>92600</v>
          </cell>
          <cell r="Y255" t="str">
            <v>ASNIERES SUR SEINE</v>
          </cell>
          <cell r="AA255">
            <v>887.47</v>
          </cell>
          <cell r="AB255">
            <v>1847.95</v>
          </cell>
          <cell r="AD255">
            <v>2735.42</v>
          </cell>
          <cell r="AI255">
            <v>1237.99</v>
          </cell>
          <cell r="AJ255">
            <v>0.853110505092884</v>
          </cell>
          <cell r="AL255">
            <v>1237.99</v>
          </cell>
          <cell r="AM255">
            <v>1733.1859999999999</v>
          </cell>
          <cell r="AN255">
            <v>-0.36639126715458692</v>
          </cell>
          <cell r="AO255" t="str">
            <v>001-G-92FUNKYJUNK</v>
          </cell>
          <cell r="AQ255">
            <v>38923</v>
          </cell>
          <cell r="AX255">
            <v>0</v>
          </cell>
          <cell r="AY255">
            <v>1361.7890000000002</v>
          </cell>
          <cell r="AZ255">
            <v>0</v>
          </cell>
        </row>
        <row r="256">
          <cell r="A256">
            <v>568090</v>
          </cell>
          <cell r="B256" t="str">
            <v>LA CORBEILLE BLEUE</v>
          </cell>
          <cell r="C256">
            <v>0.1</v>
          </cell>
          <cell r="D256">
            <v>0.1</v>
          </cell>
          <cell r="E256">
            <v>0.02</v>
          </cell>
          <cell r="F256">
            <v>41275</v>
          </cell>
          <cell r="G256" t="str">
            <v>OUI</v>
          </cell>
          <cell r="I256">
            <v>0</v>
          </cell>
          <cell r="J256">
            <v>0</v>
          </cell>
          <cell r="K256" t="str">
            <v>OK</v>
          </cell>
          <cell r="L256" t="str">
            <v>OK</v>
          </cell>
          <cell r="N256" t="str">
            <v>Non affecté</v>
          </cell>
          <cell r="O256" t="str">
            <v>JPP</v>
          </cell>
          <cell r="P256" t="str">
            <v>Ok mon client</v>
          </cell>
          <cell r="Q256" t="str">
            <v>GENNEVILLIERS</v>
          </cell>
          <cell r="R256" t="str">
            <v>75</v>
          </cell>
          <cell r="S256" t="str">
            <v>120 RUE DU MOULIN DE CAGE</v>
          </cell>
          <cell r="T256" t="str">
            <v>92230</v>
          </cell>
          <cell r="U256" t="str">
            <v>GENNEVILLIERS</v>
          </cell>
          <cell r="V256" t="str">
            <v>M.</v>
          </cell>
          <cell r="W256" t="str">
            <v>PETITHUGUENIN</v>
          </cell>
          <cell r="X256" t="str">
            <v>75008</v>
          </cell>
          <cell r="Y256" t="str">
            <v>PARIS</v>
          </cell>
          <cell r="AA256">
            <v>1291.7</v>
          </cell>
          <cell r="AD256">
            <v>1291.7</v>
          </cell>
          <cell r="AG256">
            <v>1133.0900000000001</v>
          </cell>
          <cell r="AH256">
            <v>0.65498279765930545</v>
          </cell>
          <cell r="AL256">
            <v>1133.0900000000001</v>
          </cell>
          <cell r="AM256">
            <v>1586.326</v>
          </cell>
          <cell r="AN256">
            <v>0.22809166215065413</v>
          </cell>
          <cell r="AO256" t="str">
            <v>001-G-92LACORBEILLEBLEU</v>
          </cell>
          <cell r="AP256" t="str">
            <v>001-L-92LACORBEILLEBLEU</v>
          </cell>
          <cell r="AX256">
            <v>1246.3990000000003</v>
          </cell>
          <cell r="AY256">
            <v>0</v>
          </cell>
          <cell r="AZ256">
            <v>0</v>
          </cell>
        </row>
        <row r="257">
          <cell r="A257">
            <v>51564</v>
          </cell>
          <cell r="B257" t="str">
            <v>CIMLEC INDUSTRIE S A</v>
          </cell>
          <cell r="C257">
            <v>0.27</v>
          </cell>
          <cell r="D257">
            <v>0.1</v>
          </cell>
          <cell r="E257">
            <v>0.02</v>
          </cell>
          <cell r="F257">
            <v>41275</v>
          </cell>
          <cell r="I257">
            <v>0</v>
          </cell>
          <cell r="J257">
            <v>0</v>
          </cell>
          <cell r="K257" t="str">
            <v>OK</v>
          </cell>
          <cell r="L257" t="str">
            <v>OK</v>
          </cell>
          <cell r="N257" t="str">
            <v>Non affecté</v>
          </cell>
          <cell r="O257" t="str">
            <v>AB</v>
          </cell>
          <cell r="P257" t="str">
            <v>Ok mon client</v>
          </cell>
          <cell r="Q257" t="str">
            <v>GENNEVILLIERS</v>
          </cell>
          <cell r="R257" t="str">
            <v>78</v>
          </cell>
          <cell r="S257" t="str">
            <v xml:space="preserve">98, RUE PIERRE CURIE            </v>
          </cell>
          <cell r="T257" t="str">
            <v>78132</v>
          </cell>
          <cell r="U257" t="str">
            <v>LES MUREAUX CEDEX</v>
          </cell>
          <cell r="V257" t="str">
            <v>M.</v>
          </cell>
          <cell r="W257" t="str">
            <v>PIRON</v>
          </cell>
          <cell r="X257" t="str">
            <v>78132</v>
          </cell>
          <cell r="Y257" t="str">
            <v>LES MUREAUX CEDEX</v>
          </cell>
          <cell r="Z257">
            <v>13091.070000000002</v>
          </cell>
          <cell r="AD257">
            <v>13091.070000000002</v>
          </cell>
          <cell r="AE257">
            <v>1130</v>
          </cell>
          <cell r="AF257">
            <v>0.20613132911392409</v>
          </cell>
          <cell r="AL257">
            <v>1130</v>
          </cell>
          <cell r="AM257">
            <v>1582</v>
          </cell>
          <cell r="AN257">
            <v>-0.87915426317329293</v>
          </cell>
          <cell r="AO257" t="str">
            <v>001-G-78CIMLECINDUST</v>
          </cell>
          <cell r="AP257" t="str">
            <v>001-L-78CIMLECINDUST</v>
          </cell>
          <cell r="AX257">
            <v>0</v>
          </cell>
          <cell r="AY257">
            <v>0</v>
          </cell>
          <cell r="AZ257">
            <v>1152.5999999999999</v>
          </cell>
        </row>
        <row r="258">
          <cell r="A258">
            <v>700067</v>
          </cell>
          <cell r="B258" t="str">
            <v>SEDIC VITRAFIX</v>
          </cell>
          <cell r="C258">
            <v>0.1</v>
          </cell>
          <cell r="D258">
            <v>0.1</v>
          </cell>
          <cell r="E258">
            <v>0.02</v>
          </cell>
          <cell r="F258">
            <v>41275</v>
          </cell>
          <cell r="G258" t="str">
            <v>OUI</v>
          </cell>
          <cell r="H258" t="str">
            <v>TS +20% PAR DEFAUT. T5 BIS MPL. Tarifs non envoyes</v>
          </cell>
          <cell r="I258">
            <v>0</v>
          </cell>
          <cell r="J258">
            <v>0</v>
          </cell>
          <cell r="K258" t="str">
            <v>NON</v>
          </cell>
          <cell r="L258" t="str">
            <v>OK</v>
          </cell>
          <cell r="M258" t="str">
            <v>EN ATTENTE</v>
          </cell>
          <cell r="N258" t="str">
            <v>Non affecté</v>
          </cell>
          <cell r="O258" t="str">
            <v>JPP</v>
          </cell>
          <cell r="P258" t="str">
            <v>Ok mon client</v>
          </cell>
          <cell r="Q258" t="str">
            <v>GENNEVILLIERS</v>
          </cell>
          <cell r="R258" t="str">
            <v>93</v>
          </cell>
          <cell r="S258" t="str">
            <v>22 AV  DIVISON LECLERC</v>
          </cell>
          <cell r="T258">
            <v>93017</v>
          </cell>
          <cell r="U258" t="str">
            <v>BOBIGNY CEDEX</v>
          </cell>
          <cell r="X258" t="str">
            <v>93017</v>
          </cell>
          <cell r="Y258" t="str">
            <v>BOBIGNY CEDEX</v>
          </cell>
          <cell r="AE258">
            <v>1071</v>
          </cell>
          <cell r="AF258">
            <v>0.18342888643880928</v>
          </cell>
          <cell r="AL258">
            <v>1071</v>
          </cell>
          <cell r="AM258">
            <v>1499.3999999999999</v>
          </cell>
          <cell r="AO258" t="str">
            <v>259-G-93SEDIC</v>
          </cell>
          <cell r="AX258">
            <v>0</v>
          </cell>
          <cell r="AY258">
            <v>0</v>
          </cell>
          <cell r="AZ258">
            <v>1092.42</v>
          </cell>
        </row>
        <row r="259">
          <cell r="A259">
            <v>842238</v>
          </cell>
          <cell r="B259" t="str">
            <v>B&amp;X DISTRIBUTION</v>
          </cell>
          <cell r="C259">
            <v>0.65</v>
          </cell>
          <cell r="D259">
            <v>0.1</v>
          </cell>
          <cell r="E259">
            <v>0.02</v>
          </cell>
          <cell r="F259">
            <v>41275</v>
          </cell>
          <cell r="I259">
            <v>0</v>
          </cell>
          <cell r="J259">
            <v>0</v>
          </cell>
          <cell r="K259" t="str">
            <v>OK</v>
          </cell>
          <cell r="L259" t="str">
            <v>OK</v>
          </cell>
          <cell r="N259" t="str">
            <v>Non affecté</v>
          </cell>
          <cell r="O259" t="str">
            <v>AB</v>
          </cell>
          <cell r="P259" t="str">
            <v>Ok mon client</v>
          </cell>
          <cell r="Q259" t="str">
            <v>GENNEVILLIERS</v>
          </cell>
          <cell r="R259" t="str">
            <v>78</v>
          </cell>
          <cell r="S259" t="str">
            <v>35 RUE ARISTIDE BRIAND</v>
          </cell>
          <cell r="T259">
            <v>78130</v>
          </cell>
          <cell r="U259" t="str">
            <v>LES MUREAUX</v>
          </cell>
          <cell r="V259" t="str">
            <v>M.</v>
          </cell>
          <cell r="W259" t="str">
            <v xml:space="preserve">SOURCEAU </v>
          </cell>
          <cell r="X259" t="str">
            <v>78130</v>
          </cell>
          <cell r="Y259" t="str">
            <v>LES MUREAUX</v>
          </cell>
          <cell r="AA259">
            <v>609.71</v>
          </cell>
          <cell r="AD259">
            <v>609.71</v>
          </cell>
          <cell r="AE259">
            <v>674.51</v>
          </cell>
          <cell r="AF259">
            <v>-1.8383715586129324E-2</v>
          </cell>
          <cell r="AG259">
            <v>364.06</v>
          </cell>
          <cell r="AH259">
            <v>0.47692307692307695</v>
          </cell>
          <cell r="AL259">
            <v>1038.57</v>
          </cell>
          <cell r="AM259">
            <v>1453.9979999999998</v>
          </cell>
          <cell r="AN259">
            <v>1.3847370061176623</v>
          </cell>
          <cell r="AO259" t="str">
            <v>001-CONTRAT TYPE +50%</v>
          </cell>
          <cell r="AQ259">
            <v>40598</v>
          </cell>
          <cell r="AX259">
            <v>600.69899999999996</v>
          </cell>
          <cell r="AY259">
            <v>0</v>
          </cell>
          <cell r="AZ259">
            <v>688.00019999999995</v>
          </cell>
        </row>
        <row r="260">
          <cell r="A260">
            <v>543908</v>
          </cell>
          <cell r="B260" t="str">
            <v>NEDSCHROEF FASTENERS SAS</v>
          </cell>
          <cell r="G260" t="str">
            <v>NON</v>
          </cell>
          <cell r="H260" t="str">
            <v>GEFCO SPECIAL/RDV JANVIER POUR MESSAGERIE</v>
          </cell>
          <cell r="I260">
            <v>0</v>
          </cell>
          <cell r="J260">
            <v>0</v>
          </cell>
          <cell r="K260" t="str">
            <v>NON</v>
          </cell>
          <cell r="L260" t="str">
            <v>NON</v>
          </cell>
          <cell r="N260" t="str">
            <v>Non affecté</v>
          </cell>
          <cell r="O260" t="str">
            <v>JPP</v>
          </cell>
          <cell r="P260" t="str">
            <v>Ok mon client</v>
          </cell>
          <cell r="Q260" t="str">
            <v>GENNEVILLIERS</v>
          </cell>
          <cell r="R260" t="str">
            <v>92</v>
          </cell>
          <cell r="S260" t="str">
            <v>6 RUE ANDRAS BECK</v>
          </cell>
          <cell r="T260">
            <v>92360</v>
          </cell>
          <cell r="U260" t="str">
            <v>MEUDON LA FORET</v>
          </cell>
          <cell r="V260" t="str">
            <v>M.</v>
          </cell>
          <cell r="W260" t="str">
            <v>DURIEZ</v>
          </cell>
          <cell r="X260" t="str">
            <v>92360</v>
          </cell>
          <cell r="Y260" t="str">
            <v>MEUDON</v>
          </cell>
          <cell r="AA260">
            <v>866.14</v>
          </cell>
          <cell r="AB260">
            <v>120.56</v>
          </cell>
          <cell r="AD260">
            <v>986.7</v>
          </cell>
          <cell r="AG260">
            <v>118.01</v>
          </cell>
          <cell r="AH260">
            <v>0.79340733836115584</v>
          </cell>
          <cell r="AI260">
            <v>858.04</v>
          </cell>
          <cell r="AJ260">
            <v>-0.89047913109811438</v>
          </cell>
          <cell r="AL260">
            <v>976.05</v>
          </cell>
          <cell r="AM260">
            <v>1366.4699999999998</v>
          </cell>
          <cell r="AN260">
            <v>0.38488902401945846</v>
          </cell>
          <cell r="AO260" t="str">
            <v>001-G-78NEDSCHROEFFASTE</v>
          </cell>
          <cell r="AQ260">
            <v>39630</v>
          </cell>
          <cell r="AX260">
            <v>118.01</v>
          </cell>
          <cell r="AY260">
            <v>858.04</v>
          </cell>
          <cell r="AZ260">
            <v>0</v>
          </cell>
        </row>
        <row r="261">
          <cell r="A261">
            <v>611793</v>
          </cell>
          <cell r="B261" t="str">
            <v>AMI EDITIONS</v>
          </cell>
          <cell r="C261">
            <v>0.1</v>
          </cell>
          <cell r="D261">
            <v>0.1</v>
          </cell>
          <cell r="E261">
            <v>0.02</v>
          </cell>
          <cell r="F261">
            <v>41275</v>
          </cell>
          <cell r="G261" t="str">
            <v>OUI</v>
          </cell>
          <cell r="I261">
            <v>0</v>
          </cell>
          <cell r="J261">
            <v>0</v>
          </cell>
          <cell r="K261" t="str">
            <v>OK</v>
          </cell>
          <cell r="L261" t="str">
            <v>OK</v>
          </cell>
          <cell r="N261" t="str">
            <v>Non affecté</v>
          </cell>
          <cell r="O261" t="str">
            <v>JPP</v>
          </cell>
          <cell r="P261" t="str">
            <v>Ok mon client</v>
          </cell>
          <cell r="Q261" t="str">
            <v>GENNEVILLIERS</v>
          </cell>
          <cell r="R261" t="str">
            <v>92</v>
          </cell>
          <cell r="S261" t="str">
            <v>33 RUE MEDERIC</v>
          </cell>
          <cell r="T261">
            <v>92582</v>
          </cell>
          <cell r="U261" t="str">
            <v>CLICHY CEDEX</v>
          </cell>
          <cell r="X261" t="str">
            <v>92582</v>
          </cell>
          <cell r="Y261" t="str">
            <v>CLICHY CEDEX</v>
          </cell>
          <cell r="Z261">
            <v>424</v>
          </cell>
          <cell r="AD261">
            <v>424</v>
          </cell>
          <cell r="AE261">
            <v>390</v>
          </cell>
          <cell r="AG261">
            <v>584.42000000000007</v>
          </cell>
          <cell r="AH261">
            <v>0.11616399622997173</v>
          </cell>
          <cell r="AL261">
            <v>974.42000000000007</v>
          </cell>
          <cell r="AM261">
            <v>1364.1880000000001</v>
          </cell>
          <cell r="AN261">
            <v>2.217424528301887</v>
          </cell>
          <cell r="AO261" t="str">
            <v>001-G-92AMIEDITIONS</v>
          </cell>
          <cell r="AP261" t="str">
            <v>001-L1-92AMIEDITIONS</v>
          </cell>
          <cell r="AX261">
            <v>642.86200000000008</v>
          </cell>
          <cell r="AY261">
            <v>0</v>
          </cell>
          <cell r="AZ261">
            <v>397.8</v>
          </cell>
        </row>
        <row r="262">
          <cell r="A262">
            <v>676464</v>
          </cell>
          <cell r="B262" t="str">
            <v>TERRA SANTE</v>
          </cell>
          <cell r="C262">
            <v>0.1</v>
          </cell>
          <cell r="D262">
            <v>0.1</v>
          </cell>
          <cell r="E262">
            <v>0.02</v>
          </cell>
          <cell r="F262">
            <v>41275</v>
          </cell>
          <cell r="G262" t="str">
            <v>OUI</v>
          </cell>
          <cell r="I262">
            <v>0</v>
          </cell>
          <cell r="J262">
            <v>0</v>
          </cell>
          <cell r="K262" t="str">
            <v>OK</v>
          </cell>
          <cell r="L262" t="str">
            <v>OK</v>
          </cell>
          <cell r="N262" t="str">
            <v>Non affecté</v>
          </cell>
          <cell r="O262" t="str">
            <v>JPP</v>
          </cell>
          <cell r="P262" t="str">
            <v>Ok mon client</v>
          </cell>
          <cell r="Q262" t="str">
            <v>GENNEVILLIERS</v>
          </cell>
          <cell r="R262" t="str">
            <v>92</v>
          </cell>
          <cell r="S262" t="str">
            <v xml:space="preserve">242 AVENUE PASTEUR              </v>
          </cell>
          <cell r="T262" t="str">
            <v>78630</v>
          </cell>
          <cell r="U262" t="str">
            <v>ORGEVAL</v>
          </cell>
          <cell r="V262" t="str">
            <v>M.</v>
          </cell>
          <cell r="W262" t="str">
            <v>DA GRACA</v>
          </cell>
          <cell r="X262" t="str">
            <v>92321</v>
          </cell>
          <cell r="Y262" t="str">
            <v>CHATILLON</v>
          </cell>
          <cell r="Z262">
            <v>1856.3999999999999</v>
          </cell>
          <cell r="AA262">
            <v>80.760000000000005</v>
          </cell>
          <cell r="AD262">
            <v>1937.1599999999999</v>
          </cell>
          <cell r="AE262">
            <v>973</v>
          </cell>
          <cell r="AF262">
            <v>0.9471910677463159</v>
          </cell>
          <cell r="AL262">
            <v>973</v>
          </cell>
          <cell r="AM262">
            <v>1362.1999999999998</v>
          </cell>
          <cell r="AN262">
            <v>-0.29680563298849871</v>
          </cell>
          <cell r="AO262" t="str">
            <v>001-G-78TERRASANTE</v>
          </cell>
          <cell r="AP262" t="str">
            <v>001-L-78TERRASANTE</v>
          </cell>
          <cell r="AQ262">
            <v>39426</v>
          </cell>
          <cell r="AX262">
            <v>0</v>
          </cell>
          <cell r="AY262">
            <v>0</v>
          </cell>
          <cell r="AZ262">
            <v>992.46</v>
          </cell>
        </row>
        <row r="263">
          <cell r="A263">
            <v>580072</v>
          </cell>
          <cell r="B263" t="str">
            <v>ISCHEBECK FRANCE</v>
          </cell>
          <cell r="E263">
            <v>0.02</v>
          </cell>
          <cell r="F263">
            <v>41275</v>
          </cell>
          <cell r="I263">
            <v>0</v>
          </cell>
          <cell r="J263">
            <v>0</v>
          </cell>
          <cell r="K263" t="str">
            <v>OK</v>
          </cell>
          <cell r="L263" t="str">
            <v>OK</v>
          </cell>
          <cell r="N263" t="str">
            <v>Non affecté</v>
          </cell>
          <cell r="O263" t="str">
            <v>AB</v>
          </cell>
          <cell r="P263" t="str">
            <v>Ok mon client</v>
          </cell>
          <cell r="Q263" t="str">
            <v>GENNEVILLIERS</v>
          </cell>
          <cell r="R263" t="str">
            <v>78</v>
          </cell>
          <cell r="S263" t="str">
            <v>2 RUE D'ESTIENNE D'ORVES</v>
          </cell>
          <cell r="T263">
            <v>78500</v>
          </cell>
          <cell r="U263" t="str">
            <v>SARTROUVILLE</v>
          </cell>
          <cell r="V263" t="str">
            <v>M.</v>
          </cell>
          <cell r="W263" t="str">
            <v>Patrick GAYFFIER</v>
          </cell>
          <cell r="X263" t="str">
            <v>78500</v>
          </cell>
          <cell r="Y263" t="str">
            <v>SARTROUVILLE</v>
          </cell>
          <cell r="Z263">
            <v>2263.63</v>
          </cell>
          <cell r="AD263">
            <v>2263.63</v>
          </cell>
          <cell r="AE263">
            <v>957.09999999999991</v>
          </cell>
          <cell r="AF263">
            <v>0.43387381367523153</v>
          </cell>
          <cell r="AL263">
            <v>957.09999999999991</v>
          </cell>
          <cell r="AM263">
            <v>1339.9399999999998</v>
          </cell>
          <cell r="AN263">
            <v>-0.40805697044128242</v>
          </cell>
          <cell r="AP263" t="str">
            <v>001-L-78ISCHEBECK</v>
          </cell>
          <cell r="AQ263">
            <v>40725</v>
          </cell>
          <cell r="AX263">
            <v>0</v>
          </cell>
          <cell r="AY263">
            <v>0</v>
          </cell>
          <cell r="AZ263">
            <v>976.24199999999996</v>
          </cell>
        </row>
        <row r="264">
          <cell r="A264">
            <v>847058</v>
          </cell>
          <cell r="B264" t="str">
            <v>ERIDIS</v>
          </cell>
          <cell r="C264">
            <v>0.1</v>
          </cell>
          <cell r="D264">
            <v>0.1</v>
          </cell>
          <cell r="E264">
            <v>0.02</v>
          </cell>
          <cell r="F264">
            <v>41275</v>
          </cell>
          <cell r="G264" t="str">
            <v>OUI</v>
          </cell>
          <cell r="I264">
            <v>0</v>
          </cell>
          <cell r="J264">
            <v>0</v>
          </cell>
          <cell r="K264" t="str">
            <v>OK</v>
          </cell>
          <cell r="L264" t="str">
            <v>OK</v>
          </cell>
          <cell r="N264" t="str">
            <v>Non affecté</v>
          </cell>
          <cell r="O264" t="str">
            <v>JPP</v>
          </cell>
          <cell r="P264" t="str">
            <v>Ok mon client</v>
          </cell>
          <cell r="Q264" t="str">
            <v>GENNEVILLIERS</v>
          </cell>
          <cell r="R264" t="str">
            <v>92</v>
          </cell>
          <cell r="S264" t="str">
            <v>9 RUE DU GUE</v>
          </cell>
          <cell r="T264">
            <v>92500</v>
          </cell>
          <cell r="U264" t="str">
            <v>RUEIL MALMAISON</v>
          </cell>
          <cell r="V264" t="str">
            <v>M.</v>
          </cell>
          <cell r="W264" t="str">
            <v>MARCHAND</v>
          </cell>
          <cell r="X264" t="str">
            <v>92500</v>
          </cell>
          <cell r="Y264" t="str">
            <v>RUEIL MALMAISON</v>
          </cell>
          <cell r="Z264">
            <v>1179</v>
          </cell>
          <cell r="AA264">
            <v>345.06</v>
          </cell>
          <cell r="AB264">
            <v>1350.5600000000002</v>
          </cell>
          <cell r="AD264">
            <v>2874.62</v>
          </cell>
          <cell r="AE264">
            <v>178</v>
          </cell>
          <cell r="AF264">
            <v>0.3539325842696629</v>
          </cell>
          <cell r="AI264">
            <v>778.31</v>
          </cell>
          <cell r="AJ264">
            <v>0.70011663570780602</v>
          </cell>
          <cell r="AL264">
            <v>956.31</v>
          </cell>
          <cell r="AM264">
            <v>1338.8339999999998</v>
          </cell>
          <cell r="AN264">
            <v>-0.53425704962742904</v>
          </cell>
          <cell r="AO264" t="str">
            <v>001-G-78ERIDIS</v>
          </cell>
          <cell r="AQ264">
            <v>40703</v>
          </cell>
          <cell r="AX264">
            <v>0</v>
          </cell>
          <cell r="AY264">
            <v>856.14099999999996</v>
          </cell>
          <cell r="AZ264">
            <v>181.56</v>
          </cell>
        </row>
        <row r="265">
          <cell r="A265">
            <v>514776</v>
          </cell>
          <cell r="B265" t="str">
            <v>MASTER LOCK EUROPE</v>
          </cell>
          <cell r="C265">
            <v>0.1</v>
          </cell>
          <cell r="D265">
            <v>0.1</v>
          </cell>
          <cell r="E265">
            <v>0.02</v>
          </cell>
          <cell r="F265">
            <v>41275</v>
          </cell>
          <cell r="G265" t="str">
            <v>OUI</v>
          </cell>
          <cell r="I265">
            <v>0</v>
          </cell>
          <cell r="J265">
            <v>0</v>
          </cell>
          <cell r="K265" t="str">
            <v>OK</v>
          </cell>
          <cell r="L265" t="str">
            <v>OK</v>
          </cell>
          <cell r="N265" t="str">
            <v>Non affecté</v>
          </cell>
          <cell r="O265" t="str">
            <v>JPP</v>
          </cell>
          <cell r="P265" t="str">
            <v>Ok mon client</v>
          </cell>
          <cell r="Q265" t="str">
            <v>GENNEVILLIERS</v>
          </cell>
          <cell r="R265" t="str">
            <v>92</v>
          </cell>
          <cell r="S265" t="str">
            <v>131 AVENUE CHARLES DE GAULLE</v>
          </cell>
          <cell r="T265">
            <v>92200</v>
          </cell>
          <cell r="U265" t="str">
            <v>NEUILLY SUR SEINE</v>
          </cell>
          <cell r="V265" t="str">
            <v>M.</v>
          </cell>
          <cell r="W265" t="str">
            <v>Souverain Romain</v>
          </cell>
          <cell r="X265" t="str">
            <v>92200</v>
          </cell>
          <cell r="Y265" t="str">
            <v>NEUILLY SUR SEINE</v>
          </cell>
          <cell r="Z265">
            <v>495.66</v>
          </cell>
          <cell r="AB265">
            <v>2050.71</v>
          </cell>
          <cell r="AD265">
            <v>2546.37</v>
          </cell>
          <cell r="AE265">
            <v>649</v>
          </cell>
          <cell r="AF265">
            <v>0.20138055222088838</v>
          </cell>
          <cell r="AG265">
            <v>27.5</v>
          </cell>
          <cell r="AI265">
            <v>257.78999999999996</v>
          </cell>
          <cell r="AJ265">
            <v>-8.5350555219997376E-2</v>
          </cell>
          <cell r="AL265">
            <v>934.29</v>
          </cell>
          <cell r="AM265">
            <v>1308.0059999999999</v>
          </cell>
          <cell r="AN265">
            <v>-0.48632523945852335</v>
          </cell>
          <cell r="AO265" t="str">
            <v>001-G-92MASTERLOCK</v>
          </cell>
          <cell r="AQ265">
            <v>40648</v>
          </cell>
          <cell r="AX265">
            <v>30.250000000000004</v>
          </cell>
          <cell r="AY265">
            <v>283.56899999999996</v>
          </cell>
          <cell r="AZ265">
            <v>661.98</v>
          </cell>
        </row>
        <row r="266">
          <cell r="A266">
            <v>379241</v>
          </cell>
          <cell r="B266" t="str">
            <v>FORTIN LE PROGRES</v>
          </cell>
          <cell r="C266">
            <v>0.1</v>
          </cell>
          <cell r="D266">
            <v>0.1</v>
          </cell>
          <cell r="E266">
            <v>0.02</v>
          </cell>
          <cell r="F266">
            <v>41306</v>
          </cell>
          <cell r="G266" t="str">
            <v>OUI</v>
          </cell>
          <cell r="I266">
            <v>0</v>
          </cell>
          <cell r="J266">
            <v>0</v>
          </cell>
          <cell r="K266" t="str">
            <v>OK</v>
          </cell>
          <cell r="L266" t="str">
            <v>OK</v>
          </cell>
          <cell r="N266" t="str">
            <v>Non affecté</v>
          </cell>
          <cell r="O266" t="str">
            <v>JPP</v>
          </cell>
          <cell r="P266" t="str">
            <v>Ok mon client</v>
          </cell>
          <cell r="Q266" t="str">
            <v>GENNEVILLIERS</v>
          </cell>
          <cell r="R266" t="str">
            <v>92</v>
          </cell>
          <cell r="S266" t="str">
            <v>33 RUE MEDERIC</v>
          </cell>
          <cell r="T266" t="str">
            <v>92113</v>
          </cell>
          <cell r="U266" t="str">
            <v>CLICHY</v>
          </cell>
          <cell r="V266" t="str">
            <v>M.</v>
          </cell>
          <cell r="W266" t="str">
            <v>FACHINI</v>
          </cell>
          <cell r="X266" t="str">
            <v>92113</v>
          </cell>
          <cell r="Y266" t="str">
            <v>CLICHY</v>
          </cell>
          <cell r="Z266">
            <v>1705</v>
          </cell>
          <cell r="AA266">
            <v>2132.79</v>
          </cell>
          <cell r="AD266">
            <v>3837.79</v>
          </cell>
          <cell r="AG266">
            <v>932.93</v>
          </cell>
          <cell r="AH266">
            <v>0.81955853672950774</v>
          </cell>
          <cell r="AL266">
            <v>932.93</v>
          </cell>
          <cell r="AM266">
            <v>1306.1019999999999</v>
          </cell>
          <cell r="AN266">
            <v>-0.65967340578822709</v>
          </cell>
          <cell r="AO266" t="str">
            <v>001-G-92FORTINLE</v>
          </cell>
          <cell r="AX266">
            <v>1026.223</v>
          </cell>
          <cell r="AY266">
            <v>0</v>
          </cell>
          <cell r="AZ266">
            <v>0</v>
          </cell>
        </row>
        <row r="267">
          <cell r="A267">
            <v>598351</v>
          </cell>
          <cell r="B267" t="str">
            <v>INSTITUT LAUGIER</v>
          </cell>
          <cell r="C267">
            <v>0.1</v>
          </cell>
          <cell r="D267">
            <v>0.1</v>
          </cell>
          <cell r="E267">
            <v>0.02</v>
          </cell>
          <cell r="F267">
            <v>41275</v>
          </cell>
          <cell r="G267" t="str">
            <v>OUI</v>
          </cell>
          <cell r="I267">
            <v>0</v>
          </cell>
          <cell r="J267">
            <v>0</v>
          </cell>
          <cell r="K267" t="str">
            <v>OK</v>
          </cell>
          <cell r="L267" t="str">
            <v>OK</v>
          </cell>
          <cell r="M267" t="str">
            <v>OK</v>
          </cell>
          <cell r="N267" t="str">
            <v>Non affecté</v>
          </cell>
          <cell r="O267" t="str">
            <v>JPP</v>
          </cell>
          <cell r="P267" t="str">
            <v>Ok mon client</v>
          </cell>
          <cell r="Q267" t="str">
            <v>GENNEVILLIERS</v>
          </cell>
          <cell r="R267" t="str">
            <v>75</v>
          </cell>
          <cell r="S267" t="str">
            <v>39 bis rue Laugier</v>
          </cell>
          <cell r="T267" t="str">
            <v>75017</v>
          </cell>
          <cell r="U267" t="str">
            <v>PARIS</v>
          </cell>
          <cell r="W267" t="str">
            <v>Directeur Logistique et Transports</v>
          </cell>
          <cell r="X267" t="str">
            <v>75017</v>
          </cell>
          <cell r="Y267" t="str">
            <v>PARIS</v>
          </cell>
          <cell r="AG267">
            <v>921.46</v>
          </cell>
          <cell r="AH267">
            <v>-0.10665815640956712</v>
          </cell>
          <cell r="AL267">
            <v>921.46</v>
          </cell>
          <cell r="AM267">
            <v>1290.0439999999999</v>
          </cell>
          <cell r="AO267" t="str">
            <v>259-G-75LAUGIER</v>
          </cell>
          <cell r="AX267">
            <v>1013.6060000000001</v>
          </cell>
          <cell r="AY267">
            <v>0</v>
          </cell>
          <cell r="AZ267">
            <v>0</v>
          </cell>
        </row>
        <row r="268">
          <cell r="A268">
            <v>524437</v>
          </cell>
          <cell r="B268" t="str">
            <v>DAN IMPORT</v>
          </cell>
          <cell r="C268">
            <v>0.1</v>
          </cell>
          <cell r="D268">
            <v>0.1</v>
          </cell>
          <cell r="E268">
            <v>0.02</v>
          </cell>
          <cell r="F268">
            <v>41275</v>
          </cell>
          <cell r="G268" t="str">
            <v>OUI</v>
          </cell>
          <cell r="I268">
            <v>0</v>
          </cell>
          <cell r="J268">
            <v>0</v>
          </cell>
          <cell r="K268" t="str">
            <v>OK</v>
          </cell>
          <cell r="L268" t="str">
            <v>OK</v>
          </cell>
          <cell r="N268" t="str">
            <v>Non affecté</v>
          </cell>
          <cell r="O268" t="str">
            <v>MM</v>
          </cell>
          <cell r="P268" t="str">
            <v>Ok mon client</v>
          </cell>
          <cell r="Q268" t="str">
            <v>GENNEVILLIERS</v>
          </cell>
          <cell r="R268" t="str">
            <v>95</v>
          </cell>
          <cell r="S268" t="str">
            <v>2 RUE DES CURES</v>
          </cell>
          <cell r="T268" t="str">
            <v>95580</v>
          </cell>
          <cell r="U268" t="str">
            <v>ANDILLY</v>
          </cell>
          <cell r="V268" t="str">
            <v>M.</v>
          </cell>
          <cell r="W268" t="str">
            <v>FERRIGNO Daniel</v>
          </cell>
          <cell r="X268" t="str">
            <v>95580</v>
          </cell>
          <cell r="Y268" t="str">
            <v>ANDILLY</v>
          </cell>
          <cell r="AA268">
            <v>2499.9399999999996</v>
          </cell>
          <cell r="AD268">
            <v>2499.9399999999996</v>
          </cell>
          <cell r="AG268">
            <v>896.9</v>
          </cell>
          <cell r="AH268">
            <v>0.65793650793650793</v>
          </cell>
          <cell r="AL268">
            <v>896.9</v>
          </cell>
          <cell r="AM268">
            <v>1255.6599999999999</v>
          </cell>
          <cell r="AN268">
            <v>-0.497723945374689</v>
          </cell>
          <cell r="AO268" t="str">
            <v>001-G-95DANIMPORT</v>
          </cell>
          <cell r="AX268">
            <v>986.59</v>
          </cell>
          <cell r="AY268">
            <v>0</v>
          </cell>
          <cell r="AZ268">
            <v>0</v>
          </cell>
        </row>
        <row r="269">
          <cell r="A269">
            <v>849804</v>
          </cell>
          <cell r="B269" t="str">
            <v>EMCI</v>
          </cell>
          <cell r="C269">
            <v>0.1</v>
          </cell>
          <cell r="D269">
            <v>0.1</v>
          </cell>
          <cell r="E269">
            <v>0.02</v>
          </cell>
          <cell r="F269">
            <v>41275</v>
          </cell>
          <cell r="I269">
            <v>0</v>
          </cell>
          <cell r="J269">
            <v>0</v>
          </cell>
          <cell r="K269" t="str">
            <v>OK</v>
          </cell>
          <cell r="L269" t="str">
            <v>OK</v>
          </cell>
          <cell r="N269" t="str">
            <v>Non affecté</v>
          </cell>
          <cell r="O269" t="str">
            <v>AB</v>
          </cell>
          <cell r="P269" t="str">
            <v>Ok mon client</v>
          </cell>
          <cell r="Q269" t="str">
            <v>GENNEVILLIERS</v>
          </cell>
          <cell r="R269" t="str">
            <v>78</v>
          </cell>
          <cell r="S269" t="str">
            <v>8 ROUTE DE SAINT HUBERT</v>
          </cell>
          <cell r="T269">
            <v>78610</v>
          </cell>
          <cell r="U269" t="str">
            <v>LE PERRAY EN YVELINES</v>
          </cell>
          <cell r="V269" t="str">
            <v>Mme</v>
          </cell>
          <cell r="W269" t="str">
            <v>BRIAND</v>
          </cell>
          <cell r="X269" t="str">
            <v>78610</v>
          </cell>
          <cell r="Y269" t="str">
            <v>LE PERRAY EN YVELINES</v>
          </cell>
          <cell r="AA269">
            <v>657.33</v>
          </cell>
          <cell r="AB269">
            <v>241.54</v>
          </cell>
          <cell r="AD269">
            <v>898.87</v>
          </cell>
          <cell r="AG269">
            <v>839.13</v>
          </cell>
          <cell r="AH269">
            <v>0.2712890591595547</v>
          </cell>
          <cell r="AL269">
            <v>839.13</v>
          </cell>
          <cell r="AM269">
            <v>1174.7819999999999</v>
          </cell>
          <cell r="AN269">
            <v>0.30695428704929517</v>
          </cell>
          <cell r="AO269" t="str">
            <v>001-G-78EMCI</v>
          </cell>
          <cell r="AP269" t="str">
            <v>001-L1-78EMCI</v>
          </cell>
          <cell r="AQ269">
            <v>40744</v>
          </cell>
          <cell r="AX269">
            <v>923.04300000000012</v>
          </cell>
          <cell r="AY269">
            <v>0</v>
          </cell>
          <cell r="AZ269">
            <v>0</v>
          </cell>
        </row>
        <row r="270">
          <cell r="A270">
            <v>382607</v>
          </cell>
          <cell r="B270" t="str">
            <v>SWANTECH INT'L SARL</v>
          </cell>
          <cell r="C270">
            <v>0.1</v>
          </cell>
          <cell r="D270">
            <v>0.1</v>
          </cell>
          <cell r="E270">
            <v>0.02</v>
          </cell>
          <cell r="F270">
            <v>41306</v>
          </cell>
          <cell r="G270" t="str">
            <v>OUI</v>
          </cell>
          <cell r="I270">
            <v>0</v>
          </cell>
          <cell r="J270">
            <v>0</v>
          </cell>
          <cell r="K270" t="str">
            <v>OK</v>
          </cell>
          <cell r="L270" t="str">
            <v>OK</v>
          </cell>
          <cell r="N270" t="str">
            <v>Non affecté</v>
          </cell>
          <cell r="O270" t="str">
            <v>JPP</v>
          </cell>
          <cell r="P270" t="str">
            <v>Ok mon client</v>
          </cell>
          <cell r="Q270" t="str">
            <v>GENNEVILLIERS</v>
          </cell>
          <cell r="R270" t="str">
            <v>92</v>
          </cell>
          <cell r="S270" t="str">
            <v>5 PLACE DES VILLES JUMELEES</v>
          </cell>
          <cell r="T270" t="str">
            <v>92230</v>
          </cell>
          <cell r="U270" t="str">
            <v>GENNEVILLIERS</v>
          </cell>
          <cell r="W270" t="str">
            <v>Directeur Logistique et Transports</v>
          </cell>
          <cell r="X270" t="str">
            <v>92230</v>
          </cell>
          <cell r="Y270" t="str">
            <v>GENNEVILLIERS</v>
          </cell>
          <cell r="AB270">
            <v>702.87999999999988</v>
          </cell>
          <cell r="AD270">
            <v>702.87999999999988</v>
          </cell>
          <cell r="AI270">
            <v>833.66</v>
          </cell>
          <cell r="AJ270">
            <v>0.676056338028169</v>
          </cell>
          <cell r="AL270">
            <v>833.66</v>
          </cell>
          <cell r="AM270">
            <v>1167.1239999999998</v>
          </cell>
          <cell r="AN270">
            <v>0.66048827680400635</v>
          </cell>
          <cell r="AO270" t="str">
            <v>001-CONTRAT TYPE +50%</v>
          </cell>
          <cell r="AX270">
            <v>0</v>
          </cell>
          <cell r="AY270">
            <v>917.02600000000007</v>
          </cell>
          <cell r="AZ270">
            <v>0</v>
          </cell>
        </row>
        <row r="271">
          <cell r="A271">
            <v>615938</v>
          </cell>
          <cell r="B271" t="str">
            <v>RAILTECH INTERNATIONAL</v>
          </cell>
          <cell r="G271" t="str">
            <v>NON</v>
          </cell>
          <cell r="H271" t="str">
            <v>PERDU</v>
          </cell>
          <cell r="I271">
            <v>0</v>
          </cell>
          <cell r="J271">
            <v>0</v>
          </cell>
          <cell r="K271" t="str">
            <v>NON</v>
          </cell>
          <cell r="L271" t="str">
            <v>NON</v>
          </cell>
          <cell r="N271" t="str">
            <v>Non affecté</v>
          </cell>
          <cell r="O271" t="str">
            <v>JPP</v>
          </cell>
          <cell r="P271" t="str">
            <v>Ok mon client</v>
          </cell>
          <cell r="Q271" t="str">
            <v>GENNEVILLIERS</v>
          </cell>
          <cell r="R271" t="str">
            <v>59</v>
          </cell>
          <cell r="S271" t="str">
            <v>119 AVENUE LOUIS ROCHE</v>
          </cell>
          <cell r="T271">
            <v>92230</v>
          </cell>
          <cell r="U271" t="str">
            <v>GENNEVILLIERS</v>
          </cell>
          <cell r="V271" t="str">
            <v>Mme</v>
          </cell>
          <cell r="W271" t="str">
            <v>MACAREZ</v>
          </cell>
          <cell r="X271" t="str">
            <v>59590</v>
          </cell>
          <cell r="Y271" t="str">
            <v>RAISMES</v>
          </cell>
          <cell r="Z271">
            <v>17.730000000000018</v>
          </cell>
          <cell r="AA271">
            <v>8832.94</v>
          </cell>
          <cell r="AD271">
            <v>8850.67</v>
          </cell>
          <cell r="AG271">
            <v>826.08</v>
          </cell>
          <cell r="AH271">
            <v>0.53209158545530766</v>
          </cell>
          <cell r="AL271">
            <v>826.08</v>
          </cell>
          <cell r="AM271">
            <v>1156.5119999999999</v>
          </cell>
          <cell r="AN271">
            <v>-0.86933057045398821</v>
          </cell>
          <cell r="AO271" t="str">
            <v>001-G-92RAILTECH</v>
          </cell>
          <cell r="AP271" t="str">
            <v>001-L-92RAILTECH</v>
          </cell>
          <cell r="AQ271">
            <v>39366</v>
          </cell>
          <cell r="AX271">
            <v>826.08</v>
          </cell>
          <cell r="AY271">
            <v>0</v>
          </cell>
          <cell r="AZ271">
            <v>0</v>
          </cell>
        </row>
        <row r="272">
          <cell r="A272">
            <v>384894</v>
          </cell>
          <cell r="B272" t="str">
            <v>SIGNATURE MURALE</v>
          </cell>
          <cell r="C272">
            <v>0.1</v>
          </cell>
          <cell r="D272">
            <v>0.1</v>
          </cell>
          <cell r="E272">
            <v>0.02</v>
          </cell>
          <cell r="F272">
            <v>41306</v>
          </cell>
          <cell r="G272" t="str">
            <v>OUI</v>
          </cell>
          <cell r="I272">
            <v>0</v>
          </cell>
          <cell r="J272">
            <v>0</v>
          </cell>
          <cell r="K272" t="str">
            <v>OK</v>
          </cell>
          <cell r="L272" t="str">
            <v>OK</v>
          </cell>
          <cell r="N272" t="str">
            <v>Non affecté</v>
          </cell>
          <cell r="O272" t="str">
            <v>JPP</v>
          </cell>
          <cell r="P272" t="str">
            <v>Ok mon client</v>
          </cell>
          <cell r="Q272" t="str">
            <v>GENNEVILLIERS</v>
          </cell>
          <cell r="R272" t="str">
            <v>92</v>
          </cell>
          <cell r="S272" t="str">
            <v xml:space="preserve">21 rue des minimes </v>
          </cell>
          <cell r="T272" t="str">
            <v>92400</v>
          </cell>
          <cell r="U272" t="str">
            <v>COURBEVOIE</v>
          </cell>
          <cell r="V272" t="str">
            <v>Mlle</v>
          </cell>
          <cell r="W272" t="str">
            <v>LY DAVY</v>
          </cell>
          <cell r="X272" t="str">
            <v>92400</v>
          </cell>
          <cell r="Y272" t="str">
            <v>COURBEVOIE</v>
          </cell>
          <cell r="Z272">
            <v>881.92000000000007</v>
          </cell>
          <cell r="AA272">
            <v>654.38</v>
          </cell>
          <cell r="AB272">
            <v>2108.71</v>
          </cell>
          <cell r="AD272">
            <v>3645.01</v>
          </cell>
          <cell r="AI272">
            <v>821.77</v>
          </cell>
          <cell r="AJ272">
            <v>0.60870430835390621</v>
          </cell>
          <cell r="AL272">
            <v>821.77</v>
          </cell>
          <cell r="AM272">
            <v>1150.4779999999998</v>
          </cell>
          <cell r="AN272">
            <v>-0.68436904151154598</v>
          </cell>
          <cell r="AO272" t="str">
            <v>001-G-92SIGNATUREMURALE</v>
          </cell>
          <cell r="AP272" t="str">
            <v>001-L-92SIGNATUREMURALE</v>
          </cell>
          <cell r="AQ272">
            <v>38035</v>
          </cell>
          <cell r="AX272">
            <v>0</v>
          </cell>
          <cell r="AY272">
            <v>903.947</v>
          </cell>
          <cell r="AZ272">
            <v>0</v>
          </cell>
        </row>
        <row r="273">
          <cell r="A273">
            <v>24902</v>
          </cell>
          <cell r="B273" t="str">
            <v>DIFFUREP</v>
          </cell>
          <cell r="C273">
            <v>0.1</v>
          </cell>
          <cell r="D273">
            <v>0.1</v>
          </cell>
          <cell r="E273">
            <v>0.02</v>
          </cell>
          <cell r="F273">
            <v>41306</v>
          </cell>
          <cell r="G273" t="str">
            <v>OUI</v>
          </cell>
          <cell r="I273">
            <v>0</v>
          </cell>
          <cell r="J273">
            <v>0</v>
          </cell>
          <cell r="K273" t="str">
            <v>OK</v>
          </cell>
          <cell r="L273" t="str">
            <v>OK</v>
          </cell>
          <cell r="N273" t="str">
            <v>Non affecté</v>
          </cell>
          <cell r="O273" t="str">
            <v>JPP</v>
          </cell>
          <cell r="P273" t="str">
            <v>Ok mon client</v>
          </cell>
          <cell r="Q273" t="str">
            <v>GENNEVILLIERS</v>
          </cell>
          <cell r="R273" t="str">
            <v>92</v>
          </cell>
          <cell r="S273" t="str">
            <v>41 RUE PARMENTIER</v>
          </cell>
          <cell r="T273" t="str">
            <v>92600</v>
          </cell>
          <cell r="U273" t="str">
            <v>ASNIERES SUR SEINE</v>
          </cell>
          <cell r="W273" t="str">
            <v>Directeur Logistique et Transports</v>
          </cell>
          <cell r="X273" t="str">
            <v>92600</v>
          </cell>
          <cell r="Y273" t="str">
            <v>ASNIERES SUR SEINE</v>
          </cell>
          <cell r="AA273">
            <v>988.99</v>
          </cell>
          <cell r="AD273">
            <v>988.99</v>
          </cell>
          <cell r="AE273">
            <v>219</v>
          </cell>
          <cell r="AG273">
            <v>570.05999999999995</v>
          </cell>
          <cell r="AH273">
            <v>0.49337153275166035</v>
          </cell>
          <cell r="AL273">
            <v>789.06</v>
          </cell>
          <cell r="AM273">
            <v>1104.6839999999997</v>
          </cell>
          <cell r="AN273">
            <v>0.11698197150628387</v>
          </cell>
          <cell r="AO273" t="str">
            <v>001-CONTRAT TYPE +50%</v>
          </cell>
          <cell r="AX273">
            <v>627.06600000000003</v>
          </cell>
          <cell r="AY273">
            <v>0</v>
          </cell>
          <cell r="AZ273">
            <v>223.38</v>
          </cell>
        </row>
        <row r="274">
          <cell r="A274">
            <v>587746</v>
          </cell>
          <cell r="B274" t="str">
            <v>ELECTROFORGE INDUSTRIES SAS</v>
          </cell>
          <cell r="H274" t="str">
            <v>PAS DE CONTRAT INES</v>
          </cell>
          <cell r="I274">
            <v>0</v>
          </cell>
          <cell r="J274">
            <v>0</v>
          </cell>
          <cell r="K274" t="str">
            <v>NON</v>
          </cell>
          <cell r="L274" t="str">
            <v>NON</v>
          </cell>
          <cell r="N274" t="str">
            <v>Non affecté</v>
          </cell>
          <cell r="O274" t="str">
            <v>AB</v>
          </cell>
          <cell r="P274" t="str">
            <v>Ok mon client</v>
          </cell>
          <cell r="Q274" t="str">
            <v>GENNEVILLIERS</v>
          </cell>
          <cell r="R274" t="str">
            <v>28</v>
          </cell>
          <cell r="S274" t="str">
            <v>1 ROUTE D'YMERAY BP 11</v>
          </cell>
          <cell r="T274">
            <v>28320</v>
          </cell>
          <cell r="U274" t="str">
            <v>GALLARDON</v>
          </cell>
          <cell r="X274" t="str">
            <v>28320</v>
          </cell>
          <cell r="Y274" t="str">
            <v>GALLARDON</v>
          </cell>
          <cell r="AE274">
            <v>750</v>
          </cell>
          <cell r="AL274">
            <v>750</v>
          </cell>
          <cell r="AM274">
            <v>1050</v>
          </cell>
          <cell r="AX274">
            <v>0</v>
          </cell>
          <cell r="AY274">
            <v>0</v>
          </cell>
          <cell r="AZ274">
            <v>750</v>
          </cell>
        </row>
        <row r="275">
          <cell r="A275">
            <v>7939</v>
          </cell>
          <cell r="B275" t="str">
            <v>PAUL BUGNOT SA</v>
          </cell>
          <cell r="G275" t="str">
            <v>OUI</v>
          </cell>
          <cell r="H275" t="str">
            <v>PAS DE CONTRAT INES</v>
          </cell>
          <cell r="I275">
            <v>0</v>
          </cell>
          <cell r="J275">
            <v>0</v>
          </cell>
          <cell r="K275" t="str">
            <v>NON</v>
          </cell>
          <cell r="L275" t="str">
            <v>NON</v>
          </cell>
          <cell r="N275" t="str">
            <v>Non affecté</v>
          </cell>
          <cell r="O275" t="str">
            <v>JPP</v>
          </cell>
          <cell r="P275" t="str">
            <v>Ok mon client</v>
          </cell>
          <cell r="Q275" t="str">
            <v>GENNEVILLIERS</v>
          </cell>
          <cell r="R275" t="str">
            <v>93</v>
          </cell>
          <cell r="S275" t="str">
            <v>130/132 AVENUE DU MARECHAL FOCH</v>
          </cell>
          <cell r="T275">
            <v>93360</v>
          </cell>
          <cell r="U275" t="str">
            <v>NEUILLY PLAISANCE</v>
          </cell>
          <cell r="X275" t="str">
            <v>93360</v>
          </cell>
          <cell r="Y275" t="str">
            <v>NEUILLY PLAISANCE</v>
          </cell>
          <cell r="AE275">
            <v>750</v>
          </cell>
          <cell r="AL275">
            <v>750</v>
          </cell>
          <cell r="AM275">
            <v>1050</v>
          </cell>
          <cell r="AX275">
            <v>0</v>
          </cell>
          <cell r="AY275">
            <v>0</v>
          </cell>
          <cell r="AZ275">
            <v>750</v>
          </cell>
        </row>
        <row r="276">
          <cell r="A276">
            <v>586765</v>
          </cell>
          <cell r="B276" t="str">
            <v>CONTINENTAL AUTOMOTIVE RAMBOUILLET</v>
          </cell>
          <cell r="C276">
            <v>0.1</v>
          </cell>
          <cell r="D276">
            <v>0.1</v>
          </cell>
          <cell r="E276">
            <v>0.02</v>
          </cell>
          <cell r="F276">
            <v>41306</v>
          </cell>
          <cell r="G276" t="str">
            <v>OUI</v>
          </cell>
          <cell r="I276">
            <v>0</v>
          </cell>
          <cell r="J276">
            <v>0</v>
          </cell>
          <cell r="K276" t="str">
            <v>OK</v>
          </cell>
          <cell r="L276" t="str">
            <v>OK</v>
          </cell>
          <cell r="N276" t="str">
            <v>Non affecté</v>
          </cell>
          <cell r="O276" t="str">
            <v>JPP</v>
          </cell>
          <cell r="P276" t="str">
            <v>Ok mon client</v>
          </cell>
          <cell r="Q276" t="str">
            <v>GENNEVILLIERS</v>
          </cell>
          <cell r="R276" t="str">
            <v>31</v>
          </cell>
          <cell r="S276" t="str">
            <v>AVENUE DU MIRAIL</v>
          </cell>
          <cell r="T276" t="str">
            <v>31036</v>
          </cell>
          <cell r="U276" t="str">
            <v>TOULOUSE CEDEX</v>
          </cell>
          <cell r="W276" t="str">
            <v>Directeur Logistique et Transports</v>
          </cell>
          <cell r="X276" t="str">
            <v>31036</v>
          </cell>
          <cell r="Y276" t="str">
            <v>TOULOUSE CEDEX 1</v>
          </cell>
          <cell r="AA276">
            <v>131.32</v>
          </cell>
          <cell r="AB276">
            <v>1165.5700000000004</v>
          </cell>
          <cell r="AD276">
            <v>1296.8900000000003</v>
          </cell>
          <cell r="AG276">
            <v>405.51</v>
          </cell>
          <cell r="AH276">
            <v>0.73366871347192419</v>
          </cell>
          <cell r="AI276">
            <v>327.15000000000009</v>
          </cell>
          <cell r="AJ276">
            <v>0.51124703401001836</v>
          </cell>
          <cell r="AL276">
            <v>732.66000000000008</v>
          </cell>
          <cell r="AM276">
            <v>1025.7240000000002</v>
          </cell>
          <cell r="AN276">
            <v>-0.20908943703783678</v>
          </cell>
          <cell r="AO276" t="str">
            <v>001-G-92CONTINENTAL</v>
          </cell>
          <cell r="AP276" t="str">
            <v>001_T3_92CONTINENTAL</v>
          </cell>
          <cell r="AX276">
            <v>446.06100000000004</v>
          </cell>
          <cell r="AY276">
            <v>359.86500000000012</v>
          </cell>
          <cell r="AZ276">
            <v>0</v>
          </cell>
        </row>
        <row r="277">
          <cell r="A277">
            <v>74646</v>
          </cell>
          <cell r="B277" t="str">
            <v>ADVERTISING AGENCY</v>
          </cell>
          <cell r="C277">
            <v>0.65</v>
          </cell>
          <cell r="D277">
            <v>0.1</v>
          </cell>
          <cell r="E277">
            <v>0.02</v>
          </cell>
          <cell r="F277">
            <v>41275</v>
          </cell>
          <cell r="I277">
            <v>0</v>
          </cell>
          <cell r="J277">
            <v>0</v>
          </cell>
          <cell r="K277" t="str">
            <v>OK</v>
          </cell>
          <cell r="L277" t="str">
            <v>OK</v>
          </cell>
          <cell r="N277" t="str">
            <v>Non affecté</v>
          </cell>
          <cell r="O277" t="str">
            <v>AB</v>
          </cell>
          <cell r="P277" t="str">
            <v>Ok mon client</v>
          </cell>
          <cell r="Q277" t="str">
            <v>GENNEVILLIERS</v>
          </cell>
          <cell r="R277" t="str">
            <v>78</v>
          </cell>
          <cell r="S277" t="str">
            <v>31 AVENUE DE LA REPUBLIQUE</v>
          </cell>
          <cell r="T277" t="str">
            <v>78500</v>
          </cell>
          <cell r="U277" t="str">
            <v>SARTROUVILLE</v>
          </cell>
          <cell r="V277" t="str">
            <v>Mme</v>
          </cell>
          <cell r="W277" t="str">
            <v>JELASSI</v>
          </cell>
          <cell r="X277" t="str">
            <v>78500</v>
          </cell>
          <cell r="Y277" t="str">
            <v>SARTROUVILLE</v>
          </cell>
          <cell r="AA277">
            <v>750.41</v>
          </cell>
          <cell r="AD277">
            <v>750.41</v>
          </cell>
          <cell r="AG277">
            <v>602.75</v>
          </cell>
          <cell r="AH277">
            <v>0.7992935898047826</v>
          </cell>
          <cell r="AI277">
            <v>118.82</v>
          </cell>
          <cell r="AJ277">
            <v>0.96247960848287106</v>
          </cell>
          <cell r="AL277">
            <v>721.56999999999994</v>
          </cell>
          <cell r="AM277">
            <v>1010.1979999999999</v>
          </cell>
          <cell r="AN277">
            <v>0.34619474687170992</v>
          </cell>
          <cell r="AO277" t="str">
            <v>001-CONTRAT TYPE +50%</v>
          </cell>
          <cell r="AX277">
            <v>994.53749999999991</v>
          </cell>
          <cell r="AY277">
            <v>130.702</v>
          </cell>
          <cell r="AZ277">
            <v>0</v>
          </cell>
        </row>
        <row r="278">
          <cell r="A278">
            <v>595870</v>
          </cell>
          <cell r="B278" t="str">
            <v>ESCARIUS LABORATOIRES</v>
          </cell>
          <cell r="G278" t="str">
            <v>NON</v>
          </cell>
          <cell r="H278" t="str">
            <v>PERDU</v>
          </cell>
          <cell r="I278">
            <v>0</v>
          </cell>
          <cell r="J278">
            <v>0</v>
          </cell>
          <cell r="K278" t="str">
            <v>NON</v>
          </cell>
          <cell r="L278" t="str">
            <v>NON</v>
          </cell>
          <cell r="N278" t="str">
            <v>Non affecté</v>
          </cell>
          <cell r="O278" t="str">
            <v>JPP</v>
          </cell>
          <cell r="P278" t="str">
            <v>Ok mon client</v>
          </cell>
          <cell r="Q278" t="str">
            <v>GENNEVILLIERS</v>
          </cell>
          <cell r="R278" t="str">
            <v>93</v>
          </cell>
          <cell r="S278" t="str">
            <v>4 RUE PIERRE CURIE</v>
          </cell>
          <cell r="T278" t="str">
            <v>93300</v>
          </cell>
          <cell r="U278" t="str">
            <v>AUBERVILLIERS</v>
          </cell>
          <cell r="W278" t="str">
            <v>Directeur Logistique et Transports</v>
          </cell>
          <cell r="X278" t="str">
            <v>93120</v>
          </cell>
          <cell r="Y278" t="str">
            <v>LA COURNEUVE</v>
          </cell>
          <cell r="Z278">
            <v>1564.45</v>
          </cell>
          <cell r="AA278">
            <v>242.23</v>
          </cell>
          <cell r="AB278">
            <v>-72.78</v>
          </cell>
          <cell r="AD278">
            <v>1733.9</v>
          </cell>
          <cell r="AI278">
            <v>719.01</v>
          </cell>
          <cell r="AJ278">
            <v>7.2238128491620106</v>
          </cell>
          <cell r="AL278">
            <v>719.01</v>
          </cell>
          <cell r="AM278">
            <v>1006.6139999999999</v>
          </cell>
          <cell r="AN278">
            <v>-0.41945094872830047</v>
          </cell>
          <cell r="AO278" t="str">
            <v>259-G-93ESCARIUS</v>
          </cell>
          <cell r="AP278" t="str">
            <v>001-L1-93ESCARIUS</v>
          </cell>
          <cell r="AX278">
            <v>0</v>
          </cell>
          <cell r="AY278">
            <v>719.01</v>
          </cell>
          <cell r="AZ278">
            <v>0</v>
          </cell>
        </row>
        <row r="279">
          <cell r="A279">
            <v>57281</v>
          </cell>
          <cell r="B279" t="str">
            <v>CLARK DIFFUSION</v>
          </cell>
          <cell r="C279">
            <v>0.1</v>
          </cell>
          <cell r="D279">
            <v>0.1</v>
          </cell>
          <cell r="E279">
            <v>0.02</v>
          </cell>
          <cell r="F279">
            <v>41275</v>
          </cell>
          <cell r="G279" t="str">
            <v>OUI</v>
          </cell>
          <cell r="I279">
            <v>0</v>
          </cell>
          <cell r="J279">
            <v>0</v>
          </cell>
          <cell r="K279" t="str">
            <v>OK</v>
          </cell>
          <cell r="L279" t="str">
            <v>OK</v>
          </cell>
          <cell r="N279" t="str">
            <v>Non affecté</v>
          </cell>
          <cell r="O279" t="str">
            <v>MM</v>
          </cell>
          <cell r="P279" t="str">
            <v>Ok mon client</v>
          </cell>
          <cell r="Q279" t="str">
            <v>GENNEVILLIERS</v>
          </cell>
          <cell r="R279" t="str">
            <v>95</v>
          </cell>
          <cell r="S279" t="str">
            <v>24 ILE DE FRANCE</v>
          </cell>
          <cell r="T279" t="str">
            <v>95077</v>
          </cell>
          <cell r="U279" t="str">
            <v>CERGY PONTOISE CEDEX</v>
          </cell>
          <cell r="V279" t="str">
            <v>M.</v>
          </cell>
          <cell r="W279" t="str">
            <v>AKOKA</v>
          </cell>
          <cell r="X279" t="str">
            <v>95077</v>
          </cell>
          <cell r="Y279" t="str">
            <v>CERGY PONTOISE CEDEX</v>
          </cell>
          <cell r="AA279">
            <v>449.05999999999995</v>
          </cell>
          <cell r="AB279">
            <v>45.42</v>
          </cell>
          <cell r="AD279">
            <v>494.47999999999996</v>
          </cell>
          <cell r="AG279">
            <v>644.41000000000008</v>
          </cell>
          <cell r="AH279">
            <v>0.75667225865487264</v>
          </cell>
          <cell r="AI279">
            <v>70.48</v>
          </cell>
          <cell r="AJ279">
            <v>0.58555618615209992</v>
          </cell>
          <cell r="AL279">
            <v>714.8900000000001</v>
          </cell>
          <cell r="AM279">
            <v>1000.8460000000001</v>
          </cell>
          <cell r="AN279">
            <v>1.024037372593432</v>
          </cell>
          <cell r="AO279" t="str">
            <v>001-G-95CLARKDIFFUSION</v>
          </cell>
          <cell r="AX279">
            <v>708.85100000000011</v>
          </cell>
          <cell r="AY279">
            <v>77.528000000000006</v>
          </cell>
          <cell r="AZ279">
            <v>0</v>
          </cell>
        </row>
        <row r="280">
          <cell r="A280">
            <v>614671</v>
          </cell>
          <cell r="B280" t="str">
            <v>SOFIP EXPORT</v>
          </cell>
          <cell r="H280" t="str">
            <v>NON ENVOYES</v>
          </cell>
          <cell r="I280">
            <v>0</v>
          </cell>
          <cell r="J280">
            <v>0</v>
          </cell>
          <cell r="K280" t="str">
            <v>NON</v>
          </cell>
          <cell r="L280" t="str">
            <v>NON</v>
          </cell>
          <cell r="N280" t="str">
            <v>Non affecté</v>
          </cell>
          <cell r="O280" t="str">
            <v>AB</v>
          </cell>
          <cell r="P280" t="str">
            <v>Ok mon client</v>
          </cell>
          <cell r="Q280" t="str">
            <v>GENNEVILLIERS</v>
          </cell>
          <cell r="R280" t="str">
            <v>78</v>
          </cell>
          <cell r="S280" t="str">
            <v>11 AVENUE JEAN PIERRE TIMBAUD</v>
          </cell>
          <cell r="T280">
            <v>78194</v>
          </cell>
          <cell r="U280" t="str">
            <v>TRAPPES CEDEX</v>
          </cell>
          <cell r="X280" t="str">
            <v>78194</v>
          </cell>
          <cell r="Y280" t="str">
            <v>TRAPPES CEDEX</v>
          </cell>
          <cell r="AE280">
            <v>670</v>
          </cell>
          <cell r="AF280">
            <v>-5.083333333333333</v>
          </cell>
          <cell r="AL280">
            <v>670</v>
          </cell>
          <cell r="AM280">
            <v>937.99999999999989</v>
          </cell>
          <cell r="AO280" t="str">
            <v>001-G-GENERAL-KG</v>
          </cell>
          <cell r="AX280">
            <v>0</v>
          </cell>
          <cell r="AY280">
            <v>0</v>
          </cell>
          <cell r="AZ280">
            <v>670</v>
          </cell>
        </row>
        <row r="281">
          <cell r="A281">
            <v>201934</v>
          </cell>
          <cell r="B281" t="str">
            <v>C E E T</v>
          </cell>
          <cell r="G281" t="str">
            <v>NON</v>
          </cell>
          <cell r="H281" t="str">
            <v>DEVELOPPEMENT MAGHREB</v>
          </cell>
          <cell r="I281">
            <v>0</v>
          </cell>
          <cell r="J281">
            <v>0</v>
          </cell>
          <cell r="K281" t="str">
            <v>NON</v>
          </cell>
          <cell r="L281" t="str">
            <v>NON</v>
          </cell>
          <cell r="N281" t="str">
            <v>Non affecté</v>
          </cell>
          <cell r="O281" t="str">
            <v>JPP</v>
          </cell>
          <cell r="P281" t="str">
            <v>Ok mon client</v>
          </cell>
          <cell r="Q281" t="str">
            <v>GENNEVILLIERS</v>
          </cell>
          <cell r="R281" t="str">
            <v>92</v>
          </cell>
          <cell r="S281" t="str">
            <v>10 RUE RAYMOND POINCARE</v>
          </cell>
          <cell r="T281" t="str">
            <v>92000</v>
          </cell>
          <cell r="U281" t="str">
            <v>NANTERRE</v>
          </cell>
          <cell r="W281" t="str">
            <v>Directeur Logistique et Transports</v>
          </cell>
          <cell r="X281" t="str">
            <v>92000</v>
          </cell>
          <cell r="Y281" t="str">
            <v>NANTERRE</v>
          </cell>
          <cell r="AA281">
            <v>99.69</v>
          </cell>
          <cell r="AB281">
            <v>161.41999999999999</v>
          </cell>
          <cell r="AD281">
            <v>261.11</v>
          </cell>
          <cell r="AG281">
            <v>664.65</v>
          </cell>
          <cell r="AH281">
            <v>0.72251490583299149</v>
          </cell>
          <cell r="AL281">
            <v>664.65</v>
          </cell>
          <cell r="AM281">
            <v>930.50999999999988</v>
          </cell>
          <cell r="AN281">
            <v>2.5636704837041853</v>
          </cell>
          <cell r="AO281" t="str">
            <v>001-CONTRAT TYPE +50%</v>
          </cell>
          <cell r="AX281">
            <v>664.65</v>
          </cell>
          <cell r="AY281">
            <v>0</v>
          </cell>
          <cell r="AZ281">
            <v>0</v>
          </cell>
        </row>
        <row r="282">
          <cell r="A282">
            <v>492149</v>
          </cell>
          <cell r="B282" t="str">
            <v>SERIMCO</v>
          </cell>
          <cell r="C282">
            <v>0.65</v>
          </cell>
          <cell r="D282">
            <v>0.1</v>
          </cell>
          <cell r="E282">
            <v>0.02</v>
          </cell>
          <cell r="F282">
            <v>41275</v>
          </cell>
          <cell r="I282">
            <v>0</v>
          </cell>
          <cell r="J282">
            <v>0</v>
          </cell>
          <cell r="K282" t="str">
            <v>OK</v>
          </cell>
          <cell r="L282" t="str">
            <v>OK</v>
          </cell>
          <cell r="N282" t="str">
            <v>Non affecté</v>
          </cell>
          <cell r="O282" t="str">
            <v>AB</v>
          </cell>
          <cell r="P282" t="str">
            <v>Ok mon client</v>
          </cell>
          <cell r="Q282" t="str">
            <v>GENNEVILLIERS</v>
          </cell>
          <cell r="R282" t="str">
            <v>78</v>
          </cell>
          <cell r="S282" t="str">
            <v xml:space="preserve">134 RUE DE CHANZY </v>
          </cell>
          <cell r="T282" t="str">
            <v>78800</v>
          </cell>
          <cell r="U282" t="str">
            <v>HOUILLES</v>
          </cell>
          <cell r="V282" t="str">
            <v>M.</v>
          </cell>
          <cell r="W282" t="str">
            <v>BRYON</v>
          </cell>
          <cell r="X282" t="str">
            <v>78800</v>
          </cell>
          <cell r="Y282" t="str">
            <v>HOUILLES</v>
          </cell>
          <cell r="AA282">
            <v>1035.6200000000001</v>
          </cell>
          <cell r="AD282">
            <v>1035.6200000000001</v>
          </cell>
          <cell r="AG282">
            <v>658.33999999999992</v>
          </cell>
          <cell r="AH282">
            <v>0.46418873803694644</v>
          </cell>
          <cell r="AL282">
            <v>658.33999999999992</v>
          </cell>
          <cell r="AM282">
            <v>921.67599999999982</v>
          </cell>
          <cell r="AN282">
            <v>-0.11002491261273473</v>
          </cell>
          <cell r="AO282" t="str">
            <v>001-CONTRAT TYPE +50%</v>
          </cell>
          <cell r="AQ282">
            <v>38457</v>
          </cell>
          <cell r="AX282">
            <v>1086.2609999999997</v>
          </cell>
          <cell r="AY282">
            <v>0</v>
          </cell>
          <cell r="AZ282">
            <v>0</v>
          </cell>
        </row>
        <row r="283">
          <cell r="A283">
            <v>535560</v>
          </cell>
          <cell r="B283" t="str">
            <v>LABARRIERE</v>
          </cell>
          <cell r="C283">
            <v>0.1</v>
          </cell>
          <cell r="D283">
            <v>0.1</v>
          </cell>
          <cell r="E283">
            <v>0.02</v>
          </cell>
          <cell r="F283">
            <v>41275</v>
          </cell>
          <cell r="I283">
            <v>0</v>
          </cell>
          <cell r="J283">
            <v>0</v>
          </cell>
          <cell r="K283" t="str">
            <v>OK</v>
          </cell>
          <cell r="L283" t="str">
            <v>OK</v>
          </cell>
          <cell r="N283" t="str">
            <v>Non affecté</v>
          </cell>
          <cell r="O283" t="str">
            <v>AB</v>
          </cell>
          <cell r="P283" t="str">
            <v>Ok mon client</v>
          </cell>
          <cell r="Q283" t="str">
            <v>GENNEVILLIERS</v>
          </cell>
          <cell r="R283" t="str">
            <v>78</v>
          </cell>
          <cell r="S283" t="str">
            <v>RUE DES MONGAZONS</v>
          </cell>
          <cell r="T283" t="str">
            <v>78200</v>
          </cell>
          <cell r="U283" t="str">
            <v>MAGNANVILLE</v>
          </cell>
          <cell r="V283" t="str">
            <v>Mme</v>
          </cell>
          <cell r="W283" t="str">
            <v>CLOLERY</v>
          </cell>
          <cell r="X283" t="str">
            <v>78200</v>
          </cell>
          <cell r="Y283" t="str">
            <v>MAGNANVILLE</v>
          </cell>
          <cell r="Z283">
            <v>923.58</v>
          </cell>
          <cell r="AB283">
            <v>815.9</v>
          </cell>
          <cell r="AD283">
            <v>1739.48</v>
          </cell>
          <cell r="AE283">
            <v>655.9</v>
          </cell>
          <cell r="AF283">
            <v>0.2834273517304467</v>
          </cell>
          <cell r="AL283">
            <v>655.9</v>
          </cell>
          <cell r="AM283">
            <v>918.25999999999988</v>
          </cell>
          <cell r="AN283">
            <v>-0.47210660657207904</v>
          </cell>
          <cell r="AO283" t="str">
            <v>001-G-78LABARRIERE</v>
          </cell>
          <cell r="AP283" t="str">
            <v>001-L-78LABARRIERE</v>
          </cell>
          <cell r="AX283">
            <v>0</v>
          </cell>
          <cell r="AY283">
            <v>0</v>
          </cell>
          <cell r="AZ283">
            <v>669.01800000000003</v>
          </cell>
        </row>
        <row r="284">
          <cell r="A284">
            <v>506702</v>
          </cell>
          <cell r="B284" t="str">
            <v>CHOPIN TECHNOLOGIES</v>
          </cell>
          <cell r="C284">
            <v>0.04</v>
          </cell>
          <cell r="D284">
            <v>0.04</v>
          </cell>
          <cell r="E284">
            <v>0.02</v>
          </cell>
          <cell r="F284">
            <v>41334</v>
          </cell>
          <cell r="H284" t="str">
            <v>OVS principalement. Vu avec JPP une offre a été faite. Ne pas faire de hausse pour le moment</v>
          </cell>
          <cell r="I284">
            <v>0</v>
          </cell>
          <cell r="J284">
            <v>0</v>
          </cell>
          <cell r="K284" t="str">
            <v>NON</v>
          </cell>
          <cell r="L284" t="str">
            <v>NON</v>
          </cell>
          <cell r="M284" t="str">
            <v>Porte Feuille</v>
          </cell>
          <cell r="N284" t="str">
            <v>Non affecté</v>
          </cell>
          <cell r="O284" t="str">
            <v>JPP</v>
          </cell>
          <cell r="P284" t="str">
            <v>Ok mon client</v>
          </cell>
          <cell r="Q284" t="str">
            <v>GENNEVILLIERS</v>
          </cell>
          <cell r="R284" t="str">
            <v>92</v>
          </cell>
          <cell r="S284" t="str">
            <v xml:space="preserve">20 AV MARCELLIN BERTHELOT       </v>
          </cell>
          <cell r="T284" t="str">
            <v>92390</v>
          </cell>
          <cell r="U284" t="str">
            <v>VILLENEUVE LA GARENNE</v>
          </cell>
          <cell r="V284" t="str">
            <v>Mme</v>
          </cell>
          <cell r="W284" t="str">
            <v>ERFAD</v>
          </cell>
          <cell r="X284" t="str">
            <v>92390</v>
          </cell>
          <cell r="Y284" t="str">
            <v>VILLENEUVE LA GARENNE</v>
          </cell>
          <cell r="AB284">
            <v>2434.2099999999996</v>
          </cell>
          <cell r="AD284">
            <v>2434.2099999999996</v>
          </cell>
          <cell r="AI284">
            <v>641.33000000000004</v>
          </cell>
          <cell r="AJ284">
            <v>0.48000107665805336</v>
          </cell>
          <cell r="AL284">
            <v>641.33000000000004</v>
          </cell>
          <cell r="AM284">
            <v>897.86199999999997</v>
          </cell>
          <cell r="AN284">
            <v>-0.63114850403210898</v>
          </cell>
          <cell r="AO284" t="str">
            <v>001-G-92TRIPETTEETRENAUD</v>
          </cell>
          <cell r="AP284" t="str">
            <v>001-L-92TRIPETTEETRENAU</v>
          </cell>
          <cell r="AX284">
            <v>0</v>
          </cell>
          <cell r="AY284">
            <v>641.33000000000004</v>
          </cell>
          <cell r="AZ284">
            <v>0</v>
          </cell>
        </row>
        <row r="285">
          <cell r="A285">
            <v>571005</v>
          </cell>
          <cell r="B285" t="str">
            <v>QUBICAAMF WORLWIDE LLC</v>
          </cell>
          <cell r="C285">
            <v>0.1</v>
          </cell>
          <cell r="D285">
            <v>0.1</v>
          </cell>
          <cell r="E285">
            <v>0.02</v>
          </cell>
          <cell r="F285">
            <v>41306</v>
          </cell>
          <cell r="G285" t="str">
            <v>OUI</v>
          </cell>
          <cell r="I285">
            <v>0</v>
          </cell>
          <cell r="J285">
            <v>0</v>
          </cell>
          <cell r="K285" t="str">
            <v>OK</v>
          </cell>
          <cell r="L285" t="str">
            <v>OK</v>
          </cell>
          <cell r="N285" t="str">
            <v>Non affecté</v>
          </cell>
          <cell r="O285" t="str">
            <v>JPP</v>
          </cell>
          <cell r="P285" t="str">
            <v>Ok mon client</v>
          </cell>
          <cell r="Q285" t="str">
            <v>GENNEVILLIERS</v>
          </cell>
          <cell r="R285" t="str">
            <v>92</v>
          </cell>
          <cell r="S285" t="str">
            <v>20 RUE ARISTIDE BRIAND</v>
          </cell>
          <cell r="T285" t="str">
            <v>92300</v>
          </cell>
          <cell r="U285" t="str">
            <v>LEVALLOIS PERRET</v>
          </cell>
          <cell r="V285" t="str">
            <v>M.</v>
          </cell>
          <cell r="W285" t="str">
            <v>LEVEQUE</v>
          </cell>
          <cell r="X285" t="str">
            <v>92300</v>
          </cell>
          <cell r="Y285" t="str">
            <v>LEVALLOIS PERRET</v>
          </cell>
          <cell r="Z285">
            <v>465</v>
          </cell>
          <cell r="AA285">
            <v>1125.53</v>
          </cell>
          <cell r="AB285">
            <v>324.71999999999997</v>
          </cell>
          <cell r="AD285">
            <v>1915.25</v>
          </cell>
          <cell r="AG285">
            <v>536.29999999999995</v>
          </cell>
          <cell r="AH285">
            <v>0.4880668257756563</v>
          </cell>
          <cell r="AI285">
            <v>96.589999999999989</v>
          </cell>
          <cell r="AJ285">
            <v>0.81129745858627422</v>
          </cell>
          <cell r="AL285">
            <v>632.89</v>
          </cell>
          <cell r="AM285">
            <v>886.04599999999994</v>
          </cell>
          <cell r="AN285">
            <v>-0.53737318887873653</v>
          </cell>
          <cell r="AO285" t="str">
            <v>001-G-92QUBICAAMF</v>
          </cell>
          <cell r="AX285">
            <v>589.92999999999995</v>
          </cell>
          <cell r="AY285">
            <v>106.249</v>
          </cell>
          <cell r="AZ285">
            <v>0</v>
          </cell>
        </row>
        <row r="286">
          <cell r="A286">
            <v>500582</v>
          </cell>
          <cell r="B286" t="str">
            <v>BOUTIQUE DE L'ENCADREMENT</v>
          </cell>
          <cell r="G286" t="str">
            <v>OUI</v>
          </cell>
          <cell r="H286" t="str">
            <v>PAS DE CONTRAT INES</v>
          </cell>
          <cell r="I286">
            <v>0</v>
          </cell>
          <cell r="J286">
            <v>0</v>
          </cell>
          <cell r="K286" t="str">
            <v>NON</v>
          </cell>
          <cell r="L286" t="str">
            <v>NON</v>
          </cell>
          <cell r="N286" t="str">
            <v>Non affecté</v>
          </cell>
          <cell r="O286" t="str">
            <v>JPP</v>
          </cell>
          <cell r="P286" t="str">
            <v>Ok mon client</v>
          </cell>
          <cell r="Q286" t="str">
            <v>GENNEVILLIERS</v>
          </cell>
          <cell r="R286" t="str">
            <v>75</v>
          </cell>
          <cell r="S286" t="str">
            <v>27 RUE DUNOIS</v>
          </cell>
          <cell r="T286">
            <v>75013</v>
          </cell>
          <cell r="U286" t="str">
            <v>PARIS</v>
          </cell>
          <cell r="W286" t="str">
            <v>Directeur Logistique et Transports</v>
          </cell>
          <cell r="X286" t="str">
            <v>75013</v>
          </cell>
          <cell r="Y286" t="str">
            <v>PARIS</v>
          </cell>
          <cell r="AB286">
            <v>897.66999999999985</v>
          </cell>
          <cell r="AD286">
            <v>897.66999999999985</v>
          </cell>
          <cell r="AI286">
            <v>613.08999999999992</v>
          </cell>
          <cell r="AJ286">
            <v>1</v>
          </cell>
          <cell r="AL286">
            <v>613.08999999999992</v>
          </cell>
          <cell r="AM286">
            <v>858.32599999999979</v>
          </cell>
          <cell r="AN286">
            <v>-4.3829024028874786E-2</v>
          </cell>
          <cell r="AX286">
            <v>0</v>
          </cell>
          <cell r="AY286">
            <v>613.08999999999992</v>
          </cell>
          <cell r="AZ286">
            <v>0</v>
          </cell>
        </row>
        <row r="287">
          <cell r="A287">
            <v>847499</v>
          </cell>
          <cell r="B287" t="str">
            <v>EG LABO</v>
          </cell>
          <cell r="G287" t="str">
            <v>NON</v>
          </cell>
          <cell r="H287" t="str">
            <v>FAIT PAS DE MESSAGERIE. TRI PORTEFEUILLE</v>
          </cell>
          <cell r="I287">
            <v>0</v>
          </cell>
          <cell r="J287">
            <v>0</v>
          </cell>
          <cell r="K287" t="str">
            <v>NON</v>
          </cell>
          <cell r="L287" t="str">
            <v>NON</v>
          </cell>
          <cell r="M287" t="str">
            <v>Porte Feuille</v>
          </cell>
          <cell r="N287" t="str">
            <v>Non affecté</v>
          </cell>
          <cell r="O287" t="str">
            <v>JPP</v>
          </cell>
          <cell r="P287" t="str">
            <v>Ok mon client</v>
          </cell>
          <cell r="Q287" t="str">
            <v>GENNEVILLIERS</v>
          </cell>
          <cell r="R287" t="str">
            <v>92</v>
          </cell>
          <cell r="S287" t="str">
            <v>12 RUE D'ANJOU</v>
          </cell>
          <cell r="T287">
            <v>92517</v>
          </cell>
          <cell r="U287" t="str">
            <v>BOULOGNE BILLANCOURT</v>
          </cell>
          <cell r="V287" t="str">
            <v>Mme</v>
          </cell>
          <cell r="W287" t="str">
            <v>DEYSON</v>
          </cell>
          <cell r="X287" t="str">
            <v>92517</v>
          </cell>
          <cell r="Y287" t="str">
            <v>BOULOGNE BILLANCOURT</v>
          </cell>
          <cell r="Z287">
            <v>15539.89</v>
          </cell>
          <cell r="AD287">
            <v>15539.89</v>
          </cell>
          <cell r="AE287">
            <v>605.76</v>
          </cell>
          <cell r="AF287">
            <v>0.83491811938721605</v>
          </cell>
          <cell r="AL287">
            <v>605.76</v>
          </cell>
          <cell r="AM287">
            <v>848.06399999999996</v>
          </cell>
          <cell r="AN287">
            <v>-0.94542664072911708</v>
          </cell>
          <cell r="AP287" t="str">
            <v>001-L1-92EGLABO</v>
          </cell>
          <cell r="AQ287">
            <v>40695</v>
          </cell>
          <cell r="AX287">
            <v>0</v>
          </cell>
          <cell r="AY287">
            <v>0</v>
          </cell>
          <cell r="AZ287">
            <v>605.76</v>
          </cell>
        </row>
        <row r="288">
          <cell r="A288">
            <v>503560</v>
          </cell>
          <cell r="B288" t="str">
            <v>C I SARL</v>
          </cell>
          <cell r="C288">
            <v>0.1</v>
          </cell>
          <cell r="D288">
            <v>0.1</v>
          </cell>
          <cell r="E288">
            <v>0.02</v>
          </cell>
          <cell r="F288">
            <v>41306</v>
          </cell>
          <cell r="G288" t="str">
            <v>OUI</v>
          </cell>
          <cell r="I288">
            <v>0</v>
          </cell>
          <cell r="J288">
            <v>0</v>
          </cell>
          <cell r="K288" t="str">
            <v>OK</v>
          </cell>
          <cell r="L288" t="str">
            <v>OK</v>
          </cell>
          <cell r="N288" t="str">
            <v>Non affecté</v>
          </cell>
          <cell r="O288" t="str">
            <v>JPP</v>
          </cell>
          <cell r="P288" t="str">
            <v>Ok mon client</v>
          </cell>
          <cell r="Q288" t="str">
            <v>GENNEVILLIERS</v>
          </cell>
          <cell r="R288" t="str">
            <v>92</v>
          </cell>
          <cell r="S288" t="str">
            <v>133 RUE PIERRE BROSSOLETTE</v>
          </cell>
          <cell r="T288" t="str">
            <v>92145</v>
          </cell>
          <cell r="U288" t="str">
            <v>CLAMART CEDEX</v>
          </cell>
          <cell r="W288" t="str">
            <v>Directeur Logistique et Transports</v>
          </cell>
          <cell r="X288" t="str">
            <v>92145</v>
          </cell>
          <cell r="Y288" t="str">
            <v>CLAMART CEDEX</v>
          </cell>
          <cell r="Z288">
            <v>446</v>
          </cell>
          <cell r="AA288">
            <v>753.17</v>
          </cell>
          <cell r="AB288">
            <v>250.73</v>
          </cell>
          <cell r="AD288">
            <v>1449.9</v>
          </cell>
          <cell r="AG288">
            <v>589.36</v>
          </cell>
          <cell r="AH288">
            <v>0.68349778586259491</v>
          </cell>
          <cell r="AL288">
            <v>589.36</v>
          </cell>
          <cell r="AM288">
            <v>825.10399999999993</v>
          </cell>
          <cell r="AN288">
            <v>-0.4309235119663426</v>
          </cell>
          <cell r="AO288" t="str">
            <v>001-G-92CI</v>
          </cell>
          <cell r="AQ288">
            <v>39618</v>
          </cell>
          <cell r="AX288">
            <v>648.29600000000005</v>
          </cell>
          <cell r="AY288">
            <v>0</v>
          </cell>
          <cell r="AZ288">
            <v>0</v>
          </cell>
        </row>
        <row r="289">
          <cell r="A289">
            <v>868782</v>
          </cell>
          <cell r="B289" t="str">
            <v>MDSH</v>
          </cell>
          <cell r="C289">
            <v>-0.19</v>
          </cell>
          <cell r="D289">
            <v>0.1</v>
          </cell>
          <cell r="E289">
            <v>0.02</v>
          </cell>
          <cell r="F289">
            <v>41275</v>
          </cell>
          <cell r="I289">
            <v>0</v>
          </cell>
          <cell r="J289">
            <v>0</v>
          </cell>
          <cell r="K289" t="str">
            <v>OK</v>
          </cell>
          <cell r="L289" t="str">
            <v>OK</v>
          </cell>
          <cell r="N289" t="str">
            <v>Non affecté</v>
          </cell>
          <cell r="O289" t="str">
            <v>AB</v>
          </cell>
          <cell r="P289" t="str">
            <v>Ok mon client</v>
          </cell>
          <cell r="Q289" t="str">
            <v>GENNEVILLIERS</v>
          </cell>
          <cell r="R289" t="str">
            <v>78</v>
          </cell>
          <cell r="S289" t="str">
            <v>8 ROUTE DE SAINT HUBERT</v>
          </cell>
          <cell r="T289">
            <v>78610</v>
          </cell>
          <cell r="U289" t="str">
            <v>LE PERRAY EN YVELINES</v>
          </cell>
          <cell r="V289" t="str">
            <v>Mme</v>
          </cell>
          <cell r="W289" t="str">
            <v>aline gaignard</v>
          </cell>
          <cell r="X289" t="str">
            <v>78610</v>
          </cell>
          <cell r="Y289" t="str">
            <v>LE PERRAY EN YVELINES</v>
          </cell>
          <cell r="AG289">
            <v>400.26</v>
          </cell>
          <cell r="AI289">
            <v>186.93</v>
          </cell>
          <cell r="AJ289">
            <v>0.78415444667158973</v>
          </cell>
          <cell r="AL289">
            <v>587.19000000000005</v>
          </cell>
          <cell r="AM289">
            <v>822.06600000000003</v>
          </cell>
          <cell r="AO289" t="str">
            <v>001-G-78MDSH</v>
          </cell>
          <cell r="AP289" t="str">
            <v>001-L-78MDSH</v>
          </cell>
          <cell r="AQ289">
            <v>40959</v>
          </cell>
          <cell r="AX289">
            <v>324.2106</v>
          </cell>
          <cell r="AY289">
            <v>205.62300000000002</v>
          </cell>
          <cell r="AZ289">
            <v>0</v>
          </cell>
        </row>
        <row r="290">
          <cell r="A290">
            <v>469726</v>
          </cell>
          <cell r="B290" t="str">
            <v>BOIS CARBONE DESIGN</v>
          </cell>
          <cell r="C290">
            <v>0.1</v>
          </cell>
          <cell r="D290">
            <v>0.1</v>
          </cell>
          <cell r="E290">
            <v>0.02</v>
          </cell>
          <cell r="F290">
            <v>41306</v>
          </cell>
          <cell r="G290" t="str">
            <v>OUI</v>
          </cell>
          <cell r="I290">
            <v>0</v>
          </cell>
          <cell r="J290">
            <v>0</v>
          </cell>
          <cell r="K290" t="str">
            <v>OK</v>
          </cell>
          <cell r="L290" t="str">
            <v>OK</v>
          </cell>
          <cell r="N290" t="str">
            <v>Non affecté</v>
          </cell>
          <cell r="O290" t="str">
            <v>JPP</v>
          </cell>
          <cell r="P290" t="str">
            <v>Ok mon client</v>
          </cell>
          <cell r="Q290" t="str">
            <v>GENNEVILLIERS</v>
          </cell>
          <cell r="R290" t="str">
            <v>92</v>
          </cell>
          <cell r="S290" t="str">
            <v>34 RUE PAUL VAILLANT COUTURIER</v>
          </cell>
          <cell r="T290" t="str">
            <v>92240</v>
          </cell>
          <cell r="U290" t="str">
            <v>MALAKOFF</v>
          </cell>
          <cell r="V290" t="str">
            <v>Mme</v>
          </cell>
          <cell r="W290" t="str">
            <v>PLASSARD</v>
          </cell>
          <cell r="X290" t="str">
            <v>92240</v>
          </cell>
          <cell r="Y290" t="str">
            <v>MALAKOFF</v>
          </cell>
          <cell r="Z290">
            <v>378.97</v>
          </cell>
          <cell r="AB290">
            <v>846.14</v>
          </cell>
          <cell r="AD290">
            <v>1225.1100000000001</v>
          </cell>
          <cell r="AI290">
            <v>564.94999999999993</v>
          </cell>
          <cell r="AJ290">
            <v>1</v>
          </cell>
          <cell r="AL290">
            <v>564.94999999999993</v>
          </cell>
          <cell r="AM290">
            <v>790.92999999999984</v>
          </cell>
          <cell r="AN290">
            <v>-0.35440082931328631</v>
          </cell>
          <cell r="AO290" t="str">
            <v>001-G-92BOISCARBONE</v>
          </cell>
          <cell r="AP290" t="str">
            <v>001-L-92BOISCARBONE</v>
          </cell>
          <cell r="AQ290">
            <v>39029</v>
          </cell>
          <cell r="AX290">
            <v>0</v>
          </cell>
          <cell r="AY290">
            <v>621.44499999999994</v>
          </cell>
          <cell r="AZ290">
            <v>0</v>
          </cell>
        </row>
        <row r="291">
          <cell r="A291">
            <v>565741</v>
          </cell>
          <cell r="B291" t="str">
            <v>VIS'INOX</v>
          </cell>
          <cell r="C291">
            <v>0.1</v>
          </cell>
          <cell r="D291">
            <v>0.1</v>
          </cell>
          <cell r="E291">
            <v>0.02</v>
          </cell>
          <cell r="F291">
            <v>41275</v>
          </cell>
          <cell r="G291" t="str">
            <v>OUI</v>
          </cell>
          <cell r="I291">
            <v>0</v>
          </cell>
          <cell r="J291">
            <v>0</v>
          </cell>
          <cell r="K291" t="str">
            <v>OK</v>
          </cell>
          <cell r="L291" t="str">
            <v>OK</v>
          </cell>
          <cell r="N291" t="str">
            <v>Non affecté</v>
          </cell>
          <cell r="O291" t="str">
            <v>JPP</v>
          </cell>
          <cell r="P291" t="str">
            <v>Ok mon client</v>
          </cell>
          <cell r="Q291" t="str">
            <v>DRANCY</v>
          </cell>
          <cell r="R291" t="str">
            <v>93</v>
          </cell>
          <cell r="S291" t="str">
            <v>13 RUE FARCOT</v>
          </cell>
          <cell r="T291">
            <v>93400</v>
          </cell>
          <cell r="U291" t="str">
            <v>SAINT OUEN</v>
          </cell>
          <cell r="W291" t="str">
            <v>Directeur Logistique et Transports</v>
          </cell>
          <cell r="X291" t="str">
            <v>93400</v>
          </cell>
          <cell r="Y291" t="str">
            <v>SAINT OUEN</v>
          </cell>
          <cell r="AB291">
            <v>417.25</v>
          </cell>
          <cell r="AD291">
            <v>417.25</v>
          </cell>
          <cell r="AI291">
            <v>536.77</v>
          </cell>
          <cell r="AL291">
            <v>536.77</v>
          </cell>
          <cell r="AM291">
            <v>751.47799999999995</v>
          </cell>
          <cell r="AN291">
            <v>0.80102576393049718</v>
          </cell>
          <cell r="AO291" t="str">
            <v>001-CONTRAT TYPE +50%</v>
          </cell>
          <cell r="AX291">
            <v>0</v>
          </cell>
          <cell r="AY291">
            <v>590.447</v>
          </cell>
          <cell r="AZ291">
            <v>0</v>
          </cell>
        </row>
        <row r="292">
          <cell r="A292">
            <v>842327</v>
          </cell>
          <cell r="B292" t="str">
            <v>AMARIS EQUIPMENT</v>
          </cell>
          <cell r="C292">
            <v>-1.17</v>
          </cell>
          <cell r="D292">
            <v>0.1</v>
          </cell>
          <cell r="E292">
            <v>0.02</v>
          </cell>
          <cell r="F292">
            <v>41275</v>
          </cell>
          <cell r="I292">
            <v>0</v>
          </cell>
          <cell r="J292">
            <v>0</v>
          </cell>
          <cell r="K292" t="str">
            <v>OK</v>
          </cell>
          <cell r="L292" t="str">
            <v>OK</v>
          </cell>
          <cell r="N292" t="str">
            <v>Non affecté</v>
          </cell>
          <cell r="O292" t="str">
            <v>AB</v>
          </cell>
          <cell r="P292" t="str">
            <v>Ok mon client</v>
          </cell>
          <cell r="Q292" t="str">
            <v>GENNEVILLIERS</v>
          </cell>
          <cell r="R292" t="str">
            <v>78</v>
          </cell>
          <cell r="S292" t="str">
            <v>10 RUE MARIE CURIE</v>
          </cell>
          <cell r="T292">
            <v>78310</v>
          </cell>
          <cell r="U292" t="str">
            <v>MAUREPAS</v>
          </cell>
          <cell r="V292" t="str">
            <v>Mme</v>
          </cell>
          <cell r="W292" t="str">
            <v>Soumaya HAMMOUDI</v>
          </cell>
          <cell r="X292" t="str">
            <v>78310</v>
          </cell>
          <cell r="Y292" t="str">
            <v>MAUREPAS</v>
          </cell>
          <cell r="AB292">
            <v>1984.55</v>
          </cell>
          <cell r="AD292">
            <v>1984.55</v>
          </cell>
          <cell r="AE292">
            <v>530</v>
          </cell>
          <cell r="AF292">
            <v>0.92537313432835822</v>
          </cell>
          <cell r="AL292">
            <v>530</v>
          </cell>
          <cell r="AM292">
            <v>742</v>
          </cell>
          <cell r="AN292">
            <v>-0.626111712982792</v>
          </cell>
          <cell r="AO292" t="str">
            <v>001-G-78AMARISEQUIPMENT</v>
          </cell>
          <cell r="AQ292">
            <v>40605</v>
          </cell>
          <cell r="AX292">
            <v>0</v>
          </cell>
          <cell r="AY292">
            <v>0</v>
          </cell>
          <cell r="AZ292">
            <v>540.6</v>
          </cell>
        </row>
        <row r="293">
          <cell r="A293">
            <v>66366</v>
          </cell>
          <cell r="B293" t="str">
            <v>REVIFA FRANCE SARL</v>
          </cell>
          <cell r="C293">
            <v>0.1</v>
          </cell>
          <cell r="D293">
            <v>0.1</v>
          </cell>
          <cell r="E293">
            <v>0.02</v>
          </cell>
          <cell r="F293">
            <v>41275</v>
          </cell>
          <cell r="G293" t="str">
            <v>OUI</v>
          </cell>
          <cell r="I293">
            <v>0</v>
          </cell>
          <cell r="J293">
            <v>0</v>
          </cell>
          <cell r="K293" t="str">
            <v>OK</v>
          </cell>
          <cell r="L293" t="str">
            <v>OK</v>
          </cell>
          <cell r="N293" t="str">
            <v>Non affecté</v>
          </cell>
          <cell r="O293" t="str">
            <v>MM</v>
          </cell>
          <cell r="P293" t="str">
            <v>Ok mon client</v>
          </cell>
          <cell r="Q293" t="str">
            <v>GENNEVILLIERS</v>
          </cell>
          <cell r="R293" t="str">
            <v>95</v>
          </cell>
          <cell r="S293" t="str">
            <v>6, AV DE LA MARE - BP 9016 - ZI DES BETHUNES, BAT 6</v>
          </cell>
          <cell r="T293" t="str">
            <v>95070</v>
          </cell>
          <cell r="U293" t="str">
            <v>CERGY PONTOISE CEDEX</v>
          </cell>
          <cell r="V293" t="str">
            <v>M.</v>
          </cell>
          <cell r="W293" t="str">
            <v>ALLAIS Sylvain</v>
          </cell>
          <cell r="X293" t="str">
            <v>95070</v>
          </cell>
          <cell r="Y293" t="str">
            <v>CERGY PONTOISE CEDEX</v>
          </cell>
          <cell r="AA293">
            <v>2742.33</v>
          </cell>
          <cell r="AD293">
            <v>2742.33</v>
          </cell>
          <cell r="AG293">
            <v>522.87</v>
          </cell>
          <cell r="AH293">
            <v>0.87584410329042217</v>
          </cell>
          <cell r="AJ293">
            <v>0.92520834214645287</v>
          </cell>
          <cell r="AL293">
            <v>522.87</v>
          </cell>
          <cell r="AM293">
            <v>732.01799999999992</v>
          </cell>
          <cell r="AN293">
            <v>-0.73306713634026544</v>
          </cell>
          <cell r="AO293" t="str">
            <v>001-G-95REVIFAFRANCE</v>
          </cell>
          <cell r="AX293">
            <v>575.15700000000004</v>
          </cell>
          <cell r="AY293">
            <v>0</v>
          </cell>
          <cell r="AZ293">
            <v>0</v>
          </cell>
        </row>
        <row r="294">
          <cell r="A294">
            <v>538925</v>
          </cell>
          <cell r="B294" t="str">
            <v>FASTER</v>
          </cell>
          <cell r="E294">
            <v>0.02</v>
          </cell>
          <cell r="F294">
            <v>41275</v>
          </cell>
          <cell r="I294">
            <v>0</v>
          </cell>
          <cell r="J294">
            <v>0</v>
          </cell>
          <cell r="K294" t="str">
            <v>OK</v>
          </cell>
          <cell r="L294" t="str">
            <v>OK</v>
          </cell>
          <cell r="N294" t="str">
            <v>Non affecté</v>
          </cell>
          <cell r="O294" t="str">
            <v>AB</v>
          </cell>
          <cell r="P294" t="str">
            <v>Ok mon client</v>
          </cell>
          <cell r="Q294" t="str">
            <v>GENNEVILLIERS</v>
          </cell>
          <cell r="R294" t="str">
            <v>78</v>
          </cell>
          <cell r="S294" t="str">
            <v>RUE PAVLOV</v>
          </cell>
          <cell r="T294">
            <v>78190</v>
          </cell>
          <cell r="U294" t="str">
            <v>TRAPPES</v>
          </cell>
          <cell r="V294" t="str">
            <v>M.</v>
          </cell>
          <cell r="W294" t="str">
            <v>BIARD</v>
          </cell>
          <cell r="X294" t="str">
            <v>78190</v>
          </cell>
          <cell r="Y294" t="str">
            <v>TRAPPES</v>
          </cell>
          <cell r="Z294">
            <v>990</v>
          </cell>
          <cell r="AD294">
            <v>990</v>
          </cell>
          <cell r="AI294">
            <v>522.75</v>
          </cell>
          <cell r="AJ294">
            <v>-1.5192307692307689</v>
          </cell>
          <cell r="AL294">
            <v>522.75</v>
          </cell>
          <cell r="AM294">
            <v>731.84999999999991</v>
          </cell>
          <cell r="AN294">
            <v>-0.26075757575757585</v>
          </cell>
          <cell r="AP294" t="str">
            <v>001-L1-78FASTER</v>
          </cell>
          <cell r="AQ294">
            <v>40801</v>
          </cell>
          <cell r="AX294">
            <v>0</v>
          </cell>
          <cell r="AY294">
            <v>522.75</v>
          </cell>
          <cell r="AZ294">
            <v>0</v>
          </cell>
        </row>
        <row r="295">
          <cell r="A295">
            <v>688438</v>
          </cell>
          <cell r="B295" t="str">
            <v>FORDIA EUROPE</v>
          </cell>
          <cell r="C295">
            <v>-0.28000000000000003</v>
          </cell>
          <cell r="D295">
            <v>0.1</v>
          </cell>
          <cell r="E295">
            <v>0.02</v>
          </cell>
          <cell r="F295">
            <v>41275</v>
          </cell>
          <cell r="I295">
            <v>0</v>
          </cell>
          <cell r="J295">
            <v>0</v>
          </cell>
          <cell r="K295" t="str">
            <v>OK</v>
          </cell>
          <cell r="L295" t="str">
            <v>OK</v>
          </cell>
          <cell r="N295" t="str">
            <v>Non affecté</v>
          </cell>
          <cell r="O295" t="str">
            <v>AB</v>
          </cell>
          <cell r="P295" t="str">
            <v>Ok mon client</v>
          </cell>
          <cell r="Q295" t="str">
            <v>GENNEVILLIERS</v>
          </cell>
          <cell r="R295" t="str">
            <v>78</v>
          </cell>
          <cell r="S295" t="str">
            <v>ZA DES COTES 17 RUE JEAN MONNET</v>
          </cell>
          <cell r="T295" t="str">
            <v>78990</v>
          </cell>
          <cell r="U295" t="str">
            <v>ELANCOURT</v>
          </cell>
          <cell r="V295" t="str">
            <v>Mme</v>
          </cell>
          <cell r="W295" t="str">
            <v>VERONIQUE GUILLOU</v>
          </cell>
          <cell r="X295" t="str">
            <v>78610</v>
          </cell>
          <cell r="Y295" t="str">
            <v>LE PERRAY EN YVELINES</v>
          </cell>
          <cell r="Z295">
            <v>926.67</v>
          </cell>
          <cell r="AA295">
            <v>642.95000000000005</v>
          </cell>
          <cell r="AD295">
            <v>1569.62</v>
          </cell>
          <cell r="AG295">
            <v>514.51</v>
          </cell>
          <cell r="AH295">
            <v>0.21190130624092882</v>
          </cell>
          <cell r="AL295">
            <v>514.51</v>
          </cell>
          <cell r="AM295">
            <v>720.31399999999996</v>
          </cell>
          <cell r="AN295">
            <v>-0.54109020017583875</v>
          </cell>
          <cell r="AQ295">
            <v>39610</v>
          </cell>
          <cell r="AX295">
            <v>370.44719999999995</v>
          </cell>
          <cell r="AY295">
            <v>0</v>
          </cell>
          <cell r="AZ295">
            <v>0</v>
          </cell>
        </row>
        <row r="296">
          <cell r="A296">
            <v>71335</v>
          </cell>
          <cell r="B296" t="str">
            <v>PAUL MARQUES</v>
          </cell>
          <cell r="C296">
            <v>0.1</v>
          </cell>
          <cell r="D296">
            <v>0.1</v>
          </cell>
          <cell r="E296">
            <v>0.02</v>
          </cell>
          <cell r="F296">
            <v>41275</v>
          </cell>
          <cell r="G296" t="str">
            <v>OUI</v>
          </cell>
          <cell r="I296">
            <v>0</v>
          </cell>
          <cell r="J296">
            <v>0</v>
          </cell>
          <cell r="K296" t="str">
            <v>OK</v>
          </cell>
          <cell r="L296" t="str">
            <v>OK</v>
          </cell>
          <cell r="N296" t="str">
            <v>Non affecté</v>
          </cell>
          <cell r="O296" t="str">
            <v>MM</v>
          </cell>
          <cell r="P296" t="str">
            <v>Ok mon client</v>
          </cell>
          <cell r="Q296" t="str">
            <v>GENNEVILLIERS</v>
          </cell>
          <cell r="R296" t="str">
            <v>95</v>
          </cell>
          <cell r="S296" t="str">
            <v xml:space="preserve">5 RUE DES MERITES               </v>
          </cell>
          <cell r="T296" t="str">
            <v>95000</v>
          </cell>
          <cell r="U296" t="str">
            <v>CERGY</v>
          </cell>
          <cell r="V296" t="str">
            <v>Mme</v>
          </cell>
          <cell r="W296" t="str">
            <v>MARECHEBOUT</v>
          </cell>
          <cell r="X296" t="str">
            <v>95000</v>
          </cell>
          <cell r="Y296" t="str">
            <v>CERGY</v>
          </cell>
          <cell r="AB296">
            <v>1125.8499999999999</v>
          </cell>
          <cell r="AD296">
            <v>1125.8499999999999</v>
          </cell>
          <cell r="AI296">
            <v>514.35</v>
          </cell>
          <cell r="AJ296">
            <v>0.89747007221441377</v>
          </cell>
          <cell r="AL296">
            <v>514.35</v>
          </cell>
          <cell r="AM296">
            <v>720.09</v>
          </cell>
          <cell r="AN296">
            <v>-0.360403250877115</v>
          </cell>
          <cell r="AO296" t="str">
            <v>001-G-95PAULMARQUES</v>
          </cell>
          <cell r="AP296" t="str">
            <v>001-L-95PAULMARQUES</v>
          </cell>
          <cell r="AX296">
            <v>0</v>
          </cell>
          <cell r="AY296">
            <v>565.78500000000008</v>
          </cell>
          <cell r="AZ296">
            <v>0</v>
          </cell>
        </row>
        <row r="297">
          <cell r="A297">
            <v>574249</v>
          </cell>
          <cell r="B297" t="str">
            <v>EMHART SNC</v>
          </cell>
          <cell r="D297">
            <v>0.1</v>
          </cell>
          <cell r="E297">
            <v>0.02</v>
          </cell>
          <cell r="F297">
            <v>41275</v>
          </cell>
          <cell r="I297">
            <v>0</v>
          </cell>
          <cell r="J297">
            <v>0</v>
          </cell>
          <cell r="K297" t="str">
            <v>OK</v>
          </cell>
          <cell r="L297" t="str">
            <v>OK</v>
          </cell>
          <cell r="N297" t="str">
            <v>Non affecté</v>
          </cell>
          <cell r="O297" t="str">
            <v>AB</v>
          </cell>
          <cell r="P297" t="str">
            <v>Ok mon client</v>
          </cell>
          <cell r="Q297" t="str">
            <v>GENNEVILLIERS</v>
          </cell>
          <cell r="R297" t="str">
            <v>78</v>
          </cell>
          <cell r="S297" t="str">
            <v>2 BIS AVENUE DES COQUELICOTS</v>
          </cell>
          <cell r="T297" t="str">
            <v>94385</v>
          </cell>
          <cell r="U297" t="str">
            <v>BONNEUIL SUR MARNE</v>
          </cell>
          <cell r="X297" t="str">
            <v>78190</v>
          </cell>
          <cell r="Y297" t="str">
            <v>TRAPPES</v>
          </cell>
          <cell r="Z297">
            <v>520</v>
          </cell>
          <cell r="AB297">
            <v>228.51000000000002</v>
          </cell>
          <cell r="AD297">
            <v>748.51</v>
          </cell>
          <cell r="AG297">
            <v>40.25</v>
          </cell>
          <cell r="AI297">
            <v>471.15000000000003</v>
          </cell>
          <cell r="AL297">
            <v>511.40000000000003</v>
          </cell>
          <cell r="AM297">
            <v>715.96</v>
          </cell>
          <cell r="AN297">
            <v>-4.3486392967361787E-2</v>
          </cell>
          <cell r="AO297" t="str">
            <v>001-G-78EMHART</v>
          </cell>
          <cell r="AX297">
            <v>40.25</v>
          </cell>
          <cell r="AY297">
            <v>518.2650000000001</v>
          </cell>
          <cell r="AZ297">
            <v>0</v>
          </cell>
        </row>
        <row r="298">
          <cell r="A298">
            <v>686199</v>
          </cell>
          <cell r="B298" t="str">
            <v>NOA SARL</v>
          </cell>
          <cell r="C298">
            <v>0.1</v>
          </cell>
          <cell r="D298">
            <v>0.1</v>
          </cell>
          <cell r="E298">
            <v>0.02</v>
          </cell>
          <cell r="F298">
            <v>41275</v>
          </cell>
          <cell r="G298" t="str">
            <v>OUI</v>
          </cell>
          <cell r="I298">
            <v>0</v>
          </cell>
          <cell r="J298">
            <v>0</v>
          </cell>
          <cell r="K298" t="str">
            <v>OK</v>
          </cell>
          <cell r="L298" t="str">
            <v>OK</v>
          </cell>
          <cell r="N298" t="str">
            <v>Non affecté</v>
          </cell>
          <cell r="O298" t="str">
            <v>JPP</v>
          </cell>
          <cell r="P298" t="str">
            <v>Ok mon client</v>
          </cell>
          <cell r="Q298" t="str">
            <v>GENNEVILLIERS</v>
          </cell>
          <cell r="R298" t="str">
            <v>92</v>
          </cell>
          <cell r="S298" t="str">
            <v>4 IMPASSE GALLIENI</v>
          </cell>
          <cell r="T298">
            <v>92230</v>
          </cell>
          <cell r="U298" t="str">
            <v>GENNEVILLIERS</v>
          </cell>
          <cell r="V298" t="str">
            <v>M.</v>
          </cell>
          <cell r="W298" t="str">
            <v>Assous</v>
          </cell>
          <cell r="X298" t="str">
            <v>92230</v>
          </cell>
          <cell r="Y298" t="str">
            <v>GENNEVILLIERS</v>
          </cell>
          <cell r="Z298">
            <v>7248.37</v>
          </cell>
          <cell r="AA298">
            <v>1667.35</v>
          </cell>
          <cell r="AD298">
            <v>8915.7199999999993</v>
          </cell>
          <cell r="AE298">
            <v>494.99</v>
          </cell>
          <cell r="AF298">
            <v>5.3281530185295871</v>
          </cell>
          <cell r="AL298">
            <v>494.99</v>
          </cell>
          <cell r="AM298">
            <v>692.98599999999999</v>
          </cell>
          <cell r="AN298">
            <v>-0.92227369186111718</v>
          </cell>
          <cell r="AO298" t="str">
            <v>001-G-92NOA</v>
          </cell>
          <cell r="AP298" t="str">
            <v>001_L_92NOA</v>
          </cell>
          <cell r="AQ298">
            <v>40724</v>
          </cell>
          <cell r="AX298">
            <v>0</v>
          </cell>
          <cell r="AY298">
            <v>0</v>
          </cell>
          <cell r="AZ298">
            <v>504.88980000000004</v>
          </cell>
        </row>
        <row r="299">
          <cell r="A299">
            <v>62616</v>
          </cell>
          <cell r="B299" t="str">
            <v>AUTOMOTOR FRANCE</v>
          </cell>
          <cell r="G299" t="str">
            <v>OUI</v>
          </cell>
          <cell r="H299" t="str">
            <v>PAS DE CONTRAT</v>
          </cell>
          <cell r="I299">
            <v>0</v>
          </cell>
          <cell r="J299">
            <v>0</v>
          </cell>
          <cell r="K299" t="str">
            <v>NON</v>
          </cell>
          <cell r="L299" t="str">
            <v>NON</v>
          </cell>
          <cell r="N299" t="str">
            <v>Non affecté</v>
          </cell>
          <cell r="O299" t="str">
            <v>JPP</v>
          </cell>
          <cell r="P299" t="str">
            <v>Ok mon client</v>
          </cell>
          <cell r="Q299" t="str">
            <v>GENNEVILLIERS</v>
          </cell>
          <cell r="R299" t="str">
            <v>92</v>
          </cell>
          <cell r="S299" t="str">
            <v>14 TERASSE BELLINI</v>
          </cell>
          <cell r="T299">
            <v>92807</v>
          </cell>
          <cell r="U299" t="str">
            <v>PUTEAUX CEDEX</v>
          </cell>
          <cell r="W299" t="str">
            <v>Directeur Logistique et Transports</v>
          </cell>
          <cell r="X299" t="str">
            <v>92807</v>
          </cell>
          <cell r="Y299" t="str">
            <v>PUTEAUX CEDEX</v>
          </cell>
          <cell r="AB299">
            <v>61.23</v>
          </cell>
          <cell r="AD299">
            <v>61.23</v>
          </cell>
          <cell r="AI299">
            <v>481.91999999999996</v>
          </cell>
          <cell r="AJ299">
            <v>0.52636153923305806</v>
          </cell>
          <cell r="AL299">
            <v>481.91999999999996</v>
          </cell>
          <cell r="AM299">
            <v>674.68799999999987</v>
          </cell>
          <cell r="AN299">
            <v>10.018912297893188</v>
          </cell>
          <cell r="AQ299">
            <v>39937</v>
          </cell>
          <cell r="AX299">
            <v>0</v>
          </cell>
          <cell r="AY299">
            <v>481.91999999999996</v>
          </cell>
          <cell r="AZ299">
            <v>0</v>
          </cell>
        </row>
        <row r="300">
          <cell r="A300">
            <v>818546</v>
          </cell>
          <cell r="B300" t="str">
            <v>ECHO SPORTS</v>
          </cell>
          <cell r="G300" t="str">
            <v>OUI</v>
          </cell>
          <cell r="H300" t="str">
            <v>PAS GERE PAR 001</v>
          </cell>
          <cell r="I300">
            <v>0</v>
          </cell>
          <cell r="J300">
            <v>0</v>
          </cell>
          <cell r="K300" t="str">
            <v>NON</v>
          </cell>
          <cell r="L300" t="str">
            <v>NON</v>
          </cell>
          <cell r="N300" t="str">
            <v>Non affecté</v>
          </cell>
          <cell r="O300" t="str">
            <v>JPP</v>
          </cell>
          <cell r="P300" t="str">
            <v>Ok mon client</v>
          </cell>
          <cell r="Q300" t="str">
            <v>DRANCY</v>
          </cell>
          <cell r="R300" t="str">
            <v>13</v>
          </cell>
          <cell r="X300" t="str">
            <v>13002</v>
          </cell>
          <cell r="Y300" t="str">
            <v>MARSEILLE</v>
          </cell>
          <cell r="AH300">
            <v>0.59363027332462914</v>
          </cell>
          <cell r="AI300">
            <v>467.21000000000004</v>
          </cell>
          <cell r="AL300">
            <v>467.21000000000004</v>
          </cell>
          <cell r="AM300">
            <v>654.09400000000005</v>
          </cell>
          <cell r="AX300">
            <v>0</v>
          </cell>
          <cell r="AY300">
            <v>467.21000000000004</v>
          </cell>
          <cell r="AZ300">
            <v>0</v>
          </cell>
        </row>
        <row r="301">
          <cell r="A301">
            <v>574540</v>
          </cell>
          <cell r="B301" t="str">
            <v>GMP (ATELIERS ELECTRIQUES)</v>
          </cell>
          <cell r="C301">
            <v>0.1</v>
          </cell>
          <cell r="D301">
            <v>0.1</v>
          </cell>
          <cell r="E301">
            <v>0.02</v>
          </cell>
          <cell r="F301">
            <v>41275</v>
          </cell>
          <cell r="G301" t="str">
            <v>OUI</v>
          </cell>
          <cell r="I301">
            <v>0</v>
          </cell>
          <cell r="J301">
            <v>0</v>
          </cell>
          <cell r="K301" t="str">
            <v>OK</v>
          </cell>
          <cell r="L301" t="str">
            <v>OK</v>
          </cell>
          <cell r="N301" t="str">
            <v>Non affecté</v>
          </cell>
          <cell r="O301" t="str">
            <v>JPP</v>
          </cell>
          <cell r="P301" t="str">
            <v>Ok mon client</v>
          </cell>
          <cell r="Q301" t="str">
            <v>GENNEVILLIERS</v>
          </cell>
          <cell r="R301" t="str">
            <v>92</v>
          </cell>
          <cell r="S301" t="str">
            <v>94 AVENUE DE PARIS</v>
          </cell>
          <cell r="T301" t="str">
            <v>92320</v>
          </cell>
          <cell r="U301" t="str">
            <v>CHATILLON</v>
          </cell>
          <cell r="V301" t="str">
            <v>M.</v>
          </cell>
          <cell r="W301" t="str">
            <v>MAHE</v>
          </cell>
          <cell r="X301" t="str">
            <v>92320</v>
          </cell>
          <cell r="Y301" t="str">
            <v>CHATILLON</v>
          </cell>
          <cell r="AA301">
            <v>2436.0100000000002</v>
          </cell>
          <cell r="AD301">
            <v>2436.0100000000002</v>
          </cell>
          <cell r="AG301">
            <v>464.08</v>
          </cell>
          <cell r="AH301">
            <v>-0.89724770642201823</v>
          </cell>
          <cell r="AL301">
            <v>464.08</v>
          </cell>
          <cell r="AM301">
            <v>649.71199999999999</v>
          </cell>
          <cell r="AN301">
            <v>-0.73328845119683428</v>
          </cell>
          <cell r="AO301" t="str">
            <v>001-G-92GMP</v>
          </cell>
          <cell r="AX301">
            <v>510.488</v>
          </cell>
          <cell r="AY301">
            <v>0</v>
          </cell>
          <cell r="AZ301">
            <v>0</v>
          </cell>
        </row>
        <row r="302">
          <cell r="A302">
            <v>847532</v>
          </cell>
          <cell r="B302" t="str">
            <v>BRABO FRANCE</v>
          </cell>
          <cell r="G302" t="str">
            <v>NON</v>
          </cell>
          <cell r="H302" t="str">
            <v>COTATION/EN ETUDE SUR MES NAT</v>
          </cell>
          <cell r="I302">
            <v>0</v>
          </cell>
          <cell r="J302">
            <v>0</v>
          </cell>
          <cell r="K302" t="str">
            <v>NON</v>
          </cell>
          <cell r="L302" t="str">
            <v>NON</v>
          </cell>
          <cell r="N302" t="str">
            <v>Non affecté</v>
          </cell>
          <cell r="O302" t="str">
            <v>JPP</v>
          </cell>
          <cell r="P302" t="str">
            <v>Ok mon client</v>
          </cell>
          <cell r="Q302" t="str">
            <v>GENNEVILLIERS</v>
          </cell>
          <cell r="R302" t="str">
            <v>93</v>
          </cell>
          <cell r="S302" t="str">
            <v>1 RUE DE ROME</v>
          </cell>
          <cell r="T302">
            <v>93110</v>
          </cell>
          <cell r="U302" t="str">
            <v>ROSNY SOUS BOIS</v>
          </cell>
          <cell r="W302" t="str">
            <v>Directeur Logistique et Transports</v>
          </cell>
          <cell r="X302" t="str">
            <v>93110</v>
          </cell>
          <cell r="Y302" t="str">
            <v>ROSNY SOUS BOIS</v>
          </cell>
          <cell r="Z302">
            <v>5009</v>
          </cell>
          <cell r="AD302">
            <v>5009</v>
          </cell>
          <cell r="AE302">
            <v>456</v>
          </cell>
          <cell r="AF302">
            <v>0.12280701754385964</v>
          </cell>
          <cell r="AL302">
            <v>456</v>
          </cell>
          <cell r="AM302">
            <v>638.4</v>
          </cell>
          <cell r="AN302">
            <v>-0.87254941106009187</v>
          </cell>
          <cell r="AQ302">
            <v>40693</v>
          </cell>
          <cell r="AX302">
            <v>0</v>
          </cell>
          <cell r="AY302">
            <v>0</v>
          </cell>
          <cell r="AZ302">
            <v>456</v>
          </cell>
        </row>
        <row r="303">
          <cell r="A303">
            <v>607220</v>
          </cell>
          <cell r="B303" t="str">
            <v>CLARKE ENERGY</v>
          </cell>
          <cell r="G303" t="str">
            <v>OUI</v>
          </cell>
          <cell r="H303" t="str">
            <v>PAS GERE PAR 001</v>
          </cell>
          <cell r="I303">
            <v>0</v>
          </cell>
          <cell r="J303">
            <v>0</v>
          </cell>
          <cell r="K303" t="str">
            <v>NON</v>
          </cell>
          <cell r="L303" t="str">
            <v>NON</v>
          </cell>
          <cell r="N303" t="str">
            <v>Non affecté</v>
          </cell>
          <cell r="O303" t="str">
            <v>JPP</v>
          </cell>
          <cell r="P303" t="str">
            <v>Ok mon client</v>
          </cell>
          <cell r="Q303" t="str">
            <v>GENNEVILLIERS</v>
          </cell>
          <cell r="R303" t="str">
            <v>13</v>
          </cell>
          <cell r="X303" t="str">
            <v>13320</v>
          </cell>
          <cell r="Y303" t="str">
            <v>BOUC BEL AIR</v>
          </cell>
          <cell r="AG303">
            <v>422.07</v>
          </cell>
          <cell r="AL303">
            <v>422.07</v>
          </cell>
          <cell r="AM303">
            <v>590.89799999999991</v>
          </cell>
          <cell r="AX303">
            <v>422.07</v>
          </cell>
          <cell r="AY303">
            <v>0</v>
          </cell>
          <cell r="AZ303">
            <v>0</v>
          </cell>
        </row>
        <row r="304">
          <cell r="A304">
            <v>484967</v>
          </cell>
          <cell r="B304" t="str">
            <v>TICKET COM</v>
          </cell>
          <cell r="G304" t="str">
            <v>OUI</v>
          </cell>
          <cell r="H304" t="str">
            <v>TRI PORTEFEUILLE</v>
          </cell>
          <cell r="I304">
            <v>0</v>
          </cell>
          <cell r="J304">
            <v>0</v>
          </cell>
          <cell r="K304" t="str">
            <v>NON</v>
          </cell>
          <cell r="L304" t="str">
            <v>NON</v>
          </cell>
          <cell r="N304" t="str">
            <v>Non affecté</v>
          </cell>
          <cell r="O304" t="str">
            <v>JPP</v>
          </cell>
          <cell r="P304" t="str">
            <v>Ok mon client</v>
          </cell>
          <cell r="Q304" t="str">
            <v>GENNEVILLIERS</v>
          </cell>
          <cell r="R304" t="str">
            <v>92</v>
          </cell>
          <cell r="S304" t="str">
            <v>39 RUE LOUVEAU</v>
          </cell>
          <cell r="T304" t="str">
            <v>92320</v>
          </cell>
          <cell r="U304" t="str">
            <v>CHATILLON</v>
          </cell>
          <cell r="W304" t="str">
            <v>Directeur Logistique et Transports</v>
          </cell>
          <cell r="X304" t="str">
            <v>92320</v>
          </cell>
          <cell r="Y304" t="str">
            <v>CHATILLON</v>
          </cell>
          <cell r="AB304">
            <v>506</v>
          </cell>
          <cell r="AD304">
            <v>506</v>
          </cell>
          <cell r="AI304">
            <v>414</v>
          </cell>
          <cell r="AL304">
            <v>414</v>
          </cell>
          <cell r="AM304">
            <v>579.59999999999991</v>
          </cell>
          <cell r="AN304">
            <v>0.14545454545454528</v>
          </cell>
          <cell r="AO304" t="str">
            <v>001-G-GENERAL-KG</v>
          </cell>
          <cell r="AX304">
            <v>0</v>
          </cell>
          <cell r="AY304">
            <v>414</v>
          </cell>
          <cell r="AZ304">
            <v>0</v>
          </cell>
        </row>
        <row r="305">
          <cell r="A305">
            <v>500785</v>
          </cell>
          <cell r="B305" t="str">
            <v>BAGUES</v>
          </cell>
          <cell r="G305" t="str">
            <v>OUI</v>
          </cell>
          <cell r="H305" t="str">
            <v>TRI PORTEFEUILLE</v>
          </cell>
          <cell r="I305">
            <v>0</v>
          </cell>
          <cell r="J305">
            <v>0</v>
          </cell>
          <cell r="K305" t="str">
            <v>NON</v>
          </cell>
          <cell r="L305" t="str">
            <v>NON</v>
          </cell>
          <cell r="N305" t="str">
            <v>Non affecté</v>
          </cell>
          <cell r="O305" t="str">
            <v>JPP</v>
          </cell>
          <cell r="P305" t="str">
            <v>Ok mon client</v>
          </cell>
          <cell r="Q305" t="str">
            <v>GENNEVILLIERS</v>
          </cell>
          <cell r="R305" t="str">
            <v>75</v>
          </cell>
          <cell r="S305" t="str">
            <v>73 AVENUE DAUMESNIL</v>
          </cell>
          <cell r="T305">
            <v>75012</v>
          </cell>
          <cell r="U305" t="str">
            <v>PARIS</v>
          </cell>
          <cell r="X305" t="str">
            <v>75012</v>
          </cell>
          <cell r="Y305" t="str">
            <v>PARIS</v>
          </cell>
          <cell r="AG305">
            <v>161.84</v>
          </cell>
          <cell r="AI305">
            <v>202.35</v>
          </cell>
          <cell r="AJ305">
            <v>0.84733326032198009</v>
          </cell>
          <cell r="AL305">
            <v>364.19</v>
          </cell>
          <cell r="AM305">
            <v>509.86599999999999</v>
          </cell>
          <cell r="AO305" t="str">
            <v>259-G-75LABOUTIQUEBAGU</v>
          </cell>
          <cell r="AX305">
            <v>161.84</v>
          </cell>
          <cell r="AY305">
            <v>202.35</v>
          </cell>
          <cell r="AZ305">
            <v>0</v>
          </cell>
        </row>
        <row r="306">
          <cell r="A306">
            <v>84746</v>
          </cell>
          <cell r="B306" t="str">
            <v>THOMAS ET HARRISON</v>
          </cell>
          <cell r="C306">
            <v>0.1</v>
          </cell>
          <cell r="D306">
            <v>0.1</v>
          </cell>
          <cell r="E306">
            <v>0.02</v>
          </cell>
          <cell r="F306">
            <v>41275</v>
          </cell>
          <cell r="G306" t="str">
            <v>OUI</v>
          </cell>
          <cell r="I306">
            <v>0</v>
          </cell>
          <cell r="J306">
            <v>0</v>
          </cell>
          <cell r="K306" t="str">
            <v>OK</v>
          </cell>
          <cell r="L306" t="str">
            <v>OK</v>
          </cell>
          <cell r="M306" t="str">
            <v>OK</v>
          </cell>
          <cell r="N306" t="str">
            <v>Non affecté</v>
          </cell>
          <cell r="O306" t="str">
            <v>JPP</v>
          </cell>
          <cell r="P306" t="str">
            <v>Ok mon client</v>
          </cell>
          <cell r="Q306" t="str">
            <v>GENNEVILLIERS</v>
          </cell>
          <cell r="R306" t="str">
            <v>92</v>
          </cell>
          <cell r="S306" t="str">
            <v>45 BLD VICTOR HUGO   BP 215</v>
          </cell>
          <cell r="T306" t="str">
            <v>92112</v>
          </cell>
          <cell r="U306" t="str">
            <v>CLICHY CEDEX</v>
          </cell>
          <cell r="W306" t="str">
            <v>Directeur Logistique et Transports</v>
          </cell>
          <cell r="X306" t="str">
            <v>92586</v>
          </cell>
          <cell r="Y306" t="str">
            <v>CLICHY CEDEX</v>
          </cell>
          <cell r="AA306">
            <v>375.62</v>
          </cell>
          <cell r="AD306">
            <v>375.62</v>
          </cell>
          <cell r="AG306">
            <v>362.12</v>
          </cell>
          <cell r="AH306">
            <v>0.70672514619883042</v>
          </cell>
          <cell r="AL306">
            <v>362.12</v>
          </cell>
          <cell r="AM306">
            <v>506.96799999999996</v>
          </cell>
          <cell r="AN306">
            <v>0.34968319045844187</v>
          </cell>
          <cell r="AO306" t="str">
            <v>001-CONTRAT TYPE +50%</v>
          </cell>
          <cell r="AX306">
            <v>398.33200000000005</v>
          </cell>
          <cell r="AY306">
            <v>0</v>
          </cell>
          <cell r="AZ306">
            <v>0</v>
          </cell>
        </row>
        <row r="307">
          <cell r="A307">
            <v>614464</v>
          </cell>
          <cell r="B307" t="str">
            <v>SIVE</v>
          </cell>
          <cell r="I307">
            <v>0</v>
          </cell>
          <cell r="J307">
            <v>0</v>
          </cell>
          <cell r="K307" t="str">
            <v>NON</v>
          </cell>
          <cell r="L307" t="str">
            <v>non</v>
          </cell>
          <cell r="N307" t="str">
            <v>Non affecté</v>
          </cell>
          <cell r="O307" t="str">
            <v>AB</v>
          </cell>
          <cell r="P307" t="str">
            <v>Ok mon client</v>
          </cell>
          <cell r="Q307" t="str">
            <v>GENNEVILLIERS</v>
          </cell>
          <cell r="R307" t="str">
            <v>28</v>
          </cell>
          <cell r="S307" t="str">
            <v>PA de la Vallée du Saule</v>
          </cell>
          <cell r="T307" t="str">
            <v>28170</v>
          </cell>
          <cell r="U307" t="str">
            <v>TRAMBLAY LES VILLAGES</v>
          </cell>
          <cell r="X307" t="str">
            <v>28170</v>
          </cell>
          <cell r="Y307" t="str">
            <v>TRAMBLAY LES VILLAGES</v>
          </cell>
          <cell r="AI307">
            <v>329.01000000000005</v>
          </cell>
          <cell r="AJ307">
            <v>0.99501246882793015</v>
          </cell>
          <cell r="AL307">
            <v>329.01000000000005</v>
          </cell>
          <cell r="AM307">
            <v>460.61400000000003</v>
          </cell>
          <cell r="AO307" t="str">
            <v>028-G-G-8-KG</v>
          </cell>
          <cell r="AX307">
            <v>0</v>
          </cell>
          <cell r="AY307">
            <v>329.01000000000005</v>
          </cell>
          <cell r="AZ307">
            <v>0</v>
          </cell>
        </row>
        <row r="308">
          <cell r="A308">
            <v>801716</v>
          </cell>
          <cell r="B308" t="str">
            <v>LEM INDUSTRIE SAS</v>
          </cell>
          <cell r="C308">
            <v>0.1</v>
          </cell>
          <cell r="D308">
            <v>0.1</v>
          </cell>
          <cell r="E308">
            <v>0.1</v>
          </cell>
          <cell r="F308">
            <v>41306</v>
          </cell>
          <cell r="G308" t="str">
            <v>OUI</v>
          </cell>
          <cell r="I308">
            <v>0</v>
          </cell>
          <cell r="J308">
            <v>0</v>
          </cell>
          <cell r="K308" t="str">
            <v>OK</v>
          </cell>
          <cell r="L308" t="str">
            <v>OK</v>
          </cell>
          <cell r="N308" t="str">
            <v>Non affecté</v>
          </cell>
          <cell r="O308" t="str">
            <v>MM</v>
          </cell>
          <cell r="P308" t="str">
            <v>Ok mon client</v>
          </cell>
          <cell r="Q308" t="str">
            <v>GENNEVILLIERS</v>
          </cell>
          <cell r="R308" t="str">
            <v>95</v>
          </cell>
          <cell r="S308" t="str">
            <v>43 RUE MICHEL CARRE - BP 90046</v>
          </cell>
          <cell r="T308">
            <v>95100</v>
          </cell>
          <cell r="U308" t="str">
            <v>ARGENTEUIL</v>
          </cell>
          <cell r="W308" t="str">
            <v>N. BAZIRE</v>
          </cell>
          <cell r="X308" t="str">
            <v>95100</v>
          </cell>
          <cell r="Y308" t="str">
            <v>ARGENTEUIL</v>
          </cell>
          <cell r="Z308">
            <v>625</v>
          </cell>
          <cell r="AA308">
            <v>841.05000000000007</v>
          </cell>
          <cell r="AD308">
            <v>1466.0500000000002</v>
          </cell>
          <cell r="AG308">
            <v>324.95</v>
          </cell>
          <cell r="AH308">
            <v>0.87336513309739972</v>
          </cell>
          <cell r="AL308">
            <v>324.95</v>
          </cell>
          <cell r="AM308">
            <v>454.92999999999995</v>
          </cell>
          <cell r="AN308">
            <v>-0.68968998328842823</v>
          </cell>
          <cell r="AO308" t="str">
            <v>001-CONTRAT TYPE +50%</v>
          </cell>
          <cell r="AX308">
            <v>357.44499999999999</v>
          </cell>
          <cell r="AY308">
            <v>0</v>
          </cell>
          <cell r="AZ308">
            <v>0</v>
          </cell>
        </row>
        <row r="309">
          <cell r="A309">
            <v>633282</v>
          </cell>
          <cell r="B309" t="str">
            <v>ATOS WORLDLINE</v>
          </cell>
          <cell r="G309" t="str">
            <v>OUI</v>
          </cell>
          <cell r="I309">
            <v>0</v>
          </cell>
          <cell r="J309">
            <v>0</v>
          </cell>
          <cell r="K309" t="str">
            <v>NON</v>
          </cell>
          <cell r="L309" t="str">
            <v>non</v>
          </cell>
          <cell r="N309" t="str">
            <v>Non affecté</v>
          </cell>
          <cell r="O309" t="str">
            <v>JPP</v>
          </cell>
          <cell r="P309" t="str">
            <v>Ok mon client</v>
          </cell>
          <cell r="Q309" t="str">
            <v>GENNEVILLIERS</v>
          </cell>
          <cell r="R309">
            <v>92</v>
          </cell>
          <cell r="S309" t="str">
            <v>6 PLACE DE L IRIS</v>
          </cell>
          <cell r="T309" t="str">
            <v>92400</v>
          </cell>
          <cell r="U309" t="str">
            <v>COURBEVOIE</v>
          </cell>
          <cell r="V309" t="str">
            <v>Mme</v>
          </cell>
          <cell r="W309" t="str">
            <v>LE CAM</v>
          </cell>
          <cell r="X309" t="str">
            <v>92400</v>
          </cell>
          <cell r="Y309" t="str">
            <v>COURBEVOIE</v>
          </cell>
          <cell r="AA309">
            <v>1038.9299999999998</v>
          </cell>
          <cell r="AD309">
            <v>1038.9299999999998</v>
          </cell>
          <cell r="AG309">
            <v>313.15999999999997</v>
          </cell>
          <cell r="AH309">
            <v>0.88876537454728011</v>
          </cell>
          <cell r="AL309">
            <v>313.15999999999997</v>
          </cell>
          <cell r="AM309">
            <v>438.42399999999992</v>
          </cell>
          <cell r="AN309">
            <v>-0.57800429287824973</v>
          </cell>
          <cell r="AO309" t="str">
            <v>001-CONTRAT TYPE +50%</v>
          </cell>
          <cell r="AQ309">
            <v>39171</v>
          </cell>
          <cell r="AX309">
            <v>313.15999999999997</v>
          </cell>
          <cell r="AY309">
            <v>0</v>
          </cell>
          <cell r="AZ309">
            <v>0</v>
          </cell>
        </row>
        <row r="310">
          <cell r="A310">
            <v>609990</v>
          </cell>
          <cell r="B310" t="str">
            <v>EDITIONS ALAN SUTTON</v>
          </cell>
          <cell r="G310" t="str">
            <v>OUI</v>
          </cell>
          <cell r="H310" t="str">
            <v>PAS GERE PAR 001</v>
          </cell>
          <cell r="I310">
            <v>0</v>
          </cell>
          <cell r="J310">
            <v>0</v>
          </cell>
          <cell r="K310" t="str">
            <v>NON</v>
          </cell>
          <cell r="L310" t="str">
            <v>NON</v>
          </cell>
          <cell r="N310" t="str">
            <v>Non affecté</v>
          </cell>
          <cell r="O310" t="str">
            <v>JPP</v>
          </cell>
          <cell r="P310" t="str">
            <v>Ok mon client</v>
          </cell>
          <cell r="Q310" t="str">
            <v>DRANCY</v>
          </cell>
          <cell r="R310" t="str">
            <v>37</v>
          </cell>
          <cell r="X310" t="str">
            <v>37551</v>
          </cell>
          <cell r="Y310" t="str">
            <v>ST AVERTIN</v>
          </cell>
          <cell r="AI310">
            <v>292.64999999999998</v>
          </cell>
          <cell r="AL310">
            <v>292.64999999999998</v>
          </cell>
          <cell r="AM310">
            <v>409.70999999999992</v>
          </cell>
          <cell r="AX310">
            <v>0</v>
          </cell>
          <cell r="AY310">
            <v>292.64999999999998</v>
          </cell>
          <cell r="AZ310">
            <v>0</v>
          </cell>
        </row>
        <row r="311">
          <cell r="A311">
            <v>847530</v>
          </cell>
          <cell r="B311" t="str">
            <v>FRIULINOX SERVICE</v>
          </cell>
          <cell r="C311">
            <v>0.1</v>
          </cell>
          <cell r="D311">
            <v>0.1</v>
          </cell>
          <cell r="E311">
            <v>0.02</v>
          </cell>
          <cell r="F311">
            <v>41275</v>
          </cell>
          <cell r="G311" t="str">
            <v>OUI</v>
          </cell>
          <cell r="I311">
            <v>0</v>
          </cell>
          <cell r="J311">
            <v>0</v>
          </cell>
          <cell r="K311" t="str">
            <v>OK</v>
          </cell>
          <cell r="L311" t="str">
            <v>OK</v>
          </cell>
          <cell r="N311" t="str">
            <v>Non affecté</v>
          </cell>
          <cell r="O311" t="str">
            <v>JPP</v>
          </cell>
          <cell r="P311" t="str">
            <v>Ok mon client</v>
          </cell>
          <cell r="Q311" t="str">
            <v>GENNEVILLIERS</v>
          </cell>
          <cell r="R311" t="str">
            <v>92</v>
          </cell>
          <cell r="S311" t="str">
            <v>PAROIS NORD</v>
          </cell>
          <cell r="T311">
            <v>92044</v>
          </cell>
          <cell r="U311" t="str">
            <v>PARIS LA DEFENSE CEDEX</v>
          </cell>
          <cell r="V311" t="str">
            <v>M.</v>
          </cell>
          <cell r="W311" t="str">
            <v>Ropars</v>
          </cell>
          <cell r="X311" t="str">
            <v>92044</v>
          </cell>
          <cell r="Y311" t="str">
            <v>PARIS LA DEFENSE CEDEX</v>
          </cell>
          <cell r="Z311">
            <v>2115.73</v>
          </cell>
          <cell r="AA311">
            <v>503.13</v>
          </cell>
          <cell r="AD311">
            <v>2618.86</v>
          </cell>
          <cell r="AG311">
            <v>291.76</v>
          </cell>
          <cell r="AH311">
            <v>0.35939741750358678</v>
          </cell>
          <cell r="AL311">
            <v>291.76</v>
          </cell>
          <cell r="AM311">
            <v>408.46399999999994</v>
          </cell>
          <cell r="AN311">
            <v>-0.84402984504708156</v>
          </cell>
          <cell r="AO311" t="str">
            <v>001-G-92FRIULINOX</v>
          </cell>
          <cell r="AP311" t="str">
            <v>001-L1-92FRIULINOX</v>
          </cell>
          <cell r="AQ311">
            <v>40694</v>
          </cell>
          <cell r="AX311">
            <v>320.93600000000004</v>
          </cell>
          <cell r="AY311">
            <v>0</v>
          </cell>
          <cell r="AZ311">
            <v>0</v>
          </cell>
        </row>
        <row r="312">
          <cell r="A312">
            <v>544071</v>
          </cell>
          <cell r="B312" t="str">
            <v>GEORGES BRIERE SA</v>
          </cell>
          <cell r="C312">
            <v>0.1</v>
          </cell>
          <cell r="D312">
            <v>0.1</v>
          </cell>
          <cell r="E312">
            <v>0.02</v>
          </cell>
          <cell r="F312">
            <v>41275</v>
          </cell>
          <cell r="G312" t="str">
            <v>OUI</v>
          </cell>
          <cell r="I312">
            <v>0</v>
          </cell>
          <cell r="J312">
            <v>0</v>
          </cell>
          <cell r="K312" t="str">
            <v>OK</v>
          </cell>
          <cell r="L312" t="str">
            <v>OK</v>
          </cell>
          <cell r="N312" t="str">
            <v>Non affecté</v>
          </cell>
          <cell r="O312" t="str">
            <v>JPP</v>
          </cell>
          <cell r="P312" t="str">
            <v>Ok mon client</v>
          </cell>
          <cell r="Q312" t="str">
            <v>GENNEVILLIERS</v>
          </cell>
          <cell r="R312" t="str">
            <v>92</v>
          </cell>
          <cell r="S312" t="str">
            <v>14/30 RUE DE MANTES</v>
          </cell>
          <cell r="T312" t="str">
            <v>92700</v>
          </cell>
          <cell r="U312" t="str">
            <v>COLOMBES</v>
          </cell>
          <cell r="V312" t="str">
            <v>Mme</v>
          </cell>
          <cell r="W312" t="str">
            <v>CLEMENT</v>
          </cell>
          <cell r="X312" t="str">
            <v>92700</v>
          </cell>
          <cell r="Y312" t="str">
            <v>COLOMBES</v>
          </cell>
          <cell r="AA312">
            <v>5623.13</v>
          </cell>
          <cell r="AB312">
            <v>759.59</v>
          </cell>
          <cell r="AD312">
            <v>6382.72</v>
          </cell>
          <cell r="AG312">
            <v>290.71000000000004</v>
          </cell>
          <cell r="AH312">
            <v>0.69722403770080155</v>
          </cell>
          <cell r="AL312">
            <v>290.71000000000004</v>
          </cell>
          <cell r="AM312">
            <v>406.99400000000003</v>
          </cell>
          <cell r="AN312">
            <v>-0.93623502205956077</v>
          </cell>
          <cell r="AO312" t="str">
            <v>001-G-92GEORGESBRIERE</v>
          </cell>
          <cell r="AX312">
            <v>319.78100000000006</v>
          </cell>
          <cell r="AY312">
            <v>0</v>
          </cell>
          <cell r="AZ312">
            <v>0</v>
          </cell>
        </row>
        <row r="313">
          <cell r="A313">
            <v>683775</v>
          </cell>
          <cell r="B313" t="str">
            <v>MARCHAL TECHNOLOGIES</v>
          </cell>
          <cell r="H313" t="str">
            <v>PAS DE CONTRAT INES</v>
          </cell>
          <cell r="I313">
            <v>0</v>
          </cell>
          <cell r="J313">
            <v>0</v>
          </cell>
          <cell r="K313" t="str">
            <v>NON</v>
          </cell>
          <cell r="L313" t="str">
            <v>NON</v>
          </cell>
          <cell r="N313" t="str">
            <v>Non affecté</v>
          </cell>
          <cell r="O313" t="str">
            <v>AB</v>
          </cell>
          <cell r="P313" t="str">
            <v>Ok mon client</v>
          </cell>
          <cell r="Q313" t="str">
            <v>GENNEVILLIERS</v>
          </cell>
          <cell r="R313" t="str">
            <v>78</v>
          </cell>
          <cell r="S313" t="str">
            <v>7 RUE ELSA TRIOLET</v>
          </cell>
          <cell r="T313">
            <v>78370</v>
          </cell>
          <cell r="U313" t="str">
            <v>PLAISIR</v>
          </cell>
          <cell r="W313" t="str">
            <v>Directeur Logistique et Transports</v>
          </cell>
          <cell r="X313" t="str">
            <v>78370</v>
          </cell>
          <cell r="Y313" t="str">
            <v>PLAISIR</v>
          </cell>
          <cell r="AI313">
            <v>290.60000000000002</v>
          </cell>
          <cell r="AJ313">
            <v>-0.98333333333333328</v>
          </cell>
          <cell r="AL313">
            <v>290.60000000000002</v>
          </cell>
          <cell r="AM313">
            <v>406.84000000000003</v>
          </cell>
          <cell r="AX313">
            <v>0</v>
          </cell>
          <cell r="AY313">
            <v>290.60000000000002</v>
          </cell>
          <cell r="AZ313">
            <v>0</v>
          </cell>
        </row>
        <row r="314">
          <cell r="A314">
            <v>85270</v>
          </cell>
          <cell r="B314" t="str">
            <v>PHILIPPE VAN DE MAELE DISTRIBUTION</v>
          </cell>
          <cell r="H314" t="str">
            <v>PSA</v>
          </cell>
          <cell r="I314">
            <v>0</v>
          </cell>
          <cell r="J314">
            <v>0</v>
          </cell>
          <cell r="K314" t="str">
            <v>NON</v>
          </cell>
          <cell r="L314" t="str">
            <v>NON</v>
          </cell>
          <cell r="N314" t="str">
            <v>Non affecté</v>
          </cell>
          <cell r="O314" t="str">
            <v>AB</v>
          </cell>
          <cell r="P314" t="str">
            <v>Ok mon client</v>
          </cell>
          <cell r="Q314" t="str">
            <v>GENNEVILLIERS</v>
          </cell>
          <cell r="R314" t="str">
            <v>78</v>
          </cell>
          <cell r="S314" t="str">
            <v>58 RUE GEORGES LENOTRE</v>
          </cell>
          <cell r="T314">
            <v>78120</v>
          </cell>
          <cell r="U314" t="str">
            <v>RAMBOUILLET</v>
          </cell>
          <cell r="X314" t="str">
            <v>78120</v>
          </cell>
          <cell r="Y314" t="str">
            <v>RAMBOUILLET</v>
          </cell>
          <cell r="AE314">
            <v>286</v>
          </cell>
          <cell r="AF314">
            <v>-4.5363636363636362</v>
          </cell>
          <cell r="AL314">
            <v>286</v>
          </cell>
          <cell r="AM314">
            <v>400.4</v>
          </cell>
          <cell r="AO314" t="str">
            <v>001-G-PCACONCESSION</v>
          </cell>
          <cell r="AX314">
            <v>0</v>
          </cell>
          <cell r="AY314">
            <v>0</v>
          </cell>
          <cell r="AZ314">
            <v>286</v>
          </cell>
        </row>
        <row r="315">
          <cell r="A315">
            <v>437430</v>
          </cell>
          <cell r="B315" t="str">
            <v>PARITEX</v>
          </cell>
          <cell r="G315" t="str">
            <v>OUI</v>
          </cell>
          <cell r="H315" t="str">
            <v>HS</v>
          </cell>
          <cell r="I315">
            <v>0</v>
          </cell>
          <cell r="J315">
            <v>0</v>
          </cell>
          <cell r="K315" t="str">
            <v>NON</v>
          </cell>
          <cell r="L315" t="str">
            <v>NON</v>
          </cell>
          <cell r="N315" t="str">
            <v>Non affecté</v>
          </cell>
          <cell r="O315" t="str">
            <v>JPP</v>
          </cell>
          <cell r="P315" t="str">
            <v>Ok mon client</v>
          </cell>
          <cell r="Q315" t="str">
            <v>GENNEVILLIERS</v>
          </cell>
          <cell r="R315" t="str">
            <v>93</v>
          </cell>
          <cell r="S315" t="str">
            <v>115 RUE ETIENNE DOLET</v>
          </cell>
          <cell r="T315">
            <v>93380</v>
          </cell>
          <cell r="U315" t="str">
            <v>PIERREFITTE SUR SEINE</v>
          </cell>
          <cell r="V315" t="str">
            <v>M.</v>
          </cell>
          <cell r="W315" t="str">
            <v>DRISS</v>
          </cell>
          <cell r="X315" t="str">
            <v>93380</v>
          </cell>
          <cell r="Y315" t="str">
            <v>PIERREFITTE SUR SEINE</v>
          </cell>
          <cell r="Z315">
            <v>563.69000000000005</v>
          </cell>
          <cell r="AA315">
            <v>247.03000000000003</v>
          </cell>
          <cell r="AD315">
            <v>810.72</v>
          </cell>
          <cell r="AG315">
            <v>276.31</v>
          </cell>
          <cell r="AH315">
            <v>0.24298318521833626</v>
          </cell>
          <cell r="AL315">
            <v>276.31</v>
          </cell>
          <cell r="AM315">
            <v>386.834</v>
          </cell>
          <cell r="AN315">
            <v>-0.52285129267811326</v>
          </cell>
          <cell r="AO315" t="str">
            <v>001-G-93PARITEX</v>
          </cell>
          <cell r="AP315" t="str">
            <v>001-L1-93PARITEX</v>
          </cell>
          <cell r="AQ315">
            <v>40795</v>
          </cell>
          <cell r="AX315">
            <v>276.31</v>
          </cell>
          <cell r="AY315">
            <v>0</v>
          </cell>
          <cell r="AZ315">
            <v>0</v>
          </cell>
        </row>
        <row r="316">
          <cell r="A316">
            <v>523607</v>
          </cell>
          <cell r="B316" t="str">
            <v>GOBAIN EMBALLAGE</v>
          </cell>
          <cell r="G316" t="str">
            <v>OUI</v>
          </cell>
          <cell r="H316" t="str">
            <v>HS</v>
          </cell>
          <cell r="I316">
            <v>0</v>
          </cell>
          <cell r="J316">
            <v>0</v>
          </cell>
          <cell r="K316" t="str">
            <v>NON</v>
          </cell>
          <cell r="L316" t="str">
            <v>NON</v>
          </cell>
          <cell r="N316" t="str">
            <v>Non affecté</v>
          </cell>
          <cell r="O316" t="str">
            <v>JPP</v>
          </cell>
          <cell r="P316" t="str">
            <v>Ok mon client</v>
          </cell>
          <cell r="Q316" t="str">
            <v>GENNEVILLIERS</v>
          </cell>
          <cell r="R316" t="str">
            <v>42</v>
          </cell>
          <cell r="X316" t="str">
            <v>42610</v>
          </cell>
          <cell r="Y316" t="str">
            <v>ST ROMAIN LE PUY</v>
          </cell>
          <cell r="AE316">
            <v>276</v>
          </cell>
          <cell r="AL316">
            <v>276</v>
          </cell>
          <cell r="AM316">
            <v>386.4</v>
          </cell>
          <cell r="AX316">
            <v>0</v>
          </cell>
          <cell r="AY316">
            <v>0</v>
          </cell>
          <cell r="AZ316">
            <v>276</v>
          </cell>
        </row>
        <row r="317">
          <cell r="A317">
            <v>377171</v>
          </cell>
          <cell r="B317" t="str">
            <v>DEFI GROUP</v>
          </cell>
          <cell r="F317" t="str">
            <v>GENNEVILLIERS</v>
          </cell>
          <cell r="G317">
            <v>0</v>
          </cell>
          <cell r="I317">
            <v>0</v>
          </cell>
          <cell r="K317" t="str">
            <v>NON</v>
          </cell>
          <cell r="N317" t="str">
            <v>Non affecté</v>
          </cell>
          <cell r="O317" t="str">
            <v>FR</v>
          </cell>
          <cell r="P317" t="str">
            <v>Rajouté</v>
          </cell>
          <cell r="Q317" t="str">
            <v>GENNEVILLIERS</v>
          </cell>
          <cell r="R317" t="str">
            <v>77</v>
          </cell>
          <cell r="S317" t="str">
            <v>16 RUE DENIS PAPIN - BP 508</v>
          </cell>
          <cell r="T317" t="str">
            <v>77295</v>
          </cell>
          <cell r="U317" t="str">
            <v>MITRY MORY CEDEX</v>
          </cell>
          <cell r="W317" t="str">
            <v>Directeur Logistique et Transports</v>
          </cell>
          <cell r="X317" t="str">
            <v>77295</v>
          </cell>
          <cell r="Y317" t="str">
            <v>MITRY MORY CEDEX</v>
          </cell>
          <cell r="AA317">
            <v>32.850000000000009</v>
          </cell>
          <cell r="AD317">
            <v>32.850000000000009</v>
          </cell>
          <cell r="AG317">
            <v>274.12</v>
          </cell>
          <cell r="AH317">
            <v>0.46034099332839135</v>
          </cell>
          <cell r="AL317">
            <v>274.12</v>
          </cell>
          <cell r="AM317">
            <v>383.76799999999997</v>
          </cell>
          <cell r="AN317">
            <v>10.682435312024349</v>
          </cell>
          <cell r="AO317" t="str">
            <v>001-G-77RANDON</v>
          </cell>
          <cell r="AP317" t="str">
            <v>001-L-GENERAL-KG</v>
          </cell>
          <cell r="AX317">
            <v>274.12</v>
          </cell>
          <cell r="AY317">
            <v>0</v>
          </cell>
          <cell r="AZ317">
            <v>0</v>
          </cell>
        </row>
        <row r="318">
          <cell r="A318">
            <v>560412</v>
          </cell>
          <cell r="B318" t="str">
            <v>ATELIER DE RECTIFICATION DU CALAISI</v>
          </cell>
          <cell r="G318" t="str">
            <v>OUI</v>
          </cell>
          <cell r="H318" t="str">
            <v>PAS GERE PAR 001</v>
          </cell>
          <cell r="I318">
            <v>0</v>
          </cell>
          <cell r="J318">
            <v>0</v>
          </cell>
          <cell r="K318" t="str">
            <v>NON</v>
          </cell>
          <cell r="L318" t="str">
            <v>NON</v>
          </cell>
          <cell r="N318" t="str">
            <v>Non affecté</v>
          </cell>
          <cell r="O318" t="str">
            <v>JPP</v>
          </cell>
          <cell r="P318" t="str">
            <v>Ok mon client</v>
          </cell>
          <cell r="Q318" t="str">
            <v>GENNEVILLIERS</v>
          </cell>
          <cell r="R318" t="str">
            <v>62</v>
          </cell>
          <cell r="X318" t="str">
            <v>62100</v>
          </cell>
          <cell r="Y318" t="str">
            <v>CALAIS</v>
          </cell>
          <cell r="AG318">
            <v>253.91000000000003</v>
          </cell>
          <cell r="AH318">
            <v>0.69714353070606272</v>
          </cell>
          <cell r="AL318">
            <v>253.91000000000003</v>
          </cell>
          <cell r="AM318">
            <v>355.47399999999999</v>
          </cell>
          <cell r="AX318">
            <v>253.91000000000003</v>
          </cell>
          <cell r="AY318">
            <v>0</v>
          </cell>
          <cell r="AZ318">
            <v>0</v>
          </cell>
        </row>
        <row r="319">
          <cell r="A319">
            <v>863340</v>
          </cell>
          <cell r="B319" t="str">
            <v>HYGIATECH SERVICES</v>
          </cell>
          <cell r="G319" t="str">
            <v>OUI</v>
          </cell>
          <cell r="H319" t="str">
            <v>Mis HS</v>
          </cell>
          <cell r="I319">
            <v>0</v>
          </cell>
          <cell r="J319">
            <v>0</v>
          </cell>
          <cell r="K319" t="str">
            <v>NON</v>
          </cell>
          <cell r="L319" t="str">
            <v>NON</v>
          </cell>
          <cell r="N319" t="str">
            <v>Non affecté</v>
          </cell>
          <cell r="O319" t="str">
            <v>JPP</v>
          </cell>
          <cell r="P319" t="str">
            <v>Ok mon client</v>
          </cell>
          <cell r="Q319" t="str">
            <v>GENNEVILLIERS</v>
          </cell>
          <cell r="R319" t="str">
            <v>92</v>
          </cell>
          <cell r="S319" t="str">
            <v>10- 12 AVENUE DE VERDUN</v>
          </cell>
          <cell r="T319">
            <v>92250</v>
          </cell>
          <cell r="U319" t="str">
            <v>LA GARENNE COLOMBES</v>
          </cell>
          <cell r="X319" t="str">
            <v>92250</v>
          </cell>
          <cell r="Y319" t="str">
            <v>LA GARENNE COLOMBES</v>
          </cell>
          <cell r="AG319">
            <v>248</v>
          </cell>
          <cell r="AL319">
            <v>248</v>
          </cell>
          <cell r="AM319">
            <v>347.2</v>
          </cell>
          <cell r="AO319" t="str">
            <v>001-G-92CONFORMAT</v>
          </cell>
          <cell r="AP319" t="str">
            <v>001-L-92CONFORMAT</v>
          </cell>
          <cell r="AX319">
            <v>248</v>
          </cell>
          <cell r="AY319">
            <v>0</v>
          </cell>
          <cell r="AZ319">
            <v>0</v>
          </cell>
        </row>
        <row r="320">
          <cell r="A320">
            <v>482132</v>
          </cell>
          <cell r="B320" t="str">
            <v>AMNESTY INTERNATIONAL</v>
          </cell>
          <cell r="C320">
            <v>0.1</v>
          </cell>
          <cell r="D320">
            <v>0.1</v>
          </cell>
          <cell r="E320">
            <v>0.02</v>
          </cell>
          <cell r="F320">
            <v>41275</v>
          </cell>
          <cell r="G320" t="str">
            <v>OUI</v>
          </cell>
          <cell r="I320">
            <v>0</v>
          </cell>
          <cell r="J320">
            <v>0</v>
          </cell>
          <cell r="K320" t="str">
            <v>NON</v>
          </cell>
          <cell r="L320" t="str">
            <v>OK</v>
          </cell>
          <cell r="N320" t="str">
            <v>Non affecté</v>
          </cell>
          <cell r="O320" t="str">
            <v>JPP</v>
          </cell>
          <cell r="P320" t="str">
            <v>Ok mon client</v>
          </cell>
          <cell r="Q320" t="str">
            <v>GENNEVILLIERS</v>
          </cell>
          <cell r="R320" t="str">
            <v>75</v>
          </cell>
          <cell r="S320" t="str">
            <v>76 BLD DE LA VILLETTE</v>
          </cell>
          <cell r="T320" t="str">
            <v>75019</v>
          </cell>
          <cell r="U320" t="str">
            <v>PARIS 19</v>
          </cell>
          <cell r="W320" t="str">
            <v>Directeur Logistique et Transports</v>
          </cell>
          <cell r="X320" t="str">
            <v>75019</v>
          </cell>
          <cell r="Y320" t="str">
            <v>PARIS 19</v>
          </cell>
          <cell r="AA320">
            <v>34.01</v>
          </cell>
          <cell r="AD320">
            <v>34.01</v>
          </cell>
          <cell r="AG320">
            <v>243.54</v>
          </cell>
          <cell r="AH320">
            <v>0.49841055123435918</v>
          </cell>
          <cell r="AL320">
            <v>243.54</v>
          </cell>
          <cell r="AM320">
            <v>340.95599999999996</v>
          </cell>
          <cell r="AN320">
            <v>9.0251690679211993</v>
          </cell>
          <cell r="AO320" t="str">
            <v>259-G-75AMNESTY</v>
          </cell>
          <cell r="AQ320">
            <v>38300</v>
          </cell>
          <cell r="AX320">
            <v>267.89400000000001</v>
          </cell>
          <cell r="AY320">
            <v>0</v>
          </cell>
          <cell r="AZ320">
            <v>0</v>
          </cell>
        </row>
        <row r="321">
          <cell r="A321">
            <v>576579</v>
          </cell>
          <cell r="B321" t="str">
            <v>AIMANTS CALAMIT</v>
          </cell>
          <cell r="C321">
            <v>0.1</v>
          </cell>
          <cell r="D321">
            <v>0.1</v>
          </cell>
          <cell r="E321">
            <v>0.02</v>
          </cell>
          <cell r="F321">
            <v>41275</v>
          </cell>
          <cell r="G321" t="str">
            <v>OUI</v>
          </cell>
          <cell r="I321">
            <v>0</v>
          </cell>
          <cell r="J321">
            <v>0</v>
          </cell>
          <cell r="K321" t="str">
            <v>OK</v>
          </cell>
          <cell r="L321" t="str">
            <v>OK</v>
          </cell>
          <cell r="N321" t="str">
            <v>Non affecté</v>
          </cell>
          <cell r="O321" t="str">
            <v>JPP</v>
          </cell>
          <cell r="P321" t="str">
            <v>Ok mon client</v>
          </cell>
          <cell r="Q321" t="str">
            <v>GENNEVILLIERS</v>
          </cell>
          <cell r="R321" t="str">
            <v>93</v>
          </cell>
          <cell r="S321" t="str">
            <v>8 RUE DE VALMY</v>
          </cell>
          <cell r="T321">
            <v>93100</v>
          </cell>
          <cell r="U321" t="str">
            <v>MONTREUIL</v>
          </cell>
          <cell r="V321" t="str">
            <v>M.</v>
          </cell>
          <cell r="W321" t="str">
            <v>PAGNINI</v>
          </cell>
          <cell r="X321" t="str">
            <v>93100</v>
          </cell>
          <cell r="Y321" t="str">
            <v>MONTREUIL</v>
          </cell>
          <cell r="AA321">
            <v>5637.36</v>
          </cell>
          <cell r="AB321">
            <v>759.5</v>
          </cell>
          <cell r="AD321">
            <v>6396.86</v>
          </cell>
          <cell r="AI321">
            <v>228.11999999999998</v>
          </cell>
          <cell r="AJ321">
            <v>0.75923342087984236</v>
          </cell>
          <cell r="AL321">
            <v>228.11999999999998</v>
          </cell>
          <cell r="AM321">
            <v>319.36799999999994</v>
          </cell>
          <cell r="AN321">
            <v>-0.95007425518144839</v>
          </cell>
          <cell r="AO321" t="str">
            <v>259-G-75AIMANTS</v>
          </cell>
          <cell r="AX321">
            <v>0</v>
          </cell>
          <cell r="AY321">
            <v>250.93199999999999</v>
          </cell>
          <cell r="AZ321">
            <v>0</v>
          </cell>
        </row>
        <row r="322">
          <cell r="A322">
            <v>43014</v>
          </cell>
          <cell r="B322" t="str">
            <v>ISO ROULEMENTS</v>
          </cell>
          <cell r="C322">
            <v>0.1</v>
          </cell>
          <cell r="D322">
            <v>0.1</v>
          </cell>
          <cell r="E322">
            <v>0.02</v>
          </cell>
          <cell r="F322">
            <v>41275</v>
          </cell>
          <cell r="G322" t="str">
            <v>OUI</v>
          </cell>
          <cell r="I322">
            <v>0</v>
          </cell>
          <cell r="J322">
            <v>0</v>
          </cell>
          <cell r="K322" t="str">
            <v>OK</v>
          </cell>
          <cell r="L322" t="str">
            <v>OK</v>
          </cell>
          <cell r="N322" t="str">
            <v>Non affecté</v>
          </cell>
          <cell r="O322" t="str">
            <v>JPP</v>
          </cell>
          <cell r="P322" t="str">
            <v>Ok mon client</v>
          </cell>
          <cell r="Q322" t="str">
            <v>GENNEVILLIERS</v>
          </cell>
          <cell r="R322" t="str">
            <v>75</v>
          </cell>
          <cell r="S322" t="str">
            <v>15 RUE DE LA FAISANDERIE -BP 10416</v>
          </cell>
          <cell r="T322" t="str">
            <v>75763</v>
          </cell>
          <cell r="U322" t="str">
            <v>PARIS CEDEX 16</v>
          </cell>
          <cell r="W322" t="str">
            <v>Directeur Logistique et Transports</v>
          </cell>
          <cell r="X322" t="str">
            <v>75763</v>
          </cell>
          <cell r="Y322" t="str">
            <v>PARIS CEDEX 16</v>
          </cell>
          <cell r="AB322">
            <v>832.85</v>
          </cell>
          <cell r="AD322">
            <v>832.85</v>
          </cell>
          <cell r="AI322">
            <v>227.2</v>
          </cell>
          <cell r="AJ322">
            <v>0.73886441507586886</v>
          </cell>
          <cell r="AL322">
            <v>227.2</v>
          </cell>
          <cell r="AM322">
            <v>318.08</v>
          </cell>
          <cell r="AN322">
            <v>-0.61808248784294895</v>
          </cell>
          <cell r="AO322" t="str">
            <v>001-G-75ISOROULEMENTS</v>
          </cell>
          <cell r="AQ322">
            <v>38279</v>
          </cell>
          <cell r="AX322">
            <v>0</v>
          </cell>
          <cell r="AY322">
            <v>249.92000000000002</v>
          </cell>
          <cell r="AZ322">
            <v>0</v>
          </cell>
        </row>
        <row r="323">
          <cell r="A323">
            <v>525246</v>
          </cell>
          <cell r="B323" t="str">
            <v>IRIS</v>
          </cell>
          <cell r="G323" t="str">
            <v>OUI</v>
          </cell>
          <cell r="H323" t="str">
            <v>PAS GERE PAR 001</v>
          </cell>
          <cell r="I323">
            <v>0</v>
          </cell>
          <cell r="J323">
            <v>0</v>
          </cell>
          <cell r="K323" t="str">
            <v>NON</v>
          </cell>
          <cell r="L323" t="str">
            <v>NON</v>
          </cell>
          <cell r="N323" t="str">
            <v>Non affecté</v>
          </cell>
          <cell r="O323" t="str">
            <v>JPP</v>
          </cell>
          <cell r="P323" t="str">
            <v>Ok mon client</v>
          </cell>
          <cell r="Q323" t="str">
            <v>GENNEVILLIERS</v>
          </cell>
          <cell r="R323" t="str">
            <v>20</v>
          </cell>
          <cell r="X323" t="str">
            <v>20600</v>
          </cell>
          <cell r="Y323" t="str">
            <v>EIBAR</v>
          </cell>
          <cell r="AG323">
            <v>211.89</v>
          </cell>
          <cell r="AH323">
            <v>-0.15541082637217429</v>
          </cell>
          <cell r="AL323">
            <v>211.89</v>
          </cell>
          <cell r="AM323">
            <v>296.64599999999996</v>
          </cell>
          <cell r="AX323">
            <v>211.89</v>
          </cell>
          <cell r="AY323">
            <v>0</v>
          </cell>
          <cell r="AZ323">
            <v>0</v>
          </cell>
        </row>
        <row r="324">
          <cell r="A324">
            <v>35350</v>
          </cell>
          <cell r="B324" t="str">
            <v>ETS MARIE FRERES</v>
          </cell>
          <cell r="H324" t="str">
            <v>PAS DE CONTRAT INES</v>
          </cell>
          <cell r="I324">
            <v>0</v>
          </cell>
          <cell r="J324">
            <v>0</v>
          </cell>
          <cell r="K324" t="str">
            <v>NON</v>
          </cell>
          <cell r="L324" t="str">
            <v>NON</v>
          </cell>
          <cell r="N324" t="str">
            <v>Non affecté</v>
          </cell>
          <cell r="O324" t="str">
            <v>AB</v>
          </cell>
          <cell r="P324" t="str">
            <v>Ok mon client</v>
          </cell>
          <cell r="Q324" t="str">
            <v>GENNEVILLIERS</v>
          </cell>
          <cell r="R324" t="str">
            <v>78</v>
          </cell>
          <cell r="S324" t="str">
            <v>191-195 RUE LEON JOUHAUX</v>
          </cell>
          <cell r="T324" t="str">
            <v>78500</v>
          </cell>
          <cell r="U324" t="str">
            <v>SARTROUVILLE</v>
          </cell>
          <cell r="W324" t="str">
            <v>Directeur Logistique et Transports</v>
          </cell>
          <cell r="X324" t="str">
            <v>78500</v>
          </cell>
          <cell r="Y324" t="str">
            <v>SARTROUVILLE</v>
          </cell>
          <cell r="AE324">
            <v>210</v>
          </cell>
          <cell r="AL324">
            <v>210</v>
          </cell>
          <cell r="AM324">
            <v>294</v>
          </cell>
          <cell r="AO324" t="str">
            <v>001-CONTRAT TYPE +50%</v>
          </cell>
          <cell r="AX324">
            <v>0</v>
          </cell>
          <cell r="AY324">
            <v>0</v>
          </cell>
          <cell r="AZ324">
            <v>210</v>
          </cell>
        </row>
        <row r="325">
          <cell r="A325">
            <v>603751</v>
          </cell>
          <cell r="B325" t="str">
            <v>LABO FRANCE COSMETIQUES</v>
          </cell>
          <cell r="G325" t="str">
            <v>OUI</v>
          </cell>
          <cell r="H325" t="str">
            <v>PAS GERE PAR 001</v>
          </cell>
          <cell r="I325">
            <v>0</v>
          </cell>
          <cell r="J325">
            <v>0</v>
          </cell>
          <cell r="K325" t="str">
            <v>NON</v>
          </cell>
          <cell r="L325" t="str">
            <v>NON</v>
          </cell>
          <cell r="N325" t="str">
            <v>Non affecté</v>
          </cell>
          <cell r="O325" t="str">
            <v>JPP</v>
          </cell>
          <cell r="P325" t="str">
            <v>Ok mon client</v>
          </cell>
          <cell r="Q325" t="str">
            <v>GENNEVILLIERS</v>
          </cell>
          <cell r="R325" t="str">
            <v>75</v>
          </cell>
          <cell r="S325" t="str">
            <v>45 RUE DE LA VOUTE</v>
          </cell>
          <cell r="T325">
            <v>75012</v>
          </cell>
          <cell r="U325" t="str">
            <v>PARIS</v>
          </cell>
          <cell r="W325" t="str">
            <v>Directeur Logistique et Transports</v>
          </cell>
          <cell r="X325" t="str">
            <v>75012</v>
          </cell>
          <cell r="Y325" t="str">
            <v>PARIS</v>
          </cell>
          <cell r="AE325">
            <v>192</v>
          </cell>
          <cell r="AL325">
            <v>192</v>
          </cell>
          <cell r="AM325">
            <v>268.79999999999995</v>
          </cell>
          <cell r="AX325">
            <v>0</v>
          </cell>
          <cell r="AY325">
            <v>0</v>
          </cell>
          <cell r="AZ325">
            <v>192</v>
          </cell>
        </row>
        <row r="326">
          <cell r="A326">
            <v>586525</v>
          </cell>
          <cell r="B326" t="str">
            <v>HILL ROM SAS</v>
          </cell>
          <cell r="G326" t="str">
            <v>OUI</v>
          </cell>
          <cell r="H326" t="str">
            <v>PAS GERE PAR 001</v>
          </cell>
          <cell r="I326">
            <v>0</v>
          </cell>
          <cell r="J326">
            <v>0</v>
          </cell>
          <cell r="K326" t="str">
            <v>NON</v>
          </cell>
          <cell r="L326" t="str">
            <v>NON</v>
          </cell>
          <cell r="N326" t="str">
            <v>Non affecté</v>
          </cell>
          <cell r="O326" t="str">
            <v>JPP</v>
          </cell>
          <cell r="P326" t="str">
            <v>Ok mon client</v>
          </cell>
          <cell r="Q326" t="str">
            <v>GENNEVILLIERS</v>
          </cell>
          <cell r="R326" t="str">
            <v>56</v>
          </cell>
          <cell r="X326" t="str">
            <v>56330</v>
          </cell>
          <cell r="Y326" t="str">
            <v>PLUVIGNER</v>
          </cell>
          <cell r="AB326">
            <v>22.52</v>
          </cell>
          <cell r="AD326">
            <v>22.52</v>
          </cell>
          <cell r="AI326">
            <v>184.14</v>
          </cell>
          <cell r="AJ326">
            <v>-0.26376669925057034</v>
          </cell>
          <cell r="AL326">
            <v>184.14</v>
          </cell>
          <cell r="AM326">
            <v>257.79599999999999</v>
          </cell>
          <cell r="AN326">
            <v>10.447424511545293</v>
          </cell>
          <cell r="AX326">
            <v>0</v>
          </cell>
          <cell r="AY326">
            <v>184.14</v>
          </cell>
          <cell r="AZ326">
            <v>0</v>
          </cell>
        </row>
        <row r="327">
          <cell r="A327">
            <v>393748</v>
          </cell>
          <cell r="B327" t="str">
            <v>SIGMA SOC INDUS GENERAL METALLERIE</v>
          </cell>
          <cell r="G327" t="str">
            <v>OUI</v>
          </cell>
          <cell r="H327" t="str">
            <v>RJ</v>
          </cell>
          <cell r="I327">
            <v>0</v>
          </cell>
          <cell r="J327">
            <v>0</v>
          </cell>
          <cell r="K327" t="str">
            <v>NON</v>
          </cell>
          <cell r="L327" t="str">
            <v>NON</v>
          </cell>
          <cell r="N327" t="str">
            <v>Non affecté</v>
          </cell>
          <cell r="O327" t="str">
            <v>JPP</v>
          </cell>
          <cell r="P327" t="str">
            <v>Ok mon client</v>
          </cell>
          <cell r="Q327" t="str">
            <v>DRANCY</v>
          </cell>
          <cell r="R327" t="str">
            <v>60</v>
          </cell>
          <cell r="X327" t="str">
            <v>60640</v>
          </cell>
          <cell r="Y327" t="str">
            <v>GUISCARD</v>
          </cell>
          <cell r="AH327">
            <v>0.59537193690989465</v>
          </cell>
          <cell r="AI327">
            <v>183.23000000000002</v>
          </cell>
          <cell r="AL327">
            <v>183.23000000000002</v>
          </cell>
          <cell r="AM327">
            <v>256.52199999999999</v>
          </cell>
          <cell r="AX327">
            <v>0</v>
          </cell>
          <cell r="AY327">
            <v>183.23000000000002</v>
          </cell>
          <cell r="AZ327">
            <v>0</v>
          </cell>
        </row>
        <row r="328">
          <cell r="A328">
            <v>589538</v>
          </cell>
          <cell r="B328" t="str">
            <v>LAGARRIGUE</v>
          </cell>
          <cell r="C328">
            <v>0.1</v>
          </cell>
          <cell r="D328">
            <v>0.1</v>
          </cell>
          <cell r="E328">
            <v>0.02</v>
          </cell>
          <cell r="F328">
            <v>41275</v>
          </cell>
          <cell r="G328" t="str">
            <v>OUI</v>
          </cell>
          <cell r="I328">
            <v>0</v>
          </cell>
          <cell r="J328">
            <v>0</v>
          </cell>
          <cell r="K328" t="str">
            <v>OK</v>
          </cell>
          <cell r="L328" t="str">
            <v>OK</v>
          </cell>
          <cell r="N328" t="str">
            <v>Non affecté</v>
          </cell>
          <cell r="O328" t="str">
            <v>JPP</v>
          </cell>
          <cell r="P328" t="str">
            <v>Ok mon client</v>
          </cell>
          <cell r="Q328" t="str">
            <v>GENNEVILLIERS</v>
          </cell>
          <cell r="R328" t="str">
            <v>75</v>
          </cell>
          <cell r="S328" t="str">
            <v xml:space="preserve">37 RUE GALLILEE                 </v>
          </cell>
          <cell r="T328" t="str">
            <v>75116</v>
          </cell>
          <cell r="U328" t="str">
            <v>PARIS</v>
          </cell>
          <cell r="V328" t="str">
            <v>M.</v>
          </cell>
          <cell r="W328" t="str">
            <v>LAGARRIGUE</v>
          </cell>
          <cell r="X328" t="str">
            <v>75116</v>
          </cell>
          <cell r="Y328" t="str">
            <v>PARIS</v>
          </cell>
          <cell r="AA328">
            <v>150.28</v>
          </cell>
          <cell r="AD328">
            <v>150.28</v>
          </cell>
          <cell r="AG328">
            <v>183.2</v>
          </cell>
          <cell r="AH328">
            <v>0.29044187369618812</v>
          </cell>
          <cell r="AL328">
            <v>183.2</v>
          </cell>
          <cell r="AM328">
            <v>256.47999999999996</v>
          </cell>
          <cell r="AN328">
            <v>0.70668086239020478</v>
          </cell>
          <cell r="AO328" t="str">
            <v>001-CONTRAT TYPE +50%</v>
          </cell>
          <cell r="AX328">
            <v>201.52</v>
          </cell>
          <cell r="AY328">
            <v>0</v>
          </cell>
          <cell r="AZ328">
            <v>0</v>
          </cell>
        </row>
        <row r="329">
          <cell r="A329">
            <v>48481</v>
          </cell>
          <cell r="B329" t="str">
            <v>COMPTOIR ARDENNAIS OUTILLAGE</v>
          </cell>
          <cell r="C329">
            <v>0.1</v>
          </cell>
          <cell r="D329">
            <v>0.1</v>
          </cell>
          <cell r="E329">
            <v>0.02</v>
          </cell>
          <cell r="F329">
            <v>41275</v>
          </cell>
          <cell r="G329" t="str">
            <v>OUI</v>
          </cell>
          <cell r="I329">
            <v>0</v>
          </cell>
          <cell r="J329">
            <v>0</v>
          </cell>
          <cell r="K329" t="str">
            <v>OK</v>
          </cell>
          <cell r="L329" t="str">
            <v>OK</v>
          </cell>
          <cell r="N329" t="str">
            <v>Non affecté</v>
          </cell>
          <cell r="O329" t="str">
            <v>JPP</v>
          </cell>
          <cell r="P329" t="str">
            <v>Ok mon client</v>
          </cell>
          <cell r="Q329" t="str">
            <v>GENNEVILLIERS</v>
          </cell>
          <cell r="R329" t="str">
            <v>75</v>
          </cell>
          <cell r="S329" t="str">
            <v>39 RUE VANDREZANNE</v>
          </cell>
          <cell r="T329">
            <v>75013</v>
          </cell>
          <cell r="U329" t="str">
            <v>PARIS</v>
          </cell>
          <cell r="X329" t="str">
            <v>75013</v>
          </cell>
          <cell r="Y329" t="str">
            <v>PARIS</v>
          </cell>
          <cell r="AI329">
            <v>182.88</v>
          </cell>
          <cell r="AL329">
            <v>182.88</v>
          </cell>
          <cell r="AM329">
            <v>256.03199999999998</v>
          </cell>
          <cell r="AO329" t="str">
            <v>028-G-G-8-KG</v>
          </cell>
          <cell r="AP329" t="str">
            <v>028-L-GENERAL-KG</v>
          </cell>
          <cell r="AX329">
            <v>0</v>
          </cell>
          <cell r="AY329">
            <v>201.16800000000001</v>
          </cell>
          <cell r="AZ329">
            <v>0</v>
          </cell>
        </row>
        <row r="330">
          <cell r="A330">
            <v>861200</v>
          </cell>
          <cell r="B330" t="str">
            <v>ADITIA LEASE</v>
          </cell>
          <cell r="C330">
            <v>0.1</v>
          </cell>
          <cell r="D330">
            <v>0.1</v>
          </cell>
          <cell r="E330">
            <v>0.02</v>
          </cell>
          <cell r="F330">
            <v>41275</v>
          </cell>
          <cell r="G330" t="str">
            <v>OUI</v>
          </cell>
          <cell r="I330">
            <v>0</v>
          </cell>
          <cell r="J330">
            <v>0</v>
          </cell>
          <cell r="K330" t="str">
            <v>OK</v>
          </cell>
          <cell r="L330" t="str">
            <v>OK</v>
          </cell>
          <cell r="N330" t="str">
            <v>Non affecté</v>
          </cell>
          <cell r="O330" t="str">
            <v>JPP</v>
          </cell>
          <cell r="P330" t="str">
            <v>Ok mon client</v>
          </cell>
          <cell r="Q330" t="str">
            <v>GENNEVILLIERS</v>
          </cell>
          <cell r="R330" t="str">
            <v>92</v>
          </cell>
          <cell r="S330" t="str">
            <v>96 AV DU GENERAL LECLERC</v>
          </cell>
          <cell r="T330">
            <v>92100</v>
          </cell>
          <cell r="U330" t="str">
            <v>BOULOGNE BILLANCOURT</v>
          </cell>
          <cell r="X330" t="str">
            <v>92100</v>
          </cell>
          <cell r="Y330" t="str">
            <v>BOULOGNE BILLANCOURT</v>
          </cell>
          <cell r="AB330">
            <v>318.56</v>
          </cell>
          <cell r="AD330">
            <v>318.56</v>
          </cell>
          <cell r="AG330">
            <v>39.72</v>
          </cell>
          <cell r="AI330">
            <v>132.04</v>
          </cell>
          <cell r="AJ330">
            <v>0.68153423288355819</v>
          </cell>
          <cell r="AL330">
            <v>171.76</v>
          </cell>
          <cell r="AM330">
            <v>240.46399999999997</v>
          </cell>
          <cell r="AN330">
            <v>-0.24515318935208452</v>
          </cell>
          <cell r="AO330" t="str">
            <v>001-G-92ADITIALEASE</v>
          </cell>
          <cell r="AX330">
            <v>43.692</v>
          </cell>
          <cell r="AY330">
            <v>145.244</v>
          </cell>
          <cell r="AZ330">
            <v>0</v>
          </cell>
        </row>
        <row r="331">
          <cell r="A331">
            <v>843870</v>
          </cell>
          <cell r="B331" t="str">
            <v>OMS Y VIÑAS S.R.C.</v>
          </cell>
          <cell r="G331" t="str">
            <v>OUI</v>
          </cell>
          <cell r="H331" t="str">
            <v>PAS GERE PAR 001</v>
          </cell>
          <cell r="I331">
            <v>0</v>
          </cell>
          <cell r="J331">
            <v>0</v>
          </cell>
          <cell r="K331" t="str">
            <v>NON</v>
          </cell>
          <cell r="L331" t="str">
            <v>NON</v>
          </cell>
          <cell r="N331" t="str">
            <v>Non affecté</v>
          </cell>
          <cell r="O331" t="str">
            <v>JPP</v>
          </cell>
          <cell r="P331" t="str">
            <v>Ok mon client</v>
          </cell>
          <cell r="Q331" t="str">
            <v>DRANCY</v>
          </cell>
          <cell r="R331" t="str">
            <v>08</v>
          </cell>
          <cell r="X331" t="str">
            <v>08013</v>
          </cell>
          <cell r="Y331" t="str">
            <v>BARCELONA</v>
          </cell>
          <cell r="AI331">
            <v>171.37</v>
          </cell>
          <cell r="AJ331">
            <v>0.40829783509365697</v>
          </cell>
          <cell r="AL331">
            <v>171.37</v>
          </cell>
          <cell r="AM331">
            <v>239.91799999999998</v>
          </cell>
          <cell r="AX331">
            <v>0</v>
          </cell>
          <cell r="AY331">
            <v>171.37</v>
          </cell>
          <cell r="AZ331">
            <v>0</v>
          </cell>
        </row>
        <row r="332">
          <cell r="A332">
            <v>513642</v>
          </cell>
          <cell r="B332" t="str">
            <v>VERRERIE  FLACONNAGE AGUSSOL</v>
          </cell>
          <cell r="C332">
            <v>0.1</v>
          </cell>
          <cell r="D332">
            <v>0.1</v>
          </cell>
          <cell r="E332">
            <v>0.02</v>
          </cell>
          <cell r="F332">
            <v>41275</v>
          </cell>
          <cell r="G332" t="str">
            <v>OUI</v>
          </cell>
          <cell r="I332">
            <v>0</v>
          </cell>
          <cell r="J332">
            <v>0</v>
          </cell>
          <cell r="K332" t="str">
            <v>OK</v>
          </cell>
          <cell r="L332" t="str">
            <v>OK</v>
          </cell>
          <cell r="N332" t="str">
            <v>Non affecté</v>
          </cell>
          <cell r="O332" t="str">
            <v>JPP</v>
          </cell>
          <cell r="P332" t="str">
            <v>Ok mon client</v>
          </cell>
          <cell r="Q332" t="str">
            <v>GENNEVILLIERS</v>
          </cell>
          <cell r="R332" t="str">
            <v>92</v>
          </cell>
          <cell r="S332" t="str">
            <v>11 RUE SERGENT BOBILLOT</v>
          </cell>
          <cell r="T332">
            <v>92000</v>
          </cell>
          <cell r="U332" t="str">
            <v>NANTERRE</v>
          </cell>
          <cell r="W332" t="str">
            <v>Directeur Logistique et Transports</v>
          </cell>
          <cell r="X332" t="str">
            <v>92000</v>
          </cell>
          <cell r="Y332" t="str">
            <v>NANTERRE</v>
          </cell>
          <cell r="AG332">
            <v>171.09</v>
          </cell>
          <cell r="AH332">
            <v>0.9425</v>
          </cell>
          <cell r="AL332">
            <v>171.09</v>
          </cell>
          <cell r="AM332">
            <v>239.52599999999998</v>
          </cell>
          <cell r="AO332" t="str">
            <v>001-CONTRAT TYPE +50%</v>
          </cell>
          <cell r="AX332">
            <v>188.19900000000001</v>
          </cell>
          <cell r="AY332">
            <v>0</v>
          </cell>
          <cell r="AZ332">
            <v>0</v>
          </cell>
        </row>
        <row r="333">
          <cell r="A333">
            <v>698524</v>
          </cell>
          <cell r="B333" t="str">
            <v>EARL LE  BOIRON</v>
          </cell>
          <cell r="G333" t="str">
            <v>OUI</v>
          </cell>
          <cell r="H333" t="str">
            <v>PAS 001</v>
          </cell>
          <cell r="I333">
            <v>0</v>
          </cell>
          <cell r="J333">
            <v>0</v>
          </cell>
          <cell r="K333" t="str">
            <v>NON</v>
          </cell>
          <cell r="L333" t="str">
            <v>NON</v>
          </cell>
          <cell r="N333" t="str">
            <v>Non affecté</v>
          </cell>
          <cell r="O333" t="str">
            <v>JPP</v>
          </cell>
          <cell r="P333" t="str">
            <v>Ok mon client</v>
          </cell>
          <cell r="Q333" t="str">
            <v>GENNEVILLIERS</v>
          </cell>
          <cell r="R333" t="str">
            <v>47</v>
          </cell>
          <cell r="X333" t="str">
            <v>47220</v>
          </cell>
          <cell r="Y333" t="str">
            <v>ASTAFFORT</v>
          </cell>
          <cell r="AD333">
            <v>0</v>
          </cell>
          <cell r="AG333">
            <v>37.949999999999996</v>
          </cell>
          <cell r="AH333">
            <v>0.40395256916996047</v>
          </cell>
          <cell r="AI333">
            <v>131.16</v>
          </cell>
          <cell r="AL333">
            <v>169.10999999999999</v>
          </cell>
          <cell r="AM333">
            <v>236.75399999999996</v>
          </cell>
          <cell r="AX333">
            <v>37.949999999999996</v>
          </cell>
          <cell r="AY333">
            <v>131.16</v>
          </cell>
          <cell r="AZ333">
            <v>0</v>
          </cell>
        </row>
        <row r="334">
          <cell r="A334">
            <v>527260</v>
          </cell>
          <cell r="B334" t="str">
            <v>SOCIETE BOULET FRERES ET COMPAGNIE</v>
          </cell>
          <cell r="C334">
            <v>-0.79</v>
          </cell>
          <cell r="D334">
            <v>0.2</v>
          </cell>
          <cell r="E334">
            <v>0.05</v>
          </cell>
          <cell r="F334">
            <v>41275</v>
          </cell>
          <cell r="I334">
            <v>0</v>
          </cell>
          <cell r="J334">
            <v>0</v>
          </cell>
          <cell r="K334" t="str">
            <v>OK</v>
          </cell>
          <cell r="L334" t="str">
            <v>OK</v>
          </cell>
          <cell r="N334" t="str">
            <v>Non affecté</v>
          </cell>
          <cell r="O334" t="str">
            <v>AB</v>
          </cell>
          <cell r="P334" t="str">
            <v>Ok mon client</v>
          </cell>
          <cell r="Q334" t="str">
            <v>GENNEVILLIERS</v>
          </cell>
          <cell r="R334" t="str">
            <v>78</v>
          </cell>
          <cell r="S334" t="str">
            <v xml:space="preserve">23 ALLEE DES CLOS               </v>
          </cell>
          <cell r="T334" t="str">
            <v>78701</v>
          </cell>
          <cell r="U334" t="str">
            <v>CONFLANS STE HONORINE CEDEX</v>
          </cell>
          <cell r="V334" t="str">
            <v>Mme</v>
          </cell>
          <cell r="W334" t="str">
            <v>MOLENE</v>
          </cell>
          <cell r="X334" t="str">
            <v>78701</v>
          </cell>
          <cell r="Y334" t="str">
            <v>CONFLANS STE HONORINE CEDEX</v>
          </cell>
          <cell r="Z334">
            <v>486.81</v>
          </cell>
          <cell r="AB334">
            <v>3829.0699999999997</v>
          </cell>
          <cell r="AD334">
            <v>4315.88</v>
          </cell>
          <cell r="AI334">
            <v>166.11</v>
          </cell>
          <cell r="AJ334">
            <v>-7.7203584080016791E-2</v>
          </cell>
          <cell r="AL334">
            <v>166.11</v>
          </cell>
          <cell r="AM334">
            <v>232.554</v>
          </cell>
          <cell r="AN334">
            <v>-0.94611666682113493</v>
          </cell>
          <cell r="AO334" t="str">
            <v>001-G-78BOULETFRERESCIE</v>
          </cell>
          <cell r="AP334" t="str">
            <v>001-L-78BOULETFRERESCIE</v>
          </cell>
          <cell r="AX334">
            <v>0</v>
          </cell>
          <cell r="AY334">
            <v>199.33200000000002</v>
          </cell>
          <cell r="AZ334">
            <v>0</v>
          </cell>
        </row>
        <row r="335">
          <cell r="A335">
            <v>20692</v>
          </cell>
          <cell r="B335" t="str">
            <v>ATLAS COPCO APPLICATIONS</v>
          </cell>
          <cell r="C335">
            <v>0.1</v>
          </cell>
          <cell r="D335">
            <v>0.1</v>
          </cell>
          <cell r="E335">
            <v>0.1</v>
          </cell>
          <cell r="F335">
            <v>41275</v>
          </cell>
          <cell r="G335" t="str">
            <v>NON</v>
          </cell>
          <cell r="H335" t="str">
            <v>SOUS COMPTE ELNO</v>
          </cell>
          <cell r="I335">
            <v>0</v>
          </cell>
          <cell r="J335">
            <v>0</v>
          </cell>
          <cell r="K335" t="str">
            <v>OK</v>
          </cell>
          <cell r="L335" t="str">
            <v>OK</v>
          </cell>
          <cell r="N335" t="str">
            <v>Non affecté</v>
          </cell>
          <cell r="O335" t="str">
            <v>MM</v>
          </cell>
          <cell r="P335" t="str">
            <v>Ok mon client</v>
          </cell>
          <cell r="Q335" t="str">
            <v>GENNEVILLIERS</v>
          </cell>
          <cell r="R335" t="str">
            <v>95</v>
          </cell>
          <cell r="S335" t="str">
            <v>ZI DU VERT GALANT 
BP 7112 SAINT OUEN L AUMONE</v>
          </cell>
          <cell r="T335" t="str">
            <v>95054</v>
          </cell>
          <cell r="U335" t="str">
            <v>CERGY PONTOISE CEDEX</v>
          </cell>
          <cell r="W335" t="str">
            <v>Directeur Logistique et Transports</v>
          </cell>
          <cell r="X335" t="str">
            <v>95054</v>
          </cell>
          <cell r="Y335" t="str">
            <v>CERGY PONTOISE CEDEX</v>
          </cell>
          <cell r="Z335">
            <v>10467</v>
          </cell>
          <cell r="AD335">
            <v>10467</v>
          </cell>
          <cell r="AI335">
            <v>160.87</v>
          </cell>
          <cell r="AL335">
            <v>160.87</v>
          </cell>
          <cell r="AM335">
            <v>225.21799999999999</v>
          </cell>
          <cell r="AN335">
            <v>-0.9784830419413395</v>
          </cell>
          <cell r="AX335">
            <v>0</v>
          </cell>
          <cell r="AY335">
            <v>176.95700000000002</v>
          </cell>
          <cell r="AZ335">
            <v>0</v>
          </cell>
        </row>
        <row r="336">
          <cell r="A336">
            <v>477288</v>
          </cell>
          <cell r="B336" t="str">
            <v>ALUPLAST SARL</v>
          </cell>
          <cell r="H336" t="str">
            <v>DEVONS REVOIR LE CLIENT</v>
          </cell>
          <cell r="I336">
            <v>0</v>
          </cell>
          <cell r="J336">
            <v>0</v>
          </cell>
          <cell r="K336" t="str">
            <v>NON</v>
          </cell>
          <cell r="L336" t="str">
            <v>non</v>
          </cell>
          <cell r="N336" t="str">
            <v>Non affecté</v>
          </cell>
          <cell r="O336" t="str">
            <v>AB</v>
          </cell>
          <cell r="P336" t="str">
            <v>Ok mon client</v>
          </cell>
          <cell r="Q336" t="str">
            <v>GENNEVILLIERS</v>
          </cell>
          <cell r="R336" t="str">
            <v>78</v>
          </cell>
          <cell r="S336" t="str">
            <v xml:space="preserve"> 333 AVENUE DE NEUVILLE         </v>
          </cell>
          <cell r="T336" t="str">
            <v>78950</v>
          </cell>
          <cell r="U336" t="str">
            <v>GAMBAIS</v>
          </cell>
          <cell r="V336" t="str">
            <v>Mme</v>
          </cell>
          <cell r="W336" t="str">
            <v>GUINANT</v>
          </cell>
          <cell r="X336" t="str">
            <v>78550</v>
          </cell>
          <cell r="Y336" t="str">
            <v>HOUDAN</v>
          </cell>
          <cell r="AG336">
            <v>159.20999999999998</v>
          </cell>
          <cell r="AH336">
            <v>-0.41586583757301682</v>
          </cell>
          <cell r="AL336">
            <v>159.20999999999998</v>
          </cell>
          <cell r="AM336">
            <v>222.89399999999995</v>
          </cell>
          <cell r="AO336" t="str">
            <v>001-G-78ALUPLAST</v>
          </cell>
          <cell r="AP336" t="str">
            <v>001-L-78ALUPLAST</v>
          </cell>
          <cell r="AQ336">
            <v>38173</v>
          </cell>
          <cell r="AX336">
            <v>159.20999999999998</v>
          </cell>
          <cell r="AY336">
            <v>0</v>
          </cell>
          <cell r="AZ336">
            <v>0</v>
          </cell>
        </row>
        <row r="337">
          <cell r="A337">
            <v>636676</v>
          </cell>
          <cell r="B337" t="str">
            <v>TISSUS GISELE</v>
          </cell>
          <cell r="G337" t="str">
            <v>OUI</v>
          </cell>
          <cell r="H337" t="str">
            <v>PAS 001</v>
          </cell>
          <cell r="I337">
            <v>0</v>
          </cell>
          <cell r="J337">
            <v>0</v>
          </cell>
          <cell r="K337" t="str">
            <v>NON</v>
          </cell>
          <cell r="L337" t="str">
            <v>NON</v>
          </cell>
          <cell r="N337" t="str">
            <v>Non affecté</v>
          </cell>
          <cell r="O337" t="str">
            <v>JPP</v>
          </cell>
          <cell r="P337" t="str">
            <v>Ok mon client</v>
          </cell>
          <cell r="Q337" t="str">
            <v>DRANCY</v>
          </cell>
          <cell r="R337" t="str">
            <v>88</v>
          </cell>
          <cell r="X337" t="str">
            <v>88250</v>
          </cell>
          <cell r="Y337" t="str">
            <v>LA BRESSE</v>
          </cell>
          <cell r="AH337">
            <v>4.103975926755872E-2</v>
          </cell>
          <cell r="AI337">
            <v>156.19</v>
          </cell>
          <cell r="AL337">
            <v>156.19</v>
          </cell>
          <cell r="AM337">
            <v>218.666</v>
          </cell>
          <cell r="AX337">
            <v>0</v>
          </cell>
          <cell r="AY337">
            <v>156.19</v>
          </cell>
          <cell r="AZ337">
            <v>0</v>
          </cell>
        </row>
        <row r="338">
          <cell r="A338">
            <v>603978</v>
          </cell>
          <cell r="B338" t="str">
            <v>MIRKENTA</v>
          </cell>
          <cell r="C338">
            <v>0.1</v>
          </cell>
          <cell r="H338" t="str">
            <v>COMPTE RAPATRIE SUR 001</v>
          </cell>
          <cell r="I338">
            <v>0</v>
          </cell>
          <cell r="J338">
            <v>0</v>
          </cell>
          <cell r="K338" t="str">
            <v>OK</v>
          </cell>
          <cell r="L338" t="str">
            <v>OK</v>
          </cell>
          <cell r="M338" t="str">
            <v>OK</v>
          </cell>
          <cell r="N338" t="str">
            <v>Non affecté</v>
          </cell>
          <cell r="O338" t="str">
            <v>SM</v>
          </cell>
          <cell r="P338" t="str">
            <v>Rajouté</v>
          </cell>
          <cell r="Q338" t="str">
            <v>GENNEVILLIERS</v>
          </cell>
          <cell r="R338" t="str">
            <v>91</v>
          </cell>
          <cell r="S338" t="str">
            <v>44 RUE DE FONTENAY</v>
          </cell>
          <cell r="T338">
            <v>92350</v>
          </cell>
          <cell r="U338" t="str">
            <v>LE PLESSIS ROBINSON</v>
          </cell>
          <cell r="W338" t="str">
            <v>Directeur Logistique et Transports</v>
          </cell>
          <cell r="X338" t="str">
            <v>91430</v>
          </cell>
          <cell r="Y338" t="str">
            <v>IGNY</v>
          </cell>
          <cell r="AB338">
            <v>158.02000000000001</v>
          </cell>
          <cell r="AD338">
            <v>158.02000000000001</v>
          </cell>
          <cell r="AI338">
            <v>151.53</v>
          </cell>
          <cell r="AJ338">
            <v>0.62258180081203718</v>
          </cell>
          <cell r="AL338">
            <v>151.53</v>
          </cell>
          <cell r="AM338">
            <v>212.142</v>
          </cell>
          <cell r="AN338">
            <v>0.34250094924693064</v>
          </cell>
          <cell r="AO338" t="str">
            <v>001-CONTRAT TYPE +50%</v>
          </cell>
          <cell r="AX338">
            <v>0</v>
          </cell>
          <cell r="AY338">
            <v>151.53</v>
          </cell>
          <cell r="AZ338">
            <v>0</v>
          </cell>
        </row>
        <row r="339">
          <cell r="A339">
            <v>48780</v>
          </cell>
          <cell r="B339" t="str">
            <v>LIGAREX</v>
          </cell>
          <cell r="C339">
            <v>-0.79</v>
          </cell>
          <cell r="D339">
            <v>0.2</v>
          </cell>
          <cell r="F339">
            <v>41275</v>
          </cell>
          <cell r="I339">
            <v>0</v>
          </cell>
          <cell r="J339">
            <v>0</v>
          </cell>
          <cell r="K339" t="str">
            <v>OK</v>
          </cell>
          <cell r="L339" t="str">
            <v>OK</v>
          </cell>
          <cell r="N339" t="str">
            <v>Non affecté</v>
          </cell>
          <cell r="O339" t="str">
            <v>AB</v>
          </cell>
          <cell r="P339" t="str">
            <v>Ok mon client</v>
          </cell>
          <cell r="Q339" t="str">
            <v>GENNEVILLIERS</v>
          </cell>
          <cell r="R339" t="str">
            <v>78</v>
          </cell>
          <cell r="S339" t="str">
            <v xml:space="preserve">25 AVENUE DES TROIS PEUPLES     </v>
          </cell>
          <cell r="T339" t="str">
            <v>78053</v>
          </cell>
          <cell r="U339" t="str">
            <v>ST QUENTIN EN YVELINES</v>
          </cell>
          <cell r="V339" t="str">
            <v>Mme</v>
          </cell>
          <cell r="W339" t="str">
            <v>WANTIEZ</v>
          </cell>
          <cell r="X339" t="str">
            <v>78053</v>
          </cell>
          <cell r="Y339" t="str">
            <v>ST QUENTIN EN YVELINES</v>
          </cell>
          <cell r="AB339">
            <v>850.5</v>
          </cell>
          <cell r="AD339">
            <v>850.5</v>
          </cell>
          <cell r="AI339">
            <v>148.12</v>
          </cell>
          <cell r="AJ339">
            <v>0.74864974345125568</v>
          </cell>
          <cell r="AL339">
            <v>148.12</v>
          </cell>
          <cell r="AM339">
            <v>207.36799999999999</v>
          </cell>
          <cell r="AN339">
            <v>-0.75618106995884771</v>
          </cell>
          <cell r="AO339" t="str">
            <v>001-G-78LIGAREX</v>
          </cell>
          <cell r="AX339">
            <v>0</v>
          </cell>
          <cell r="AY339">
            <v>177.744</v>
          </cell>
          <cell r="AZ339">
            <v>0</v>
          </cell>
        </row>
        <row r="340">
          <cell r="A340">
            <v>598783</v>
          </cell>
          <cell r="B340" t="str">
            <v>HDE TRANSIT</v>
          </cell>
          <cell r="G340" t="str">
            <v>OUI</v>
          </cell>
          <cell r="H340" t="str">
            <v>PAS 001</v>
          </cell>
          <cell r="I340">
            <v>0</v>
          </cell>
          <cell r="J340">
            <v>0</v>
          </cell>
          <cell r="K340" t="str">
            <v>NON</v>
          </cell>
          <cell r="L340" t="str">
            <v>NON</v>
          </cell>
          <cell r="N340" t="str">
            <v>Non affecté</v>
          </cell>
          <cell r="O340" t="str">
            <v>JPP</v>
          </cell>
          <cell r="P340" t="str">
            <v>Ok mon client</v>
          </cell>
          <cell r="Q340" t="str">
            <v>GENNEVILLIERS</v>
          </cell>
          <cell r="R340" t="str">
            <v>73</v>
          </cell>
          <cell r="X340" t="str">
            <v>73000</v>
          </cell>
          <cell r="Y340" t="str">
            <v>CHAMBERY</v>
          </cell>
          <cell r="AG340">
            <v>143.62</v>
          </cell>
          <cell r="AH340">
            <v>-0.18073822655918531</v>
          </cell>
          <cell r="AL340">
            <v>143.62</v>
          </cell>
          <cell r="AM340">
            <v>201.06799999999998</v>
          </cell>
          <cell r="AX340">
            <v>143.62</v>
          </cell>
          <cell r="AY340">
            <v>0</v>
          </cell>
          <cell r="AZ340">
            <v>0</v>
          </cell>
        </row>
        <row r="341">
          <cell r="A341">
            <v>490301</v>
          </cell>
          <cell r="B341" t="str">
            <v>CAP ANTIGONE</v>
          </cell>
          <cell r="G341" t="str">
            <v>OUI</v>
          </cell>
          <cell r="H341" t="str">
            <v>COMPTE MIS HS</v>
          </cell>
          <cell r="I341">
            <v>0</v>
          </cell>
          <cell r="J341">
            <v>0</v>
          </cell>
          <cell r="K341" t="str">
            <v>NON</v>
          </cell>
          <cell r="L341" t="str">
            <v>NON</v>
          </cell>
          <cell r="N341" t="str">
            <v>Non affecté</v>
          </cell>
          <cell r="O341" t="str">
            <v>JPP</v>
          </cell>
          <cell r="P341" t="str">
            <v>Ok mon client</v>
          </cell>
          <cell r="Q341" t="str">
            <v>GENNEVILLIERS</v>
          </cell>
          <cell r="R341" t="str">
            <v>92</v>
          </cell>
          <cell r="S341" t="str">
            <v>75 RUE DE COLOMBES</v>
          </cell>
          <cell r="T341" t="str">
            <v>92400</v>
          </cell>
          <cell r="U341" t="str">
            <v>COURBEVOIE</v>
          </cell>
          <cell r="V341" t="str">
            <v>M.</v>
          </cell>
          <cell r="W341" t="str">
            <v>GILLES</v>
          </cell>
          <cell r="X341" t="str">
            <v>92400</v>
          </cell>
          <cell r="Y341" t="str">
            <v>COURBEVOIE</v>
          </cell>
          <cell r="AG341">
            <v>140.02000000000001</v>
          </cell>
          <cell r="AH341">
            <v>-5.7512953367875648</v>
          </cell>
          <cell r="AL341">
            <v>140.02000000000001</v>
          </cell>
          <cell r="AM341">
            <v>196.02799999999999</v>
          </cell>
          <cell r="AO341" t="str">
            <v>001-CONTRAT TYPE +50%</v>
          </cell>
          <cell r="AQ341">
            <v>38435</v>
          </cell>
          <cell r="AX341">
            <v>140.02000000000001</v>
          </cell>
          <cell r="AY341">
            <v>0</v>
          </cell>
          <cell r="AZ341">
            <v>0</v>
          </cell>
        </row>
        <row r="342">
          <cell r="A342">
            <v>488886</v>
          </cell>
          <cell r="B342" t="str">
            <v>ALLIAGES INDUSTRIES</v>
          </cell>
          <cell r="H342" t="str">
            <v>COMPTE 024</v>
          </cell>
          <cell r="I342">
            <v>0</v>
          </cell>
          <cell r="J342">
            <v>0</v>
          </cell>
          <cell r="K342" t="str">
            <v>NON</v>
          </cell>
          <cell r="L342" t="str">
            <v>NON</v>
          </cell>
          <cell r="N342" t="str">
            <v>Non affecté</v>
          </cell>
          <cell r="O342" t="str">
            <v>SM</v>
          </cell>
          <cell r="P342" t="str">
            <v>Rajouté</v>
          </cell>
          <cell r="Q342" t="str">
            <v>GENNEVILLIERS</v>
          </cell>
          <cell r="R342" t="str">
            <v>91</v>
          </cell>
          <cell r="S342" t="str">
            <v>8 RUE GUTENBERG 
ZI LA MARINIÈRE</v>
          </cell>
          <cell r="T342" t="str">
            <v>91919</v>
          </cell>
          <cell r="U342" t="str">
            <v>BONDOUFLE</v>
          </cell>
          <cell r="X342" t="str">
            <v>91919</v>
          </cell>
          <cell r="Y342" t="str">
            <v>BONDOUFLE</v>
          </cell>
          <cell r="AB342">
            <v>2938.5</v>
          </cell>
          <cell r="AD342">
            <v>2938.5</v>
          </cell>
          <cell r="AI342">
            <v>136.79</v>
          </cell>
          <cell r="AJ342">
            <v>0.75049345712405879</v>
          </cell>
          <cell r="AL342">
            <v>136.79</v>
          </cell>
          <cell r="AM342">
            <v>191.50599999999997</v>
          </cell>
          <cell r="AN342">
            <v>-0.93482865407520843</v>
          </cell>
          <cell r="AO342" t="str">
            <v>024-G-91ALLIAGES</v>
          </cell>
          <cell r="AX342">
            <v>0</v>
          </cell>
          <cell r="AY342">
            <v>136.79</v>
          </cell>
          <cell r="AZ342">
            <v>0</v>
          </cell>
        </row>
        <row r="343">
          <cell r="A343">
            <v>868533</v>
          </cell>
          <cell r="B343" t="str">
            <v>BH HOLDING</v>
          </cell>
          <cell r="C343">
            <v>0.1</v>
          </cell>
          <cell r="D343">
            <v>0.1</v>
          </cell>
          <cell r="E343">
            <v>0.02</v>
          </cell>
          <cell r="F343">
            <v>41275</v>
          </cell>
          <cell r="G343" t="str">
            <v>OUI</v>
          </cell>
          <cell r="I343">
            <v>0</v>
          </cell>
          <cell r="J343">
            <v>0</v>
          </cell>
          <cell r="K343" t="str">
            <v>OK</v>
          </cell>
          <cell r="L343" t="str">
            <v>OK</v>
          </cell>
          <cell r="M343" t="str">
            <v>OK</v>
          </cell>
          <cell r="N343" t="str">
            <v>Non affecté</v>
          </cell>
          <cell r="O343" t="str">
            <v>JPP</v>
          </cell>
          <cell r="P343" t="str">
            <v>Ok mon client</v>
          </cell>
          <cell r="Q343" t="str">
            <v>GENNEVILLIERS</v>
          </cell>
          <cell r="R343" t="str">
            <v>92</v>
          </cell>
          <cell r="S343" t="str">
            <v>PARC KLEBER 165 BLD VALMY</v>
          </cell>
          <cell r="T343">
            <v>92700</v>
          </cell>
          <cell r="U343" t="str">
            <v>COLOMBES</v>
          </cell>
          <cell r="V343" t="str">
            <v>Mme</v>
          </cell>
          <cell r="W343" t="str">
            <v>ROBERT</v>
          </cell>
          <cell r="X343" t="str">
            <v>92700</v>
          </cell>
          <cell r="Y343" t="str">
            <v>COLOMBES</v>
          </cell>
          <cell r="AG343">
            <v>129.49</v>
          </cell>
          <cell r="AH343">
            <v>-26.647058823529406</v>
          </cell>
          <cell r="AL343">
            <v>129.49</v>
          </cell>
          <cell r="AM343">
            <v>181.286</v>
          </cell>
          <cell r="AO343" t="str">
            <v>001-G-92MONEYPACK</v>
          </cell>
          <cell r="AP343" t="str">
            <v>001-L-92MONEYPACK</v>
          </cell>
          <cell r="AQ343">
            <v>40954</v>
          </cell>
          <cell r="AX343">
            <v>142.43900000000002</v>
          </cell>
          <cell r="AY343">
            <v>0</v>
          </cell>
          <cell r="AZ343">
            <v>0</v>
          </cell>
        </row>
        <row r="344">
          <cell r="A344">
            <v>558298</v>
          </cell>
          <cell r="B344" t="str">
            <v>SFL</v>
          </cell>
          <cell r="G344" t="str">
            <v>OUI</v>
          </cell>
          <cell r="H344" t="str">
            <v>PAS 001</v>
          </cell>
          <cell r="I344">
            <v>0</v>
          </cell>
          <cell r="J344">
            <v>0</v>
          </cell>
          <cell r="K344" t="str">
            <v>NON</v>
          </cell>
          <cell r="L344" t="str">
            <v>NON</v>
          </cell>
          <cell r="N344" t="str">
            <v>Non affecté</v>
          </cell>
          <cell r="O344" t="str">
            <v>JPP</v>
          </cell>
          <cell r="P344" t="str">
            <v>Ok mon client</v>
          </cell>
          <cell r="Q344" t="str">
            <v>GENNEVILLIERS</v>
          </cell>
          <cell r="R344" t="str">
            <v>83</v>
          </cell>
          <cell r="X344" t="str">
            <v>83700</v>
          </cell>
          <cell r="Y344" t="str">
            <v>SAINT RAPHAEL</v>
          </cell>
          <cell r="AG344">
            <v>128.64000000000001</v>
          </cell>
          <cell r="AH344">
            <v>4.5396226415094354</v>
          </cell>
          <cell r="AL344">
            <v>128.64000000000001</v>
          </cell>
          <cell r="AM344">
            <v>180.096</v>
          </cell>
          <cell r="AX344">
            <v>128.64000000000001</v>
          </cell>
          <cell r="AY344">
            <v>0</v>
          </cell>
          <cell r="AZ344">
            <v>0</v>
          </cell>
        </row>
        <row r="345">
          <cell r="A345">
            <v>518254</v>
          </cell>
          <cell r="B345" t="str">
            <v>LA PETITE GRENOUILLE</v>
          </cell>
          <cell r="C345">
            <v>0.1</v>
          </cell>
          <cell r="D345">
            <v>0.1</v>
          </cell>
          <cell r="E345">
            <v>0.02</v>
          </cell>
          <cell r="F345">
            <v>41275</v>
          </cell>
          <cell r="G345" t="str">
            <v>OUI</v>
          </cell>
          <cell r="I345">
            <v>0</v>
          </cell>
          <cell r="J345">
            <v>0</v>
          </cell>
          <cell r="K345" t="str">
            <v>OK</v>
          </cell>
          <cell r="L345" t="str">
            <v>OK</v>
          </cell>
          <cell r="N345" t="str">
            <v>Non affecté</v>
          </cell>
          <cell r="O345" t="str">
            <v>JPP</v>
          </cell>
          <cell r="P345" t="str">
            <v>Ok mon client</v>
          </cell>
          <cell r="Q345" t="str">
            <v>GENNEVILLIERS</v>
          </cell>
          <cell r="R345" t="str">
            <v>92</v>
          </cell>
          <cell r="S345" t="str">
            <v>3 BIS CHEMIN DE LA JONCHERE</v>
          </cell>
          <cell r="T345" t="str">
            <v>92500</v>
          </cell>
          <cell r="U345" t="str">
            <v>REUIL MALMAISON</v>
          </cell>
          <cell r="W345" t="str">
            <v>Directeur Logistique et Transports</v>
          </cell>
          <cell r="X345" t="str">
            <v>92500</v>
          </cell>
          <cell r="Y345" t="str">
            <v>REUIL MALMAISON</v>
          </cell>
          <cell r="AA345">
            <v>438.91</v>
          </cell>
          <cell r="AD345">
            <v>438.91</v>
          </cell>
          <cell r="AG345">
            <v>126.21</v>
          </cell>
          <cell r="AL345">
            <v>126.21</v>
          </cell>
          <cell r="AM345">
            <v>176.69399999999999</v>
          </cell>
          <cell r="AN345">
            <v>-0.597425440295277</v>
          </cell>
          <cell r="AO345" t="str">
            <v>001-CONTRAT TYPE +50%</v>
          </cell>
          <cell r="AX345">
            <v>138.83100000000002</v>
          </cell>
          <cell r="AY345">
            <v>0</v>
          </cell>
          <cell r="AZ345">
            <v>0</v>
          </cell>
        </row>
        <row r="346">
          <cell r="A346">
            <v>624885</v>
          </cell>
          <cell r="B346" t="str">
            <v>SEIMI</v>
          </cell>
          <cell r="G346" t="str">
            <v>OUI</v>
          </cell>
          <cell r="H346" t="str">
            <v>PAS 001</v>
          </cell>
          <cell r="I346">
            <v>0</v>
          </cell>
          <cell r="J346">
            <v>0</v>
          </cell>
          <cell r="K346" t="str">
            <v>NON</v>
          </cell>
          <cell r="L346" t="str">
            <v>NON</v>
          </cell>
          <cell r="N346" t="str">
            <v>Non affecté</v>
          </cell>
          <cell r="O346" t="str">
            <v>JPP</v>
          </cell>
          <cell r="P346" t="str">
            <v>Ok mon client</v>
          </cell>
          <cell r="Q346" t="str">
            <v>GENNEVILLIERS</v>
          </cell>
          <cell r="R346" t="str">
            <v>29</v>
          </cell>
          <cell r="X346" t="str">
            <v>29218</v>
          </cell>
          <cell r="Y346" t="str">
            <v>BREST CEDEX 2</v>
          </cell>
          <cell r="AB346">
            <v>645.94000000000005</v>
          </cell>
          <cell r="AD346">
            <v>645.94000000000005</v>
          </cell>
          <cell r="AI346">
            <v>123.75999999999999</v>
          </cell>
          <cell r="AL346">
            <v>123.75999999999999</v>
          </cell>
          <cell r="AM346">
            <v>173.26399999999998</v>
          </cell>
          <cell r="AN346">
            <v>-0.73176456017586777</v>
          </cell>
          <cell r="AX346">
            <v>0</v>
          </cell>
          <cell r="AY346">
            <v>123.75999999999999</v>
          </cell>
          <cell r="AZ346">
            <v>0</v>
          </cell>
        </row>
        <row r="347">
          <cell r="A347">
            <v>583288</v>
          </cell>
          <cell r="B347" t="str">
            <v>APPLIDIAM SA</v>
          </cell>
          <cell r="C347">
            <v>-0.79</v>
          </cell>
          <cell r="D347">
            <v>0.2</v>
          </cell>
          <cell r="F347">
            <v>41275</v>
          </cell>
          <cell r="I347">
            <v>0</v>
          </cell>
          <cell r="J347">
            <v>0</v>
          </cell>
          <cell r="K347" t="str">
            <v>OK</v>
          </cell>
          <cell r="L347" t="str">
            <v>OK</v>
          </cell>
          <cell r="N347" t="str">
            <v>Non affecté</v>
          </cell>
          <cell r="O347" t="str">
            <v>AB</v>
          </cell>
          <cell r="P347" t="str">
            <v>Ok mon client</v>
          </cell>
          <cell r="Q347" t="str">
            <v>GENNEVILLIERS</v>
          </cell>
          <cell r="R347" t="str">
            <v>78</v>
          </cell>
          <cell r="S347" t="str">
            <v xml:space="preserve">ZA DES COTES                    </v>
          </cell>
          <cell r="T347" t="str">
            <v>78990</v>
          </cell>
          <cell r="U347" t="str">
            <v>ELANCOURT</v>
          </cell>
          <cell r="V347" t="str">
            <v>M.</v>
          </cell>
          <cell r="W347" t="str">
            <v>STOCKEL</v>
          </cell>
          <cell r="X347" t="str">
            <v>78990</v>
          </cell>
          <cell r="Y347" t="str">
            <v>ELANCOURT</v>
          </cell>
          <cell r="AB347">
            <v>534.04</v>
          </cell>
          <cell r="AD347">
            <v>534.04</v>
          </cell>
          <cell r="AI347">
            <v>118.09</v>
          </cell>
          <cell r="AL347">
            <v>118.09</v>
          </cell>
          <cell r="AM347">
            <v>165.32599999999999</v>
          </cell>
          <cell r="AN347">
            <v>-0.69042393828177662</v>
          </cell>
          <cell r="AO347" t="str">
            <v>001-G-78APPLIDIAM</v>
          </cell>
          <cell r="AX347">
            <v>0</v>
          </cell>
          <cell r="AY347">
            <v>141.708</v>
          </cell>
          <cell r="AZ347">
            <v>0</v>
          </cell>
        </row>
        <row r="348">
          <cell r="A348">
            <v>539115</v>
          </cell>
          <cell r="B348" t="str">
            <v>WALCOTT</v>
          </cell>
          <cell r="C348">
            <v>0.04</v>
          </cell>
          <cell r="D348">
            <v>0.04</v>
          </cell>
          <cell r="E348">
            <v>0.02</v>
          </cell>
          <cell r="F348">
            <v>41334</v>
          </cell>
          <cell r="I348" t="str">
            <v>A faire</v>
          </cell>
          <cell r="J348">
            <v>0</v>
          </cell>
          <cell r="L348" t="str">
            <v>ok</v>
          </cell>
          <cell r="M348" t="str">
            <v>Porte Feuille</v>
          </cell>
          <cell r="N348" t="str">
            <v>Non affecté</v>
          </cell>
          <cell r="O348" t="str">
            <v>JPP</v>
          </cell>
          <cell r="P348" t="str">
            <v>Ok mon client</v>
          </cell>
          <cell r="Q348" t="str">
            <v>GENNEVILLIERS</v>
          </cell>
          <cell r="R348" t="str">
            <v>93</v>
          </cell>
          <cell r="S348" t="str">
            <v>100 AE GAL LECLERC</v>
          </cell>
          <cell r="T348">
            <v>93692</v>
          </cell>
          <cell r="U348" t="str">
            <v>PANTIN CEDEX</v>
          </cell>
          <cell r="W348" t="str">
            <v>Directeur Logistique et Transports</v>
          </cell>
          <cell r="X348" t="str">
            <v>93692</v>
          </cell>
          <cell r="Y348" t="str">
            <v>PANTIN CEDEX</v>
          </cell>
          <cell r="AB348">
            <v>181.66</v>
          </cell>
          <cell r="AD348">
            <v>181.66</v>
          </cell>
          <cell r="AI348">
            <v>111.33</v>
          </cell>
          <cell r="AJ348">
            <v>-4.7979274611398965</v>
          </cell>
          <cell r="AL348">
            <v>111.33</v>
          </cell>
          <cell r="AM348">
            <v>155.86199999999999</v>
          </cell>
          <cell r="AN348">
            <v>-0.14201255091929976</v>
          </cell>
          <cell r="AO348" t="str">
            <v>259-G-93WALCOTT</v>
          </cell>
          <cell r="AP348" t="str">
            <v>259-L-93WALCOTT</v>
          </cell>
          <cell r="AX348">
            <v>0</v>
          </cell>
          <cell r="AY348">
            <v>115.78320000000001</v>
          </cell>
          <cell r="AZ348">
            <v>0</v>
          </cell>
        </row>
        <row r="349">
          <cell r="A349">
            <v>473871</v>
          </cell>
          <cell r="B349" t="str">
            <v>FIRAC GROUPE SNEF</v>
          </cell>
          <cell r="C349">
            <v>-0.79</v>
          </cell>
          <cell r="D349">
            <v>0.2</v>
          </cell>
          <cell r="F349">
            <v>41275</v>
          </cell>
          <cell r="I349">
            <v>0</v>
          </cell>
          <cell r="J349">
            <v>0</v>
          </cell>
          <cell r="K349" t="str">
            <v>OK</v>
          </cell>
          <cell r="L349" t="str">
            <v>OK</v>
          </cell>
          <cell r="N349" t="str">
            <v>Non affecté</v>
          </cell>
          <cell r="O349" t="str">
            <v>AB</v>
          </cell>
          <cell r="P349" t="str">
            <v>Ok mon client</v>
          </cell>
          <cell r="Q349" t="str">
            <v>GENNEVILLIERS</v>
          </cell>
          <cell r="R349" t="str">
            <v>78</v>
          </cell>
          <cell r="S349" t="str">
            <v>30 RUE GUSTAVE EIFFEL</v>
          </cell>
          <cell r="T349">
            <v>78306</v>
          </cell>
          <cell r="U349" t="str">
            <v>POISSY CEDEX</v>
          </cell>
          <cell r="V349" t="str">
            <v>M.</v>
          </cell>
          <cell r="W349" t="str">
            <v>YONGVANG</v>
          </cell>
          <cell r="X349" t="str">
            <v>78306</v>
          </cell>
          <cell r="Y349" t="str">
            <v>POISSY CEDEX</v>
          </cell>
          <cell r="AA349">
            <v>95.86</v>
          </cell>
          <cell r="AD349">
            <v>95.86</v>
          </cell>
          <cell r="AG349">
            <v>108.96000000000001</v>
          </cell>
          <cell r="AH349">
            <v>0.64812775330396466</v>
          </cell>
          <cell r="AL349">
            <v>108.96000000000001</v>
          </cell>
          <cell r="AM349">
            <v>152.54400000000001</v>
          </cell>
          <cell r="AN349">
            <v>0.59132067598581273</v>
          </cell>
          <cell r="AO349" t="str">
            <v>001-G-GENERAL-KG-5</v>
          </cell>
          <cell r="AP349" t="str">
            <v>001-L-GENERAL-KG</v>
          </cell>
          <cell r="AQ349">
            <v>38624</v>
          </cell>
          <cell r="AX349">
            <v>22.881600000000002</v>
          </cell>
          <cell r="AY349">
            <v>0</v>
          </cell>
          <cell r="AZ349">
            <v>0</v>
          </cell>
        </row>
        <row r="350">
          <cell r="A350">
            <v>497340</v>
          </cell>
          <cell r="B350" t="str">
            <v>BOISCHAUT DIFFUSION INDUSTRIE</v>
          </cell>
          <cell r="G350" t="str">
            <v>OUI</v>
          </cell>
          <cell r="H350" t="str">
            <v>PAS 001</v>
          </cell>
          <cell r="I350">
            <v>0</v>
          </cell>
          <cell r="J350">
            <v>0</v>
          </cell>
          <cell r="K350" t="str">
            <v>NON</v>
          </cell>
          <cell r="L350" t="str">
            <v>NON</v>
          </cell>
          <cell r="N350" t="str">
            <v>Non affecté</v>
          </cell>
          <cell r="O350" t="str">
            <v>JPP</v>
          </cell>
          <cell r="P350" t="str">
            <v>Ok mon client</v>
          </cell>
          <cell r="Q350" t="str">
            <v>GENNEVILLIERS</v>
          </cell>
          <cell r="R350" t="str">
            <v>18</v>
          </cell>
          <cell r="X350" t="str">
            <v>18200</v>
          </cell>
          <cell r="Y350" t="str">
            <v>ST AMAND MONTRAND</v>
          </cell>
          <cell r="AB350">
            <v>105</v>
          </cell>
          <cell r="AD350">
            <v>105</v>
          </cell>
          <cell r="AI350">
            <v>105</v>
          </cell>
          <cell r="AL350">
            <v>105</v>
          </cell>
          <cell r="AM350">
            <v>147</v>
          </cell>
          <cell r="AN350">
            <v>0.39999999999999991</v>
          </cell>
          <cell r="AX350">
            <v>0</v>
          </cell>
          <cell r="AY350">
            <v>105</v>
          </cell>
          <cell r="AZ350">
            <v>0</v>
          </cell>
        </row>
        <row r="351">
          <cell r="A351">
            <v>872325</v>
          </cell>
          <cell r="B351" t="str">
            <v>SERENA CAOUTCHOUC</v>
          </cell>
          <cell r="G351" t="str">
            <v>OUI</v>
          </cell>
          <cell r="H351" t="str">
            <v>INCONNU</v>
          </cell>
          <cell r="I351">
            <v>0</v>
          </cell>
          <cell r="J351">
            <v>0</v>
          </cell>
          <cell r="K351" t="str">
            <v>NON</v>
          </cell>
          <cell r="L351" t="str">
            <v>NON</v>
          </cell>
          <cell r="N351" t="str">
            <v>Non affecté</v>
          </cell>
          <cell r="O351" t="str">
            <v>JPP</v>
          </cell>
          <cell r="P351" t="str">
            <v>Ok mon client</v>
          </cell>
          <cell r="Q351" t="str">
            <v>GENNEVILLIERS</v>
          </cell>
          <cell r="R351" t="str">
            <v>75</v>
          </cell>
          <cell r="X351" t="str">
            <v>75015</v>
          </cell>
          <cell r="Y351" t="str">
            <v>PARIS</v>
          </cell>
          <cell r="AI351">
            <v>105</v>
          </cell>
          <cell r="AL351">
            <v>105</v>
          </cell>
          <cell r="AM351">
            <v>147</v>
          </cell>
          <cell r="AX351">
            <v>0</v>
          </cell>
          <cell r="AY351">
            <v>105</v>
          </cell>
          <cell r="AZ351">
            <v>0</v>
          </cell>
        </row>
        <row r="352">
          <cell r="A352">
            <v>875460</v>
          </cell>
          <cell r="B352" t="str">
            <v>CHR HANSEN FRANCE</v>
          </cell>
          <cell r="H352" t="str">
            <v>INCONNU</v>
          </cell>
          <cell r="I352">
            <v>0</v>
          </cell>
          <cell r="J352">
            <v>0</v>
          </cell>
          <cell r="K352" t="str">
            <v>NON</v>
          </cell>
          <cell r="L352" t="str">
            <v>NON</v>
          </cell>
          <cell r="M352" t="str">
            <v>NON</v>
          </cell>
          <cell r="N352" t="str">
            <v>Non affecté</v>
          </cell>
          <cell r="O352" t="str">
            <v>SM</v>
          </cell>
          <cell r="P352" t="str">
            <v>Rajouté</v>
          </cell>
          <cell r="Q352" t="str">
            <v>GENNEVILLIERS</v>
          </cell>
          <cell r="R352" t="str">
            <v>91</v>
          </cell>
          <cell r="X352" t="str">
            <v>91292</v>
          </cell>
          <cell r="Y352" t="str">
            <v>ARPAJON</v>
          </cell>
          <cell r="AI352">
            <v>105</v>
          </cell>
          <cell r="AL352">
            <v>105</v>
          </cell>
          <cell r="AM352">
            <v>147</v>
          </cell>
          <cell r="AX352">
            <v>0</v>
          </cell>
          <cell r="AY352">
            <v>105</v>
          </cell>
          <cell r="AZ352">
            <v>0</v>
          </cell>
        </row>
        <row r="353">
          <cell r="A353">
            <v>533470</v>
          </cell>
          <cell r="B353" t="str">
            <v>CASSESE</v>
          </cell>
          <cell r="H353" t="str">
            <v>PAS DE CONTRAT DANS INES</v>
          </cell>
          <cell r="I353">
            <v>0</v>
          </cell>
          <cell r="J353">
            <v>0</v>
          </cell>
          <cell r="K353" t="str">
            <v>NON</v>
          </cell>
          <cell r="L353" t="str">
            <v>NON</v>
          </cell>
          <cell r="M353" t="str">
            <v>NON</v>
          </cell>
          <cell r="N353" t="str">
            <v>Non affecté</v>
          </cell>
          <cell r="O353" t="str">
            <v>FR</v>
          </cell>
          <cell r="P353" t="str">
            <v>Rajouté</v>
          </cell>
          <cell r="Q353" t="str">
            <v>MOISSY CRAMAYEL</v>
          </cell>
          <cell r="R353" t="str">
            <v>77</v>
          </cell>
          <cell r="S353" t="str">
            <v>ZONE INDUSTRIELLE</v>
          </cell>
          <cell r="T353">
            <v>77390</v>
          </cell>
          <cell r="U353" t="str">
            <v>VERNEUIL L'ETANG</v>
          </cell>
          <cell r="X353" t="str">
            <v>77390</v>
          </cell>
          <cell r="Y353" t="str">
            <v>VERNEUIL L'ETANG</v>
          </cell>
          <cell r="AE353">
            <v>102</v>
          </cell>
          <cell r="AL353">
            <v>102</v>
          </cell>
          <cell r="AM353">
            <v>142.79999999999998</v>
          </cell>
          <cell r="AX353">
            <v>0</v>
          </cell>
          <cell r="AY353">
            <v>0</v>
          </cell>
          <cell r="AZ353">
            <v>102</v>
          </cell>
        </row>
        <row r="354">
          <cell r="A354">
            <v>545103</v>
          </cell>
          <cell r="B354" t="str">
            <v>C   C CABLES ET CONNECTIQUES</v>
          </cell>
          <cell r="C354">
            <v>0.1</v>
          </cell>
          <cell r="D354">
            <v>0.1</v>
          </cell>
          <cell r="E354">
            <v>0.02</v>
          </cell>
          <cell r="F354">
            <v>41275</v>
          </cell>
          <cell r="G354" t="str">
            <v>OUI</v>
          </cell>
          <cell r="I354">
            <v>0</v>
          </cell>
          <cell r="J354">
            <v>0</v>
          </cell>
          <cell r="K354" t="str">
            <v>OK</v>
          </cell>
          <cell r="L354" t="str">
            <v>OK</v>
          </cell>
          <cell r="N354" t="str">
            <v>Non affecté</v>
          </cell>
          <cell r="O354" t="str">
            <v>JPP</v>
          </cell>
          <cell r="P354" t="str">
            <v>Ok mon client</v>
          </cell>
          <cell r="Q354" t="str">
            <v>GENNEVILLIERS</v>
          </cell>
          <cell r="R354" t="str">
            <v>92</v>
          </cell>
          <cell r="S354" t="str">
            <v>19 ALLEE DE LA MADELEINE</v>
          </cell>
          <cell r="T354" t="str">
            <v>92220</v>
          </cell>
          <cell r="U354" t="str">
            <v>BAGNEUX</v>
          </cell>
          <cell r="V354" t="str">
            <v>M.</v>
          </cell>
          <cell r="W354" t="str">
            <v>ROY</v>
          </cell>
          <cell r="X354" t="str">
            <v>92220</v>
          </cell>
          <cell r="Y354" t="str">
            <v>BAGNEUX</v>
          </cell>
          <cell r="AA354">
            <v>45.48</v>
          </cell>
          <cell r="AD354">
            <v>45.48</v>
          </cell>
          <cell r="AG354">
            <v>100.26</v>
          </cell>
          <cell r="AH354">
            <v>0.36684619988031125</v>
          </cell>
          <cell r="AL354">
            <v>100.26</v>
          </cell>
          <cell r="AM354">
            <v>140.364</v>
          </cell>
          <cell r="AN354">
            <v>2.0862796833773092</v>
          </cell>
          <cell r="AO354" t="str">
            <v>001-CONTRAT TYPE +50%</v>
          </cell>
          <cell r="AX354">
            <v>110.28600000000002</v>
          </cell>
          <cell r="AY354">
            <v>0</v>
          </cell>
          <cell r="AZ354">
            <v>0</v>
          </cell>
        </row>
        <row r="355">
          <cell r="A355">
            <v>378267</v>
          </cell>
          <cell r="B355" t="str">
            <v>AG.GLE.INDUSTRIELLE SA/AGI</v>
          </cell>
          <cell r="C355">
            <v>0.1</v>
          </cell>
          <cell r="D355">
            <v>0.1</v>
          </cell>
          <cell r="E355">
            <v>0.02</v>
          </cell>
          <cell r="F355">
            <v>41275</v>
          </cell>
          <cell r="G355" t="str">
            <v>OUI</v>
          </cell>
          <cell r="H355" t="str">
            <v>CA A 0. Tarifs non envoyes</v>
          </cell>
          <cell r="I355">
            <v>0</v>
          </cell>
          <cell r="J355">
            <v>0</v>
          </cell>
          <cell r="K355" t="str">
            <v>NON</v>
          </cell>
          <cell r="L355" t="str">
            <v>OK</v>
          </cell>
          <cell r="N355" t="str">
            <v>Non affecté</v>
          </cell>
          <cell r="O355" t="str">
            <v>JPP</v>
          </cell>
          <cell r="P355" t="str">
            <v>Ok mon client</v>
          </cell>
          <cell r="Q355" t="str">
            <v>GENNEVILLIERS</v>
          </cell>
          <cell r="R355" t="str">
            <v>93</v>
          </cell>
          <cell r="S355" t="str">
            <v>75 RUE SAINT-DENIS</v>
          </cell>
          <cell r="T355">
            <v>93300</v>
          </cell>
          <cell r="U355" t="str">
            <v>AUBERVILLIERS</v>
          </cell>
          <cell r="X355" t="str">
            <v>93300</v>
          </cell>
          <cell r="Y355" t="str">
            <v>AUBERVILLIERS</v>
          </cell>
          <cell r="AG355">
            <v>96.089999999999989</v>
          </cell>
          <cell r="AH355">
            <v>0.25974025974025983</v>
          </cell>
          <cell r="AL355">
            <v>96.089999999999989</v>
          </cell>
          <cell r="AM355">
            <v>134.52599999999998</v>
          </cell>
          <cell r="AO355" t="str">
            <v>259-G-93AGI</v>
          </cell>
          <cell r="AX355">
            <v>105.699</v>
          </cell>
          <cell r="AY355">
            <v>0</v>
          </cell>
          <cell r="AZ355">
            <v>0</v>
          </cell>
        </row>
        <row r="356">
          <cell r="A356">
            <v>697836</v>
          </cell>
          <cell r="B356" t="str">
            <v>TRADEMANIA</v>
          </cell>
          <cell r="C356">
            <v>0.1</v>
          </cell>
          <cell r="D356">
            <v>0.1</v>
          </cell>
          <cell r="E356">
            <v>0.02</v>
          </cell>
          <cell r="F356">
            <v>41275</v>
          </cell>
          <cell r="G356" t="str">
            <v>OUI</v>
          </cell>
          <cell r="I356">
            <v>0</v>
          </cell>
          <cell r="J356">
            <v>0</v>
          </cell>
          <cell r="K356" t="str">
            <v>OK</v>
          </cell>
          <cell r="L356" t="str">
            <v>OK</v>
          </cell>
          <cell r="M356" t="str">
            <v>OK</v>
          </cell>
          <cell r="N356" t="str">
            <v>Non affecté</v>
          </cell>
          <cell r="O356" t="str">
            <v>JPP</v>
          </cell>
          <cell r="P356" t="str">
            <v>Ok mon client</v>
          </cell>
          <cell r="Q356" t="str">
            <v>GENNEVILLIERS</v>
          </cell>
          <cell r="R356" t="str">
            <v>92</v>
          </cell>
          <cell r="S356" t="str">
            <v>7 RUE DE LA HUTTE GAILLONET</v>
          </cell>
          <cell r="T356">
            <v>95450</v>
          </cell>
          <cell r="U356" t="str">
            <v>SERAINCOURT</v>
          </cell>
          <cell r="V356" t="str">
            <v>M.</v>
          </cell>
          <cell r="W356" t="str">
            <v>HAMEL</v>
          </cell>
          <cell r="X356" t="str">
            <v>92200</v>
          </cell>
          <cell r="Y356" t="str">
            <v>NEUILLY SUR SEINE</v>
          </cell>
          <cell r="AA356">
            <v>1112.1300000000001</v>
          </cell>
          <cell r="AB356">
            <v>287.24</v>
          </cell>
          <cell r="AD356">
            <v>1399.3700000000001</v>
          </cell>
          <cell r="AG356">
            <v>89.36</v>
          </cell>
          <cell r="AH356">
            <v>-0.34037349933303712</v>
          </cell>
          <cell r="AL356">
            <v>89.36</v>
          </cell>
          <cell r="AM356">
            <v>125.10399999999998</v>
          </cell>
          <cell r="AN356">
            <v>-0.91059976989645341</v>
          </cell>
          <cell r="AO356" t="str">
            <v>001-G-95TRADEMANIA</v>
          </cell>
          <cell r="AQ356">
            <v>39771</v>
          </cell>
          <cell r="AX356">
            <v>98.296000000000006</v>
          </cell>
          <cell r="AY356">
            <v>0</v>
          </cell>
          <cell r="AZ356">
            <v>0</v>
          </cell>
        </row>
        <row r="357">
          <cell r="A357">
            <v>870638</v>
          </cell>
          <cell r="B357" t="str">
            <v>RAYNAUD BRU MYLENE</v>
          </cell>
          <cell r="G357" t="str">
            <v>OUI</v>
          </cell>
          <cell r="H357" t="str">
            <v>PAS GERE PAR 001</v>
          </cell>
          <cell r="I357">
            <v>0</v>
          </cell>
          <cell r="J357">
            <v>0</v>
          </cell>
          <cell r="K357" t="str">
            <v>NON</v>
          </cell>
          <cell r="L357" t="str">
            <v>NON</v>
          </cell>
          <cell r="N357" t="str">
            <v>Non affecté</v>
          </cell>
          <cell r="O357" t="str">
            <v>JPP</v>
          </cell>
          <cell r="P357" t="str">
            <v>Ok mon client</v>
          </cell>
          <cell r="Q357" t="str">
            <v>DRANCY</v>
          </cell>
          <cell r="R357" t="str">
            <v>34</v>
          </cell>
          <cell r="X357" t="str">
            <v>34230</v>
          </cell>
          <cell r="Y357" t="str">
            <v>ST PARGOIRE</v>
          </cell>
          <cell r="AH357">
            <v>0.38051511758118706</v>
          </cell>
          <cell r="AI357">
            <v>89.300000000000011</v>
          </cell>
          <cell r="AL357">
            <v>89.300000000000011</v>
          </cell>
          <cell r="AM357">
            <v>125.02000000000001</v>
          </cell>
          <cell r="AX357">
            <v>0</v>
          </cell>
          <cell r="AY357">
            <v>89.300000000000011</v>
          </cell>
          <cell r="AZ357">
            <v>0</v>
          </cell>
        </row>
        <row r="358">
          <cell r="A358">
            <v>508370</v>
          </cell>
          <cell r="B358" t="str">
            <v>HTK</v>
          </cell>
          <cell r="G358" t="str">
            <v>OUI</v>
          </cell>
          <cell r="H358" t="str">
            <v>PAS GERE PAR 001</v>
          </cell>
          <cell r="I358">
            <v>0</v>
          </cell>
          <cell r="J358">
            <v>0</v>
          </cell>
          <cell r="K358" t="str">
            <v>NON</v>
          </cell>
          <cell r="L358" t="str">
            <v>NON</v>
          </cell>
          <cell r="N358" t="str">
            <v>Non affecté</v>
          </cell>
          <cell r="O358" t="str">
            <v>JPP</v>
          </cell>
          <cell r="P358" t="str">
            <v>Ok mon client</v>
          </cell>
          <cell r="Q358" t="str">
            <v>GENNEVILLIERS</v>
          </cell>
          <cell r="R358" t="str">
            <v>81</v>
          </cell>
          <cell r="X358" t="str">
            <v>81100</v>
          </cell>
          <cell r="Y358" t="str">
            <v>CASTRES</v>
          </cell>
          <cell r="AG358">
            <v>85.01</v>
          </cell>
          <cell r="AH358">
            <v>0.77085048817786139</v>
          </cell>
          <cell r="AL358">
            <v>85.01</v>
          </cell>
          <cell r="AM358">
            <v>119.014</v>
          </cell>
          <cell r="AX358">
            <v>85.01</v>
          </cell>
          <cell r="AY358">
            <v>0</v>
          </cell>
          <cell r="AZ358">
            <v>0</v>
          </cell>
        </row>
        <row r="359">
          <cell r="A359">
            <v>585889</v>
          </cell>
          <cell r="B359" t="str">
            <v>TRICOTS SAINT-JAMES</v>
          </cell>
          <cell r="G359" t="str">
            <v>OUI</v>
          </cell>
          <cell r="H359" t="str">
            <v>PAS GERE PAR 001</v>
          </cell>
          <cell r="I359">
            <v>0</v>
          </cell>
          <cell r="J359">
            <v>0</v>
          </cell>
          <cell r="K359" t="str">
            <v>NON</v>
          </cell>
          <cell r="L359" t="str">
            <v>NON</v>
          </cell>
          <cell r="N359" t="str">
            <v>Non affecté</v>
          </cell>
          <cell r="O359" t="str">
            <v>JPP</v>
          </cell>
          <cell r="P359" t="str">
            <v>Ok mon client</v>
          </cell>
          <cell r="Q359" t="str">
            <v>GENNEVILLIERS</v>
          </cell>
          <cell r="R359" t="str">
            <v>50</v>
          </cell>
          <cell r="X359" t="str">
            <v>50240</v>
          </cell>
          <cell r="Y359" t="str">
            <v>SAINT JAMES</v>
          </cell>
          <cell r="AI359">
            <v>81.16</v>
          </cell>
          <cell r="AJ359">
            <v>5.1612903225806493E-2</v>
          </cell>
          <cell r="AL359">
            <v>81.16</v>
          </cell>
          <cell r="AM359">
            <v>113.62399999999998</v>
          </cell>
          <cell r="AX359">
            <v>0</v>
          </cell>
          <cell r="AY359">
            <v>81.16</v>
          </cell>
          <cell r="AZ359">
            <v>0</v>
          </cell>
        </row>
        <row r="360">
          <cell r="A360">
            <v>51874</v>
          </cell>
          <cell r="B360" t="str">
            <v>MARECHAL</v>
          </cell>
          <cell r="H360" t="str">
            <v>Pas de contrat INES</v>
          </cell>
          <cell r="I360">
            <v>0</v>
          </cell>
          <cell r="J360">
            <v>0</v>
          </cell>
          <cell r="K360" t="str">
            <v>NON</v>
          </cell>
          <cell r="L360" t="str">
            <v>NON</v>
          </cell>
          <cell r="N360" t="str">
            <v>Non affecté</v>
          </cell>
          <cell r="O360" t="str">
            <v>AB</v>
          </cell>
          <cell r="P360" t="str">
            <v>Ok mon client</v>
          </cell>
          <cell r="Q360" t="str">
            <v>GENNEVILLIERS</v>
          </cell>
          <cell r="R360" t="str">
            <v>28</v>
          </cell>
          <cell r="S360" t="str">
            <v>ZI DU POIRIER</v>
          </cell>
          <cell r="T360" t="str">
            <v>28210</v>
          </cell>
          <cell r="U360" t="str">
            <v>NOGENT LE ROI</v>
          </cell>
          <cell r="X360" t="str">
            <v>28210</v>
          </cell>
          <cell r="Y360" t="str">
            <v>NOGENT LE ROI  CEDEX</v>
          </cell>
          <cell r="AE360">
            <v>80</v>
          </cell>
          <cell r="AL360">
            <v>80</v>
          </cell>
          <cell r="AM360">
            <v>112</v>
          </cell>
          <cell r="AX360">
            <v>0</v>
          </cell>
          <cell r="AY360">
            <v>0</v>
          </cell>
          <cell r="AZ360">
            <v>80</v>
          </cell>
        </row>
        <row r="361">
          <cell r="A361">
            <v>581579</v>
          </cell>
          <cell r="B361" t="str">
            <v>LES LIANTS ROUTIERS EUROPEENS</v>
          </cell>
          <cell r="G361" t="str">
            <v>OUI</v>
          </cell>
          <cell r="H361" t="str">
            <v>PAS GERE PAR 001</v>
          </cell>
          <cell r="I361">
            <v>0</v>
          </cell>
          <cell r="J361">
            <v>0</v>
          </cell>
          <cell r="K361" t="str">
            <v>NON</v>
          </cell>
          <cell r="L361" t="str">
            <v>NON</v>
          </cell>
          <cell r="N361" t="str">
            <v>Non affecté</v>
          </cell>
          <cell r="O361" t="str">
            <v>JPP</v>
          </cell>
          <cell r="P361" t="str">
            <v>Ok mon client</v>
          </cell>
          <cell r="Q361" t="str">
            <v>GENNEVILLIERS</v>
          </cell>
          <cell r="R361" t="str">
            <v>57</v>
          </cell>
          <cell r="X361" t="str">
            <v>57140</v>
          </cell>
          <cell r="Y361" t="str">
            <v>WOIPPY</v>
          </cell>
          <cell r="AG361">
            <v>79.5</v>
          </cell>
          <cell r="AL361">
            <v>79.5</v>
          </cell>
          <cell r="AM361">
            <v>111.3</v>
          </cell>
          <cell r="AX361">
            <v>79.5</v>
          </cell>
          <cell r="AY361">
            <v>0</v>
          </cell>
          <cell r="AZ361">
            <v>0</v>
          </cell>
        </row>
        <row r="362">
          <cell r="A362">
            <v>77265</v>
          </cell>
          <cell r="B362" t="str">
            <v>SOFARE</v>
          </cell>
          <cell r="C362">
            <v>0.1</v>
          </cell>
          <cell r="D362">
            <v>0.1</v>
          </cell>
          <cell r="E362">
            <v>0.1</v>
          </cell>
          <cell r="F362">
            <v>41275</v>
          </cell>
          <cell r="G362" t="str">
            <v>NON</v>
          </cell>
          <cell r="H362" t="str">
            <v>DEMANDE DES COT</v>
          </cell>
          <cell r="I362">
            <v>0</v>
          </cell>
          <cell r="J362">
            <v>0</v>
          </cell>
          <cell r="K362" t="str">
            <v>OK</v>
          </cell>
          <cell r="L362" t="str">
            <v>OK</v>
          </cell>
          <cell r="N362" t="str">
            <v>Non affecté</v>
          </cell>
          <cell r="O362" t="str">
            <v>MM</v>
          </cell>
          <cell r="P362" t="str">
            <v>Ok mon client</v>
          </cell>
          <cell r="Q362" t="str">
            <v>GENNEVILLIERS</v>
          </cell>
          <cell r="R362" t="str">
            <v>95</v>
          </cell>
          <cell r="S362" t="str">
            <v>11 BLD DES MARTYRS DE</v>
          </cell>
          <cell r="T362">
            <v>95101</v>
          </cell>
          <cell r="U362" t="str">
            <v>ARGENTEUIL CEDEX</v>
          </cell>
          <cell r="V362" t="str">
            <v>Mr</v>
          </cell>
          <cell r="W362" t="str">
            <v>HURTEBIZE</v>
          </cell>
          <cell r="X362" t="str">
            <v>95101</v>
          </cell>
          <cell r="Y362" t="str">
            <v>ARGENTEUIL CEDEX</v>
          </cell>
          <cell r="AG362">
            <v>73.3</v>
          </cell>
          <cell r="AL362">
            <v>73.3</v>
          </cell>
          <cell r="AM362">
            <v>102.61999999999999</v>
          </cell>
          <cell r="AO362" t="str">
            <v>001-G-GENERAL-KG</v>
          </cell>
          <cell r="AX362">
            <v>80.63000000000001</v>
          </cell>
          <cell r="AY362">
            <v>0</v>
          </cell>
          <cell r="AZ362">
            <v>0</v>
          </cell>
        </row>
        <row r="363">
          <cell r="A363">
            <v>74237</v>
          </cell>
          <cell r="B363" t="str">
            <v>SERMAT</v>
          </cell>
          <cell r="G363" t="str">
            <v>OUI</v>
          </cell>
          <cell r="H363" t="str">
            <v>PAS DE CONTRAT</v>
          </cell>
          <cell r="I363">
            <v>0</v>
          </cell>
          <cell r="J363">
            <v>0</v>
          </cell>
          <cell r="K363" t="str">
            <v>NON</v>
          </cell>
          <cell r="L363" t="str">
            <v>NON</v>
          </cell>
          <cell r="N363" t="str">
            <v>Non affecté</v>
          </cell>
          <cell r="O363" t="str">
            <v>JPP</v>
          </cell>
          <cell r="P363" t="str">
            <v>Ok mon client</v>
          </cell>
          <cell r="Q363" t="str">
            <v>GENNEVILLIERS</v>
          </cell>
          <cell r="R363" t="str">
            <v>92</v>
          </cell>
          <cell r="S363" t="str">
            <v>249 RUE DE LA GARENNE</v>
          </cell>
          <cell r="T363" t="str">
            <v>92000</v>
          </cell>
          <cell r="U363" t="str">
            <v>NANTERRE</v>
          </cell>
          <cell r="V363" t="str">
            <v>M.</v>
          </cell>
          <cell r="W363" t="str">
            <v>DEMORAIS</v>
          </cell>
          <cell r="X363" t="str">
            <v>92000</v>
          </cell>
          <cell r="Y363" t="str">
            <v>NANTERRE</v>
          </cell>
          <cell r="AB363">
            <v>416.64000000000004</v>
          </cell>
          <cell r="AD363">
            <v>416.64000000000004</v>
          </cell>
          <cell r="AI363">
            <v>71.510000000000005</v>
          </cell>
          <cell r="AJ363">
            <v>0.79681163473640049</v>
          </cell>
          <cell r="AL363">
            <v>71.510000000000005</v>
          </cell>
          <cell r="AM363">
            <v>100.114</v>
          </cell>
          <cell r="AN363">
            <v>-0.75971102150537639</v>
          </cell>
          <cell r="AO363" t="str">
            <v>001-CONTRAT TYPE +50%</v>
          </cell>
          <cell r="AX363">
            <v>0</v>
          </cell>
          <cell r="AY363">
            <v>71.510000000000005</v>
          </cell>
          <cell r="AZ363">
            <v>0</v>
          </cell>
        </row>
        <row r="364">
          <cell r="A364">
            <v>563664</v>
          </cell>
          <cell r="B364" t="str">
            <v>SKY ACCES</v>
          </cell>
          <cell r="C364">
            <v>0.1</v>
          </cell>
          <cell r="D364">
            <v>0.1</v>
          </cell>
          <cell r="E364">
            <v>0.1</v>
          </cell>
          <cell r="F364">
            <v>41275</v>
          </cell>
          <cell r="G364" t="str">
            <v>NON</v>
          </cell>
          <cell r="H364" t="str">
            <v>DEMANDE DES COT</v>
          </cell>
          <cell r="I364">
            <v>0</v>
          </cell>
          <cell r="J364">
            <v>0</v>
          </cell>
          <cell r="K364" t="str">
            <v>OK</v>
          </cell>
          <cell r="L364" t="str">
            <v>OK</v>
          </cell>
          <cell r="N364" t="str">
            <v>Non affecté</v>
          </cell>
          <cell r="O364" t="str">
            <v>MM</v>
          </cell>
          <cell r="P364" t="str">
            <v>Ok mon client</v>
          </cell>
          <cell r="Q364" t="str">
            <v>GENNEVILLIERS</v>
          </cell>
          <cell r="R364" t="str">
            <v>95</v>
          </cell>
          <cell r="S364" t="str">
            <v>RUE DU GROSD MURGER - BP 224 - ZI BELLEVUE, ERAGNY</v>
          </cell>
          <cell r="T364" t="str">
            <v>95614</v>
          </cell>
          <cell r="U364" t="str">
            <v>CERGY PONTOISE CEDEX</v>
          </cell>
          <cell r="V364" t="str">
            <v>M.</v>
          </cell>
          <cell r="W364" t="str">
            <v>DE SOUSA Mickaël</v>
          </cell>
          <cell r="X364" t="str">
            <v>95614</v>
          </cell>
          <cell r="Y364" t="str">
            <v>CERGY PONTOISE CEDEX</v>
          </cell>
          <cell r="AA364">
            <v>2244.9300000000003</v>
          </cell>
          <cell r="AB364">
            <v>130.64000000000001</v>
          </cell>
          <cell r="AD364">
            <v>2375.5700000000002</v>
          </cell>
          <cell r="AG364">
            <v>71.459999999999994</v>
          </cell>
          <cell r="AH364">
            <v>0.79610971172684009</v>
          </cell>
          <cell r="AL364">
            <v>71.459999999999994</v>
          </cell>
          <cell r="AM364">
            <v>100.04399999999998</v>
          </cell>
          <cell r="AN364">
            <v>-0.95788631781004141</v>
          </cell>
          <cell r="AO364" t="str">
            <v>001-G-95SKYACCES</v>
          </cell>
          <cell r="AP364" t="str">
            <v>001-L-95ASKYACCES</v>
          </cell>
          <cell r="AX364">
            <v>78.605999999999995</v>
          </cell>
          <cell r="AY364">
            <v>0</v>
          </cell>
          <cell r="AZ364">
            <v>0</v>
          </cell>
        </row>
        <row r="365">
          <cell r="A365">
            <v>541426</v>
          </cell>
          <cell r="B365" t="str">
            <v>ESMA TABALL</v>
          </cell>
          <cell r="G365" t="str">
            <v>OUI</v>
          </cell>
          <cell r="H365" t="str">
            <v>PAS GERE PAR 001</v>
          </cell>
          <cell r="I365">
            <v>0</v>
          </cell>
          <cell r="J365">
            <v>0</v>
          </cell>
          <cell r="K365" t="str">
            <v>NON</v>
          </cell>
          <cell r="L365" t="str">
            <v>NON</v>
          </cell>
          <cell r="N365" t="str">
            <v>Non affecté</v>
          </cell>
          <cell r="O365" t="str">
            <v>JPP</v>
          </cell>
          <cell r="P365" t="str">
            <v>Ok mon client</v>
          </cell>
          <cell r="Q365" t="str">
            <v>DRANCY</v>
          </cell>
          <cell r="R365" t="str">
            <v>34</v>
          </cell>
          <cell r="X365" t="str">
            <v>34560</v>
          </cell>
          <cell r="Y365" t="str">
            <v>POUSSAN</v>
          </cell>
          <cell r="AI365">
            <v>69.86</v>
          </cell>
          <cell r="AL365">
            <v>69.86</v>
          </cell>
          <cell r="AM365">
            <v>97.803999999999988</v>
          </cell>
          <cell r="AX365">
            <v>0</v>
          </cell>
          <cell r="AY365">
            <v>69.86</v>
          </cell>
          <cell r="AZ365">
            <v>0</v>
          </cell>
        </row>
        <row r="366">
          <cell r="A366">
            <v>610685</v>
          </cell>
          <cell r="B366" t="str">
            <v>ATELIERS GILBERT GARCIA</v>
          </cell>
          <cell r="G366" t="str">
            <v>OUI</v>
          </cell>
          <cell r="H366" t="str">
            <v>PAS DE CONTRAT</v>
          </cell>
          <cell r="I366">
            <v>0</v>
          </cell>
          <cell r="J366">
            <v>0</v>
          </cell>
          <cell r="K366" t="str">
            <v>NON</v>
          </cell>
          <cell r="L366" t="str">
            <v>NON</v>
          </cell>
          <cell r="N366" t="str">
            <v>Non affecté</v>
          </cell>
          <cell r="O366" t="str">
            <v>JPP</v>
          </cell>
          <cell r="P366" t="str">
            <v>Ok mon client</v>
          </cell>
          <cell r="Q366" t="str">
            <v>GENNEVILLIERS</v>
          </cell>
          <cell r="R366" t="str">
            <v>93</v>
          </cell>
          <cell r="S366" t="str">
            <v>40 AV MARCEL PAUL</v>
          </cell>
          <cell r="T366">
            <v>93297</v>
          </cell>
          <cell r="U366" t="str">
            <v>TREMBLAY EN FRANCE</v>
          </cell>
          <cell r="X366" t="str">
            <v>93297</v>
          </cell>
          <cell r="Y366" t="str">
            <v>TREMBLAY EN FRANCE</v>
          </cell>
          <cell r="AG366">
            <v>68.06</v>
          </cell>
          <cell r="AH366">
            <v>0.51792535997649136</v>
          </cell>
          <cell r="AL366">
            <v>68.06</v>
          </cell>
          <cell r="AM366">
            <v>95.283999999999992</v>
          </cell>
          <cell r="AO366" t="str">
            <v>259-G-GENERAL-KG</v>
          </cell>
          <cell r="AX366">
            <v>68.06</v>
          </cell>
          <cell r="AY366">
            <v>0</v>
          </cell>
          <cell r="AZ366">
            <v>0</v>
          </cell>
        </row>
        <row r="367">
          <cell r="A367">
            <v>533017</v>
          </cell>
          <cell r="B367" t="str">
            <v>HORUS GROUPE</v>
          </cell>
          <cell r="G367" t="str">
            <v>OUI</v>
          </cell>
          <cell r="H367" t="str">
            <v>PAS GERE PAR 001</v>
          </cell>
          <cell r="I367">
            <v>0</v>
          </cell>
          <cell r="J367">
            <v>0</v>
          </cell>
          <cell r="K367" t="str">
            <v>NON</v>
          </cell>
          <cell r="L367" t="str">
            <v>NON</v>
          </cell>
          <cell r="N367" t="str">
            <v>Non affecté</v>
          </cell>
          <cell r="O367" t="str">
            <v>JPP</v>
          </cell>
          <cell r="P367" t="str">
            <v>Ok mon client</v>
          </cell>
          <cell r="Q367" t="str">
            <v>GENNEVILLIERS</v>
          </cell>
          <cell r="R367" t="str">
            <v>32</v>
          </cell>
          <cell r="X367" t="str">
            <v>32600</v>
          </cell>
          <cell r="Y367" t="str">
            <v>L ISLE JOURDAIN</v>
          </cell>
          <cell r="AG367">
            <v>67.88</v>
          </cell>
          <cell r="AL367">
            <v>67.88</v>
          </cell>
          <cell r="AM367">
            <v>95.031999999999982</v>
          </cell>
          <cell r="AX367">
            <v>67.88</v>
          </cell>
          <cell r="AY367">
            <v>0</v>
          </cell>
          <cell r="AZ367">
            <v>0</v>
          </cell>
        </row>
        <row r="368">
          <cell r="A368">
            <v>562701</v>
          </cell>
          <cell r="B368" t="str">
            <v>SARL INDUS ET COMMERC TECHN AVANCEE</v>
          </cell>
          <cell r="G368" t="str">
            <v>OUI</v>
          </cell>
          <cell r="H368" t="str">
            <v>PAS GERE PAR 001</v>
          </cell>
          <cell r="I368">
            <v>0</v>
          </cell>
          <cell r="J368">
            <v>0</v>
          </cell>
          <cell r="K368" t="str">
            <v>NON</v>
          </cell>
          <cell r="L368" t="str">
            <v>NON</v>
          </cell>
          <cell r="N368" t="str">
            <v>Non affecté</v>
          </cell>
          <cell r="O368" t="str">
            <v>JPP</v>
          </cell>
          <cell r="P368" t="str">
            <v>Ok mon client</v>
          </cell>
          <cell r="Q368" t="str">
            <v>GENNEVILLIERS</v>
          </cell>
          <cell r="R368" t="str">
            <v>90</v>
          </cell>
          <cell r="X368" t="str">
            <v>90200</v>
          </cell>
          <cell r="Y368" t="str">
            <v>AUXELLES BAS</v>
          </cell>
          <cell r="AG368">
            <v>67.09</v>
          </cell>
          <cell r="AH368">
            <v>0.78163660754210762</v>
          </cell>
          <cell r="AL368">
            <v>67.09</v>
          </cell>
          <cell r="AM368">
            <v>93.926000000000002</v>
          </cell>
          <cell r="AX368">
            <v>67.09</v>
          </cell>
          <cell r="AY368">
            <v>0</v>
          </cell>
          <cell r="AZ368">
            <v>0</v>
          </cell>
        </row>
        <row r="369">
          <cell r="A369">
            <v>384846</v>
          </cell>
          <cell r="B369" t="str">
            <v>MALLARD FERRIER</v>
          </cell>
          <cell r="C369">
            <v>0.1</v>
          </cell>
          <cell r="D369">
            <v>0.1</v>
          </cell>
          <cell r="E369">
            <v>0.02</v>
          </cell>
          <cell r="F369">
            <v>41275</v>
          </cell>
          <cell r="G369" t="str">
            <v>OUI</v>
          </cell>
          <cell r="I369">
            <v>0</v>
          </cell>
          <cell r="J369">
            <v>0</v>
          </cell>
          <cell r="K369" t="str">
            <v>NON</v>
          </cell>
          <cell r="L369" t="str">
            <v>OK</v>
          </cell>
          <cell r="N369" t="str">
            <v>Non affecté</v>
          </cell>
          <cell r="O369" t="str">
            <v>JPP</v>
          </cell>
          <cell r="P369" t="str">
            <v>Ok mon client</v>
          </cell>
          <cell r="Q369" t="str">
            <v>DRANCY</v>
          </cell>
          <cell r="R369" t="str">
            <v>93</v>
          </cell>
          <cell r="S369" t="str">
            <v>50 RUE LEO LAGRANGE</v>
          </cell>
          <cell r="T369">
            <v>93130</v>
          </cell>
          <cell r="U369" t="str">
            <v>NOISY LE SEC</v>
          </cell>
          <cell r="W369" t="str">
            <v>Directeur Logistique et Transports</v>
          </cell>
          <cell r="X369" t="str">
            <v>93130</v>
          </cell>
          <cell r="Y369" t="str">
            <v>NOISY LE SEC</v>
          </cell>
          <cell r="AB369">
            <v>109.94</v>
          </cell>
          <cell r="AD369">
            <v>109.94</v>
          </cell>
          <cell r="AI369">
            <v>64.97</v>
          </cell>
          <cell r="AL369">
            <v>64.97</v>
          </cell>
          <cell r="AM369">
            <v>90.957999999999998</v>
          </cell>
          <cell r="AN369">
            <v>-0.17265781335273789</v>
          </cell>
          <cell r="AO369" t="str">
            <v>259-G-93MALLARDFERRIERE</v>
          </cell>
          <cell r="AQ369">
            <v>38034</v>
          </cell>
          <cell r="AX369">
            <v>0</v>
          </cell>
          <cell r="AY369">
            <v>71.466999999999999</v>
          </cell>
          <cell r="AZ369">
            <v>0</v>
          </cell>
        </row>
        <row r="370">
          <cell r="A370">
            <v>516535</v>
          </cell>
          <cell r="B370" t="str">
            <v>3ASM</v>
          </cell>
          <cell r="G370" t="str">
            <v>OUI</v>
          </cell>
          <cell r="H370" t="str">
            <v>PAS GERE PAR 001</v>
          </cell>
          <cell r="I370">
            <v>0</v>
          </cell>
          <cell r="J370">
            <v>0</v>
          </cell>
          <cell r="K370" t="str">
            <v>NON</v>
          </cell>
          <cell r="L370" t="str">
            <v>NON</v>
          </cell>
          <cell r="N370" t="str">
            <v>Non affecté</v>
          </cell>
          <cell r="O370" t="str">
            <v>JPP</v>
          </cell>
          <cell r="P370" t="str">
            <v>Ok mon client</v>
          </cell>
          <cell r="Q370" t="str">
            <v>GENNEVILLIERS</v>
          </cell>
          <cell r="R370" t="str">
            <v>34</v>
          </cell>
          <cell r="X370" t="str">
            <v>34000</v>
          </cell>
          <cell r="Y370" t="str">
            <v>MONTPELLIER</v>
          </cell>
          <cell r="AG370">
            <v>64.91</v>
          </cell>
          <cell r="AH370">
            <v>0.71930365120936679</v>
          </cell>
          <cell r="AL370">
            <v>64.91</v>
          </cell>
          <cell r="AM370">
            <v>90.873999999999995</v>
          </cell>
          <cell r="AX370">
            <v>64.91</v>
          </cell>
          <cell r="AY370">
            <v>0</v>
          </cell>
          <cell r="AZ370">
            <v>0</v>
          </cell>
        </row>
        <row r="371">
          <cell r="A371">
            <v>500385</v>
          </cell>
          <cell r="B371" t="str">
            <v>F C S M</v>
          </cell>
          <cell r="G371" t="str">
            <v>OUI</v>
          </cell>
          <cell r="H371" t="str">
            <v>PAS GERE PAR 001</v>
          </cell>
          <cell r="I371">
            <v>0</v>
          </cell>
          <cell r="J371">
            <v>0</v>
          </cell>
          <cell r="K371" t="str">
            <v>NON</v>
          </cell>
          <cell r="L371" t="str">
            <v>NON</v>
          </cell>
          <cell r="N371" t="str">
            <v>Non affecté</v>
          </cell>
          <cell r="O371" t="str">
            <v>JPP</v>
          </cell>
          <cell r="P371" t="str">
            <v>Ok mon client</v>
          </cell>
          <cell r="Q371" t="str">
            <v>GENNEVILLIERS</v>
          </cell>
          <cell r="R371" t="str">
            <v>25</v>
          </cell>
          <cell r="X371" t="str">
            <v>25600</v>
          </cell>
          <cell r="Y371" t="str">
            <v>SOCHAUX</v>
          </cell>
          <cell r="AG371">
            <v>64.89</v>
          </cell>
          <cell r="AL371">
            <v>64.89</v>
          </cell>
          <cell r="AM371">
            <v>90.845999999999989</v>
          </cell>
          <cell r="AX371">
            <v>64.89</v>
          </cell>
          <cell r="AY371">
            <v>0</v>
          </cell>
          <cell r="AZ371">
            <v>0</v>
          </cell>
        </row>
        <row r="372">
          <cell r="A372">
            <v>60488</v>
          </cell>
          <cell r="B372" t="str">
            <v>TRADING SERVICES INTERNATIONAL SARL</v>
          </cell>
          <cell r="G372" t="str">
            <v>OUI</v>
          </cell>
          <cell r="H372" t="str">
            <v>PAS GERE PAR 001</v>
          </cell>
          <cell r="I372">
            <v>0</v>
          </cell>
          <cell r="J372">
            <v>0</v>
          </cell>
          <cell r="K372" t="str">
            <v>NON</v>
          </cell>
          <cell r="L372" t="str">
            <v>NON</v>
          </cell>
          <cell r="N372" t="str">
            <v>Non affecté</v>
          </cell>
          <cell r="O372" t="str">
            <v>JPP</v>
          </cell>
          <cell r="P372" t="str">
            <v>Ok mon client</v>
          </cell>
          <cell r="Q372" t="str">
            <v>GENNEVILLIERS</v>
          </cell>
          <cell r="R372" t="str">
            <v>13</v>
          </cell>
          <cell r="X372" t="str">
            <v>13127</v>
          </cell>
          <cell r="Y372" t="str">
            <v>VITROLLES</v>
          </cell>
          <cell r="AG372">
            <v>63.45</v>
          </cell>
          <cell r="AH372">
            <v>0.46319936958234831</v>
          </cell>
          <cell r="AL372">
            <v>63.45</v>
          </cell>
          <cell r="AM372">
            <v>88.83</v>
          </cell>
          <cell r="AX372">
            <v>63.45</v>
          </cell>
          <cell r="AY372">
            <v>0</v>
          </cell>
          <cell r="AZ372">
            <v>0</v>
          </cell>
        </row>
        <row r="373">
          <cell r="A373">
            <v>464901</v>
          </cell>
          <cell r="B373" t="str">
            <v>ONE CONCEPT SARL</v>
          </cell>
          <cell r="G373" t="str">
            <v>OUI</v>
          </cell>
          <cell r="H373" t="str">
            <v>PAS GERE PAR 001</v>
          </cell>
          <cell r="I373">
            <v>0</v>
          </cell>
          <cell r="J373">
            <v>0</v>
          </cell>
          <cell r="K373" t="str">
            <v>NON</v>
          </cell>
          <cell r="L373" t="str">
            <v>NON</v>
          </cell>
          <cell r="N373" t="str">
            <v>Non affecté</v>
          </cell>
          <cell r="O373" t="str">
            <v>JPP</v>
          </cell>
          <cell r="P373" t="str">
            <v>Ok mon client</v>
          </cell>
          <cell r="Q373" t="str">
            <v>GENNEVILLIERS</v>
          </cell>
          <cell r="R373" t="str">
            <v>75</v>
          </cell>
          <cell r="S373" t="str">
            <v>79 AVENUE DE VILLIERS</v>
          </cell>
          <cell r="T373">
            <v>75017</v>
          </cell>
          <cell r="U373" t="str">
            <v>PARIS</v>
          </cell>
          <cell r="X373" t="str">
            <v>75017</v>
          </cell>
          <cell r="Y373" t="str">
            <v>PARIS</v>
          </cell>
          <cell r="AG373">
            <v>62.65</v>
          </cell>
          <cell r="AH373">
            <v>12.443037974683545</v>
          </cell>
          <cell r="AL373">
            <v>62.65</v>
          </cell>
          <cell r="AM373">
            <v>87.71</v>
          </cell>
          <cell r="AX373">
            <v>62.65</v>
          </cell>
          <cell r="AY373">
            <v>0</v>
          </cell>
          <cell r="AZ373">
            <v>0</v>
          </cell>
        </row>
        <row r="374">
          <cell r="A374">
            <v>52937</v>
          </cell>
          <cell r="B374" t="str">
            <v>SEDEPA</v>
          </cell>
          <cell r="C374">
            <v>-0.79</v>
          </cell>
          <cell r="D374">
            <v>0.2</v>
          </cell>
          <cell r="E374">
            <v>0.05</v>
          </cell>
          <cell r="F374">
            <v>41275</v>
          </cell>
          <cell r="I374">
            <v>0</v>
          </cell>
          <cell r="J374">
            <v>0</v>
          </cell>
          <cell r="K374" t="str">
            <v>OK</v>
          </cell>
          <cell r="L374" t="str">
            <v>OK</v>
          </cell>
          <cell r="N374" t="str">
            <v>Non affecté</v>
          </cell>
          <cell r="O374" t="str">
            <v>AB</v>
          </cell>
          <cell r="P374" t="str">
            <v>Ok mon client</v>
          </cell>
          <cell r="Q374" t="str">
            <v>GENNEVILLIERS</v>
          </cell>
          <cell r="R374" t="str">
            <v>78</v>
          </cell>
          <cell r="S374" t="str">
            <v>RUE GEORGES POMPIDOU  26</v>
          </cell>
          <cell r="T374">
            <v>78690</v>
          </cell>
          <cell r="U374" t="str">
            <v>LES ESSARTS LE ROI</v>
          </cell>
          <cell r="W374" t="str">
            <v>Directeur Logistique et Transports</v>
          </cell>
          <cell r="X374" t="str">
            <v>78690</v>
          </cell>
          <cell r="Y374" t="str">
            <v>LES ESSARTS LE ROI</v>
          </cell>
          <cell r="AI374">
            <v>61.82</v>
          </cell>
          <cell r="AL374">
            <v>61.82</v>
          </cell>
          <cell r="AM374">
            <v>86.548000000000002</v>
          </cell>
          <cell r="AX374">
            <v>0</v>
          </cell>
          <cell r="AY374">
            <v>74.183999999999997</v>
          </cell>
          <cell r="AZ374">
            <v>0</v>
          </cell>
        </row>
        <row r="375">
          <cell r="A375">
            <v>70191</v>
          </cell>
          <cell r="B375" t="str">
            <v>ACTEMIUM IDF</v>
          </cell>
          <cell r="C375">
            <v>-1.5</v>
          </cell>
          <cell r="E375">
            <v>0.05</v>
          </cell>
          <cell r="F375">
            <v>41275</v>
          </cell>
          <cell r="I375">
            <v>0</v>
          </cell>
          <cell r="J375">
            <v>0</v>
          </cell>
          <cell r="K375" t="str">
            <v>OK</v>
          </cell>
          <cell r="L375" t="str">
            <v>OK</v>
          </cell>
          <cell r="N375" t="str">
            <v>Non affecté</v>
          </cell>
          <cell r="O375" t="str">
            <v>AB</v>
          </cell>
          <cell r="P375" t="str">
            <v>Ok mon client</v>
          </cell>
          <cell r="Q375" t="str">
            <v>GENNEVILLIERS</v>
          </cell>
          <cell r="R375" t="str">
            <v>78</v>
          </cell>
          <cell r="S375" t="str">
            <v>2 AVENUE DE L'EUROPE</v>
          </cell>
          <cell r="T375" t="str">
            <v>78400</v>
          </cell>
          <cell r="U375" t="str">
            <v>CHATOU</v>
          </cell>
          <cell r="W375" t="str">
            <v>Directeur Logistique et Transports</v>
          </cell>
          <cell r="X375" t="str">
            <v>78400</v>
          </cell>
          <cell r="Y375" t="str">
            <v>CHATOU</v>
          </cell>
          <cell r="Z375">
            <v>400</v>
          </cell>
          <cell r="AA375">
            <v>816.08999999999992</v>
          </cell>
          <cell r="AB375">
            <v>44.87</v>
          </cell>
          <cell r="AD375">
            <v>1260.9599999999998</v>
          </cell>
          <cell r="AG375">
            <v>61.080000000000005</v>
          </cell>
          <cell r="AH375">
            <v>0.9996725605762935</v>
          </cell>
          <cell r="AL375">
            <v>61.080000000000005</v>
          </cell>
          <cell r="AM375">
            <v>85.512</v>
          </cell>
          <cell r="AN375">
            <v>-0.93218500190331177</v>
          </cell>
          <cell r="AO375" t="str">
            <v>001-G-78GTIEIDF</v>
          </cell>
          <cell r="AX375">
            <v>-30.540000000000003</v>
          </cell>
          <cell r="AY375">
            <v>0</v>
          </cell>
          <cell r="AZ375">
            <v>0</v>
          </cell>
        </row>
        <row r="376">
          <cell r="A376">
            <v>424320</v>
          </cell>
          <cell r="B376" t="str">
            <v>HMY YUDIGAR EQUIPAMIENTO, SLU</v>
          </cell>
          <cell r="G376" t="str">
            <v>OUI</v>
          </cell>
          <cell r="H376" t="str">
            <v>PAS GERE PAR 001</v>
          </cell>
          <cell r="I376">
            <v>0</v>
          </cell>
          <cell r="J376">
            <v>0</v>
          </cell>
          <cell r="K376" t="str">
            <v>NON</v>
          </cell>
          <cell r="L376" t="str">
            <v>NON</v>
          </cell>
          <cell r="N376" t="str">
            <v>Non affecté</v>
          </cell>
          <cell r="O376" t="str">
            <v>JPP</v>
          </cell>
          <cell r="P376" t="str">
            <v>Ok mon client</v>
          </cell>
          <cell r="Q376" t="str">
            <v>DRANCY</v>
          </cell>
          <cell r="R376" t="str">
            <v>50</v>
          </cell>
          <cell r="X376" t="str">
            <v>50400</v>
          </cell>
          <cell r="Y376" t="str">
            <v>CARIÑENA</v>
          </cell>
          <cell r="AI376">
            <v>58.62</v>
          </cell>
          <cell r="AL376">
            <v>58.62</v>
          </cell>
          <cell r="AM376">
            <v>82.067999999999998</v>
          </cell>
          <cell r="AX376">
            <v>0</v>
          </cell>
          <cell r="AY376">
            <v>58.62</v>
          </cell>
          <cell r="AZ376">
            <v>0</v>
          </cell>
        </row>
        <row r="377">
          <cell r="A377">
            <v>463882</v>
          </cell>
          <cell r="B377" t="str">
            <v>GRUPO EPELSA  S.L.</v>
          </cell>
          <cell r="H377" t="str">
            <v>PAS DE CONTRAT INES</v>
          </cell>
          <cell r="I377">
            <v>0</v>
          </cell>
          <cell r="J377">
            <v>0</v>
          </cell>
          <cell r="K377" t="str">
            <v>NON</v>
          </cell>
          <cell r="L377" t="str">
            <v>NON</v>
          </cell>
          <cell r="N377" t="str">
            <v>Non affecté</v>
          </cell>
          <cell r="O377" t="str">
            <v>AB</v>
          </cell>
          <cell r="P377" t="str">
            <v>Ok mon client</v>
          </cell>
          <cell r="Q377" t="str">
            <v>GENNEVILLIERS</v>
          </cell>
          <cell r="R377" t="str">
            <v>28</v>
          </cell>
          <cell r="X377" t="str">
            <v>28806</v>
          </cell>
          <cell r="Y377" t="str">
            <v>ALCALA DE HENARES</v>
          </cell>
          <cell r="AI377">
            <v>51.66</v>
          </cell>
          <cell r="AJ377">
            <v>-0.11904761904761917</v>
          </cell>
          <cell r="AL377">
            <v>51.66</v>
          </cell>
          <cell r="AM377">
            <v>72.323999999999984</v>
          </cell>
          <cell r="AX377">
            <v>0</v>
          </cell>
          <cell r="AY377">
            <v>51.66</v>
          </cell>
          <cell r="AZ377">
            <v>0</v>
          </cell>
        </row>
        <row r="378">
          <cell r="A378">
            <v>294772</v>
          </cell>
          <cell r="B378" t="str">
            <v>MORASCO SOCIETE</v>
          </cell>
          <cell r="C378">
            <v>0.2</v>
          </cell>
          <cell r="D378">
            <v>0.1</v>
          </cell>
          <cell r="E378">
            <v>0.02</v>
          </cell>
          <cell r="F378">
            <v>41334</v>
          </cell>
          <cell r="H378" t="str">
            <v>GVN 001</v>
          </cell>
          <cell r="I378" t="str">
            <v>A faire</v>
          </cell>
          <cell r="J378">
            <v>0</v>
          </cell>
          <cell r="L378" t="str">
            <v>ok</v>
          </cell>
          <cell r="N378" t="str">
            <v>Non affecté</v>
          </cell>
          <cell r="O378" t="str">
            <v>FP</v>
          </cell>
          <cell r="P378" t="str">
            <v>Rajouté</v>
          </cell>
          <cell r="Q378" t="str">
            <v>GENNEVILLIERS</v>
          </cell>
          <cell r="R378" t="str">
            <v>94</v>
          </cell>
          <cell r="S378" t="str">
            <v>RUE DES LANCES 2/6 - ZONE SENA</v>
          </cell>
          <cell r="T378" t="str">
            <v>94000</v>
          </cell>
          <cell r="U378" t="str">
            <v>ORLY</v>
          </cell>
          <cell r="W378" t="str">
            <v>Directeur Logistique et Transports</v>
          </cell>
          <cell r="X378" t="str">
            <v>94000</v>
          </cell>
          <cell r="Y378" t="str">
            <v>ORLY</v>
          </cell>
          <cell r="AA378">
            <v>675.65</v>
          </cell>
          <cell r="AD378">
            <v>675.65</v>
          </cell>
          <cell r="AG378">
            <v>51.12</v>
          </cell>
          <cell r="AL378">
            <v>51.12</v>
          </cell>
          <cell r="AM378">
            <v>71.567999999999998</v>
          </cell>
          <cell r="AN378">
            <v>-0.89407533486272484</v>
          </cell>
          <cell r="AO378" t="str">
            <v>001-G-94DECOMMERCEMORAS</v>
          </cell>
          <cell r="AP378" t="str">
            <v>001-L-94DECOMMERCEMORASCO</v>
          </cell>
          <cell r="AX378">
            <v>61.343999999999994</v>
          </cell>
          <cell r="AY378">
            <v>0</v>
          </cell>
          <cell r="AZ378">
            <v>0</v>
          </cell>
        </row>
        <row r="379">
          <cell r="A379">
            <v>377004</v>
          </cell>
          <cell r="B379" t="str">
            <v>ETABLISSEMENTS CAILLAU SAS</v>
          </cell>
          <cell r="G379" t="str">
            <v>OUI</v>
          </cell>
          <cell r="H379" t="str">
            <v>PAS GERE PAR 001</v>
          </cell>
          <cell r="I379">
            <v>0</v>
          </cell>
          <cell r="J379">
            <v>0</v>
          </cell>
          <cell r="K379" t="str">
            <v>NON</v>
          </cell>
          <cell r="L379" t="str">
            <v>NON</v>
          </cell>
          <cell r="N379" t="str">
            <v>Non affecté</v>
          </cell>
          <cell r="O379" t="str">
            <v>JPP</v>
          </cell>
          <cell r="P379" t="str">
            <v>Ok mon client</v>
          </cell>
          <cell r="Q379" t="str">
            <v>GENNEVILLIERS</v>
          </cell>
          <cell r="R379" t="str">
            <v>92</v>
          </cell>
          <cell r="S379" t="str">
            <v>28 RUE ERNEST RENAN</v>
          </cell>
          <cell r="T379" t="str">
            <v>92130</v>
          </cell>
          <cell r="U379" t="str">
            <v>ISSY LES MOULINEAUX CEDEX</v>
          </cell>
          <cell r="W379" t="str">
            <v>Directeur Logistique et Transports</v>
          </cell>
          <cell r="X379" t="str">
            <v>92130</v>
          </cell>
          <cell r="Y379" t="str">
            <v>ISSY LES MOULINEAUX</v>
          </cell>
          <cell r="Z379">
            <v>438.1</v>
          </cell>
          <cell r="AB379">
            <v>608.05000000000007</v>
          </cell>
          <cell r="AD379">
            <v>1046.1500000000001</v>
          </cell>
          <cell r="AG379">
            <v>46.76</v>
          </cell>
          <cell r="AH379">
            <v>-0.21749358426005136</v>
          </cell>
          <cell r="AL379">
            <v>46.76</v>
          </cell>
          <cell r="AM379">
            <v>65.463999999999999</v>
          </cell>
          <cell r="AN379">
            <v>-0.93742388758782202</v>
          </cell>
          <cell r="AX379">
            <v>46.76</v>
          </cell>
          <cell r="AY379">
            <v>0</v>
          </cell>
          <cell r="AZ379">
            <v>0</v>
          </cell>
        </row>
        <row r="380">
          <cell r="A380">
            <v>11371</v>
          </cell>
          <cell r="B380" t="str">
            <v>STRAPEX</v>
          </cell>
          <cell r="H380" t="str">
            <v>PAS DE CONTRAT</v>
          </cell>
          <cell r="I380">
            <v>0</v>
          </cell>
          <cell r="J380">
            <v>0</v>
          </cell>
          <cell r="K380" t="str">
            <v>NON</v>
          </cell>
          <cell r="L380" t="str">
            <v>NON</v>
          </cell>
          <cell r="N380" t="str">
            <v>Non affecté</v>
          </cell>
          <cell r="O380" t="str">
            <v>FP</v>
          </cell>
          <cell r="P380" t="str">
            <v>Rajouté</v>
          </cell>
          <cell r="Q380" t="str">
            <v>GENNEVILLIERS</v>
          </cell>
          <cell r="R380" t="str">
            <v>94</v>
          </cell>
          <cell r="S380" t="str">
            <v>31 RUE J J ROUSSEAU</v>
          </cell>
          <cell r="T380">
            <v>94204</v>
          </cell>
          <cell r="U380" t="str">
            <v>IVRY SUR SEINE CEDEX</v>
          </cell>
          <cell r="X380" t="str">
            <v>94204</v>
          </cell>
          <cell r="Y380" t="str">
            <v>IVRY SUR SEINE CEDEX</v>
          </cell>
          <cell r="AI380">
            <v>46.25</v>
          </cell>
          <cell r="AJ380">
            <v>0.7165405405405405</v>
          </cell>
          <cell r="AL380">
            <v>46.25</v>
          </cell>
          <cell r="AM380">
            <v>64.75</v>
          </cell>
          <cell r="AX380">
            <v>0</v>
          </cell>
          <cell r="AY380">
            <v>46.25</v>
          </cell>
          <cell r="AZ380">
            <v>0</v>
          </cell>
        </row>
        <row r="381">
          <cell r="A381">
            <v>483115</v>
          </cell>
          <cell r="B381" t="str">
            <v>COMPAGNIE</v>
          </cell>
          <cell r="C381">
            <v>0.1</v>
          </cell>
          <cell r="D381">
            <v>0.1</v>
          </cell>
          <cell r="E381">
            <v>0.02</v>
          </cell>
          <cell r="F381">
            <v>41306</v>
          </cell>
          <cell r="H381" t="str">
            <v>COMPTE RAPATRIE SUR 001</v>
          </cell>
          <cell r="I381">
            <v>0</v>
          </cell>
          <cell r="J381">
            <v>0</v>
          </cell>
          <cell r="K381" t="str">
            <v>OK</v>
          </cell>
          <cell r="L381" t="str">
            <v>OK</v>
          </cell>
          <cell r="N381" t="str">
            <v>Non affecté</v>
          </cell>
          <cell r="O381" t="str">
            <v>SM</v>
          </cell>
          <cell r="P381" t="str">
            <v>Ok mon client</v>
          </cell>
          <cell r="Q381" t="str">
            <v>MOISSY CRAMAYEL</v>
          </cell>
          <cell r="R381" t="str">
            <v>75</v>
          </cell>
          <cell r="S381" t="str">
            <v>21 RUE DE LA PIERRE LEVEE</v>
          </cell>
          <cell r="T381">
            <v>75011</v>
          </cell>
          <cell r="U381" t="str">
            <v>PARIS 11</v>
          </cell>
          <cell r="X381" t="str">
            <v>75011</v>
          </cell>
          <cell r="Y381" t="str">
            <v>PARIS 11</v>
          </cell>
          <cell r="AG381">
            <v>45.41</v>
          </cell>
          <cell r="AH381">
            <v>1.2332085443734755E-2</v>
          </cell>
          <cell r="AL381">
            <v>45.41</v>
          </cell>
          <cell r="AM381">
            <v>63.573999999999991</v>
          </cell>
          <cell r="AO381" t="str">
            <v>259-G75COMPAGNIE</v>
          </cell>
          <cell r="AQ381">
            <v>38637</v>
          </cell>
          <cell r="AX381">
            <v>49.951000000000001</v>
          </cell>
          <cell r="AY381">
            <v>0</v>
          </cell>
          <cell r="AZ381">
            <v>0</v>
          </cell>
        </row>
        <row r="382">
          <cell r="A382">
            <v>74235</v>
          </cell>
          <cell r="B382" t="str">
            <v>SERMAT</v>
          </cell>
          <cell r="G382" t="str">
            <v>OUI</v>
          </cell>
          <cell r="H382" t="str">
            <v>PAS DE CONTRAT</v>
          </cell>
          <cell r="I382">
            <v>0</v>
          </cell>
          <cell r="J382">
            <v>0</v>
          </cell>
          <cell r="K382" t="str">
            <v>NON</v>
          </cell>
          <cell r="L382" t="str">
            <v>NON</v>
          </cell>
          <cell r="N382" t="str">
            <v>Non affecté</v>
          </cell>
          <cell r="O382" t="str">
            <v>JPP</v>
          </cell>
          <cell r="P382" t="str">
            <v>Ok mon client</v>
          </cell>
          <cell r="Q382" t="str">
            <v>GENNEVILLIERS</v>
          </cell>
          <cell r="R382" t="str">
            <v>92</v>
          </cell>
          <cell r="S382" t="str">
            <v>77/81 BLD DE LA REPUBLIQUE</v>
          </cell>
          <cell r="T382">
            <v>92250</v>
          </cell>
          <cell r="U382" t="str">
            <v>LA GARENNE COLOMBES</v>
          </cell>
          <cell r="W382" t="str">
            <v>Directeur Logistique et Transports</v>
          </cell>
          <cell r="X382" t="str">
            <v>92250</v>
          </cell>
          <cell r="Y382" t="str">
            <v>LA GARENNE COLOMBES</v>
          </cell>
          <cell r="AB382">
            <v>41.13</v>
          </cell>
          <cell r="AD382">
            <v>41.13</v>
          </cell>
          <cell r="AI382">
            <v>40.07</v>
          </cell>
          <cell r="AJ382">
            <v>0.6683304217619167</v>
          </cell>
          <cell r="AL382">
            <v>40.07</v>
          </cell>
          <cell r="AM382">
            <v>56.097999999999999</v>
          </cell>
          <cell r="AN382">
            <v>0.36391928033065879</v>
          </cell>
          <cell r="AX382">
            <v>0</v>
          </cell>
          <cell r="AY382">
            <v>40.07</v>
          </cell>
          <cell r="AZ382">
            <v>0</v>
          </cell>
        </row>
        <row r="383">
          <cell r="A383">
            <v>529803</v>
          </cell>
          <cell r="B383" t="str">
            <v>3B MESSAGERIE</v>
          </cell>
          <cell r="G383" t="str">
            <v>OUI</v>
          </cell>
          <cell r="H383" t="str">
            <v>PAS GERE PAR 001</v>
          </cell>
          <cell r="I383">
            <v>0</v>
          </cell>
          <cell r="J383">
            <v>0</v>
          </cell>
          <cell r="K383" t="str">
            <v>NON</v>
          </cell>
          <cell r="L383" t="str">
            <v>NON</v>
          </cell>
          <cell r="N383" t="str">
            <v>Non affecté</v>
          </cell>
          <cell r="O383" t="str">
            <v>JPP</v>
          </cell>
          <cell r="P383" t="str">
            <v>Ok mon client</v>
          </cell>
          <cell r="Q383" t="str">
            <v>GENNEVILLIERS</v>
          </cell>
          <cell r="R383" t="str">
            <v>64</v>
          </cell>
          <cell r="X383" t="str">
            <v>64160</v>
          </cell>
          <cell r="Y383" t="str">
            <v>MORLAAS</v>
          </cell>
          <cell r="AI383">
            <v>35.74</v>
          </cell>
          <cell r="AJ383">
            <v>0.70593172915500846</v>
          </cell>
          <cell r="AL383">
            <v>35.74</v>
          </cell>
          <cell r="AM383">
            <v>50.036000000000001</v>
          </cell>
          <cell r="AX383">
            <v>0</v>
          </cell>
          <cell r="AY383">
            <v>35.74</v>
          </cell>
          <cell r="AZ383">
            <v>0</v>
          </cell>
        </row>
        <row r="384">
          <cell r="A384">
            <v>532138</v>
          </cell>
          <cell r="B384" t="str">
            <v>DENSO SALES FRANCE SARL</v>
          </cell>
          <cell r="H384" t="str">
            <v>PAS DE CONTRAT INES</v>
          </cell>
          <cell r="I384">
            <v>0</v>
          </cell>
          <cell r="J384">
            <v>0</v>
          </cell>
          <cell r="K384" t="str">
            <v>NON</v>
          </cell>
          <cell r="L384" t="str">
            <v>NON</v>
          </cell>
          <cell r="N384" t="str">
            <v>Non affecté</v>
          </cell>
          <cell r="O384" t="str">
            <v>AB</v>
          </cell>
          <cell r="P384" t="str">
            <v>Ok mon client</v>
          </cell>
          <cell r="Q384" t="str">
            <v>GENNEVILLIERS</v>
          </cell>
          <cell r="R384" t="str">
            <v>78</v>
          </cell>
          <cell r="S384" t="str">
            <v>12 PARC ARIANE</v>
          </cell>
          <cell r="T384">
            <v>78280</v>
          </cell>
          <cell r="U384" t="str">
            <v>GUYANCOURT</v>
          </cell>
          <cell r="W384" t="str">
            <v>Directeur Logistique et Transports</v>
          </cell>
          <cell r="X384" t="str">
            <v>78280</v>
          </cell>
          <cell r="Y384" t="str">
            <v>GUYANCOURT</v>
          </cell>
          <cell r="AA384">
            <v>-28.69</v>
          </cell>
          <cell r="AD384">
            <v>-28.69</v>
          </cell>
          <cell r="AG384">
            <v>35.69</v>
          </cell>
          <cell r="AL384">
            <v>35.69</v>
          </cell>
          <cell r="AM384">
            <v>49.965999999999994</v>
          </cell>
          <cell r="AN384">
            <v>-2.7415824329034502</v>
          </cell>
          <cell r="AX384">
            <v>35.69</v>
          </cell>
          <cell r="AY384">
            <v>0</v>
          </cell>
          <cell r="AZ384">
            <v>0</v>
          </cell>
        </row>
        <row r="385">
          <cell r="A385">
            <v>601176</v>
          </cell>
          <cell r="B385" t="str">
            <v>COMTESSE DU BARRY SAS</v>
          </cell>
          <cell r="G385" t="str">
            <v>OUI</v>
          </cell>
          <cell r="H385" t="str">
            <v>PAS GERE PAR 001</v>
          </cell>
          <cell r="I385">
            <v>0</v>
          </cell>
          <cell r="J385">
            <v>0</v>
          </cell>
          <cell r="K385" t="str">
            <v>NON</v>
          </cell>
          <cell r="L385" t="str">
            <v>NON</v>
          </cell>
          <cell r="N385" t="str">
            <v>Non affecté</v>
          </cell>
          <cell r="O385" t="str">
            <v>JPP</v>
          </cell>
          <cell r="P385" t="str">
            <v>Ok mon client</v>
          </cell>
          <cell r="Q385" t="str">
            <v>GENNEVILLIERS</v>
          </cell>
          <cell r="R385" t="str">
            <v>32</v>
          </cell>
          <cell r="X385" t="str">
            <v>32201</v>
          </cell>
          <cell r="Y385" t="str">
            <v>GIMONT CEDEX</v>
          </cell>
          <cell r="AG385">
            <v>31.73</v>
          </cell>
          <cell r="AH385">
            <v>-2.0129215253703117</v>
          </cell>
          <cell r="AL385">
            <v>31.73</v>
          </cell>
          <cell r="AM385">
            <v>44.421999999999997</v>
          </cell>
          <cell r="AX385">
            <v>31.73</v>
          </cell>
          <cell r="AY385">
            <v>0</v>
          </cell>
          <cell r="AZ385">
            <v>0</v>
          </cell>
        </row>
        <row r="386">
          <cell r="A386">
            <v>536655</v>
          </cell>
          <cell r="B386" t="str">
            <v>BLACHERE ILLUMINATIONS</v>
          </cell>
          <cell r="G386" t="str">
            <v>OUI</v>
          </cell>
          <cell r="H386" t="str">
            <v>PAS GERE PAR 001</v>
          </cell>
          <cell r="I386">
            <v>0</v>
          </cell>
          <cell r="J386">
            <v>0</v>
          </cell>
          <cell r="K386" t="str">
            <v>NON</v>
          </cell>
          <cell r="L386" t="str">
            <v>NON</v>
          </cell>
          <cell r="N386" t="str">
            <v>Non affecté</v>
          </cell>
          <cell r="O386" t="str">
            <v>JPP</v>
          </cell>
          <cell r="P386" t="str">
            <v>Ok mon client</v>
          </cell>
          <cell r="Q386" t="str">
            <v>GENNEVILLIERS</v>
          </cell>
          <cell r="R386" t="str">
            <v>84</v>
          </cell>
          <cell r="X386" t="str">
            <v>84400</v>
          </cell>
          <cell r="Y386" t="str">
            <v>APT</v>
          </cell>
          <cell r="AG386">
            <v>31.47</v>
          </cell>
          <cell r="AH386">
            <v>-0.4470924690181125</v>
          </cell>
          <cell r="AL386">
            <v>31.47</v>
          </cell>
          <cell r="AM386">
            <v>44.057999999999993</v>
          </cell>
          <cell r="AX386">
            <v>31.47</v>
          </cell>
          <cell r="AY386">
            <v>0</v>
          </cell>
          <cell r="AZ386">
            <v>0</v>
          </cell>
        </row>
        <row r="387">
          <cell r="A387">
            <v>419962</v>
          </cell>
          <cell r="B387" t="str">
            <v>IND CESPEDES E HIJOS S L</v>
          </cell>
          <cell r="G387" t="str">
            <v>OUI</v>
          </cell>
          <cell r="H387" t="str">
            <v>PAS GERE PAR 001</v>
          </cell>
          <cell r="I387">
            <v>0</v>
          </cell>
          <cell r="J387">
            <v>0</v>
          </cell>
          <cell r="K387" t="str">
            <v>NON</v>
          </cell>
          <cell r="L387" t="str">
            <v>NON</v>
          </cell>
          <cell r="N387" t="str">
            <v>Non affecté</v>
          </cell>
          <cell r="O387" t="str">
            <v>JPP</v>
          </cell>
          <cell r="P387" t="str">
            <v>Ok mon client</v>
          </cell>
          <cell r="Q387" t="str">
            <v>DRANCY</v>
          </cell>
          <cell r="R387" t="str">
            <v>36</v>
          </cell>
          <cell r="X387" t="str">
            <v>36450</v>
          </cell>
          <cell r="Y387" t="str">
            <v>SALVATIERRA DE MIÑO</v>
          </cell>
          <cell r="AI387">
            <v>30.900000000000002</v>
          </cell>
          <cell r="AJ387">
            <v>0.15339805825242725</v>
          </cell>
          <cell r="AL387">
            <v>30.900000000000002</v>
          </cell>
          <cell r="AM387">
            <v>43.26</v>
          </cell>
          <cell r="AX387">
            <v>0</v>
          </cell>
          <cell r="AY387">
            <v>30.900000000000002</v>
          </cell>
          <cell r="AZ387">
            <v>0</v>
          </cell>
        </row>
        <row r="388">
          <cell r="A388">
            <v>589395</v>
          </cell>
          <cell r="B388" t="str">
            <v>REALS</v>
          </cell>
          <cell r="G388" t="str">
            <v>OUI</v>
          </cell>
          <cell r="H388" t="str">
            <v>PAS GERE PAR 001</v>
          </cell>
          <cell r="I388">
            <v>0</v>
          </cell>
          <cell r="J388">
            <v>0</v>
          </cell>
          <cell r="K388" t="str">
            <v>NON</v>
          </cell>
          <cell r="L388" t="str">
            <v>NON</v>
          </cell>
          <cell r="N388" t="str">
            <v>Non affecté</v>
          </cell>
          <cell r="O388" t="str">
            <v>JPP</v>
          </cell>
          <cell r="P388" t="str">
            <v>Ok mon client</v>
          </cell>
          <cell r="Q388" t="str">
            <v>GENNEVILLIERS</v>
          </cell>
          <cell r="R388" t="str">
            <v>37</v>
          </cell>
          <cell r="X388" t="str">
            <v>37310</v>
          </cell>
          <cell r="Y388" t="str">
            <v>TAUXIGNY</v>
          </cell>
          <cell r="AG388">
            <v>26.259999999999998</v>
          </cell>
          <cell r="AH388">
            <v>-0.56740289413556722</v>
          </cell>
          <cell r="AL388">
            <v>26.259999999999998</v>
          </cell>
          <cell r="AM388">
            <v>36.763999999999996</v>
          </cell>
          <cell r="AX388">
            <v>26.259999999999998</v>
          </cell>
          <cell r="AY388">
            <v>0</v>
          </cell>
          <cell r="AZ388">
            <v>0</v>
          </cell>
        </row>
        <row r="389">
          <cell r="A389">
            <v>516279</v>
          </cell>
          <cell r="B389" t="str">
            <v>NOVETUD DISTRIBUTION</v>
          </cell>
          <cell r="H389" t="str">
            <v>AGENCE GERANTE 003</v>
          </cell>
          <cell r="I389">
            <v>0</v>
          </cell>
          <cell r="J389">
            <v>0</v>
          </cell>
          <cell r="K389" t="str">
            <v>NON</v>
          </cell>
          <cell r="L389" t="str">
            <v>NON</v>
          </cell>
          <cell r="M389" t="str">
            <v>NON</v>
          </cell>
          <cell r="N389" t="str">
            <v>Non affecté</v>
          </cell>
          <cell r="O389" t="str">
            <v>FR</v>
          </cell>
          <cell r="P389" t="str">
            <v>Rajouté</v>
          </cell>
          <cell r="Q389" t="str">
            <v>MOISSY CRAMAYEL</v>
          </cell>
          <cell r="R389" t="str">
            <v>77</v>
          </cell>
          <cell r="S389" t="str">
            <v>22 RUE DE LA MAISON ROUGE</v>
          </cell>
          <cell r="T389">
            <v>77185</v>
          </cell>
          <cell r="U389" t="str">
            <v>LOGNES</v>
          </cell>
          <cell r="X389" t="str">
            <v>77185</v>
          </cell>
          <cell r="Y389" t="str">
            <v>LOGNES</v>
          </cell>
          <cell r="AG389">
            <v>25.96</v>
          </cell>
          <cell r="AH389">
            <v>0.42565485362095534</v>
          </cell>
          <cell r="AL389">
            <v>25.96</v>
          </cell>
          <cell r="AM389">
            <v>36.344000000000001</v>
          </cell>
          <cell r="AX389">
            <v>25.96</v>
          </cell>
          <cell r="AY389">
            <v>0</v>
          </cell>
          <cell r="AZ389">
            <v>0</v>
          </cell>
        </row>
        <row r="390">
          <cell r="A390">
            <v>495565</v>
          </cell>
          <cell r="B390" t="str">
            <v>TMF OPERATING</v>
          </cell>
          <cell r="C390">
            <v>0.1</v>
          </cell>
          <cell r="D390">
            <v>0.1</v>
          </cell>
          <cell r="E390">
            <v>0.02</v>
          </cell>
          <cell r="F390">
            <v>41275</v>
          </cell>
          <cell r="G390" t="str">
            <v>OUI</v>
          </cell>
          <cell r="I390" t="str">
            <v>A faire</v>
          </cell>
          <cell r="J390">
            <v>0</v>
          </cell>
          <cell r="L390" t="str">
            <v>ok</v>
          </cell>
          <cell r="N390" t="str">
            <v>Non affecté</v>
          </cell>
          <cell r="O390" t="str">
            <v>JPP</v>
          </cell>
          <cell r="P390" t="str">
            <v>Ok mon client</v>
          </cell>
          <cell r="Q390" t="str">
            <v>GENNEVILLIERS</v>
          </cell>
          <cell r="R390" t="str">
            <v>92</v>
          </cell>
          <cell r="S390" t="str">
            <v>48 ROUTE PRINCIPALE DU PORT / C</v>
          </cell>
          <cell r="T390" t="str">
            <v>92637</v>
          </cell>
          <cell r="U390" t="str">
            <v>GENNEVILLIERS</v>
          </cell>
          <cell r="W390" t="str">
            <v>Directeur Logistique et Transports</v>
          </cell>
          <cell r="X390" t="str">
            <v>92230</v>
          </cell>
          <cell r="Y390" t="str">
            <v>GENNEVILLIERS</v>
          </cell>
          <cell r="AA390">
            <v>486.99</v>
          </cell>
          <cell r="AD390">
            <v>486.99</v>
          </cell>
          <cell r="AG390">
            <v>23.85</v>
          </cell>
          <cell r="AH390">
            <v>0.56226415094339632</v>
          </cell>
          <cell r="AL390">
            <v>23.85</v>
          </cell>
          <cell r="AM390">
            <v>33.39</v>
          </cell>
          <cell r="AN390">
            <v>-0.93143596377749027</v>
          </cell>
          <cell r="AX390">
            <v>26.235000000000003</v>
          </cell>
          <cell r="AY390">
            <v>0</v>
          </cell>
          <cell r="AZ390">
            <v>0</v>
          </cell>
        </row>
        <row r="391">
          <cell r="A391">
            <v>612782</v>
          </cell>
          <cell r="B391" t="str">
            <v>ASCO JOUCOMATIC</v>
          </cell>
          <cell r="H391" t="str">
            <v>VU AVEC JOHN NE PAS FAIRE LA HAUSSE SUITE MAIL DE PHILIPPE SEUMOIS CLIENT PERDU</v>
          </cell>
          <cell r="I391">
            <v>0</v>
          </cell>
          <cell r="J391">
            <v>0</v>
          </cell>
          <cell r="K391" t="str">
            <v>NON</v>
          </cell>
          <cell r="L391" t="str">
            <v>NON</v>
          </cell>
          <cell r="M391" t="str">
            <v>NON</v>
          </cell>
          <cell r="N391" t="str">
            <v>Non affecté</v>
          </cell>
          <cell r="O391" t="str">
            <v>FP</v>
          </cell>
          <cell r="P391" t="str">
            <v>Rajouté</v>
          </cell>
          <cell r="Q391" t="str">
            <v>GENNEVILLIERS</v>
          </cell>
          <cell r="R391" t="str">
            <v>28</v>
          </cell>
          <cell r="S391" t="str">
            <v>53 RUE DE LA BEAUCE</v>
          </cell>
          <cell r="T391" t="str">
            <v>28111</v>
          </cell>
          <cell r="U391" t="str">
            <v>LUCE</v>
          </cell>
          <cell r="V391" t="str">
            <v>M.</v>
          </cell>
          <cell r="W391" t="str">
            <v>RENARD DIDIER</v>
          </cell>
          <cell r="X391" t="str">
            <v>28111</v>
          </cell>
          <cell r="Y391" t="str">
            <v>LUCE</v>
          </cell>
          <cell r="AA391">
            <v>48.29</v>
          </cell>
          <cell r="AD391">
            <v>48.29</v>
          </cell>
          <cell r="AI391">
            <v>21.23</v>
          </cell>
          <cell r="AJ391">
            <v>0.18739205526770292</v>
          </cell>
          <cell r="AL391">
            <v>21.23</v>
          </cell>
          <cell r="AM391">
            <v>29.721999999999998</v>
          </cell>
          <cell r="AN391">
            <v>-0.38451025056947608</v>
          </cell>
          <cell r="AO391" t="str">
            <v>028-G-28ASCO</v>
          </cell>
          <cell r="AQ391">
            <v>39015</v>
          </cell>
          <cell r="AX391">
            <v>0</v>
          </cell>
          <cell r="AY391">
            <v>21.23</v>
          </cell>
          <cell r="AZ391">
            <v>0</v>
          </cell>
        </row>
        <row r="392">
          <cell r="A392">
            <v>627777</v>
          </cell>
          <cell r="B392" t="str">
            <v>AGRATI VIEUX CONDÉ S A S</v>
          </cell>
          <cell r="G392" t="str">
            <v>OUI</v>
          </cell>
          <cell r="H392" t="str">
            <v>PAS GERE PAR 001</v>
          </cell>
          <cell r="I392">
            <v>0</v>
          </cell>
          <cell r="J392">
            <v>0</v>
          </cell>
          <cell r="K392" t="str">
            <v>NON</v>
          </cell>
          <cell r="L392" t="str">
            <v>NON</v>
          </cell>
          <cell r="N392" t="str">
            <v>Non affecté</v>
          </cell>
          <cell r="O392" t="str">
            <v>JPP</v>
          </cell>
          <cell r="P392" t="str">
            <v>Ok mon client</v>
          </cell>
          <cell r="Q392" t="str">
            <v>GENNEVILLIERS</v>
          </cell>
          <cell r="R392" t="str">
            <v>59</v>
          </cell>
          <cell r="X392" t="str">
            <v>59690</v>
          </cell>
          <cell r="Y392" t="str">
            <v>VIEUX CONDE</v>
          </cell>
          <cell r="AA392">
            <v>297.45</v>
          </cell>
          <cell r="AD392">
            <v>297.45</v>
          </cell>
          <cell r="AG392">
            <v>21.11</v>
          </cell>
          <cell r="AL392">
            <v>21.11</v>
          </cell>
          <cell r="AM392">
            <v>29.553999999999998</v>
          </cell>
          <cell r="AN392">
            <v>-0.90064212472684479</v>
          </cell>
          <cell r="AX392">
            <v>21.11</v>
          </cell>
          <cell r="AY392">
            <v>0</v>
          </cell>
          <cell r="AZ392">
            <v>0</v>
          </cell>
        </row>
        <row r="393">
          <cell r="A393">
            <v>545110</v>
          </cell>
          <cell r="B393" t="str">
            <v>HEXIS</v>
          </cell>
          <cell r="G393" t="str">
            <v>OUI</v>
          </cell>
          <cell r="H393" t="str">
            <v>PAS GERE PAR 001</v>
          </cell>
          <cell r="I393">
            <v>0</v>
          </cell>
          <cell r="J393">
            <v>0</v>
          </cell>
          <cell r="K393" t="str">
            <v>NON</v>
          </cell>
          <cell r="L393" t="str">
            <v>NON</v>
          </cell>
          <cell r="N393" t="str">
            <v>Non affecté</v>
          </cell>
          <cell r="O393" t="str">
            <v>JPP</v>
          </cell>
          <cell r="P393" t="str">
            <v>Ok mon client</v>
          </cell>
          <cell r="Q393" t="str">
            <v>GENNEVILLIERS</v>
          </cell>
          <cell r="R393" t="str">
            <v>34</v>
          </cell>
          <cell r="S393" t="str">
            <v>37/39 CHEMIN DE PONTOISE</v>
          </cell>
          <cell r="T393">
            <v>95540</v>
          </cell>
          <cell r="U393" t="str">
            <v>MERY SUR OISE</v>
          </cell>
          <cell r="X393" t="str">
            <v>34110</v>
          </cell>
          <cell r="Y393" t="str">
            <v>FRONTIGNAN</v>
          </cell>
          <cell r="AG393">
            <v>17.260000000000002</v>
          </cell>
          <cell r="AH393">
            <v>0.10196987253765941</v>
          </cell>
          <cell r="AL393">
            <v>17.260000000000002</v>
          </cell>
          <cell r="AM393">
            <v>24.164000000000001</v>
          </cell>
          <cell r="AX393">
            <v>17.260000000000002</v>
          </cell>
          <cell r="AY393">
            <v>0</v>
          </cell>
          <cell r="AZ393">
            <v>0</v>
          </cell>
        </row>
        <row r="394">
          <cell r="A394">
            <v>611673</v>
          </cell>
          <cell r="B394" t="str">
            <v>ROBE MEDICAL</v>
          </cell>
          <cell r="G394" t="str">
            <v>OUI</v>
          </cell>
          <cell r="H394" t="str">
            <v>PAS GERE PAR 001</v>
          </cell>
          <cell r="I394">
            <v>0</v>
          </cell>
          <cell r="J394">
            <v>0</v>
          </cell>
          <cell r="K394" t="str">
            <v>NON</v>
          </cell>
          <cell r="L394" t="str">
            <v>NON</v>
          </cell>
          <cell r="N394" t="str">
            <v>Non affecté</v>
          </cell>
          <cell r="O394" t="str">
            <v>JPP</v>
          </cell>
          <cell r="P394" t="str">
            <v>Ok mon client</v>
          </cell>
          <cell r="Q394" t="str">
            <v>GENNEVILLIERS</v>
          </cell>
          <cell r="R394" t="str">
            <v>88</v>
          </cell>
          <cell r="X394" t="str">
            <v>88202</v>
          </cell>
          <cell r="Y394" t="str">
            <v>REMIREMONT CEDEX</v>
          </cell>
          <cell r="AG394">
            <v>15.48</v>
          </cell>
          <cell r="AL394">
            <v>15.48</v>
          </cell>
          <cell r="AM394">
            <v>21.672000000000001</v>
          </cell>
          <cell r="AX394">
            <v>15.48</v>
          </cell>
          <cell r="AY394">
            <v>0</v>
          </cell>
          <cell r="AZ394">
            <v>0</v>
          </cell>
        </row>
        <row r="395">
          <cell r="A395">
            <v>612026</v>
          </cell>
          <cell r="B395" t="str">
            <v>PXI SA</v>
          </cell>
          <cell r="G395" t="str">
            <v>OUI</v>
          </cell>
          <cell r="H395" t="str">
            <v>PAS GERE PAR 001</v>
          </cell>
          <cell r="I395">
            <v>0</v>
          </cell>
          <cell r="J395">
            <v>0</v>
          </cell>
          <cell r="K395" t="str">
            <v>NON</v>
          </cell>
          <cell r="L395" t="str">
            <v>NON</v>
          </cell>
          <cell r="N395" t="str">
            <v>Non affecté</v>
          </cell>
          <cell r="O395" t="str">
            <v>JPP</v>
          </cell>
          <cell r="P395" t="str">
            <v>Ok mon client</v>
          </cell>
          <cell r="Q395" t="str">
            <v>GENNEVILLIERS</v>
          </cell>
          <cell r="R395" t="str">
            <v>83</v>
          </cell>
          <cell r="X395" t="str">
            <v>83705</v>
          </cell>
          <cell r="Y395" t="str">
            <v>SAINT RAPHAEL CEDEX</v>
          </cell>
          <cell r="AG395">
            <v>14.61</v>
          </cell>
          <cell r="AH395">
            <v>0.14510609171800146</v>
          </cell>
          <cell r="AL395">
            <v>14.61</v>
          </cell>
          <cell r="AM395">
            <v>20.453999999999997</v>
          </cell>
          <cell r="AX395">
            <v>14.61</v>
          </cell>
          <cell r="AY395">
            <v>0</v>
          </cell>
          <cell r="AZ395">
            <v>0</v>
          </cell>
        </row>
        <row r="396">
          <cell r="A396">
            <v>61333</v>
          </cell>
          <cell r="B396" t="str">
            <v>DUPONT BEDU</v>
          </cell>
          <cell r="G396" t="str">
            <v>OUI</v>
          </cell>
          <cell r="H396" t="str">
            <v>PAS GERE PAR 001</v>
          </cell>
          <cell r="I396">
            <v>0</v>
          </cell>
          <cell r="J396">
            <v>0</v>
          </cell>
          <cell r="K396" t="str">
            <v>NON</v>
          </cell>
          <cell r="L396" t="str">
            <v>NON</v>
          </cell>
          <cell r="N396" t="str">
            <v>Non affecté</v>
          </cell>
          <cell r="O396" t="str">
            <v>JPP</v>
          </cell>
          <cell r="P396" t="str">
            <v>Ok mon client</v>
          </cell>
          <cell r="Q396" t="str">
            <v>GENNEVILLIERS</v>
          </cell>
          <cell r="R396" t="str">
            <v>01</v>
          </cell>
          <cell r="X396" t="str">
            <v>01007</v>
          </cell>
          <cell r="Y396" t="str">
            <v>BOURG EN BRESSE CEDEX</v>
          </cell>
          <cell r="AG396">
            <v>12.64</v>
          </cell>
          <cell r="AL396">
            <v>12.64</v>
          </cell>
          <cell r="AM396">
            <v>17.695999999999998</v>
          </cell>
          <cell r="AX396">
            <v>12.64</v>
          </cell>
          <cell r="AY396">
            <v>0</v>
          </cell>
          <cell r="AZ396">
            <v>0</v>
          </cell>
        </row>
        <row r="397">
          <cell r="A397">
            <v>40885</v>
          </cell>
          <cell r="B397" t="str">
            <v>SAS GERVAIS TRS</v>
          </cell>
          <cell r="G397" t="str">
            <v>OUI</v>
          </cell>
          <cell r="H397" t="str">
            <v>PAS GERE PAR 001</v>
          </cell>
          <cell r="I397">
            <v>0</v>
          </cell>
          <cell r="J397">
            <v>0</v>
          </cell>
          <cell r="K397" t="str">
            <v>NON</v>
          </cell>
          <cell r="L397" t="str">
            <v>NON</v>
          </cell>
          <cell r="N397" t="str">
            <v>Non affecté</v>
          </cell>
          <cell r="O397" t="str">
            <v>JPP</v>
          </cell>
          <cell r="P397" t="str">
            <v>Ok mon client</v>
          </cell>
          <cell r="Q397" t="str">
            <v>DRANCY</v>
          </cell>
          <cell r="R397" t="str">
            <v>69</v>
          </cell>
          <cell r="X397" t="str">
            <v>69480</v>
          </cell>
          <cell r="Y397" t="str">
            <v>ANSE</v>
          </cell>
          <cell r="AH397">
            <v>-0.23924268502581753</v>
          </cell>
          <cell r="AI397">
            <v>11.620000000000001</v>
          </cell>
          <cell r="AL397">
            <v>11.620000000000001</v>
          </cell>
          <cell r="AM397">
            <v>16.268000000000001</v>
          </cell>
          <cell r="AX397">
            <v>0</v>
          </cell>
          <cell r="AY397">
            <v>11.620000000000001</v>
          </cell>
          <cell r="AZ397">
            <v>0</v>
          </cell>
        </row>
        <row r="398">
          <cell r="A398">
            <v>810485</v>
          </cell>
          <cell r="B398" t="str">
            <v>HACKETT LTD.</v>
          </cell>
          <cell r="G398" t="str">
            <v>OUI</v>
          </cell>
          <cell r="H398" t="str">
            <v>PAS GERE PAR 001</v>
          </cell>
          <cell r="I398">
            <v>0</v>
          </cell>
          <cell r="J398">
            <v>0</v>
          </cell>
          <cell r="K398" t="str">
            <v>NON</v>
          </cell>
          <cell r="L398" t="str">
            <v>NON</v>
          </cell>
          <cell r="N398" t="str">
            <v>Non affecté</v>
          </cell>
          <cell r="O398" t="str">
            <v>JPP</v>
          </cell>
          <cell r="P398" t="str">
            <v>Ok mon client</v>
          </cell>
          <cell r="Q398" t="str">
            <v>DRANCY</v>
          </cell>
          <cell r="R398" t="str">
            <v>08</v>
          </cell>
          <cell r="X398" t="str">
            <v>08980</v>
          </cell>
          <cell r="Y398" t="str">
            <v>SANT FELIU DE LLOBERGAT</v>
          </cell>
          <cell r="AI398">
            <v>9.24</v>
          </cell>
          <cell r="AJ398">
            <v>-0.37012987012987009</v>
          </cell>
          <cell r="AL398">
            <v>9.24</v>
          </cell>
          <cell r="AM398">
            <v>12.936</v>
          </cell>
          <cell r="AX398">
            <v>0</v>
          </cell>
          <cell r="AY398">
            <v>9.24</v>
          </cell>
          <cell r="AZ398">
            <v>0</v>
          </cell>
        </row>
        <row r="399">
          <cell r="A399">
            <v>585756</v>
          </cell>
          <cell r="B399" t="str">
            <v>EUROPA ROLLERS SELECTION</v>
          </cell>
          <cell r="H399" t="str">
            <v>AGENCE GERANTE 004</v>
          </cell>
          <cell r="I399">
            <v>0</v>
          </cell>
          <cell r="J399">
            <v>0</v>
          </cell>
          <cell r="K399" t="str">
            <v>NON</v>
          </cell>
          <cell r="L399" t="str">
            <v>NON</v>
          </cell>
          <cell r="M399" t="str">
            <v>NON</v>
          </cell>
          <cell r="N399" t="str">
            <v>Non affecté</v>
          </cell>
          <cell r="O399" t="str">
            <v>FR</v>
          </cell>
          <cell r="P399" t="str">
            <v>Rajouté</v>
          </cell>
          <cell r="Q399" t="str">
            <v>MOISSY CRAMAYEL</v>
          </cell>
          <cell r="R399" t="str">
            <v>77</v>
          </cell>
          <cell r="X399" t="str">
            <v>7700</v>
          </cell>
          <cell r="Y399" t="str">
            <v>MOUSCRON</v>
          </cell>
          <cell r="AI399">
            <v>1.9300000000000002</v>
          </cell>
          <cell r="AL399">
            <v>1.9300000000000002</v>
          </cell>
          <cell r="AM399">
            <v>2.702</v>
          </cell>
          <cell r="AX399">
            <v>0</v>
          </cell>
          <cell r="AY399">
            <v>1.9300000000000002</v>
          </cell>
          <cell r="AZ399">
            <v>0</v>
          </cell>
        </row>
        <row r="400">
          <cell r="A400">
            <v>304726</v>
          </cell>
          <cell r="B400" t="str">
            <v>FMD</v>
          </cell>
          <cell r="C400">
            <v>0</v>
          </cell>
          <cell r="D400">
            <v>0</v>
          </cell>
          <cell r="E400">
            <v>0</v>
          </cell>
          <cell r="G400" t="str">
            <v>NON</v>
          </cell>
          <cell r="H400" t="str">
            <v>ETUDE EN COUR</v>
          </cell>
          <cell r="I400">
            <v>0</v>
          </cell>
          <cell r="J400">
            <v>0</v>
          </cell>
          <cell r="K400" t="str">
            <v>NON</v>
          </cell>
          <cell r="L400" t="str">
            <v>OK</v>
          </cell>
          <cell r="N400" t="str">
            <v>Non affecté</v>
          </cell>
          <cell r="O400" t="str">
            <v>JPP</v>
          </cell>
          <cell r="P400" t="str">
            <v>Ok mon client</v>
          </cell>
          <cell r="Q400" t="str">
            <v>GENNEVILLIERS</v>
          </cell>
          <cell r="R400" t="str">
            <v>93</v>
          </cell>
          <cell r="S400" t="str">
            <v>73/83 AVENUE JEAN L'OLIVE</v>
          </cell>
          <cell r="T400">
            <v>93100</v>
          </cell>
          <cell r="U400" t="str">
            <v>MONTREUIL</v>
          </cell>
          <cell r="V400" t="str">
            <v>Mme</v>
          </cell>
          <cell r="W400" t="str">
            <v>BOIN</v>
          </cell>
          <cell r="X400" t="str">
            <v>93106</v>
          </cell>
          <cell r="Y400" t="str">
            <v>MONTREUIL CEDEX</v>
          </cell>
          <cell r="Z400">
            <v>3681.88</v>
          </cell>
          <cell r="AD400">
            <v>3681.88</v>
          </cell>
          <cell r="AM400">
            <v>0</v>
          </cell>
          <cell r="AN400">
            <v>-1</v>
          </cell>
          <cell r="AO400" t="str">
            <v>259-G-93FMD</v>
          </cell>
          <cell r="AP400" t="str">
            <v>259-L1-93FMD</v>
          </cell>
          <cell r="AQ400">
            <v>38009</v>
          </cell>
          <cell r="AX400">
            <v>0</v>
          </cell>
          <cell r="AY400">
            <v>0</v>
          </cell>
          <cell r="AZ400">
            <v>0</v>
          </cell>
        </row>
        <row r="401">
          <cell r="A401">
            <v>377616</v>
          </cell>
          <cell r="B401" t="str">
            <v>SEEM</v>
          </cell>
          <cell r="G401" t="str">
            <v>OUI</v>
          </cell>
          <cell r="H401" t="str">
            <v>PLUS DE TRAFIC</v>
          </cell>
          <cell r="I401">
            <v>0</v>
          </cell>
          <cell r="J401">
            <v>0</v>
          </cell>
          <cell r="K401" t="str">
            <v>NON</v>
          </cell>
          <cell r="L401" t="str">
            <v>NON</v>
          </cell>
          <cell r="N401" t="str">
            <v>Non affecté</v>
          </cell>
          <cell r="O401" t="str">
            <v>JPP</v>
          </cell>
          <cell r="P401" t="str">
            <v>Ok mon client</v>
          </cell>
          <cell r="Q401" t="str">
            <v>GENNEVILLIERS</v>
          </cell>
          <cell r="R401" t="str">
            <v>93</v>
          </cell>
          <cell r="S401" t="str">
            <v>53 AVENUE MARCEL PAUL</v>
          </cell>
          <cell r="T401">
            <v>93297</v>
          </cell>
          <cell r="U401" t="str">
            <v>TREMBLAY EN FRANCE</v>
          </cell>
          <cell r="W401" t="str">
            <v>Directeur Logistique et Transports</v>
          </cell>
          <cell r="X401" t="str">
            <v>93297</v>
          </cell>
          <cell r="Y401" t="str">
            <v>TREMBLAY EN FRANCE</v>
          </cell>
          <cell r="Z401">
            <v>1074.44</v>
          </cell>
          <cell r="AD401">
            <v>1074.44</v>
          </cell>
          <cell r="AM401">
            <v>0</v>
          </cell>
          <cell r="AN401">
            <v>-1</v>
          </cell>
          <cell r="AX401">
            <v>0</v>
          </cell>
          <cell r="AY401">
            <v>0</v>
          </cell>
          <cell r="AZ401">
            <v>0</v>
          </cell>
        </row>
        <row r="402">
          <cell r="A402">
            <v>391259</v>
          </cell>
          <cell r="B402" t="str">
            <v>ROTHSCHILD FRANCE DISTRIBUTION</v>
          </cell>
          <cell r="G402" t="str">
            <v>OUI</v>
          </cell>
          <cell r="H402" t="str">
            <v>PAS DE CA EN 2012</v>
          </cell>
          <cell r="I402">
            <v>0</v>
          </cell>
          <cell r="J402">
            <v>0</v>
          </cell>
          <cell r="K402" t="str">
            <v>NON</v>
          </cell>
          <cell r="L402" t="str">
            <v>NON</v>
          </cell>
          <cell r="N402" t="str">
            <v>Non affecté</v>
          </cell>
          <cell r="O402" t="str">
            <v>JPP</v>
          </cell>
          <cell r="P402" t="str">
            <v>Ok mon client</v>
          </cell>
          <cell r="Q402" t="str">
            <v>GENNEVILLIERS</v>
          </cell>
          <cell r="R402" t="str">
            <v>75</v>
          </cell>
          <cell r="S402" t="str">
            <v>27 RUE DE LA VILLE L'EVEQUE</v>
          </cell>
          <cell r="T402" t="str">
            <v>75008</v>
          </cell>
          <cell r="U402" t="str">
            <v>PARIS</v>
          </cell>
          <cell r="W402" t="str">
            <v>Directeur Logistique et Transports</v>
          </cell>
          <cell r="X402" t="str">
            <v>75008</v>
          </cell>
          <cell r="Y402" t="str">
            <v>PARIS</v>
          </cell>
          <cell r="AM402">
            <v>0</v>
          </cell>
          <cell r="AX402">
            <v>0</v>
          </cell>
          <cell r="AY402">
            <v>0</v>
          </cell>
          <cell r="AZ402">
            <v>0</v>
          </cell>
        </row>
        <row r="403">
          <cell r="A403">
            <v>486779</v>
          </cell>
          <cell r="B403" t="str">
            <v>COPADIS BOBIGNY</v>
          </cell>
          <cell r="C403">
            <v>0.1</v>
          </cell>
          <cell r="D403">
            <v>0.1</v>
          </cell>
          <cell r="E403">
            <v>0.02</v>
          </cell>
          <cell r="F403">
            <v>41275</v>
          </cell>
          <cell r="G403" t="str">
            <v>OUI</v>
          </cell>
          <cell r="H403" t="str">
            <v>PAS DE CA EN 2012</v>
          </cell>
          <cell r="I403">
            <v>0</v>
          </cell>
          <cell r="J403">
            <v>0</v>
          </cell>
          <cell r="K403" t="str">
            <v>NON</v>
          </cell>
          <cell r="L403" t="str">
            <v>OK</v>
          </cell>
          <cell r="N403" t="str">
            <v>Non affecté</v>
          </cell>
          <cell r="O403" t="str">
            <v>JPP</v>
          </cell>
          <cell r="P403" t="str">
            <v>Ok mon client</v>
          </cell>
          <cell r="Q403" t="str">
            <v>GENNEVILLIERS</v>
          </cell>
          <cell r="R403" t="str">
            <v>93</v>
          </cell>
          <cell r="S403" t="str">
            <v>15/35 AVENUE HENRI BARBUSSE</v>
          </cell>
          <cell r="T403">
            <v>93000</v>
          </cell>
          <cell r="U403" t="str">
            <v>BOBIGNY</v>
          </cell>
          <cell r="W403" t="str">
            <v>Directeur Logistique et Transports</v>
          </cell>
          <cell r="X403" t="str">
            <v>93000</v>
          </cell>
          <cell r="Y403" t="str">
            <v>BOBIGNY</v>
          </cell>
          <cell r="AA403">
            <v>696.14</v>
          </cell>
          <cell r="AD403">
            <v>696.14</v>
          </cell>
          <cell r="AM403">
            <v>0</v>
          </cell>
          <cell r="AN403">
            <v>-1</v>
          </cell>
          <cell r="AO403" t="str">
            <v>259-G-93COPADIS</v>
          </cell>
          <cell r="AQ403">
            <v>38383</v>
          </cell>
          <cell r="AX403">
            <v>0</v>
          </cell>
          <cell r="AY403">
            <v>0</v>
          </cell>
          <cell r="AZ403">
            <v>0</v>
          </cell>
        </row>
        <row r="404">
          <cell r="A404">
            <v>488730</v>
          </cell>
          <cell r="B404" t="str">
            <v>LABORATOIRES OMEGA PHARMA FRANCE</v>
          </cell>
          <cell r="G404" t="str">
            <v>OUI</v>
          </cell>
          <cell r="H404" t="str">
            <v>PAS DE CONTRAT</v>
          </cell>
          <cell r="I404">
            <v>0</v>
          </cell>
          <cell r="J404">
            <v>0</v>
          </cell>
          <cell r="K404" t="str">
            <v>NON</v>
          </cell>
          <cell r="L404" t="str">
            <v>NON</v>
          </cell>
          <cell r="N404" t="str">
            <v>Non affecté</v>
          </cell>
          <cell r="O404" t="str">
            <v>JPP</v>
          </cell>
          <cell r="P404" t="str">
            <v>Ok mon client</v>
          </cell>
          <cell r="Q404" t="str">
            <v>GENNEVILLIERS</v>
          </cell>
          <cell r="R404" t="str">
            <v>92</v>
          </cell>
          <cell r="S404" t="str">
            <v>20 RUE ANDRE GIDE</v>
          </cell>
          <cell r="T404">
            <v>92320</v>
          </cell>
          <cell r="U404" t="str">
            <v>CHATILLON</v>
          </cell>
          <cell r="W404" t="str">
            <v>Directeur Logistique et Transports</v>
          </cell>
          <cell r="X404" t="str">
            <v>92320</v>
          </cell>
          <cell r="Y404" t="str">
            <v>CHATILLON</v>
          </cell>
          <cell r="AF404">
            <v>0.57013622074746784</v>
          </cell>
          <cell r="AM404">
            <v>0</v>
          </cell>
          <cell r="AX404">
            <v>0</v>
          </cell>
          <cell r="AY404">
            <v>0</v>
          </cell>
          <cell r="AZ404">
            <v>0</v>
          </cell>
        </row>
        <row r="405">
          <cell r="A405">
            <v>497864</v>
          </cell>
          <cell r="B405" t="str">
            <v>PACKDIS</v>
          </cell>
          <cell r="C405">
            <v>0.1</v>
          </cell>
          <cell r="D405">
            <v>0.1</v>
          </cell>
          <cell r="E405">
            <v>0.02</v>
          </cell>
          <cell r="F405">
            <v>41275</v>
          </cell>
          <cell r="G405" t="str">
            <v>OUI</v>
          </cell>
          <cell r="I405">
            <v>0</v>
          </cell>
          <cell r="J405">
            <v>0</v>
          </cell>
          <cell r="K405" t="str">
            <v>OK</v>
          </cell>
          <cell r="L405" t="str">
            <v>OK</v>
          </cell>
          <cell r="N405" t="str">
            <v>Non affecté</v>
          </cell>
          <cell r="O405" t="str">
            <v>JPP</v>
          </cell>
          <cell r="P405" t="str">
            <v>Ok mon client</v>
          </cell>
          <cell r="Q405" t="str">
            <v>GENNEVILLIERS</v>
          </cell>
          <cell r="R405" t="str">
            <v>93</v>
          </cell>
          <cell r="S405" t="str">
            <v>51 RUE DU COMMANDANT ROLLAND 
ZI ACTIPOLE LE BOURGET BAT 6</v>
          </cell>
          <cell r="T405" t="str">
            <v>93350</v>
          </cell>
          <cell r="U405" t="str">
            <v>LE BOURGET</v>
          </cell>
          <cell r="W405" t="str">
            <v>Directeur Logistique et Transports</v>
          </cell>
          <cell r="X405" t="str">
            <v>93350</v>
          </cell>
          <cell r="Y405" t="str">
            <v>LE BOURGET</v>
          </cell>
          <cell r="Z405">
            <v>1250</v>
          </cell>
          <cell r="AD405">
            <v>1250</v>
          </cell>
          <cell r="AM405">
            <v>0</v>
          </cell>
          <cell r="AN405">
            <v>-1</v>
          </cell>
          <cell r="AO405" t="str">
            <v>259-G-93PACKDIS</v>
          </cell>
          <cell r="AP405" t="str">
            <v>259-L-93PACKDIS</v>
          </cell>
          <cell r="AQ405">
            <v>38499</v>
          </cell>
          <cell r="AX405">
            <v>0</v>
          </cell>
          <cell r="AY405">
            <v>0</v>
          </cell>
          <cell r="AZ405">
            <v>0</v>
          </cell>
        </row>
        <row r="406">
          <cell r="A406">
            <v>498765</v>
          </cell>
          <cell r="B406" t="str">
            <v>ATTIS</v>
          </cell>
          <cell r="C406">
            <v>0.1</v>
          </cell>
          <cell r="D406">
            <v>0.1</v>
          </cell>
          <cell r="E406">
            <v>0.02</v>
          </cell>
          <cell r="F406">
            <v>41275</v>
          </cell>
          <cell r="G406" t="str">
            <v>OUI</v>
          </cell>
          <cell r="H406" t="str">
            <v>PAS DE CA EN 2012</v>
          </cell>
          <cell r="I406">
            <v>0</v>
          </cell>
          <cell r="J406">
            <v>0</v>
          </cell>
          <cell r="K406" t="str">
            <v>NON</v>
          </cell>
          <cell r="L406" t="str">
            <v>OK</v>
          </cell>
          <cell r="N406" t="str">
            <v>Non affecté</v>
          </cell>
          <cell r="O406" t="str">
            <v>JPP</v>
          </cell>
          <cell r="P406" t="str">
            <v>Ok mon client</v>
          </cell>
          <cell r="Q406" t="str">
            <v>GENNEVILLIERS</v>
          </cell>
          <cell r="R406" t="str">
            <v>93</v>
          </cell>
          <cell r="S406" t="str">
            <v>ACTIPOLE LE BOURGET BAT 11</v>
          </cell>
          <cell r="T406" t="str">
            <v>93350</v>
          </cell>
          <cell r="U406" t="str">
            <v>LE BOURGET</v>
          </cell>
          <cell r="W406" t="str">
            <v>Directeur Logistique et Transports</v>
          </cell>
          <cell r="X406" t="str">
            <v>93350</v>
          </cell>
          <cell r="Y406" t="str">
            <v>LE BOURGET</v>
          </cell>
          <cell r="Z406">
            <v>4136.62</v>
          </cell>
          <cell r="AD406">
            <v>4136.62</v>
          </cell>
          <cell r="AM406">
            <v>0</v>
          </cell>
          <cell r="AN406">
            <v>-1</v>
          </cell>
          <cell r="AO406" t="str">
            <v>001-G-93ATTIS</v>
          </cell>
          <cell r="AQ406">
            <v>38537</v>
          </cell>
          <cell r="AX406">
            <v>0</v>
          </cell>
          <cell r="AY406">
            <v>0</v>
          </cell>
          <cell r="AZ406">
            <v>0</v>
          </cell>
        </row>
        <row r="407">
          <cell r="A407">
            <v>506391</v>
          </cell>
          <cell r="B407" t="str">
            <v>CARACTERE</v>
          </cell>
          <cell r="C407">
            <v>0.1</v>
          </cell>
          <cell r="D407">
            <v>0.1</v>
          </cell>
          <cell r="E407">
            <v>0.02</v>
          </cell>
          <cell r="F407">
            <v>41275</v>
          </cell>
          <cell r="G407" t="str">
            <v>OUI</v>
          </cell>
          <cell r="I407">
            <v>0</v>
          </cell>
          <cell r="J407">
            <v>0</v>
          </cell>
          <cell r="K407" t="str">
            <v>OK</v>
          </cell>
          <cell r="L407" t="str">
            <v>OK</v>
          </cell>
          <cell r="N407" t="str">
            <v>Non affecté</v>
          </cell>
          <cell r="O407" t="str">
            <v>JPP</v>
          </cell>
          <cell r="P407" t="str">
            <v>Ok mon client</v>
          </cell>
          <cell r="Q407" t="str">
            <v>GENNEVILLIERS</v>
          </cell>
          <cell r="R407" t="str">
            <v>93</v>
          </cell>
          <cell r="S407" t="str">
            <v>3 RUE MONTGOLFIER</v>
          </cell>
          <cell r="T407" t="str">
            <v>93116</v>
          </cell>
          <cell r="U407" t="str">
            <v>ROSNY SOUS BOIS CEDEX</v>
          </cell>
          <cell r="V407" t="str">
            <v>M.</v>
          </cell>
          <cell r="W407" t="str">
            <v>MOUGIN</v>
          </cell>
          <cell r="X407" t="str">
            <v>93116</v>
          </cell>
          <cell r="Y407" t="str">
            <v>ROSNY SOUS BOIS CEDEX</v>
          </cell>
          <cell r="AB407">
            <v>3791.57</v>
          </cell>
          <cell r="AD407">
            <v>3791.57</v>
          </cell>
          <cell r="AM407">
            <v>0</v>
          </cell>
          <cell r="AN407">
            <v>-1</v>
          </cell>
          <cell r="AO407" t="str">
            <v>259-G-93CARACTERE</v>
          </cell>
          <cell r="AP407" t="str">
            <v>259_T3_93CARACTERE</v>
          </cell>
          <cell r="AX407">
            <v>0</v>
          </cell>
          <cell r="AY407">
            <v>0</v>
          </cell>
          <cell r="AZ407">
            <v>0</v>
          </cell>
        </row>
        <row r="408">
          <cell r="A408">
            <v>529962</v>
          </cell>
          <cell r="B408" t="str">
            <v>JOSEPH ET FILS</v>
          </cell>
          <cell r="C408">
            <v>0.1</v>
          </cell>
          <cell r="D408">
            <v>0.1</v>
          </cell>
          <cell r="E408">
            <v>0.02</v>
          </cell>
          <cell r="F408">
            <v>41275</v>
          </cell>
          <cell r="G408" t="str">
            <v>OUI</v>
          </cell>
          <cell r="H408" t="str">
            <v>PAS DE CA EN 2012</v>
          </cell>
          <cell r="I408">
            <v>0</v>
          </cell>
          <cell r="J408">
            <v>0</v>
          </cell>
          <cell r="K408" t="str">
            <v>NON</v>
          </cell>
          <cell r="L408" t="str">
            <v>OK</v>
          </cell>
          <cell r="N408" t="str">
            <v>Non affecté</v>
          </cell>
          <cell r="O408" t="str">
            <v>JPP</v>
          </cell>
          <cell r="P408" t="str">
            <v>Ok mon client</v>
          </cell>
          <cell r="Q408" t="str">
            <v>GENNEVILLIERS</v>
          </cell>
          <cell r="R408" t="str">
            <v>75</v>
          </cell>
          <cell r="S408" t="str">
            <v>65 BLD MESNILMONTANT</v>
          </cell>
          <cell r="T408" t="str">
            <v>75011</v>
          </cell>
          <cell r="U408" t="str">
            <v>PARIS 11</v>
          </cell>
          <cell r="V408" t="str">
            <v>M.</v>
          </cell>
          <cell r="W408" t="str">
            <v>CHRISTOPHE</v>
          </cell>
          <cell r="X408" t="str">
            <v>75011</v>
          </cell>
          <cell r="Y408" t="str">
            <v>PARIS</v>
          </cell>
          <cell r="AA408">
            <v>2461.2499999999995</v>
          </cell>
          <cell r="AD408">
            <v>2461.2499999999995</v>
          </cell>
          <cell r="AH408">
            <v>1</v>
          </cell>
          <cell r="AM408">
            <v>0</v>
          </cell>
          <cell r="AN408">
            <v>-1</v>
          </cell>
          <cell r="AO408" t="str">
            <v>259-G-75JOSEPH</v>
          </cell>
          <cell r="AX408">
            <v>0</v>
          </cell>
          <cell r="AY408">
            <v>0</v>
          </cell>
          <cell r="AZ408">
            <v>0</v>
          </cell>
        </row>
        <row r="409">
          <cell r="A409">
            <v>536530</v>
          </cell>
          <cell r="B409" t="str">
            <v>LE BOOK EDITIONS</v>
          </cell>
          <cell r="C409">
            <v>0.1</v>
          </cell>
          <cell r="D409">
            <v>0.1</v>
          </cell>
          <cell r="E409">
            <v>0.02</v>
          </cell>
          <cell r="F409">
            <v>41275</v>
          </cell>
          <cell r="G409" t="str">
            <v>OUI</v>
          </cell>
          <cell r="H409" t="str">
            <v>PAS DE CA EN 2012</v>
          </cell>
          <cell r="I409">
            <v>0</v>
          </cell>
          <cell r="J409">
            <v>0</v>
          </cell>
          <cell r="K409" t="str">
            <v>NON</v>
          </cell>
          <cell r="L409" t="str">
            <v>OK</v>
          </cell>
          <cell r="N409" t="str">
            <v>Non affecté</v>
          </cell>
          <cell r="O409" t="str">
            <v>JPP</v>
          </cell>
          <cell r="P409" t="str">
            <v>Ok mon client</v>
          </cell>
          <cell r="Q409" t="str">
            <v>GENNEVILLIERS</v>
          </cell>
          <cell r="R409" t="str">
            <v>75</v>
          </cell>
          <cell r="S409" t="str">
            <v>4 RUE D'ENGHIEN</v>
          </cell>
          <cell r="T409" t="str">
            <v>75010</v>
          </cell>
          <cell r="U409" t="str">
            <v>PARIS</v>
          </cell>
          <cell r="V409" t="str">
            <v>Mlle</v>
          </cell>
          <cell r="W409" t="str">
            <v>Laurent</v>
          </cell>
          <cell r="X409" t="str">
            <v>75010</v>
          </cell>
          <cell r="Y409" t="str">
            <v>PARIS</v>
          </cell>
          <cell r="Z409">
            <v>543.86</v>
          </cell>
          <cell r="AB409">
            <v>29.17</v>
          </cell>
          <cell r="AD409">
            <v>573.03</v>
          </cell>
          <cell r="AM409">
            <v>0</v>
          </cell>
          <cell r="AN409">
            <v>-1</v>
          </cell>
          <cell r="AO409" t="str">
            <v>001-G-75LEBOOKEDITIONS</v>
          </cell>
          <cell r="AP409" t="str">
            <v>001-L1-75LEBOOKEDITIONS</v>
          </cell>
          <cell r="AQ409">
            <v>40423</v>
          </cell>
          <cell r="AX409">
            <v>0</v>
          </cell>
          <cell r="AY409">
            <v>0</v>
          </cell>
          <cell r="AZ409">
            <v>0</v>
          </cell>
        </row>
        <row r="410">
          <cell r="A410">
            <v>545139</v>
          </cell>
          <cell r="B410" t="str">
            <v>BARROS</v>
          </cell>
          <cell r="G410" t="str">
            <v>OUI</v>
          </cell>
          <cell r="H410" t="str">
            <v>RJ</v>
          </cell>
          <cell r="I410">
            <v>0</v>
          </cell>
          <cell r="J410">
            <v>0</v>
          </cell>
          <cell r="K410" t="str">
            <v>NON</v>
          </cell>
          <cell r="L410" t="str">
            <v>NON</v>
          </cell>
          <cell r="N410" t="str">
            <v>Non affecté</v>
          </cell>
          <cell r="O410" t="str">
            <v>JPP</v>
          </cell>
          <cell r="P410" t="str">
            <v>Ok mon client</v>
          </cell>
          <cell r="Q410" t="str">
            <v>GENNEVILLIERS</v>
          </cell>
          <cell r="R410" t="str">
            <v>75</v>
          </cell>
          <cell r="W410" t="str">
            <v>Directeur Logistique et Transports</v>
          </cell>
          <cell r="X410" t="str">
            <v>75012</v>
          </cell>
          <cell r="Y410" t="str">
            <v>PARIS</v>
          </cell>
          <cell r="AC410">
            <v>549.91</v>
          </cell>
          <cell r="AD410">
            <v>549.91</v>
          </cell>
          <cell r="AM410">
            <v>0</v>
          </cell>
          <cell r="AN410">
            <v>-1</v>
          </cell>
          <cell r="AO410" t="str">
            <v>001-CONTRAT TYPE +50%</v>
          </cell>
          <cell r="AX410">
            <v>0</v>
          </cell>
          <cell r="AY410">
            <v>0</v>
          </cell>
          <cell r="AZ410">
            <v>0</v>
          </cell>
        </row>
        <row r="411">
          <cell r="A411">
            <v>561634</v>
          </cell>
          <cell r="B411" t="str">
            <v>BENJAMIN</v>
          </cell>
          <cell r="C411">
            <v>0.1</v>
          </cell>
          <cell r="D411">
            <v>0.1</v>
          </cell>
          <cell r="E411">
            <v>0.02</v>
          </cell>
          <cell r="F411">
            <v>41275</v>
          </cell>
          <cell r="G411" t="str">
            <v>NON</v>
          </cell>
          <cell r="H411" t="str">
            <v>PAS DE MESSAGERIE. PAS DE CA EN 2012</v>
          </cell>
          <cell r="I411">
            <v>0</v>
          </cell>
          <cell r="J411">
            <v>0</v>
          </cell>
          <cell r="K411" t="str">
            <v>NON</v>
          </cell>
          <cell r="L411" t="str">
            <v>OK</v>
          </cell>
          <cell r="N411" t="str">
            <v>Non affecté</v>
          </cell>
          <cell r="O411" t="str">
            <v>JPP</v>
          </cell>
          <cell r="P411" t="str">
            <v>Ok mon client</v>
          </cell>
          <cell r="Q411" t="str">
            <v>GENNEVILLIERS</v>
          </cell>
          <cell r="R411" t="str">
            <v>93</v>
          </cell>
          <cell r="S411" t="str">
            <v>162 AV PAUL VAILLANT COUTURIER</v>
          </cell>
          <cell r="T411">
            <v>93126</v>
          </cell>
          <cell r="U411" t="str">
            <v>LA COURNEUVE</v>
          </cell>
          <cell r="V411" t="str">
            <v>M.</v>
          </cell>
          <cell r="W411" t="str">
            <v>Barbieri</v>
          </cell>
          <cell r="X411" t="str">
            <v>93126</v>
          </cell>
          <cell r="Y411" t="str">
            <v>LA COURNEUVE</v>
          </cell>
          <cell r="Z411">
            <v>7557.05</v>
          </cell>
          <cell r="AD411">
            <v>7557.05</v>
          </cell>
          <cell r="AM411">
            <v>0</v>
          </cell>
          <cell r="AN411">
            <v>-1</v>
          </cell>
          <cell r="AO411" t="str">
            <v>259-G-93BENJAMIN</v>
          </cell>
          <cell r="AP411" t="str">
            <v>001-L193BENJAMIN1</v>
          </cell>
          <cell r="AQ411">
            <v>40487</v>
          </cell>
          <cell r="AX411">
            <v>0</v>
          </cell>
          <cell r="AY411">
            <v>0</v>
          </cell>
          <cell r="AZ411">
            <v>0</v>
          </cell>
        </row>
        <row r="412">
          <cell r="A412">
            <v>565123</v>
          </cell>
          <cell r="B412" t="str">
            <v>NORPANO</v>
          </cell>
          <cell r="G412" t="str">
            <v>OUI</v>
          </cell>
          <cell r="H412" t="str">
            <v>PAS DE CA EN 2012</v>
          </cell>
          <cell r="I412">
            <v>0</v>
          </cell>
          <cell r="J412">
            <v>0</v>
          </cell>
          <cell r="K412" t="str">
            <v>NON</v>
          </cell>
          <cell r="L412" t="str">
            <v>NON</v>
          </cell>
          <cell r="N412" t="str">
            <v>Non affecté</v>
          </cell>
          <cell r="O412" t="str">
            <v>JPP</v>
          </cell>
          <cell r="P412" t="str">
            <v>Ok mon client</v>
          </cell>
          <cell r="Q412" t="str">
            <v>GENNEVILLIERS</v>
          </cell>
          <cell r="R412" t="str">
            <v>92</v>
          </cell>
          <cell r="S412" t="str">
            <v>6 RUE THOMAS EDISON</v>
          </cell>
          <cell r="T412">
            <v>92230</v>
          </cell>
          <cell r="U412" t="str">
            <v>GENNEVILLIERS</v>
          </cell>
          <cell r="W412" t="str">
            <v>Directeur Logistique et Transports</v>
          </cell>
          <cell r="X412" t="str">
            <v>92230</v>
          </cell>
          <cell r="Y412" t="str">
            <v>GENNEVILLIERS</v>
          </cell>
          <cell r="Z412">
            <v>650.34</v>
          </cell>
          <cell r="AD412">
            <v>650.34</v>
          </cell>
          <cell r="AM412">
            <v>0</v>
          </cell>
          <cell r="AN412">
            <v>-1</v>
          </cell>
          <cell r="AO412" t="str">
            <v>001-CONTRAT TYPE +50%</v>
          </cell>
          <cell r="AQ412">
            <v>40728</v>
          </cell>
          <cell r="AX412">
            <v>0</v>
          </cell>
          <cell r="AY412">
            <v>0</v>
          </cell>
          <cell r="AZ412">
            <v>0</v>
          </cell>
        </row>
        <row r="413">
          <cell r="A413">
            <v>578374</v>
          </cell>
          <cell r="B413" t="str">
            <v>ATELIERS R LAUMONIER</v>
          </cell>
          <cell r="C413">
            <v>0.1</v>
          </cell>
          <cell r="D413">
            <v>0.1</v>
          </cell>
          <cell r="E413">
            <v>0.1</v>
          </cell>
          <cell r="F413">
            <v>41275</v>
          </cell>
          <cell r="G413" t="str">
            <v>NON</v>
          </cell>
          <cell r="H413" t="str">
            <v>DEMANDE DES COT</v>
          </cell>
          <cell r="I413">
            <v>0</v>
          </cell>
          <cell r="J413">
            <v>0</v>
          </cell>
          <cell r="K413" t="str">
            <v>OK</v>
          </cell>
          <cell r="L413" t="str">
            <v>OK</v>
          </cell>
          <cell r="N413" t="str">
            <v>Non affecté</v>
          </cell>
          <cell r="O413" t="str">
            <v>MM</v>
          </cell>
          <cell r="P413" t="str">
            <v>Ok mon client</v>
          </cell>
          <cell r="Q413" t="str">
            <v>GENNEVILLIERS</v>
          </cell>
          <cell r="R413" t="str">
            <v>95</v>
          </cell>
          <cell r="S413" t="str">
            <v>11 RUE DU CHENIVAL</v>
          </cell>
          <cell r="T413">
            <v>95690</v>
          </cell>
          <cell r="U413" t="str">
            <v>NESLES LA VALLE</v>
          </cell>
          <cell r="V413" t="str">
            <v>M.</v>
          </cell>
          <cell r="W413" t="str">
            <v>BASQUIN</v>
          </cell>
          <cell r="X413" t="str">
            <v>95690</v>
          </cell>
          <cell r="Y413" t="str">
            <v>NESLES LA VALLE</v>
          </cell>
          <cell r="Z413">
            <v>204.26</v>
          </cell>
          <cell r="AD413">
            <v>204.26</v>
          </cell>
          <cell r="AM413">
            <v>0</v>
          </cell>
          <cell r="AN413">
            <v>-1</v>
          </cell>
          <cell r="AO413" t="str">
            <v>001-G-95LAUMONIER</v>
          </cell>
          <cell r="AP413" t="str">
            <v>001-L1-95LAUMONIER</v>
          </cell>
          <cell r="AQ413">
            <v>40668</v>
          </cell>
          <cell r="AX413">
            <v>0</v>
          </cell>
          <cell r="AY413">
            <v>0</v>
          </cell>
          <cell r="AZ413">
            <v>0</v>
          </cell>
        </row>
        <row r="414">
          <cell r="A414">
            <v>58255</v>
          </cell>
          <cell r="B414" t="str">
            <v>NUM</v>
          </cell>
          <cell r="G414" t="str">
            <v>OUI</v>
          </cell>
          <cell r="H414" t="str">
            <v>PAS DE CONTRAT</v>
          </cell>
          <cell r="I414">
            <v>0</v>
          </cell>
          <cell r="J414">
            <v>0</v>
          </cell>
          <cell r="K414" t="str">
            <v>NON</v>
          </cell>
          <cell r="L414" t="str">
            <v>NON</v>
          </cell>
          <cell r="N414" t="str">
            <v>Non affecté</v>
          </cell>
          <cell r="O414" t="str">
            <v>JPP</v>
          </cell>
          <cell r="P414" t="str">
            <v>Ok mon client</v>
          </cell>
          <cell r="Q414" t="str">
            <v>GENNEVILLIERS</v>
          </cell>
          <cell r="R414" t="str">
            <v>92</v>
          </cell>
          <cell r="S414" t="str">
            <v>46 AVENUE KLEBER</v>
          </cell>
          <cell r="T414">
            <v>92706</v>
          </cell>
          <cell r="U414" t="str">
            <v>COLOMBES</v>
          </cell>
          <cell r="W414" t="str">
            <v>Directeur Logistique et Transports</v>
          </cell>
          <cell r="X414" t="str">
            <v>92706</v>
          </cell>
          <cell r="Y414" t="str">
            <v>COLOMBES</v>
          </cell>
          <cell r="AM414">
            <v>0</v>
          </cell>
          <cell r="AX414">
            <v>0</v>
          </cell>
          <cell r="AY414">
            <v>0</v>
          </cell>
          <cell r="AZ414">
            <v>0</v>
          </cell>
        </row>
        <row r="415">
          <cell r="A415">
            <v>583284</v>
          </cell>
          <cell r="B415" t="str">
            <v>ETERNAL FRANCE</v>
          </cell>
          <cell r="G415" t="str">
            <v>NON</v>
          </cell>
          <cell r="H415" t="str">
            <v>DEVELOPPEMENT OVS</v>
          </cell>
          <cell r="I415">
            <v>0</v>
          </cell>
          <cell r="J415">
            <v>0</v>
          </cell>
          <cell r="K415" t="str">
            <v>NON</v>
          </cell>
          <cell r="L415" t="str">
            <v>NON</v>
          </cell>
          <cell r="N415" t="str">
            <v>Non affecté</v>
          </cell>
          <cell r="O415" t="str">
            <v>JPP</v>
          </cell>
          <cell r="P415" t="str">
            <v>Ok mon client</v>
          </cell>
          <cell r="Q415" t="str">
            <v>GENNEVILLIERS</v>
          </cell>
          <cell r="R415" t="str">
            <v>75</v>
          </cell>
          <cell r="S415" t="str">
            <v>80/84 AVE VICTOR HUGO</v>
          </cell>
          <cell r="T415" t="str">
            <v>93300</v>
          </cell>
          <cell r="U415" t="str">
            <v>AUBERVILLIERS</v>
          </cell>
          <cell r="V415" t="str">
            <v>Mme</v>
          </cell>
          <cell r="W415" t="str">
            <v>ICHOUID TOURIA</v>
          </cell>
          <cell r="X415" t="str">
            <v>75001</v>
          </cell>
          <cell r="Y415" t="str">
            <v>PARIS</v>
          </cell>
          <cell r="Z415">
            <v>-234</v>
          </cell>
          <cell r="AD415">
            <v>-234</v>
          </cell>
          <cell r="AM415">
            <v>0</v>
          </cell>
          <cell r="AN415">
            <v>-1</v>
          </cell>
          <cell r="AO415" t="str">
            <v>001-G-93ETERNAL</v>
          </cell>
          <cell r="AP415" t="str">
            <v>001-L1-93ETERNAL</v>
          </cell>
          <cell r="AQ415">
            <v>40445</v>
          </cell>
          <cell r="AX415">
            <v>0</v>
          </cell>
          <cell r="AY415">
            <v>0</v>
          </cell>
          <cell r="AZ415">
            <v>0</v>
          </cell>
        </row>
        <row r="416">
          <cell r="A416">
            <v>587175</v>
          </cell>
          <cell r="B416" t="str">
            <v>BISTAR</v>
          </cell>
          <cell r="G416" t="str">
            <v>OUI</v>
          </cell>
          <cell r="H416" t="str">
            <v>LIQ JUDICIAIRE</v>
          </cell>
          <cell r="I416">
            <v>0</v>
          </cell>
          <cell r="J416">
            <v>0</v>
          </cell>
          <cell r="K416" t="str">
            <v>NON</v>
          </cell>
          <cell r="L416" t="str">
            <v>NON</v>
          </cell>
          <cell r="N416" t="str">
            <v>Non affecté</v>
          </cell>
          <cell r="O416" t="str">
            <v>JPP</v>
          </cell>
          <cell r="P416" t="str">
            <v>Ok mon client</v>
          </cell>
          <cell r="Q416" t="str">
            <v>GENNEVILLIERS</v>
          </cell>
          <cell r="R416" t="str">
            <v>75</v>
          </cell>
          <cell r="S416" t="str">
            <v>52 RUE DE TURBIGO</v>
          </cell>
          <cell r="T416" t="str">
            <v>75003</v>
          </cell>
          <cell r="U416" t="str">
            <v>PARIS</v>
          </cell>
          <cell r="V416" t="str">
            <v>M.</v>
          </cell>
          <cell r="W416" t="str">
            <v>SAADAH</v>
          </cell>
          <cell r="X416" t="str">
            <v>75003</v>
          </cell>
          <cell r="Y416" t="str">
            <v>PARIS</v>
          </cell>
          <cell r="Z416">
            <v>1224.6100000000001</v>
          </cell>
          <cell r="AD416">
            <v>1224.6100000000001</v>
          </cell>
          <cell r="AM416">
            <v>0</v>
          </cell>
          <cell r="AN416">
            <v>-1</v>
          </cell>
          <cell r="AO416" t="str">
            <v>001-G-92BISTAR</v>
          </cell>
          <cell r="AP416" t="str">
            <v>001-L-92BISTAR</v>
          </cell>
          <cell r="AQ416">
            <v>39631</v>
          </cell>
          <cell r="AX416">
            <v>0</v>
          </cell>
          <cell r="AY416">
            <v>0</v>
          </cell>
          <cell r="AZ416">
            <v>0</v>
          </cell>
        </row>
        <row r="417">
          <cell r="A417">
            <v>594121</v>
          </cell>
          <cell r="B417" t="str">
            <v>BEL WOMAN</v>
          </cell>
          <cell r="G417" t="str">
            <v>OUI</v>
          </cell>
          <cell r="H417" t="str">
            <v>PAS DE CA EN 2012</v>
          </cell>
          <cell r="I417">
            <v>0</v>
          </cell>
          <cell r="J417">
            <v>0</v>
          </cell>
          <cell r="K417" t="str">
            <v>NON</v>
          </cell>
          <cell r="L417" t="str">
            <v>NON</v>
          </cell>
          <cell r="N417" t="str">
            <v>Non affecté</v>
          </cell>
          <cell r="O417" t="str">
            <v>JPP</v>
          </cell>
          <cell r="P417" t="str">
            <v>Ok mon client</v>
          </cell>
          <cell r="Q417" t="str">
            <v>GENNEVILLIERS</v>
          </cell>
          <cell r="R417" t="str">
            <v>75</v>
          </cell>
          <cell r="S417" t="str">
            <v>65 RUE SEDAINE</v>
          </cell>
          <cell r="T417" t="str">
            <v>75011</v>
          </cell>
          <cell r="U417" t="str">
            <v>PARIS</v>
          </cell>
          <cell r="W417" t="str">
            <v>Directeur Logistique et Transports</v>
          </cell>
          <cell r="X417" t="str">
            <v>75011</v>
          </cell>
          <cell r="Y417" t="str">
            <v>PARIS</v>
          </cell>
          <cell r="AB417">
            <v>662</v>
          </cell>
          <cell r="AD417">
            <v>662</v>
          </cell>
          <cell r="AM417">
            <v>0</v>
          </cell>
          <cell r="AN417">
            <v>-1</v>
          </cell>
          <cell r="AX417">
            <v>0</v>
          </cell>
          <cell r="AY417">
            <v>0</v>
          </cell>
          <cell r="AZ417">
            <v>0</v>
          </cell>
        </row>
        <row r="418">
          <cell r="A418">
            <v>595406</v>
          </cell>
          <cell r="B418" t="str">
            <v>SOUVENIRS BEAUTE AFRO</v>
          </cell>
          <cell r="G418" t="str">
            <v>OUI</v>
          </cell>
          <cell r="H418" t="str">
            <v>PAS DE CA EN 2012</v>
          </cell>
          <cell r="I418">
            <v>0</v>
          </cell>
          <cell r="J418">
            <v>0</v>
          </cell>
          <cell r="K418" t="str">
            <v>NON</v>
          </cell>
          <cell r="L418" t="str">
            <v>NON</v>
          </cell>
          <cell r="N418" t="str">
            <v>Non affecté</v>
          </cell>
          <cell r="O418" t="str">
            <v>JPP</v>
          </cell>
          <cell r="P418" t="str">
            <v>Ok mon client</v>
          </cell>
          <cell r="Q418" t="str">
            <v>GENNEVILLIERS</v>
          </cell>
          <cell r="R418" t="str">
            <v>75</v>
          </cell>
          <cell r="S418" t="str">
            <v>76 RUE MYRHA</v>
          </cell>
          <cell r="T418">
            <v>75018</v>
          </cell>
          <cell r="U418" t="str">
            <v>PARIS</v>
          </cell>
          <cell r="W418" t="str">
            <v>Directeur Logistique et Transports</v>
          </cell>
          <cell r="X418" t="str">
            <v>75018</v>
          </cell>
          <cell r="Y418" t="str">
            <v>PARIS</v>
          </cell>
          <cell r="AA418">
            <v>404.91</v>
          </cell>
          <cell r="AD418">
            <v>404.91</v>
          </cell>
          <cell r="AM418">
            <v>0</v>
          </cell>
          <cell r="AN418">
            <v>-1</v>
          </cell>
          <cell r="AO418" t="str">
            <v>259-G-75SOUVENIRSBEAUTE</v>
          </cell>
          <cell r="AX418">
            <v>0</v>
          </cell>
          <cell r="AY418">
            <v>0</v>
          </cell>
          <cell r="AZ418">
            <v>0</v>
          </cell>
        </row>
        <row r="419">
          <cell r="A419">
            <v>597683</v>
          </cell>
          <cell r="B419" t="str">
            <v>COLOR CLUB FRANCE</v>
          </cell>
          <cell r="C419">
            <v>0.1</v>
          </cell>
          <cell r="D419">
            <v>0.1</v>
          </cell>
          <cell r="E419">
            <v>0.02</v>
          </cell>
          <cell r="F419">
            <v>41306</v>
          </cell>
          <cell r="G419" t="str">
            <v>OUI</v>
          </cell>
          <cell r="H419" t="str">
            <v>PAS DE CA EN 2012</v>
          </cell>
          <cell r="I419">
            <v>0</v>
          </cell>
          <cell r="J419">
            <v>0</v>
          </cell>
          <cell r="K419" t="str">
            <v>NON</v>
          </cell>
          <cell r="L419" t="str">
            <v>OK</v>
          </cell>
          <cell r="N419" t="str">
            <v>Non affecté</v>
          </cell>
          <cell r="O419" t="str">
            <v>JPP</v>
          </cell>
          <cell r="P419" t="str">
            <v>Ok mon client</v>
          </cell>
          <cell r="Q419" t="str">
            <v>GENNEVILLIERS</v>
          </cell>
          <cell r="R419" t="str">
            <v>92</v>
          </cell>
          <cell r="S419" t="str">
            <v xml:space="preserve">44 RUE DES MEUNIERS             </v>
          </cell>
          <cell r="T419" t="str">
            <v>92223</v>
          </cell>
          <cell r="U419" t="str">
            <v>BAGNEUX</v>
          </cell>
          <cell r="V419" t="str">
            <v>Mme</v>
          </cell>
          <cell r="W419" t="str">
            <v>BARKAT</v>
          </cell>
          <cell r="X419" t="str">
            <v>92223</v>
          </cell>
          <cell r="Y419" t="str">
            <v>BAGNEUX</v>
          </cell>
          <cell r="AA419">
            <v>80.97</v>
          </cell>
          <cell r="AB419">
            <v>270.5</v>
          </cell>
          <cell r="AD419">
            <v>351.47</v>
          </cell>
          <cell r="AM419">
            <v>0</v>
          </cell>
          <cell r="AN419">
            <v>-1</v>
          </cell>
          <cell r="AO419" t="str">
            <v>001-G-GENERAL-KG-5</v>
          </cell>
          <cell r="AP419" t="str">
            <v>001-L-GENERAL-KG</v>
          </cell>
          <cell r="AQ419">
            <v>39661</v>
          </cell>
          <cell r="AX419">
            <v>0</v>
          </cell>
          <cell r="AY419">
            <v>0</v>
          </cell>
          <cell r="AZ419">
            <v>0</v>
          </cell>
        </row>
        <row r="420">
          <cell r="A420">
            <v>599829</v>
          </cell>
          <cell r="B420" t="str">
            <v>AJ SERVICE</v>
          </cell>
          <cell r="C420">
            <v>0.1</v>
          </cell>
          <cell r="D420">
            <v>0.1</v>
          </cell>
          <cell r="E420">
            <v>0.02</v>
          </cell>
          <cell r="F420">
            <v>41306</v>
          </cell>
          <cell r="G420" t="str">
            <v>OUI</v>
          </cell>
          <cell r="I420">
            <v>0</v>
          </cell>
          <cell r="J420">
            <v>0</v>
          </cell>
          <cell r="K420" t="str">
            <v>OK</v>
          </cell>
          <cell r="L420" t="str">
            <v>OK</v>
          </cell>
          <cell r="N420" t="str">
            <v>Non affecté</v>
          </cell>
          <cell r="O420" t="str">
            <v>JPP</v>
          </cell>
          <cell r="P420" t="str">
            <v>Ok mon client</v>
          </cell>
          <cell r="Q420" t="str">
            <v>GENNEVILLIERS</v>
          </cell>
          <cell r="R420" t="str">
            <v>92</v>
          </cell>
          <cell r="S420" t="str">
            <v xml:space="preserve">14 BIS RUE DE SEVRES            </v>
          </cell>
          <cell r="T420" t="str">
            <v>92100</v>
          </cell>
          <cell r="U420" t="str">
            <v>BOULOGNE</v>
          </cell>
          <cell r="V420" t="str">
            <v>Mme</v>
          </cell>
          <cell r="W420" t="str">
            <v>ATALE</v>
          </cell>
          <cell r="X420" t="str">
            <v>92100</v>
          </cell>
          <cell r="Y420" t="str">
            <v>BOULOGNE</v>
          </cell>
          <cell r="Z420">
            <v>377.53</v>
          </cell>
          <cell r="AA420">
            <v>137.98000000000002</v>
          </cell>
          <cell r="AD420">
            <v>515.51</v>
          </cell>
          <cell r="AM420">
            <v>0</v>
          </cell>
          <cell r="AN420">
            <v>-1</v>
          </cell>
          <cell r="AO420" t="str">
            <v>001-CONTRAT TYPE +50%</v>
          </cell>
          <cell r="AX420">
            <v>0</v>
          </cell>
          <cell r="AY420">
            <v>0</v>
          </cell>
          <cell r="AZ420">
            <v>0</v>
          </cell>
        </row>
        <row r="421">
          <cell r="A421">
            <v>608387</v>
          </cell>
          <cell r="B421" t="str">
            <v>CODIMATEL</v>
          </cell>
          <cell r="C421">
            <v>0.1</v>
          </cell>
          <cell r="D421">
            <v>0.1</v>
          </cell>
          <cell r="E421">
            <v>0.02</v>
          </cell>
          <cell r="F421">
            <v>41306</v>
          </cell>
          <cell r="G421" t="str">
            <v>OUI</v>
          </cell>
          <cell r="I421">
            <v>0</v>
          </cell>
          <cell r="J421">
            <v>0</v>
          </cell>
          <cell r="K421" t="str">
            <v>OK</v>
          </cell>
          <cell r="L421" t="str">
            <v>OK</v>
          </cell>
          <cell r="N421" t="str">
            <v>Non affecté</v>
          </cell>
          <cell r="O421" t="str">
            <v>JPP</v>
          </cell>
          <cell r="P421" t="str">
            <v>Ok mon client</v>
          </cell>
          <cell r="Q421" t="str">
            <v>GENNEVILLIERS</v>
          </cell>
          <cell r="R421" t="str">
            <v>93</v>
          </cell>
          <cell r="S421" t="str">
            <v>85 RUE DES FRERES LUMIERES</v>
          </cell>
          <cell r="T421">
            <v>93330</v>
          </cell>
          <cell r="U421" t="str">
            <v>NEUILLY SUR MARNE</v>
          </cell>
          <cell r="W421" t="str">
            <v>Directeur Logistique et Transports</v>
          </cell>
          <cell r="X421" t="str">
            <v>93330</v>
          </cell>
          <cell r="Y421" t="str">
            <v>NEUILLY SUR MARNE</v>
          </cell>
          <cell r="Z421">
            <v>1225</v>
          </cell>
          <cell r="AA421">
            <v>413.77</v>
          </cell>
          <cell r="AB421">
            <v>366.90999999999997</v>
          </cell>
          <cell r="AD421">
            <v>2005.6799999999998</v>
          </cell>
          <cell r="AM421">
            <v>0</v>
          </cell>
          <cell r="AN421">
            <v>-1</v>
          </cell>
          <cell r="AO421" t="str">
            <v>259-G-93CODIMATEL</v>
          </cell>
          <cell r="AX421">
            <v>0</v>
          </cell>
          <cell r="AY421">
            <v>0</v>
          </cell>
          <cell r="AZ421">
            <v>0</v>
          </cell>
        </row>
        <row r="422">
          <cell r="A422">
            <v>60883</v>
          </cell>
          <cell r="B422" t="str">
            <v>POLYPORE</v>
          </cell>
          <cell r="G422" t="str">
            <v>NON</v>
          </cell>
          <cell r="H422" t="str">
            <v>PERDU</v>
          </cell>
          <cell r="I422">
            <v>0</v>
          </cell>
          <cell r="J422">
            <v>0</v>
          </cell>
          <cell r="K422" t="str">
            <v>NON</v>
          </cell>
          <cell r="L422" t="str">
            <v>NON</v>
          </cell>
          <cell r="N422" t="str">
            <v>Non affecté</v>
          </cell>
          <cell r="O422" t="str">
            <v>JPP</v>
          </cell>
          <cell r="P422" t="str">
            <v>Ok mon client</v>
          </cell>
          <cell r="Q422" t="str">
            <v>GENNEVILLIERS</v>
          </cell>
          <cell r="R422" t="str">
            <v>92</v>
          </cell>
          <cell r="S422" t="str">
            <v>27 BLD LOUISE MICHEL</v>
          </cell>
          <cell r="T422" t="str">
            <v>92230</v>
          </cell>
          <cell r="U422" t="str">
            <v>GENNEVILLIERS</v>
          </cell>
          <cell r="W422" t="str">
            <v>Christine BUSSON</v>
          </cell>
          <cell r="X422" t="str">
            <v>92230</v>
          </cell>
          <cell r="Y422" t="str">
            <v>GENNEVILLIERS</v>
          </cell>
          <cell r="AB422">
            <v>665.87999999999988</v>
          </cell>
          <cell r="AD422">
            <v>665.87999999999988</v>
          </cell>
          <cell r="AM422">
            <v>0</v>
          </cell>
          <cell r="AN422">
            <v>-1</v>
          </cell>
          <cell r="AO422" t="str">
            <v>001-CONTRAT TYPE +50%</v>
          </cell>
          <cell r="AQ422">
            <v>40001</v>
          </cell>
          <cell r="AX422">
            <v>0</v>
          </cell>
          <cell r="AY422">
            <v>0</v>
          </cell>
          <cell r="AZ422">
            <v>0</v>
          </cell>
        </row>
        <row r="423">
          <cell r="A423">
            <v>615417</v>
          </cell>
          <cell r="B423" t="str">
            <v>LUCHARD INDUSTRIE GMD</v>
          </cell>
          <cell r="G423" t="str">
            <v>OUI</v>
          </cell>
          <cell r="H423" t="str">
            <v>PAS GERE PAR 001</v>
          </cell>
          <cell r="I423">
            <v>0</v>
          </cell>
          <cell r="J423">
            <v>0</v>
          </cell>
          <cell r="K423" t="str">
            <v>NON</v>
          </cell>
          <cell r="L423" t="str">
            <v>NON</v>
          </cell>
          <cell r="N423" t="str">
            <v>Non affecté</v>
          </cell>
          <cell r="O423" t="str">
            <v>JPP</v>
          </cell>
          <cell r="P423" t="str">
            <v>Ok mon client</v>
          </cell>
          <cell r="Q423" t="str">
            <v>GENNEVILLIERS</v>
          </cell>
          <cell r="R423" t="str">
            <v>60</v>
          </cell>
          <cell r="X423" t="str">
            <v>60210</v>
          </cell>
          <cell r="Y423" t="str">
            <v>GRANDVILLIERS</v>
          </cell>
          <cell r="AC423">
            <v>11000</v>
          </cell>
          <cell r="AD423">
            <v>11000</v>
          </cell>
          <cell r="AM423">
            <v>0</v>
          </cell>
          <cell r="AN423">
            <v>-1</v>
          </cell>
          <cell r="AX423">
            <v>0</v>
          </cell>
          <cell r="AY423">
            <v>0</v>
          </cell>
          <cell r="AZ423">
            <v>0</v>
          </cell>
        </row>
        <row r="424">
          <cell r="A424">
            <v>637621</v>
          </cell>
          <cell r="B424" t="str">
            <v>PHOTOMATON SAS</v>
          </cell>
          <cell r="C424">
            <v>0.1</v>
          </cell>
          <cell r="D424">
            <v>0.1</v>
          </cell>
          <cell r="E424">
            <v>0.02</v>
          </cell>
          <cell r="F424">
            <v>41306</v>
          </cell>
          <cell r="G424" t="str">
            <v>OUI</v>
          </cell>
          <cell r="I424">
            <v>0</v>
          </cell>
          <cell r="J424">
            <v>0</v>
          </cell>
          <cell r="K424" t="str">
            <v>OK</v>
          </cell>
          <cell r="L424" t="str">
            <v>OK</v>
          </cell>
          <cell r="N424" t="str">
            <v>Non affecté</v>
          </cell>
          <cell r="O424" t="str">
            <v>JPP</v>
          </cell>
          <cell r="P424" t="str">
            <v>Ok mon client</v>
          </cell>
          <cell r="Q424" t="str">
            <v>GENNEVILLIERS</v>
          </cell>
          <cell r="R424" t="str">
            <v>93</v>
          </cell>
          <cell r="S424" t="str">
            <v>4 RUE DE LA CROIX FARON</v>
          </cell>
          <cell r="T424" t="str">
            <v>93217</v>
          </cell>
          <cell r="U424" t="str">
            <v>LA PLAINE SAINT DENIS CEDEX</v>
          </cell>
          <cell r="V424" t="str">
            <v>M.</v>
          </cell>
          <cell r="W424" t="str">
            <v>LECORRE</v>
          </cell>
          <cell r="X424" t="str">
            <v>93217</v>
          </cell>
          <cell r="Y424" t="str">
            <v>LA PLAINE SAINT DENIS CEDEX</v>
          </cell>
          <cell r="Z424">
            <v>1665</v>
          </cell>
          <cell r="AA424">
            <v>72.5</v>
          </cell>
          <cell r="AB424">
            <v>90.8</v>
          </cell>
          <cell r="AD424">
            <v>1828.3</v>
          </cell>
          <cell r="AM424">
            <v>0</v>
          </cell>
          <cell r="AN424">
            <v>-1</v>
          </cell>
          <cell r="AO424" t="str">
            <v>001-G-93PHOTOMATON</v>
          </cell>
          <cell r="AQ424">
            <v>39224</v>
          </cell>
          <cell r="AX424">
            <v>0</v>
          </cell>
          <cell r="AY424">
            <v>0</v>
          </cell>
          <cell r="AZ424">
            <v>0</v>
          </cell>
        </row>
        <row r="425">
          <cell r="A425">
            <v>678915</v>
          </cell>
          <cell r="B425" t="str">
            <v>COMPASS GROUP FRANCE SAS</v>
          </cell>
          <cell r="G425" t="str">
            <v>OUI</v>
          </cell>
          <cell r="H425" t="str">
            <v>PAS DE CONTRAT</v>
          </cell>
          <cell r="I425">
            <v>0</v>
          </cell>
          <cell r="J425">
            <v>0</v>
          </cell>
          <cell r="K425" t="str">
            <v>NON</v>
          </cell>
          <cell r="L425" t="str">
            <v>NON</v>
          </cell>
          <cell r="N425" t="str">
            <v>Non affecté</v>
          </cell>
          <cell r="O425" t="str">
            <v>JPP</v>
          </cell>
          <cell r="P425" t="str">
            <v>Ok mon client</v>
          </cell>
          <cell r="Q425" t="str">
            <v>GENNEVILLIERS</v>
          </cell>
          <cell r="R425" t="str">
            <v>92</v>
          </cell>
          <cell r="X425" t="str">
            <v>92320</v>
          </cell>
          <cell r="Y425" t="str">
            <v>CHATILLON</v>
          </cell>
          <cell r="Z425">
            <v>3296.2</v>
          </cell>
          <cell r="AD425">
            <v>3296.2</v>
          </cell>
          <cell r="AM425">
            <v>0</v>
          </cell>
          <cell r="AN425">
            <v>-1</v>
          </cell>
          <cell r="AX425">
            <v>0</v>
          </cell>
          <cell r="AY425">
            <v>0</v>
          </cell>
          <cell r="AZ425">
            <v>0</v>
          </cell>
        </row>
        <row r="426">
          <cell r="A426">
            <v>687741</v>
          </cell>
          <cell r="B426" t="str">
            <v>IB REMARKETING</v>
          </cell>
          <cell r="G426" t="str">
            <v>NON</v>
          </cell>
          <cell r="H426" t="str">
            <v>PERDU</v>
          </cell>
          <cell r="I426">
            <v>0</v>
          </cell>
          <cell r="J426">
            <v>0</v>
          </cell>
          <cell r="K426" t="str">
            <v>NON</v>
          </cell>
          <cell r="L426" t="str">
            <v>NON</v>
          </cell>
          <cell r="N426" t="str">
            <v>Non affecté</v>
          </cell>
          <cell r="O426" t="str">
            <v>JPP</v>
          </cell>
          <cell r="P426" t="str">
            <v>Ok mon client</v>
          </cell>
          <cell r="Q426" t="str">
            <v>GENNEVILLIERS</v>
          </cell>
          <cell r="R426" t="str">
            <v>93</v>
          </cell>
          <cell r="S426" t="str">
            <v>4 RUE MAURICE DE BROGLIE</v>
          </cell>
          <cell r="T426">
            <v>93600</v>
          </cell>
          <cell r="U426" t="str">
            <v>AULNAY SOUS BOIS</v>
          </cell>
          <cell r="W426" t="str">
            <v>Directeur Logistique et Transports</v>
          </cell>
          <cell r="X426" t="str">
            <v>93600</v>
          </cell>
          <cell r="Y426" t="str">
            <v>AULNAY SOUS BOIS</v>
          </cell>
          <cell r="Z426">
            <v>1718</v>
          </cell>
          <cell r="AD426">
            <v>1718</v>
          </cell>
          <cell r="AM426">
            <v>0</v>
          </cell>
          <cell r="AN426">
            <v>-1</v>
          </cell>
          <cell r="AQ426">
            <v>40655</v>
          </cell>
          <cell r="AX426">
            <v>0</v>
          </cell>
          <cell r="AY426">
            <v>0</v>
          </cell>
          <cell r="AZ426">
            <v>0</v>
          </cell>
        </row>
        <row r="427">
          <cell r="A427">
            <v>691761</v>
          </cell>
          <cell r="B427" t="str">
            <v>HYGITECH</v>
          </cell>
          <cell r="C427">
            <v>0.1</v>
          </cell>
          <cell r="D427">
            <v>0.1</v>
          </cell>
          <cell r="E427">
            <v>0.02</v>
          </cell>
          <cell r="F427">
            <v>41306</v>
          </cell>
          <cell r="G427" t="str">
            <v>OUI</v>
          </cell>
          <cell r="I427">
            <v>0</v>
          </cell>
          <cell r="J427">
            <v>0</v>
          </cell>
          <cell r="K427" t="str">
            <v>OK</v>
          </cell>
          <cell r="L427" t="str">
            <v>OK</v>
          </cell>
          <cell r="N427" t="str">
            <v>Non affecté</v>
          </cell>
          <cell r="O427" t="str">
            <v>JPP</v>
          </cell>
          <cell r="P427" t="str">
            <v>Ok mon client</v>
          </cell>
          <cell r="Q427" t="str">
            <v>GENNEVILLIERS</v>
          </cell>
          <cell r="R427" t="str">
            <v>75</v>
          </cell>
          <cell r="S427" t="str">
            <v>25 RUE BLEUE</v>
          </cell>
          <cell r="T427" t="str">
            <v>75009</v>
          </cell>
          <cell r="U427" t="str">
            <v>PARIS 09</v>
          </cell>
          <cell r="V427" t="str">
            <v>Mme</v>
          </cell>
          <cell r="W427" t="str">
            <v>CRAMPON</v>
          </cell>
          <cell r="X427" t="str">
            <v>75009</v>
          </cell>
          <cell r="Y427" t="str">
            <v>PARIS</v>
          </cell>
          <cell r="AM427">
            <v>0</v>
          </cell>
          <cell r="AO427" t="str">
            <v>001-CONTRAT TYPE +50%</v>
          </cell>
          <cell r="AQ427">
            <v>39666</v>
          </cell>
          <cell r="AX427">
            <v>0</v>
          </cell>
          <cell r="AY427">
            <v>0</v>
          </cell>
          <cell r="AZ427">
            <v>0</v>
          </cell>
        </row>
        <row r="428">
          <cell r="A428">
            <v>697326</v>
          </cell>
          <cell r="B428" t="str">
            <v>NOIR ET BLANC VOGUE</v>
          </cell>
          <cell r="G428" t="str">
            <v>OUI</v>
          </cell>
          <cell r="H428" t="str">
            <v>PAS DE CA EN 2012</v>
          </cell>
          <cell r="I428">
            <v>0</v>
          </cell>
          <cell r="J428">
            <v>0</v>
          </cell>
          <cell r="K428" t="str">
            <v>NON</v>
          </cell>
          <cell r="L428" t="str">
            <v>NON</v>
          </cell>
          <cell r="N428" t="str">
            <v>Non affecté</v>
          </cell>
          <cell r="O428" t="str">
            <v>JPP</v>
          </cell>
          <cell r="P428" t="str">
            <v>Ok mon client</v>
          </cell>
          <cell r="Q428" t="str">
            <v>GENNEVILLIERS</v>
          </cell>
          <cell r="R428" t="str">
            <v>75</v>
          </cell>
          <cell r="S428" t="str">
            <v>67 RUE SEDAINE</v>
          </cell>
          <cell r="T428">
            <v>75011</v>
          </cell>
          <cell r="U428" t="str">
            <v>PARIS</v>
          </cell>
          <cell r="W428" t="str">
            <v>Directeur Logistique et Transports</v>
          </cell>
          <cell r="X428" t="str">
            <v>75011</v>
          </cell>
          <cell r="Y428" t="str">
            <v>PARIS</v>
          </cell>
          <cell r="AB428">
            <v>496</v>
          </cell>
          <cell r="AC428">
            <v>360</v>
          </cell>
          <cell r="AD428">
            <v>856</v>
          </cell>
          <cell r="AM428">
            <v>0</v>
          </cell>
          <cell r="AN428">
            <v>-1</v>
          </cell>
          <cell r="AX428">
            <v>0</v>
          </cell>
          <cell r="AY428">
            <v>0</v>
          </cell>
          <cell r="AZ428">
            <v>0</v>
          </cell>
        </row>
        <row r="429">
          <cell r="A429">
            <v>700079</v>
          </cell>
          <cell r="B429" t="str">
            <v>TUNG DESIGN</v>
          </cell>
          <cell r="G429" t="str">
            <v>OUI</v>
          </cell>
          <cell r="H429" t="str">
            <v>PAS DE CA EN 2012</v>
          </cell>
          <cell r="I429">
            <v>0</v>
          </cell>
          <cell r="J429">
            <v>0</v>
          </cell>
          <cell r="K429" t="str">
            <v>NON</v>
          </cell>
          <cell r="L429" t="str">
            <v>NON</v>
          </cell>
          <cell r="N429" t="str">
            <v>Non affecté</v>
          </cell>
          <cell r="O429" t="str">
            <v>JPP</v>
          </cell>
          <cell r="P429" t="str">
            <v>Ok mon client</v>
          </cell>
          <cell r="Q429" t="str">
            <v>GENNEVILLIERS</v>
          </cell>
          <cell r="R429" t="str">
            <v>93</v>
          </cell>
          <cell r="S429" t="str">
            <v>16 RUE CAGE</v>
          </cell>
          <cell r="T429" t="str">
            <v>93400</v>
          </cell>
          <cell r="U429" t="str">
            <v>SAINT OUEN</v>
          </cell>
          <cell r="V429" t="str">
            <v>Mme</v>
          </cell>
          <cell r="W429" t="str">
            <v>FRANCIS</v>
          </cell>
          <cell r="X429" t="str">
            <v>93400</v>
          </cell>
          <cell r="Y429" t="str">
            <v>SAINT OUEN</v>
          </cell>
          <cell r="AB429">
            <v>893.07999999999993</v>
          </cell>
          <cell r="AD429">
            <v>893.07999999999993</v>
          </cell>
          <cell r="AM429">
            <v>0</v>
          </cell>
          <cell r="AN429">
            <v>-1</v>
          </cell>
          <cell r="AO429" t="str">
            <v>259-G-93TUNGDESIGN</v>
          </cell>
          <cell r="AX429">
            <v>0</v>
          </cell>
          <cell r="AY429">
            <v>0</v>
          </cell>
          <cell r="AZ429">
            <v>0</v>
          </cell>
        </row>
        <row r="430">
          <cell r="A430">
            <v>81592</v>
          </cell>
          <cell r="B430" t="str">
            <v>VIKING DIRECT</v>
          </cell>
          <cell r="G430" t="str">
            <v>NON</v>
          </cell>
          <cell r="H430" t="str">
            <v>DEMANDE DES COT</v>
          </cell>
          <cell r="I430">
            <v>0</v>
          </cell>
          <cell r="J430">
            <v>0</v>
          </cell>
          <cell r="K430" t="str">
            <v>NON</v>
          </cell>
          <cell r="L430" t="str">
            <v>NON</v>
          </cell>
          <cell r="N430" t="str">
            <v>Non affecté</v>
          </cell>
          <cell r="O430" t="str">
            <v>MM</v>
          </cell>
          <cell r="P430" t="str">
            <v>Ok mon client</v>
          </cell>
          <cell r="Q430" t="str">
            <v>GENNEVILLIERS</v>
          </cell>
          <cell r="R430" t="str">
            <v>95</v>
          </cell>
          <cell r="S430" t="str">
            <v>22 AVENUE DES NATIONS - BAT. ROSTAND</v>
          </cell>
          <cell r="T430" t="str">
            <v>95915</v>
          </cell>
          <cell r="U430" t="str">
            <v>ROISSY CDG CEDEX</v>
          </cell>
          <cell r="W430" t="str">
            <v>Directeur Logistique et Transports</v>
          </cell>
          <cell r="X430" t="str">
            <v>95915</v>
          </cell>
          <cell r="Y430" t="str">
            <v>ROISSY CDG CEDEX</v>
          </cell>
          <cell r="AB430">
            <v>532.67999999999995</v>
          </cell>
          <cell r="AD430">
            <v>532.67999999999995</v>
          </cell>
          <cell r="AM430">
            <v>0</v>
          </cell>
          <cell r="AN430">
            <v>-1</v>
          </cell>
          <cell r="AX430">
            <v>0</v>
          </cell>
          <cell r="AY430">
            <v>0</v>
          </cell>
          <cell r="AZ430">
            <v>0</v>
          </cell>
        </row>
        <row r="431">
          <cell r="A431">
            <v>825622</v>
          </cell>
          <cell r="B431" t="str">
            <v>MD3B ADI AUTO</v>
          </cell>
          <cell r="G431" t="str">
            <v>OUI</v>
          </cell>
          <cell r="H431" t="str">
            <v>LIQ JUDICIAIRE</v>
          </cell>
          <cell r="I431">
            <v>0</v>
          </cell>
          <cell r="J431">
            <v>0</v>
          </cell>
          <cell r="K431" t="str">
            <v>NON</v>
          </cell>
          <cell r="L431" t="str">
            <v>NON</v>
          </cell>
          <cell r="N431" t="str">
            <v>Non affecté</v>
          </cell>
          <cell r="O431" t="str">
            <v>JPP</v>
          </cell>
          <cell r="P431" t="str">
            <v>Ok mon client</v>
          </cell>
          <cell r="Q431" t="str">
            <v>GENNEVILLIERS</v>
          </cell>
          <cell r="R431" t="str">
            <v>92</v>
          </cell>
          <cell r="S431" t="str">
            <v>96 RUE THIERS</v>
          </cell>
          <cell r="T431" t="str">
            <v>92100</v>
          </cell>
          <cell r="U431" t="str">
            <v>BOULOGNE BILLANCOURT</v>
          </cell>
          <cell r="V431" t="str">
            <v>M.</v>
          </cell>
          <cell r="W431" t="str">
            <v>DUMONTEIL Serge</v>
          </cell>
          <cell r="X431" t="str">
            <v>92100</v>
          </cell>
          <cell r="Y431" t="str">
            <v>BOULOGNE BILLANCOURT</v>
          </cell>
          <cell r="Z431">
            <v>711</v>
          </cell>
          <cell r="AA431">
            <v>14737.2</v>
          </cell>
          <cell r="AB431">
            <v>3555.0499999999997</v>
          </cell>
          <cell r="AD431">
            <v>19003.25</v>
          </cell>
          <cell r="AM431">
            <v>0</v>
          </cell>
          <cell r="AN431">
            <v>-1</v>
          </cell>
          <cell r="AO431" t="str">
            <v>001-G-92MD3B</v>
          </cell>
          <cell r="AQ431">
            <v>40281</v>
          </cell>
          <cell r="AX431">
            <v>0</v>
          </cell>
          <cell r="AY431">
            <v>0</v>
          </cell>
          <cell r="AZ431">
            <v>0</v>
          </cell>
        </row>
        <row r="432">
          <cell r="A432">
            <v>827402</v>
          </cell>
          <cell r="B432" t="str">
            <v>3A GESTION</v>
          </cell>
          <cell r="G432" t="str">
            <v>OUI</v>
          </cell>
          <cell r="H432" t="str">
            <v>PAS DE CA EN 2012</v>
          </cell>
          <cell r="I432">
            <v>0</v>
          </cell>
          <cell r="J432">
            <v>0</v>
          </cell>
          <cell r="K432" t="str">
            <v>NON</v>
          </cell>
          <cell r="L432" t="str">
            <v>NON</v>
          </cell>
          <cell r="N432" t="str">
            <v>Non affecté</v>
          </cell>
          <cell r="O432" t="str">
            <v>JPP</v>
          </cell>
          <cell r="P432" t="str">
            <v>Ok mon client</v>
          </cell>
          <cell r="Q432" t="str">
            <v>GENNEVILLIERS</v>
          </cell>
          <cell r="R432" t="str">
            <v>92</v>
          </cell>
          <cell r="S432" t="str">
            <v>2-4 ROUTE DU MÔLE BAT B24-CE221 
92637-GENNEVILLIERS CEDEX</v>
          </cell>
          <cell r="T432" t="str">
            <v>92230</v>
          </cell>
          <cell r="U432" t="str">
            <v>GENNEVILLIERS</v>
          </cell>
          <cell r="W432" t="str">
            <v>Amine CHELLI</v>
          </cell>
          <cell r="X432" t="str">
            <v>92637</v>
          </cell>
          <cell r="Y432" t="str">
            <v>GENNEVILLIERS</v>
          </cell>
          <cell r="Z432">
            <v>3468.9899999999993</v>
          </cell>
          <cell r="AA432">
            <v>13254.269999999999</v>
          </cell>
          <cell r="AD432">
            <v>16723.259999999998</v>
          </cell>
          <cell r="AM432">
            <v>0</v>
          </cell>
          <cell r="AN432">
            <v>-1</v>
          </cell>
          <cell r="AQ432">
            <v>40302</v>
          </cell>
          <cell r="AX432">
            <v>0</v>
          </cell>
          <cell r="AY432">
            <v>0</v>
          </cell>
          <cell r="AZ432">
            <v>0</v>
          </cell>
        </row>
        <row r="433">
          <cell r="A433">
            <v>839766</v>
          </cell>
          <cell r="B433" t="str">
            <v>EUROPE HYDRO</v>
          </cell>
          <cell r="G433" t="str">
            <v>OUI</v>
          </cell>
          <cell r="H433" t="str">
            <v>RJ</v>
          </cell>
          <cell r="I433">
            <v>0</v>
          </cell>
          <cell r="J433">
            <v>0</v>
          </cell>
          <cell r="K433" t="str">
            <v>NON</v>
          </cell>
          <cell r="L433" t="str">
            <v>NON</v>
          </cell>
          <cell r="N433" t="str">
            <v>Non affecté</v>
          </cell>
          <cell r="O433" t="str">
            <v>JPP</v>
          </cell>
          <cell r="P433" t="str">
            <v>Ok mon client</v>
          </cell>
          <cell r="Q433" t="str">
            <v>GENNEVILLIERS</v>
          </cell>
          <cell r="R433" t="str">
            <v>93</v>
          </cell>
          <cell r="S433" t="str">
            <v>42/50 BD EMILE GENEVOIX</v>
          </cell>
          <cell r="T433">
            <v>93230</v>
          </cell>
          <cell r="U433" t="str">
            <v>ROMAINVILLE</v>
          </cell>
          <cell r="W433" t="str">
            <v>Directeur Logistique et Transports</v>
          </cell>
          <cell r="X433" t="str">
            <v>93230</v>
          </cell>
          <cell r="Y433" t="str">
            <v>ROMAINVILLE</v>
          </cell>
          <cell r="AA433">
            <v>2247.8000000000002</v>
          </cell>
          <cell r="AD433">
            <v>2247.8000000000002</v>
          </cell>
          <cell r="AM433">
            <v>0</v>
          </cell>
          <cell r="AN433">
            <v>-1</v>
          </cell>
          <cell r="AO433" t="str">
            <v>259-G-93EUROPEHYDRO</v>
          </cell>
          <cell r="AP433" t="str">
            <v>259-L-93EUROPEHYDRO</v>
          </cell>
          <cell r="AX433">
            <v>0</v>
          </cell>
          <cell r="AY433">
            <v>0</v>
          </cell>
          <cell r="AZ433">
            <v>0</v>
          </cell>
        </row>
        <row r="434">
          <cell r="A434">
            <v>841109</v>
          </cell>
          <cell r="B434" t="str">
            <v>SOGETUB</v>
          </cell>
          <cell r="G434" t="str">
            <v>NON</v>
          </cell>
          <cell r="H434" t="str">
            <v>PERDU</v>
          </cell>
          <cell r="I434">
            <v>0</v>
          </cell>
          <cell r="J434">
            <v>0</v>
          </cell>
          <cell r="K434" t="str">
            <v>NON</v>
          </cell>
          <cell r="L434" t="str">
            <v>NON</v>
          </cell>
          <cell r="N434" t="str">
            <v>Non affecté</v>
          </cell>
          <cell r="O434" t="str">
            <v>JPP</v>
          </cell>
          <cell r="P434" t="str">
            <v>Ok mon client</v>
          </cell>
          <cell r="Q434" t="str">
            <v>GENNEVILLIERS</v>
          </cell>
          <cell r="R434" t="str">
            <v>93</v>
          </cell>
          <cell r="S434" t="str">
            <v>47 CHEMIN LATERAL</v>
          </cell>
          <cell r="T434">
            <v>93140</v>
          </cell>
          <cell r="U434" t="str">
            <v>BONDY</v>
          </cell>
          <cell r="W434" t="str">
            <v>Directeur Logistique et Transports</v>
          </cell>
          <cell r="X434" t="str">
            <v>93140</v>
          </cell>
          <cell r="Y434" t="str">
            <v>BONDY</v>
          </cell>
          <cell r="Z434">
            <v>24815.43</v>
          </cell>
          <cell r="AD434">
            <v>24815.43</v>
          </cell>
          <cell r="AM434">
            <v>0</v>
          </cell>
          <cell r="AN434">
            <v>-1</v>
          </cell>
          <cell r="AQ434">
            <v>40581</v>
          </cell>
          <cell r="AX434">
            <v>0</v>
          </cell>
          <cell r="AY434">
            <v>0</v>
          </cell>
          <cell r="AZ434">
            <v>0</v>
          </cell>
        </row>
        <row r="435">
          <cell r="A435">
            <v>841591</v>
          </cell>
          <cell r="B435" t="str">
            <v>RJ INTERNATIONAL</v>
          </cell>
          <cell r="G435" t="str">
            <v>NON</v>
          </cell>
          <cell r="H435" t="str">
            <v>PERDU</v>
          </cell>
          <cell r="I435">
            <v>0</v>
          </cell>
          <cell r="J435">
            <v>0</v>
          </cell>
          <cell r="K435" t="str">
            <v>NON</v>
          </cell>
          <cell r="L435" t="str">
            <v>NON</v>
          </cell>
          <cell r="N435" t="str">
            <v>Non affecté</v>
          </cell>
          <cell r="O435" t="str">
            <v>JPP</v>
          </cell>
          <cell r="P435" t="str">
            <v>Ok mon client</v>
          </cell>
          <cell r="Q435" t="str">
            <v>GENNEVILLIERS</v>
          </cell>
          <cell r="R435" t="str">
            <v>93</v>
          </cell>
          <cell r="S435" t="str">
            <v>9 RUE DE LA POTERIE</v>
          </cell>
          <cell r="T435">
            <v>93200</v>
          </cell>
          <cell r="U435" t="str">
            <v>SAINT DENIS</v>
          </cell>
          <cell r="V435" t="str">
            <v>M.</v>
          </cell>
          <cell r="W435" t="str">
            <v>Jacques Schneider</v>
          </cell>
          <cell r="X435" t="str">
            <v>93200</v>
          </cell>
          <cell r="Y435" t="str">
            <v>SAINT DENIS</v>
          </cell>
          <cell r="Z435">
            <v>200.65</v>
          </cell>
          <cell r="AA435">
            <v>5513.380000000001</v>
          </cell>
          <cell r="AB435">
            <v>1748.42</v>
          </cell>
          <cell r="AD435">
            <v>7462.4500000000007</v>
          </cell>
          <cell r="AM435">
            <v>0</v>
          </cell>
          <cell r="AN435">
            <v>-1</v>
          </cell>
          <cell r="AO435" t="str">
            <v>001-G-93RJINTERNATIONAL</v>
          </cell>
          <cell r="AQ435">
            <v>40589</v>
          </cell>
          <cell r="AX435">
            <v>0</v>
          </cell>
          <cell r="AY435">
            <v>0</v>
          </cell>
          <cell r="AZ435">
            <v>0</v>
          </cell>
        </row>
        <row r="436">
          <cell r="A436">
            <v>848714</v>
          </cell>
          <cell r="B436" t="str">
            <v>BOUYGUES BATIMENT IDF</v>
          </cell>
          <cell r="G436" t="str">
            <v>OUI</v>
          </cell>
          <cell r="H436" t="str">
            <v>PAS DE CA EN 2012</v>
          </cell>
          <cell r="I436">
            <v>0</v>
          </cell>
          <cell r="J436">
            <v>0</v>
          </cell>
          <cell r="K436" t="str">
            <v>NON</v>
          </cell>
          <cell r="L436" t="str">
            <v>NON</v>
          </cell>
          <cell r="N436" t="str">
            <v>Non affecté</v>
          </cell>
          <cell r="O436" t="str">
            <v>JPP</v>
          </cell>
          <cell r="P436" t="str">
            <v>Ok mon client</v>
          </cell>
          <cell r="Q436" t="str">
            <v>GENNEVILLIERS</v>
          </cell>
          <cell r="R436" t="str">
            <v>92</v>
          </cell>
          <cell r="S436" t="str">
            <v>117 QUAI ROOSEVELT</v>
          </cell>
          <cell r="T436">
            <v>92130</v>
          </cell>
          <cell r="U436" t="str">
            <v>ISSY LES MOULINEAUX</v>
          </cell>
          <cell r="W436" t="str">
            <v>Directeur Logistique et Transports</v>
          </cell>
          <cell r="X436" t="str">
            <v>92130</v>
          </cell>
          <cell r="Y436" t="str">
            <v>ISSY LES MOULINEAUX</v>
          </cell>
          <cell r="AM436">
            <v>0</v>
          </cell>
          <cell r="AX436">
            <v>0</v>
          </cell>
          <cell r="AY436">
            <v>0</v>
          </cell>
          <cell r="AZ436">
            <v>0</v>
          </cell>
        </row>
        <row r="437">
          <cell r="A437">
            <v>848939</v>
          </cell>
          <cell r="B437" t="str">
            <v>SUPPLY CHAIN PERFORMANCES</v>
          </cell>
          <cell r="G437" t="str">
            <v>NON</v>
          </cell>
          <cell r="H437" t="str">
            <v>COMPTE A FERMER</v>
          </cell>
          <cell r="I437">
            <v>0</v>
          </cell>
          <cell r="J437">
            <v>0</v>
          </cell>
          <cell r="K437" t="str">
            <v>NON</v>
          </cell>
          <cell r="L437" t="str">
            <v>NON</v>
          </cell>
          <cell r="N437" t="str">
            <v>Non affecté</v>
          </cell>
          <cell r="O437" t="str">
            <v>MM</v>
          </cell>
          <cell r="P437" t="str">
            <v>Ok mon client</v>
          </cell>
          <cell r="Q437" t="str">
            <v>GENNEVILLIERS</v>
          </cell>
          <cell r="R437" t="str">
            <v>95</v>
          </cell>
          <cell r="S437" t="str">
            <v>26-28 AVENUE DU FIEF</v>
          </cell>
          <cell r="T437">
            <v>95310</v>
          </cell>
          <cell r="U437" t="str">
            <v>SAINT OUEN L'AUMONE</v>
          </cell>
          <cell r="V437" t="str">
            <v>M.</v>
          </cell>
          <cell r="W437" t="str">
            <v>Franck Merelle</v>
          </cell>
          <cell r="X437" t="str">
            <v>95310</v>
          </cell>
          <cell r="Y437" t="str">
            <v>SAINT OUEN L'AUMONE</v>
          </cell>
          <cell r="Z437">
            <v>20717.46</v>
          </cell>
          <cell r="AD437">
            <v>20717.46</v>
          </cell>
          <cell r="AM437">
            <v>0</v>
          </cell>
          <cell r="AN437">
            <v>-1</v>
          </cell>
          <cell r="AP437" t="str">
            <v>001-L1-95SUPPLYCHAINPERF</v>
          </cell>
          <cell r="AQ437">
            <v>40728</v>
          </cell>
          <cell r="AX437">
            <v>0</v>
          </cell>
          <cell r="AY437">
            <v>0</v>
          </cell>
          <cell r="AZ437">
            <v>0</v>
          </cell>
        </row>
        <row r="438">
          <cell r="A438">
            <v>861957</v>
          </cell>
          <cell r="B438" t="str">
            <v>LA BOITE A SACS</v>
          </cell>
          <cell r="C438">
            <v>0.1</v>
          </cell>
          <cell r="D438">
            <v>0.1</v>
          </cell>
          <cell r="E438">
            <v>0.02</v>
          </cell>
          <cell r="F438">
            <v>41306</v>
          </cell>
          <cell r="G438" t="str">
            <v>NON</v>
          </cell>
          <cell r="H438" t="str">
            <v>DEMANDE DES COT</v>
          </cell>
          <cell r="I438">
            <v>0</v>
          </cell>
          <cell r="J438">
            <v>0</v>
          </cell>
          <cell r="K438" t="str">
            <v>OK</v>
          </cell>
          <cell r="L438" t="str">
            <v>OK</v>
          </cell>
          <cell r="N438" t="str">
            <v>Non affecté</v>
          </cell>
          <cell r="O438" t="str">
            <v>MM</v>
          </cell>
          <cell r="P438" t="str">
            <v>Ok mon client</v>
          </cell>
          <cell r="Q438" t="str">
            <v>GENNEVILLIERS</v>
          </cell>
          <cell r="R438" t="str">
            <v>95</v>
          </cell>
          <cell r="S438" t="str">
            <v>12 RUE DOROTHEA  LANGE</v>
          </cell>
          <cell r="T438">
            <v>95240</v>
          </cell>
          <cell r="U438" t="str">
            <v>CORMEILLES EN PARISIS</v>
          </cell>
          <cell r="V438" t="str">
            <v>M.</v>
          </cell>
          <cell r="W438" t="str">
            <v>BERNIER</v>
          </cell>
          <cell r="X438" t="str">
            <v>95240</v>
          </cell>
          <cell r="Y438" t="str">
            <v>CORMEILLES EN PARISIS</v>
          </cell>
          <cell r="Z438">
            <v>1961.27</v>
          </cell>
          <cell r="AD438">
            <v>1961.27</v>
          </cell>
          <cell r="AM438">
            <v>0</v>
          </cell>
          <cell r="AN438">
            <v>-1</v>
          </cell>
          <cell r="AO438" t="str">
            <v>001-G-95LABOITEASACS</v>
          </cell>
          <cell r="AP438" t="str">
            <v>001-L-95LABOITEASACS</v>
          </cell>
          <cell r="AQ438">
            <v>40841</v>
          </cell>
          <cell r="AX438">
            <v>0</v>
          </cell>
          <cell r="AY438">
            <v>0</v>
          </cell>
          <cell r="AZ438">
            <v>0</v>
          </cell>
        </row>
        <row r="439">
          <cell r="A439">
            <v>202974</v>
          </cell>
          <cell r="B439" t="str">
            <v>T S E FRANCE</v>
          </cell>
          <cell r="H439" t="str">
            <v>PAS DE CONTRAT DANS INES</v>
          </cell>
          <cell r="I439">
            <v>0</v>
          </cell>
          <cell r="J439">
            <v>0</v>
          </cell>
          <cell r="K439" t="str">
            <v>NON</v>
          </cell>
          <cell r="L439" t="str">
            <v>NON</v>
          </cell>
          <cell r="M439" t="str">
            <v>NON</v>
          </cell>
          <cell r="N439" t="str">
            <v>Non affecté</v>
          </cell>
          <cell r="O439" t="str">
            <v>FP</v>
          </cell>
          <cell r="P439" t="str">
            <v>Rajouté</v>
          </cell>
          <cell r="Q439" t="str">
            <v>GENNEVILLIERS</v>
          </cell>
          <cell r="R439" t="str">
            <v>94</v>
          </cell>
          <cell r="S439" t="str">
            <v>27 A 29 RUE GAY LUSSAC</v>
          </cell>
          <cell r="T439">
            <v>94430</v>
          </cell>
          <cell r="U439" t="str">
            <v>CHENNEVIERES S/MARNE</v>
          </cell>
          <cell r="X439" t="str">
            <v>94430</v>
          </cell>
          <cell r="Y439" t="str">
            <v>CHENNEVIERES S/MARNE</v>
          </cell>
          <cell r="Z439">
            <v>-725</v>
          </cell>
          <cell r="AD439">
            <v>-725</v>
          </cell>
          <cell r="AM439">
            <v>0</v>
          </cell>
          <cell r="AN439">
            <v>-1</v>
          </cell>
          <cell r="AX439">
            <v>0</v>
          </cell>
          <cell r="AY439">
            <v>0</v>
          </cell>
          <cell r="AZ439">
            <v>0</v>
          </cell>
        </row>
        <row r="440">
          <cell r="A440">
            <v>32639</v>
          </cell>
          <cell r="B440" t="str">
            <v>FONDERIE GENTILLY</v>
          </cell>
          <cell r="C440">
            <v>0.1</v>
          </cell>
          <cell r="D440">
            <v>0.1</v>
          </cell>
          <cell r="E440">
            <v>0.02</v>
          </cell>
          <cell r="F440">
            <v>41306</v>
          </cell>
          <cell r="G440" t="str">
            <v>OUI</v>
          </cell>
          <cell r="H440" t="str">
            <v>COMPTE RAPATRIE SUR 001</v>
          </cell>
          <cell r="I440">
            <v>0</v>
          </cell>
          <cell r="J440">
            <v>0</v>
          </cell>
          <cell r="K440" t="str">
            <v>OK</v>
          </cell>
          <cell r="L440" t="str">
            <v>OK</v>
          </cell>
          <cell r="N440" t="str">
            <v>Non affecté</v>
          </cell>
          <cell r="O440" t="str">
            <v>SM</v>
          </cell>
          <cell r="P440" t="str">
            <v>Rajouté</v>
          </cell>
          <cell r="Q440" t="str">
            <v>GENNEVILLIERS</v>
          </cell>
          <cell r="R440" t="str">
            <v>91</v>
          </cell>
          <cell r="S440" t="str">
            <v>14 RUE JULES GUESDE - ZI BOIS DE L'EPINE</v>
          </cell>
          <cell r="T440" t="str">
            <v>91130</v>
          </cell>
          <cell r="U440" t="str">
            <v>RIS ORANGIS</v>
          </cell>
          <cell r="X440" t="str">
            <v>91130</v>
          </cell>
          <cell r="Y440" t="str">
            <v>RIS ORANGIS</v>
          </cell>
          <cell r="AA440">
            <v>192.23000000000002</v>
          </cell>
          <cell r="AD440">
            <v>192.23000000000002</v>
          </cell>
          <cell r="AM440">
            <v>0</v>
          </cell>
          <cell r="AN440">
            <v>-1</v>
          </cell>
          <cell r="AO440" t="str">
            <v>001-G-91FONDERIESGENTIL</v>
          </cell>
          <cell r="AP440" t="str">
            <v>001-L-91FONDERIESGENTIL</v>
          </cell>
          <cell r="AX440">
            <v>0</v>
          </cell>
          <cell r="AY440">
            <v>0</v>
          </cell>
          <cell r="AZ440">
            <v>0</v>
          </cell>
        </row>
        <row r="441">
          <cell r="A441">
            <v>505249</v>
          </cell>
          <cell r="B441" t="str">
            <v>ESPACE CENTURY</v>
          </cell>
          <cell r="H441" t="str">
            <v>PAS DE CONTRAT DANS INES</v>
          </cell>
          <cell r="I441">
            <v>0</v>
          </cell>
          <cell r="J441">
            <v>0</v>
          </cell>
          <cell r="K441" t="str">
            <v>NON</v>
          </cell>
          <cell r="L441" t="str">
            <v>NON</v>
          </cell>
          <cell r="M441" t="str">
            <v>NON</v>
          </cell>
          <cell r="N441" t="str">
            <v>Non affecté</v>
          </cell>
          <cell r="O441" t="str">
            <v>SM</v>
          </cell>
          <cell r="P441" t="str">
            <v>Rajouté</v>
          </cell>
          <cell r="Q441" t="str">
            <v>GENNEVILLIERS</v>
          </cell>
          <cell r="R441" t="str">
            <v>91</v>
          </cell>
          <cell r="S441" t="str">
            <v>1 B RUE ATHIS</v>
          </cell>
          <cell r="T441" t="str">
            <v>91380</v>
          </cell>
          <cell r="U441" t="str">
            <v>CHILLY MAZARIN</v>
          </cell>
          <cell r="X441" t="str">
            <v>91380</v>
          </cell>
          <cell r="Y441" t="str">
            <v>CHILLY MAZARIN</v>
          </cell>
          <cell r="AB441">
            <v>51.02</v>
          </cell>
          <cell r="AD441">
            <v>51.02</v>
          </cell>
          <cell r="AM441">
            <v>0</v>
          </cell>
          <cell r="AN441">
            <v>-1</v>
          </cell>
          <cell r="AX441">
            <v>0</v>
          </cell>
          <cell r="AY441">
            <v>0</v>
          </cell>
          <cell r="AZ441">
            <v>0</v>
          </cell>
        </row>
        <row r="442">
          <cell r="A442">
            <v>585969</v>
          </cell>
          <cell r="B442" t="str">
            <v>EPI D'OR DIFFUSION SARL</v>
          </cell>
          <cell r="H442" t="str">
            <v>HORS SERVICE DEPUIS LE 01/04/2010</v>
          </cell>
          <cell r="I442">
            <v>0</v>
          </cell>
          <cell r="J442">
            <v>0</v>
          </cell>
          <cell r="K442" t="str">
            <v>NON</v>
          </cell>
          <cell r="L442" t="str">
            <v>NON</v>
          </cell>
          <cell r="M442" t="str">
            <v>NON</v>
          </cell>
          <cell r="N442" t="str">
            <v>Non affecté</v>
          </cell>
          <cell r="O442" t="str">
            <v>FP</v>
          </cell>
          <cell r="P442" t="str">
            <v>Rajouté</v>
          </cell>
          <cell r="Q442" t="str">
            <v>GENNEVILLIERS</v>
          </cell>
          <cell r="R442" t="str">
            <v>94</v>
          </cell>
          <cell r="S442" t="str">
            <v>3 AV DE L'EPI D'OR</v>
          </cell>
          <cell r="T442">
            <v>94800</v>
          </cell>
          <cell r="U442" t="str">
            <v>VILLEJUIF</v>
          </cell>
          <cell r="X442" t="str">
            <v>94800</v>
          </cell>
          <cell r="Y442" t="str">
            <v>VILLEJUIF</v>
          </cell>
          <cell r="AB442">
            <v>1693.33</v>
          </cell>
          <cell r="AD442">
            <v>1693.33</v>
          </cell>
          <cell r="AM442">
            <v>0</v>
          </cell>
          <cell r="AN442">
            <v>-1</v>
          </cell>
          <cell r="AO442" t="str">
            <v>024-G-94EPI</v>
          </cell>
          <cell r="AP442" t="str">
            <v>024-L-94EPI</v>
          </cell>
          <cell r="AX442">
            <v>0</v>
          </cell>
          <cell r="AY442">
            <v>0</v>
          </cell>
          <cell r="AZ442">
            <v>0</v>
          </cell>
        </row>
        <row r="443">
          <cell r="A443">
            <v>624076</v>
          </cell>
          <cell r="B443" t="str">
            <v>PROTEC CROSNE</v>
          </cell>
          <cell r="H443" t="str">
            <v>MOISSY 024</v>
          </cell>
          <cell r="I443">
            <v>0</v>
          </cell>
          <cell r="J443">
            <v>0</v>
          </cell>
          <cell r="K443" t="str">
            <v>NON</v>
          </cell>
          <cell r="L443" t="str">
            <v>NON</v>
          </cell>
          <cell r="N443" t="str">
            <v>Non affecté</v>
          </cell>
          <cell r="O443" t="str">
            <v>SM</v>
          </cell>
          <cell r="P443" t="str">
            <v>Rajouté</v>
          </cell>
          <cell r="Q443" t="str">
            <v>GENNEVILLIERS</v>
          </cell>
          <cell r="R443" t="str">
            <v>91</v>
          </cell>
          <cell r="S443" t="str">
            <v>46 RUE DES ENTREPRENEURS</v>
          </cell>
          <cell r="T443">
            <v>91560</v>
          </cell>
          <cell r="U443" t="str">
            <v>CROSNE</v>
          </cell>
          <cell r="X443" t="str">
            <v>91560</v>
          </cell>
          <cell r="Y443" t="str">
            <v>CROSNE</v>
          </cell>
          <cell r="AM443">
            <v>0</v>
          </cell>
          <cell r="AO443" t="str">
            <v>024-G-91PROTEC</v>
          </cell>
          <cell r="AQ443">
            <v>39070</v>
          </cell>
          <cell r="AX443">
            <v>0</v>
          </cell>
          <cell r="AY443">
            <v>0</v>
          </cell>
          <cell r="AZ443">
            <v>0</v>
          </cell>
        </row>
        <row r="444">
          <cell r="A444">
            <v>819205</v>
          </cell>
          <cell r="B444" t="str">
            <v>ADER SARL</v>
          </cell>
          <cell r="H444" t="str">
            <v>INCONNU</v>
          </cell>
          <cell r="I444">
            <v>0</v>
          </cell>
          <cell r="J444">
            <v>0</v>
          </cell>
          <cell r="K444" t="str">
            <v>NON</v>
          </cell>
          <cell r="L444" t="str">
            <v>NON</v>
          </cell>
          <cell r="M444" t="str">
            <v>NON</v>
          </cell>
          <cell r="N444" t="str">
            <v>Non affecté</v>
          </cell>
          <cell r="O444" t="str">
            <v>SM</v>
          </cell>
          <cell r="P444" t="str">
            <v>Rajouté</v>
          </cell>
          <cell r="Q444" t="str">
            <v>GENNEVILLIERS</v>
          </cell>
          <cell r="R444" t="str">
            <v>91</v>
          </cell>
          <cell r="S444" t="str">
            <v>45 RUE BOELDIEU</v>
          </cell>
          <cell r="T444">
            <v>91480</v>
          </cell>
          <cell r="U444" t="str">
            <v>VARENNES JARCY</v>
          </cell>
          <cell r="X444" t="str">
            <v>91480</v>
          </cell>
          <cell r="Y444" t="str">
            <v>VARENNES JARCY</v>
          </cell>
          <cell r="AA444">
            <v>517.98</v>
          </cell>
          <cell r="AD444">
            <v>517.98</v>
          </cell>
          <cell r="AM444">
            <v>0</v>
          </cell>
          <cell r="AN444">
            <v>-1</v>
          </cell>
          <cell r="AX444">
            <v>0</v>
          </cell>
          <cell r="AY444">
            <v>0</v>
          </cell>
          <cell r="AZ444">
            <v>0</v>
          </cell>
        </row>
        <row r="445">
          <cell r="A445">
            <v>846578</v>
          </cell>
          <cell r="B445" t="str">
            <v>GEOMATECH</v>
          </cell>
          <cell r="H445" t="str">
            <v>PAS DE CONTRAT DANS INES</v>
          </cell>
          <cell r="I445">
            <v>0</v>
          </cell>
          <cell r="J445">
            <v>0</v>
          </cell>
          <cell r="K445" t="str">
            <v>NON</v>
          </cell>
          <cell r="L445" t="str">
            <v>NON</v>
          </cell>
          <cell r="M445" t="str">
            <v>NON</v>
          </cell>
          <cell r="N445" t="str">
            <v>Non affecté</v>
          </cell>
          <cell r="O445" t="str">
            <v>SM</v>
          </cell>
          <cell r="P445" t="str">
            <v>Rajouté</v>
          </cell>
          <cell r="Q445" t="str">
            <v>GENNEVILLIERS</v>
          </cell>
          <cell r="R445" t="str">
            <v>91</v>
          </cell>
          <cell r="S445" t="str">
            <v>ZA DES CLOTAIS</v>
          </cell>
          <cell r="T445">
            <v>91160</v>
          </cell>
          <cell r="U445" t="str">
            <v>CHAMPLAN</v>
          </cell>
          <cell r="W445" t="str">
            <v>Directeur Logistique et Transports</v>
          </cell>
          <cell r="X445" t="str">
            <v>91160</v>
          </cell>
          <cell r="Y445" t="str">
            <v>CHAMPLAN</v>
          </cell>
          <cell r="Z445">
            <v>1410</v>
          </cell>
          <cell r="AD445">
            <v>1410</v>
          </cell>
          <cell r="AM445">
            <v>0</v>
          </cell>
          <cell r="AN445">
            <v>-1</v>
          </cell>
          <cell r="AQ445">
            <v>40682</v>
          </cell>
          <cell r="AX445">
            <v>0</v>
          </cell>
          <cell r="AY445">
            <v>0</v>
          </cell>
          <cell r="AZ445">
            <v>0</v>
          </cell>
        </row>
        <row r="446">
          <cell r="A446">
            <v>9004</v>
          </cell>
          <cell r="B446" t="str">
            <v>FACOM  (SERVICE TRANSPORT)</v>
          </cell>
          <cell r="H446" t="str">
            <v>PAS DE CONTRAT DANS INES</v>
          </cell>
          <cell r="I446">
            <v>0</v>
          </cell>
          <cell r="J446">
            <v>0</v>
          </cell>
          <cell r="K446" t="str">
            <v>NON</v>
          </cell>
          <cell r="L446" t="str">
            <v>NON</v>
          </cell>
          <cell r="M446" t="str">
            <v>NON</v>
          </cell>
          <cell r="N446" t="str">
            <v>Non affecté</v>
          </cell>
          <cell r="O446" t="str">
            <v>SM</v>
          </cell>
          <cell r="P446" t="str">
            <v>Rajouté</v>
          </cell>
          <cell r="Q446" t="str">
            <v>GENNEVILLIERS</v>
          </cell>
          <cell r="R446" t="str">
            <v>91</v>
          </cell>
          <cell r="S446" t="str">
            <v>6 RUE G EIFFEL    BP 33</v>
          </cell>
          <cell r="T446">
            <v>91420</v>
          </cell>
          <cell r="U446" t="str">
            <v>MORANGIS</v>
          </cell>
          <cell r="X446" t="str">
            <v>91420</v>
          </cell>
          <cell r="Y446" t="str">
            <v>MORANGIS</v>
          </cell>
          <cell r="AB446">
            <v>99.12</v>
          </cell>
          <cell r="AD446">
            <v>99.12</v>
          </cell>
          <cell r="AM446">
            <v>0</v>
          </cell>
          <cell r="AN446">
            <v>-1</v>
          </cell>
          <cell r="AO446" t="str">
            <v>024-G-91FACOM024</v>
          </cell>
          <cell r="AP446" t="str">
            <v>024-L-91FACOMALL</v>
          </cell>
          <cell r="AX446">
            <v>0</v>
          </cell>
          <cell r="AY446">
            <v>0</v>
          </cell>
          <cell r="AZ446">
            <v>0</v>
          </cell>
        </row>
        <row r="447">
          <cell r="A447">
            <v>9132</v>
          </cell>
          <cell r="B447" t="str">
            <v>CUIRTEXT</v>
          </cell>
          <cell r="C447">
            <v>0.1</v>
          </cell>
          <cell r="H447" t="str">
            <v>COMPTE RAPATRIE SUR 001</v>
          </cell>
          <cell r="I447">
            <v>0</v>
          </cell>
          <cell r="J447">
            <v>0</v>
          </cell>
          <cell r="K447" t="str">
            <v>OK</v>
          </cell>
          <cell r="L447" t="str">
            <v>OK</v>
          </cell>
          <cell r="N447" t="str">
            <v>Non affecté</v>
          </cell>
          <cell r="O447" t="str">
            <v>FP</v>
          </cell>
          <cell r="P447" t="str">
            <v>Rajouté</v>
          </cell>
          <cell r="Q447" t="str">
            <v>GENNEVILLIERS</v>
          </cell>
          <cell r="R447" t="str">
            <v>94</v>
          </cell>
          <cell r="S447" t="str">
            <v>26 RUE DU MIDI</v>
          </cell>
          <cell r="T447">
            <v>94110</v>
          </cell>
          <cell r="U447" t="str">
            <v>ARCUEIL</v>
          </cell>
          <cell r="W447" t="str">
            <v>Directeur Logistique et Transports</v>
          </cell>
          <cell r="X447" t="str">
            <v>94110</v>
          </cell>
          <cell r="Y447" t="str">
            <v>ARCUEIL</v>
          </cell>
          <cell r="AA447">
            <v>623.54</v>
          </cell>
          <cell r="AD447">
            <v>623.54</v>
          </cell>
          <cell r="AM447">
            <v>0</v>
          </cell>
          <cell r="AN447">
            <v>-1</v>
          </cell>
          <cell r="AO447" t="str">
            <v>001-G-94CUIRTEXT</v>
          </cell>
          <cell r="AP447" t="str">
            <v>001-L-GENERAL-KG</v>
          </cell>
          <cell r="AX447">
            <v>0</v>
          </cell>
          <cell r="AY447">
            <v>0</v>
          </cell>
          <cell r="AZ447">
            <v>0</v>
          </cell>
        </row>
        <row r="448">
          <cell r="A448">
            <v>559061</v>
          </cell>
          <cell r="B448" t="str">
            <v>ARABESQUE EURL</v>
          </cell>
          <cell r="C448">
            <v>0.2</v>
          </cell>
          <cell r="D448">
            <v>0.1</v>
          </cell>
          <cell r="E448">
            <v>0.02</v>
          </cell>
          <cell r="F448">
            <v>41306</v>
          </cell>
          <cell r="H448" t="str">
            <v>GNV</v>
          </cell>
          <cell r="I448">
            <v>0</v>
          </cell>
          <cell r="K448" t="str">
            <v>OK</v>
          </cell>
          <cell r="L448" t="str">
            <v>OK</v>
          </cell>
          <cell r="N448" t="str">
            <v>Non affecté</v>
          </cell>
          <cell r="O448" t="str">
            <v>FP</v>
          </cell>
          <cell r="P448" t="str">
            <v>Rajouté</v>
          </cell>
          <cell r="Q448" t="str">
            <v>GENNEVILLIERS</v>
          </cell>
          <cell r="R448" t="str">
            <v>94</v>
          </cell>
          <cell r="S448" t="str">
            <v>19 RUE CONDERCET</v>
          </cell>
          <cell r="T448" t="str">
            <v>94430</v>
          </cell>
          <cell r="U448" t="str">
            <v>CHENNEVIERES SUR MARNE</v>
          </cell>
          <cell r="W448" t="str">
            <v>Directeur Logistique et Transports</v>
          </cell>
          <cell r="X448" t="str">
            <v>94430</v>
          </cell>
          <cell r="Y448" t="str">
            <v>CHENNEVIERES SUR MARNE</v>
          </cell>
          <cell r="AB448">
            <v>2678.0600000000004</v>
          </cell>
          <cell r="AD448">
            <v>2678.0600000000004</v>
          </cell>
          <cell r="AI448">
            <v>231.74</v>
          </cell>
          <cell r="AJ448">
            <v>0.60550617070855262</v>
          </cell>
          <cell r="AL448">
            <v>231.74</v>
          </cell>
          <cell r="AM448">
            <v>0</v>
          </cell>
          <cell r="AN448">
            <v>-1</v>
          </cell>
          <cell r="AO448" t="str">
            <v>001-G-GENERAL-KG</v>
          </cell>
          <cell r="AP448" t="str">
            <v>001-L-GENERAL-KG</v>
          </cell>
          <cell r="AR448" t="str">
            <v>001-L-95MANUTAN</v>
          </cell>
          <cell r="AS448">
            <v>39622</v>
          </cell>
          <cell r="AX448">
            <v>0</v>
          </cell>
          <cell r="AY448">
            <v>254.91400000000004</v>
          </cell>
          <cell r="AZ448">
            <v>0</v>
          </cell>
          <cell r="BJ448" t="str">
            <v>Autre titulaire AB</v>
          </cell>
        </row>
        <row r="449">
          <cell r="A449">
            <v>585836</v>
          </cell>
          <cell r="B449" t="str">
            <v>S F T E</v>
          </cell>
          <cell r="H449" t="str">
            <v>TRI PORTEFEUILLE</v>
          </cell>
          <cell r="I449">
            <v>0</v>
          </cell>
          <cell r="J449">
            <v>0</v>
          </cell>
          <cell r="K449" t="str">
            <v>NON</v>
          </cell>
          <cell r="L449" t="str">
            <v>NON</v>
          </cell>
          <cell r="N449" t="str">
            <v>Non affecté</v>
          </cell>
          <cell r="O449" t="str">
            <v>AB</v>
          </cell>
          <cell r="P449" t="str">
            <v>Ok mon client</v>
          </cell>
          <cell r="Q449" t="str">
            <v>GENNEVILLIERS</v>
          </cell>
          <cell r="R449" t="str">
            <v>78</v>
          </cell>
          <cell r="S449" t="str">
            <v>28 AVENUE BECQUEREL - ZI DES GARENNES</v>
          </cell>
          <cell r="T449" t="str">
            <v>78130</v>
          </cell>
          <cell r="U449" t="str">
            <v>LES MUREAUX</v>
          </cell>
          <cell r="V449" t="str">
            <v>M.</v>
          </cell>
          <cell r="W449" t="str">
            <v>SCHLOSSER</v>
          </cell>
          <cell r="X449" t="str">
            <v>78130</v>
          </cell>
          <cell r="Y449" t="str">
            <v>LES MUREAUX</v>
          </cell>
          <cell r="Z449">
            <v>1680.62</v>
          </cell>
          <cell r="AA449">
            <v>789.05</v>
          </cell>
          <cell r="AD449">
            <v>2469.67</v>
          </cell>
          <cell r="AE449">
            <v>-102.65</v>
          </cell>
          <cell r="AL449">
            <v>-102.65</v>
          </cell>
          <cell r="AM449">
            <v>-143.71</v>
          </cell>
          <cell r="AN449">
            <v>-1.0581899606020237</v>
          </cell>
          <cell r="AO449" t="str">
            <v>001-G-78SFTE</v>
          </cell>
          <cell r="AP449" t="str">
            <v>001-L-78SFTE</v>
          </cell>
          <cell r="AR449" t="str">
            <v>001-L-93KELLOGGEUROPE</v>
          </cell>
          <cell r="AS449">
            <v>40003</v>
          </cell>
          <cell r="AX449">
            <v>0</v>
          </cell>
          <cell r="AY449">
            <v>0</v>
          </cell>
          <cell r="AZ449">
            <v>-102.65</v>
          </cell>
        </row>
      </sheetData>
      <sheetData sheetId="3">
        <row r="1">
          <cell r="A1">
            <v>41585</v>
          </cell>
          <cell r="C1" t="str">
            <v>VALIDE</v>
          </cell>
          <cell r="I1" t="str">
            <v>Suivi</v>
          </cell>
          <cell r="K1" t="str">
            <v>ATMA</v>
          </cell>
          <cell r="M1" t="str">
            <v>Doublon</v>
          </cell>
          <cell r="Z1" t="str">
            <v>2011 Janv à Dec</v>
          </cell>
          <cell r="AE1" t="str">
            <v>2012 Janv-Août</v>
          </cell>
          <cell r="AO1">
            <v>11.2</v>
          </cell>
        </row>
        <row r="2">
          <cell r="A2" t="str">
            <v>Client payeur</v>
          </cell>
          <cell r="B2" t="str">
            <v>Libellé Client payeur</v>
          </cell>
          <cell r="C2" t="str">
            <v>Taux groupage National</v>
          </cell>
          <cell r="D2" t="str">
            <v>Taux groupage International</v>
          </cell>
          <cell r="E2" t="str">
            <v>Taux lot</v>
          </cell>
          <cell r="F2" t="str">
            <v>Date d'application</v>
          </cell>
          <cell r="G2" t="str">
            <v>Envoi des tarifs par courrier</v>
          </cell>
          <cell r="H2" t="str">
            <v>Commentaire</v>
          </cell>
          <cell r="I2" t="str">
            <v>A envoyer</v>
          </cell>
          <cell r="J2" t="str">
            <v>A rensigner dans INES</v>
          </cell>
          <cell r="K2" t="str">
            <v>ENVOI OK</v>
          </cell>
          <cell r="L2" t="str">
            <v>INES OK</v>
          </cell>
          <cell r="M2" t="str">
            <v>INFO</v>
          </cell>
          <cell r="N2" t="str">
            <v>Direction</v>
          </cell>
          <cell r="O2" t="str">
            <v>Commerciaux</v>
          </cell>
          <cell r="P2" t="str">
            <v>Commentaire</v>
          </cell>
          <cell r="Q2" t="str">
            <v>Agence</v>
          </cell>
          <cell r="R2" t="str">
            <v>CP</v>
          </cell>
          <cell r="S2" t="str">
            <v>Adresse</v>
          </cell>
          <cell r="T2" t="str">
            <v>Code CP</v>
          </cell>
          <cell r="U2" t="str">
            <v>Ville</v>
          </cell>
          <cell r="V2" t="str">
            <v>Civilité</v>
          </cell>
          <cell r="W2" t="str">
            <v>Nom</v>
          </cell>
          <cell r="X2" t="str">
            <v>Code postal</v>
          </cell>
          <cell r="Y2" t="str">
            <v>Localité</v>
          </cell>
          <cell r="Z2" t="str">
            <v>501</v>
          </cell>
          <cell r="AA2" t="str">
            <v>551</v>
          </cell>
          <cell r="AB2" t="str">
            <v>553</v>
          </cell>
          <cell r="AC2" t="str">
            <v>Autre prestation</v>
          </cell>
          <cell r="AD2" t="str">
            <v>Total 2011</v>
          </cell>
          <cell r="AE2" t="str">
            <v>501</v>
          </cell>
          <cell r="AF2" t="str">
            <v>501 Renta</v>
          </cell>
          <cell r="AG2" t="str">
            <v>551</v>
          </cell>
          <cell r="AH2" t="str">
            <v>551 Renta</v>
          </cell>
          <cell r="AI2" t="str">
            <v>553</v>
          </cell>
          <cell r="AJ2" t="str">
            <v>553 Renta</v>
          </cell>
          <cell r="AK2" t="str">
            <v>Autre prestation</v>
          </cell>
          <cell r="AL2" t="str">
            <v>Total cumulé Août 2012</v>
          </cell>
          <cell r="AM2" t="str">
            <v>Prévision fin 2012</v>
          </cell>
          <cell r="AN2" t="str">
            <v>Taux d'évoluation 2012/2011</v>
          </cell>
          <cell r="AO2" t="str">
            <v>Contrat INES G</v>
          </cell>
          <cell r="AP2" t="str">
            <v>Contrat INES LOT</v>
          </cell>
          <cell r="AQ2" t="str">
            <v>Date d'ouverture de compte dans INES</v>
          </cell>
          <cell r="AZ2" t="str">
            <v>Taux groupage National</v>
          </cell>
          <cell r="BA2" t="str">
            <v>Taux groupage International</v>
          </cell>
          <cell r="BB2" t="str">
            <v>Taux lot</v>
          </cell>
        </row>
        <row r="3">
          <cell r="A3">
            <v>44931</v>
          </cell>
          <cell r="B3" t="str">
            <v>AUTOLIV FRANCE</v>
          </cell>
          <cell r="I3">
            <v>0</v>
          </cell>
          <cell r="J3">
            <v>0</v>
          </cell>
          <cell r="L3" t="str">
            <v>non</v>
          </cell>
          <cell r="M3" t="str">
            <v>Porte Feuille</v>
          </cell>
          <cell r="N3" t="str">
            <v>DCM</v>
          </cell>
          <cell r="O3" t="str">
            <v>KE</v>
          </cell>
          <cell r="P3" t="str">
            <v>Ok mon client</v>
          </cell>
          <cell r="Q3" t="str">
            <v>ROUEN / GRAND QUEVIL</v>
          </cell>
          <cell r="R3" t="str">
            <v>76</v>
          </cell>
          <cell r="S3" t="str">
            <v>BP 99</v>
          </cell>
          <cell r="T3">
            <v>76220</v>
          </cell>
          <cell r="U3" t="str">
            <v>GOURNAY EN BRAY</v>
          </cell>
          <cell r="X3" t="str">
            <v>76220</v>
          </cell>
          <cell r="Y3" t="str">
            <v>GOURNAY EN BRAY</v>
          </cell>
          <cell r="Z3">
            <v>552353.49</v>
          </cell>
          <cell r="AA3">
            <v>83181.98000000001</v>
          </cell>
          <cell r="AB3">
            <v>656.59</v>
          </cell>
          <cell r="AD3">
            <v>636192.05999999994</v>
          </cell>
          <cell r="AE3">
            <v>417090.83</v>
          </cell>
          <cell r="AF3">
            <v>0.45722718373156379</v>
          </cell>
          <cell r="AG3">
            <v>70268.510000000009</v>
          </cell>
          <cell r="AH3">
            <v>0.23475025808412969</v>
          </cell>
          <cell r="AI3">
            <v>75.92</v>
          </cell>
          <cell r="AJ3">
            <v>0.45337197049525807</v>
          </cell>
          <cell r="AL3">
            <v>487435.25999999995</v>
          </cell>
          <cell r="AM3">
            <v>682409.36399999994</v>
          </cell>
          <cell r="AN3">
            <v>7.2646779024560626E-2</v>
          </cell>
          <cell r="AO3" t="str">
            <v>022-G-76AUTOLIVKLI</v>
          </cell>
          <cell r="AP3" t="str">
            <v>022-L76AUTOLIVKLI</v>
          </cell>
          <cell r="AZ3">
            <v>70268.510000000009</v>
          </cell>
          <cell r="BA3">
            <v>75.92</v>
          </cell>
          <cell r="BB3">
            <v>417090.83</v>
          </cell>
        </row>
        <row r="4">
          <cell r="A4">
            <v>800666</v>
          </cell>
          <cell r="B4" t="str">
            <v>SABRE FRANCE</v>
          </cell>
          <cell r="C4">
            <v>0.03</v>
          </cell>
          <cell r="D4">
            <v>0.03</v>
          </cell>
          <cell r="E4">
            <v>0.03</v>
          </cell>
          <cell r="F4">
            <v>41275</v>
          </cell>
          <cell r="G4" t="str">
            <v>oui</v>
          </cell>
          <cell r="I4">
            <v>0</v>
          </cell>
          <cell r="J4">
            <v>0</v>
          </cell>
          <cell r="K4" t="str">
            <v>ok</v>
          </cell>
          <cell r="L4" t="str">
            <v>ok</v>
          </cell>
          <cell r="M4" t="str">
            <v>Porte Feuille</v>
          </cell>
          <cell r="N4" t="str">
            <v>Non affecté</v>
          </cell>
          <cell r="O4" t="str">
            <v>KE</v>
          </cell>
          <cell r="P4" t="str">
            <v>Ok mon client</v>
          </cell>
          <cell r="Q4" t="str">
            <v>ROUEN / GRAND QUEVIL</v>
          </cell>
          <cell r="R4" t="str">
            <v>76</v>
          </cell>
          <cell r="S4" t="str">
            <v>5 GRANDE RUE DES SALINES</v>
          </cell>
          <cell r="T4">
            <v>76370</v>
          </cell>
          <cell r="U4" t="str">
            <v>MARTIN EGLISE</v>
          </cell>
          <cell r="X4" t="str">
            <v>76370</v>
          </cell>
          <cell r="Y4" t="str">
            <v>MARTIN L EGLISE</v>
          </cell>
          <cell r="Z4">
            <v>76716.900000000009</v>
          </cell>
          <cell r="AA4">
            <v>115076.45000000003</v>
          </cell>
          <cell r="AD4">
            <v>191793.35000000003</v>
          </cell>
          <cell r="AE4">
            <v>91516.06</v>
          </cell>
          <cell r="AF4">
            <v>0.2043176795015651</v>
          </cell>
          <cell r="AG4">
            <v>107382.10000000002</v>
          </cell>
          <cell r="AH4">
            <v>0.23726786968198266</v>
          </cell>
          <cell r="AL4">
            <v>198898.16000000003</v>
          </cell>
          <cell r="AM4">
            <v>278457.424</v>
          </cell>
          <cell r="AN4">
            <v>0.45186172513280543</v>
          </cell>
          <cell r="AO4" t="str">
            <v>022-76SABREAUTO</v>
          </cell>
          <cell r="AP4" t="str">
            <v>022-L-76SABRE</v>
          </cell>
          <cell r="AZ4">
            <v>110603.56300000002</v>
          </cell>
          <cell r="BA4">
            <v>0</v>
          </cell>
          <cell r="BB4">
            <v>94261.541800000006</v>
          </cell>
        </row>
        <row r="5">
          <cell r="A5">
            <v>507523</v>
          </cell>
          <cell r="B5" t="str">
            <v>BSH ELECTROMENAGER</v>
          </cell>
          <cell r="I5">
            <v>0</v>
          </cell>
          <cell r="J5">
            <v>0</v>
          </cell>
          <cell r="M5" t="str">
            <v>Porte Feuille</v>
          </cell>
          <cell r="N5" t="str">
            <v>DCM</v>
          </cell>
          <cell r="O5" t="str">
            <v>BQ</v>
          </cell>
          <cell r="P5" t="str">
            <v>Ok mon client</v>
          </cell>
          <cell r="Q5" t="str">
            <v>ROUEN / GRAND QUEVIL</v>
          </cell>
          <cell r="R5" t="str">
            <v>93</v>
          </cell>
          <cell r="S5" t="str">
            <v>26 AV MICHELET</v>
          </cell>
          <cell r="T5">
            <v>93400</v>
          </cell>
          <cell r="U5" t="str">
            <v>ST OUEN</v>
          </cell>
          <cell r="X5" t="str">
            <v>93400</v>
          </cell>
          <cell r="Y5" t="str">
            <v>SAINT OUEN</v>
          </cell>
          <cell r="AA5">
            <v>315984.12</v>
          </cell>
          <cell r="AD5">
            <v>315984.12</v>
          </cell>
          <cell r="AE5">
            <v>820.19</v>
          </cell>
          <cell r="AF5">
            <v>0.24580889793828259</v>
          </cell>
          <cell r="AG5">
            <v>176824.84999999998</v>
          </cell>
          <cell r="AH5">
            <v>0.53872181481653703</v>
          </cell>
          <cell r="AL5">
            <v>177645.03999999998</v>
          </cell>
          <cell r="AM5">
            <v>248703.05599999995</v>
          </cell>
          <cell r="AN5">
            <v>-0.21292545967183429</v>
          </cell>
          <cell r="AO5" t="str">
            <v>022-G-76BSH2EMPRE</v>
          </cell>
          <cell r="AZ5">
            <v>176824.84999999998</v>
          </cell>
          <cell r="BA5">
            <v>0</v>
          </cell>
          <cell r="BB5">
            <v>820.19</v>
          </cell>
        </row>
        <row r="6">
          <cell r="A6">
            <v>203440</v>
          </cell>
          <cell r="B6" t="str">
            <v>COMPAGNIE PIKOLIN RECTICEL DE LITER</v>
          </cell>
          <cell r="H6" t="str">
            <v>natalie adamski</v>
          </cell>
          <cell r="I6">
            <v>0</v>
          </cell>
          <cell r="J6">
            <v>0</v>
          </cell>
          <cell r="M6" t="str">
            <v>Porte Feuille</v>
          </cell>
          <cell r="N6" t="str">
            <v>Non affecté</v>
          </cell>
          <cell r="O6" t="str">
            <v>NA</v>
          </cell>
          <cell r="P6" t="str">
            <v>Ok mon client</v>
          </cell>
          <cell r="Q6" t="str">
            <v>ROUEN / GRAND QUEVIL</v>
          </cell>
          <cell r="R6" t="str">
            <v>75</v>
          </cell>
          <cell r="S6" t="str">
            <v>RUE AUGUSTIN LEONARD</v>
          </cell>
          <cell r="T6">
            <v>27380</v>
          </cell>
          <cell r="U6" t="str">
            <v>FLEURY SUR ANDELLE</v>
          </cell>
          <cell r="X6" t="str">
            <v>75015</v>
          </cell>
          <cell r="Y6" t="str">
            <v>PARIS</v>
          </cell>
          <cell r="Z6">
            <v>39362.729999999996</v>
          </cell>
          <cell r="AD6">
            <v>39362.729999999996</v>
          </cell>
          <cell r="AE6">
            <v>170735.58</v>
          </cell>
          <cell r="AF6">
            <v>0.55243260385859083</v>
          </cell>
          <cell r="AL6">
            <v>170735.58</v>
          </cell>
          <cell r="AM6">
            <v>239029.81199999998</v>
          </cell>
          <cell r="AN6">
            <v>5.0724907037697839</v>
          </cell>
          <cell r="AP6" t="str">
            <v>022-L-27EPEDA</v>
          </cell>
          <cell r="AZ6">
            <v>0</v>
          </cell>
          <cell r="BA6">
            <v>0</v>
          </cell>
          <cell r="BB6">
            <v>170735.58</v>
          </cell>
        </row>
        <row r="7">
          <cell r="A7">
            <v>605275</v>
          </cell>
          <cell r="B7" t="str">
            <v>ONDULINE</v>
          </cell>
          <cell r="C7">
            <v>0.01</v>
          </cell>
          <cell r="F7">
            <v>41275</v>
          </cell>
          <cell r="I7">
            <v>0</v>
          </cell>
          <cell r="J7">
            <v>0</v>
          </cell>
          <cell r="K7" t="str">
            <v>ok</v>
          </cell>
          <cell r="L7" t="str">
            <v>ok</v>
          </cell>
          <cell r="M7" t="str">
            <v>Porte Feuille</v>
          </cell>
          <cell r="N7" t="str">
            <v>Non affecté</v>
          </cell>
          <cell r="O7" t="str">
            <v>BQ</v>
          </cell>
          <cell r="P7" t="str">
            <v>Ok mon client</v>
          </cell>
          <cell r="Q7" t="str">
            <v>ROUEN / GRAND QUEVIL</v>
          </cell>
          <cell r="R7" t="str">
            <v>76</v>
          </cell>
          <cell r="S7" t="str">
            <v>ZONE INDUSTRIELLE</v>
          </cell>
          <cell r="T7">
            <v>76480</v>
          </cell>
          <cell r="U7" t="str">
            <v>YAINVILLE</v>
          </cell>
          <cell r="X7" t="str">
            <v>76480</v>
          </cell>
          <cell r="Y7" t="str">
            <v>YAINVILLE</v>
          </cell>
          <cell r="Z7">
            <v>153977.25</v>
          </cell>
          <cell r="AA7">
            <v>114.63</v>
          </cell>
          <cell r="AD7">
            <v>154091.88</v>
          </cell>
          <cell r="AE7">
            <v>114487.44</v>
          </cell>
          <cell r="AF7">
            <v>0.75962219087089378</v>
          </cell>
          <cell r="AL7">
            <v>114487.44</v>
          </cell>
          <cell r="AM7">
            <v>160282.416</v>
          </cell>
          <cell r="AN7">
            <v>4.017431677775618E-2</v>
          </cell>
          <cell r="AO7" t="str">
            <v>022-G-76ONDULINE</v>
          </cell>
          <cell r="AP7" t="str">
            <v>022-L1-76ONDULINE</v>
          </cell>
          <cell r="AZ7">
            <v>0</v>
          </cell>
          <cell r="BA7">
            <v>0</v>
          </cell>
          <cell r="BB7">
            <v>114487.44</v>
          </cell>
        </row>
        <row r="8">
          <cell r="A8">
            <v>842447</v>
          </cell>
          <cell r="B8" t="str">
            <v>GREIF FRANCE</v>
          </cell>
          <cell r="C8">
            <v>2.5000000000000001E-2</v>
          </cell>
          <cell r="E8">
            <v>2.5000000000000001E-2</v>
          </cell>
          <cell r="F8">
            <v>41306</v>
          </cell>
          <cell r="I8">
            <v>0</v>
          </cell>
          <cell r="J8">
            <v>0</v>
          </cell>
          <cell r="K8" t="str">
            <v>ok</v>
          </cell>
          <cell r="L8" t="str">
            <v>ok</v>
          </cell>
          <cell r="M8" t="str">
            <v>Porte Feuille</v>
          </cell>
          <cell r="N8" t="str">
            <v>Non affecté</v>
          </cell>
          <cell r="O8" t="str">
            <v>BQ</v>
          </cell>
          <cell r="P8" t="str">
            <v>Ok mon client</v>
          </cell>
          <cell r="Q8" t="str">
            <v>ROUEN / GRAND QUEVIL</v>
          </cell>
          <cell r="R8" t="str">
            <v>76</v>
          </cell>
          <cell r="S8" t="str">
            <v>CHEMIN GORD</v>
          </cell>
          <cell r="T8">
            <v>76120</v>
          </cell>
          <cell r="U8" t="str">
            <v>GRAND QUEVILLY</v>
          </cell>
          <cell r="X8" t="str">
            <v>76120</v>
          </cell>
          <cell r="Y8" t="str">
            <v>GRAND QUEVILLY</v>
          </cell>
          <cell r="Z8">
            <v>31325.05</v>
          </cell>
          <cell r="AA8">
            <v>51574.21</v>
          </cell>
          <cell r="AB8">
            <v>397.53</v>
          </cell>
          <cell r="AD8">
            <v>83296.789999999994</v>
          </cell>
          <cell r="AE8">
            <v>21177.730000000003</v>
          </cell>
          <cell r="AF8">
            <v>0.12628879488028205</v>
          </cell>
          <cell r="AG8">
            <v>50359.1</v>
          </cell>
          <cell r="AH8">
            <v>4.6369970869218756E-2</v>
          </cell>
          <cell r="AI8">
            <v>1239.8900000000001</v>
          </cell>
          <cell r="AJ8">
            <v>0.58576970537708983</v>
          </cell>
          <cell r="AL8">
            <v>72776.72</v>
          </cell>
          <cell r="AM8">
            <v>101887.408</v>
          </cell>
          <cell r="AN8">
            <v>0.22318528721214825</v>
          </cell>
          <cell r="AO8" t="str">
            <v>022-G-76GREIF</v>
          </cell>
          <cell r="AP8" t="str">
            <v>022-L1-76GREIF</v>
          </cell>
          <cell r="AZ8">
            <v>51618.077499999992</v>
          </cell>
          <cell r="BA8">
            <v>1239.8900000000001</v>
          </cell>
          <cell r="BB8">
            <v>21707.17325</v>
          </cell>
        </row>
        <row r="9">
          <cell r="A9">
            <v>841684</v>
          </cell>
          <cell r="B9" t="str">
            <v>parcome</v>
          </cell>
          <cell r="C9">
            <v>0.03</v>
          </cell>
          <cell r="D9">
            <v>0.03</v>
          </cell>
          <cell r="E9">
            <v>1.4999999999999999E-2</v>
          </cell>
          <cell r="F9">
            <v>41275</v>
          </cell>
          <cell r="I9">
            <v>0</v>
          </cell>
          <cell r="J9">
            <v>0</v>
          </cell>
          <cell r="K9" t="str">
            <v>ok</v>
          </cell>
          <cell r="L9" t="str">
            <v>ok</v>
          </cell>
          <cell r="M9" t="str">
            <v>Porte Feuille</v>
          </cell>
          <cell r="N9" t="str">
            <v>Non affecté</v>
          </cell>
          <cell r="O9" t="str">
            <v>BQ</v>
          </cell>
          <cell r="P9" t="str">
            <v>Ok mon client</v>
          </cell>
          <cell r="Q9" t="str">
            <v>ROUEN / GRAND QUEVIL</v>
          </cell>
          <cell r="R9" t="str">
            <v>27</v>
          </cell>
          <cell r="S9" t="str">
            <v>RUE ALFRED PILLARD SOULAIN</v>
          </cell>
          <cell r="T9">
            <v>27160</v>
          </cell>
          <cell r="U9" t="str">
            <v>BRETEUIL</v>
          </cell>
          <cell r="X9" t="str">
            <v>27160</v>
          </cell>
          <cell r="Y9" t="str">
            <v>breteuil sur iton</v>
          </cell>
          <cell r="Z9">
            <v>43327.839999999997</v>
          </cell>
          <cell r="AA9">
            <v>24041.960000000006</v>
          </cell>
          <cell r="AB9">
            <v>7466.4500000000007</v>
          </cell>
          <cell r="AD9">
            <v>74836.25</v>
          </cell>
          <cell r="AE9">
            <v>39942.94</v>
          </cell>
          <cell r="AF9">
            <v>0.12872788032127871</v>
          </cell>
          <cell r="AG9">
            <v>20487.48</v>
          </cell>
          <cell r="AH9">
            <v>-0.18556943069621146</v>
          </cell>
          <cell r="AI9">
            <v>5878.7300000000005</v>
          </cell>
          <cell r="AJ9">
            <v>0.43721858292522375</v>
          </cell>
          <cell r="AL9">
            <v>66309.149999999994</v>
          </cell>
          <cell r="AM9">
            <v>92832.809999999983</v>
          </cell>
          <cell r="AN9">
            <v>0.24047917954199982</v>
          </cell>
          <cell r="AO9" t="str">
            <v>022-G-27PARCOME</v>
          </cell>
          <cell r="AP9" t="str">
            <v>022-L1-27PARCOME</v>
          </cell>
          <cell r="AZ9">
            <v>21102.1044</v>
          </cell>
          <cell r="BA9">
            <v>6055.0919000000004</v>
          </cell>
          <cell r="BB9">
            <v>40542.0841</v>
          </cell>
        </row>
        <row r="10">
          <cell r="A10">
            <v>589572</v>
          </cell>
          <cell r="B10" t="str">
            <v>SOCIETE EQUIP'HORSE</v>
          </cell>
          <cell r="E10">
            <v>0.03</v>
          </cell>
          <cell r="F10">
            <v>41275</v>
          </cell>
          <cell r="I10">
            <v>0</v>
          </cell>
          <cell r="J10">
            <v>0</v>
          </cell>
          <cell r="K10" t="str">
            <v>ok</v>
          </cell>
          <cell r="L10" t="str">
            <v>ok</v>
          </cell>
          <cell r="M10" t="str">
            <v>Porte Feuille</v>
          </cell>
          <cell r="N10" t="str">
            <v>Non affecté</v>
          </cell>
          <cell r="O10" t="str">
            <v>BQ</v>
          </cell>
          <cell r="P10" t="str">
            <v>Ok mon client</v>
          </cell>
          <cell r="Q10" t="str">
            <v>ROUEN / GRAND QUEVIL</v>
          </cell>
          <cell r="R10" t="str">
            <v>14</v>
          </cell>
          <cell r="S10" t="str">
            <v>ROUTE NATIONALE 13</v>
          </cell>
          <cell r="T10">
            <v>14100</v>
          </cell>
          <cell r="U10" t="str">
            <v>MAROLLES</v>
          </cell>
          <cell r="X10" t="str">
            <v>14100</v>
          </cell>
          <cell r="Y10" t="str">
            <v>MAROLLES</v>
          </cell>
          <cell r="Z10">
            <v>18971.789999999997</v>
          </cell>
          <cell r="AD10">
            <v>18971.789999999997</v>
          </cell>
          <cell r="AE10">
            <v>65272.270000000004</v>
          </cell>
          <cell r="AF10">
            <v>0.16737076862808623</v>
          </cell>
          <cell r="AI10">
            <v>259.39</v>
          </cell>
          <cell r="AJ10">
            <v>0.48837657581248306</v>
          </cell>
          <cell r="AL10">
            <v>65531.66</v>
          </cell>
          <cell r="AM10">
            <v>91744.323999999993</v>
          </cell>
          <cell r="AN10">
            <v>3.8358285644106331</v>
          </cell>
          <cell r="AP10" t="str">
            <v>022-L1-14EQUIPHORSE</v>
          </cell>
          <cell r="AZ10">
            <v>0</v>
          </cell>
          <cell r="BA10">
            <v>259.39</v>
          </cell>
          <cell r="BB10">
            <v>67230.438099999999</v>
          </cell>
        </row>
        <row r="11">
          <cell r="A11">
            <v>596447</v>
          </cell>
          <cell r="B11" t="str">
            <v>PORTAFEU</v>
          </cell>
          <cell r="H11" t="str">
            <v>PERDU</v>
          </cell>
          <cell r="I11">
            <v>0</v>
          </cell>
          <cell r="J11">
            <v>0</v>
          </cell>
          <cell r="L11" t="str">
            <v>NON</v>
          </cell>
          <cell r="M11" t="str">
            <v>Porte Feuille</v>
          </cell>
          <cell r="N11" t="str">
            <v>Non affecté</v>
          </cell>
          <cell r="O11" t="str">
            <v>KE</v>
          </cell>
          <cell r="P11" t="str">
            <v>Ok mon client</v>
          </cell>
          <cell r="Q11" t="str">
            <v>ROUEN / GRAND QUEVIL</v>
          </cell>
          <cell r="R11" t="str">
            <v>27</v>
          </cell>
          <cell r="S11" t="str">
            <v>24 RUE DES HAUTES RIVES</v>
          </cell>
          <cell r="T11">
            <v>27610</v>
          </cell>
          <cell r="U11" t="str">
            <v>ROMILLY SUR ANDELLE</v>
          </cell>
          <cell r="X11" t="str">
            <v>27610</v>
          </cell>
          <cell r="Y11" t="str">
            <v>ROMILLY SUR ANDELLE</v>
          </cell>
          <cell r="Z11">
            <v>93423.1</v>
          </cell>
          <cell r="AD11">
            <v>93423.1</v>
          </cell>
          <cell r="AE11">
            <v>56907.630000000005</v>
          </cell>
          <cell r="AF11">
            <v>0.13532157287168689</v>
          </cell>
          <cell r="AL11">
            <v>56907.630000000005</v>
          </cell>
          <cell r="AM11">
            <v>79670.682000000001</v>
          </cell>
          <cell r="AN11">
            <v>-0.14720575532175662</v>
          </cell>
          <cell r="AP11" t="str">
            <v>022-L1-27PORTAFEU</v>
          </cell>
          <cell r="AT11" t="str">
            <v>AVANCEMENT</v>
          </cell>
          <cell r="AZ11">
            <v>0</v>
          </cell>
          <cell r="BA11">
            <v>0</v>
          </cell>
          <cell r="BB11">
            <v>56907.630000000005</v>
          </cell>
        </row>
        <row r="12">
          <cell r="A12">
            <v>525367</v>
          </cell>
          <cell r="B12" t="str">
            <v>OI  DIFFUSION</v>
          </cell>
          <cell r="C12">
            <v>2.5000000000000001E-2</v>
          </cell>
          <cell r="D12">
            <v>2.5000000000000001E-2</v>
          </cell>
          <cell r="F12">
            <v>41275</v>
          </cell>
          <cell r="I12">
            <v>0</v>
          </cell>
          <cell r="J12">
            <v>0</v>
          </cell>
          <cell r="K12" t="str">
            <v>OK</v>
          </cell>
          <cell r="L12" t="str">
            <v>OK</v>
          </cell>
          <cell r="M12" t="str">
            <v>Porte Feuille</v>
          </cell>
          <cell r="N12" t="str">
            <v>Non affecté</v>
          </cell>
          <cell r="O12" t="str">
            <v>BQ</v>
          </cell>
          <cell r="P12" t="str">
            <v>Ok mon client</v>
          </cell>
          <cell r="Q12" t="str">
            <v>ROUEN / GRAND QUEVIL</v>
          </cell>
          <cell r="R12" t="str">
            <v>75</v>
          </cell>
          <cell r="S12" t="str">
            <v>ROUTE DU HAVRE</v>
          </cell>
          <cell r="T12" t="str">
            <v>76400</v>
          </cell>
          <cell r="U12" t="str">
            <v>ST LEONARD</v>
          </cell>
          <cell r="V12" t="str">
            <v xml:space="preserve"> </v>
          </cell>
          <cell r="W12" t="str">
            <v>Directeur Logistique et Transports</v>
          </cell>
          <cell r="X12" t="str">
            <v>75006</v>
          </cell>
          <cell r="Y12" t="str">
            <v>PARIS</v>
          </cell>
          <cell r="Z12">
            <v>5849.45</v>
          </cell>
          <cell r="AA12">
            <v>12657.710000000003</v>
          </cell>
          <cell r="AB12">
            <v>55088.979999999989</v>
          </cell>
          <cell r="AD12">
            <v>73596.139999999985</v>
          </cell>
          <cell r="AG12">
            <v>8668.5</v>
          </cell>
          <cell r="AH12">
            <v>0.53423083578473773</v>
          </cell>
          <cell r="AI12">
            <v>40084.039999999994</v>
          </cell>
          <cell r="AJ12">
            <v>0.4776813913966757</v>
          </cell>
          <cell r="AL12">
            <v>48752.539999999994</v>
          </cell>
          <cell r="AM12">
            <v>68253.555999999982</v>
          </cell>
          <cell r="AN12">
            <v>-7.2593263722798507E-2</v>
          </cell>
          <cell r="AO12" t="str">
            <v>259-G-75OIDIFFUSION</v>
          </cell>
          <cell r="AP12" t="str">
            <v>259-L-75OIDIFFUSION</v>
          </cell>
          <cell r="AQ12">
            <v>38469</v>
          </cell>
          <cell r="AT12" t="str">
            <v>Nombre de OK</v>
          </cell>
          <cell r="AU12">
            <v>96</v>
          </cell>
          <cell r="AZ12">
            <v>8885.2124999999996</v>
          </cell>
          <cell r="BA12">
            <v>41086.140999999989</v>
          </cell>
          <cell r="BB12">
            <v>0</v>
          </cell>
        </row>
        <row r="13">
          <cell r="A13">
            <v>812366</v>
          </cell>
          <cell r="B13" t="str">
            <v>SOCIETE NOUVELLE VM</v>
          </cell>
          <cell r="H13" t="str">
            <v>PAS DE HAUSSE CLIENT DCM JACQUES SEBAIKHI</v>
          </cell>
          <cell r="I13">
            <v>0</v>
          </cell>
          <cell r="J13">
            <v>0</v>
          </cell>
          <cell r="L13" t="str">
            <v>non</v>
          </cell>
          <cell r="M13" t="str">
            <v>Porte Feuille</v>
          </cell>
          <cell r="N13" t="str">
            <v>DCM</v>
          </cell>
          <cell r="O13" t="str">
            <v>BQ</v>
          </cell>
          <cell r="P13" t="str">
            <v>Ok mon client</v>
          </cell>
          <cell r="Q13" t="str">
            <v>ROUEN / GRAND QUEVIL</v>
          </cell>
          <cell r="S13" t="str">
            <v>23 AVENUE DES NATIONS PARIS NORD</v>
          </cell>
          <cell r="T13">
            <v>189240</v>
          </cell>
          <cell r="U13" t="str">
            <v>VILLEPINTE</v>
          </cell>
          <cell r="X13" t="str">
            <v>93420</v>
          </cell>
          <cell r="Y13" t="str">
            <v>VILLEPINTE</v>
          </cell>
          <cell r="Z13">
            <v>35072.659999999996</v>
          </cell>
          <cell r="AA13">
            <v>11786.019999999999</v>
          </cell>
          <cell r="AB13">
            <v>2017.74</v>
          </cell>
          <cell r="AC13">
            <v>1930</v>
          </cell>
          <cell r="AD13">
            <v>50806.419999999991</v>
          </cell>
          <cell r="AE13">
            <v>34755.26</v>
          </cell>
          <cell r="AF13">
            <v>0.10648372021495671</v>
          </cell>
          <cell r="AG13">
            <v>10331.029999999999</v>
          </cell>
          <cell r="AH13">
            <v>0.49330512059300979</v>
          </cell>
          <cell r="AI13">
            <v>685.65000000000009</v>
          </cell>
          <cell r="AJ13">
            <v>0.26666666666666661</v>
          </cell>
          <cell r="AL13">
            <v>45771.94</v>
          </cell>
          <cell r="AM13">
            <v>64080.716</v>
          </cell>
          <cell r="AN13">
            <v>0.26127202034703512</v>
          </cell>
          <cell r="AO13" t="str">
            <v>022-G-76WM</v>
          </cell>
          <cell r="AP13" t="str">
            <v>022-L1-14WM</v>
          </cell>
          <cell r="AT13" t="str">
            <v>Nombre de En attente</v>
          </cell>
          <cell r="AU13">
            <v>2</v>
          </cell>
          <cell r="AZ13">
            <v>10331.029999999999</v>
          </cell>
          <cell r="BA13">
            <v>685.65000000000009</v>
          </cell>
          <cell r="BB13">
            <v>34755.26</v>
          </cell>
        </row>
        <row r="14">
          <cell r="A14">
            <v>508333</v>
          </cell>
          <cell r="B14" t="str">
            <v>ATELIERS SYSTEM</v>
          </cell>
          <cell r="E14">
            <v>2.5000000000000001E-2</v>
          </cell>
          <cell r="F14">
            <v>41275</v>
          </cell>
          <cell r="I14">
            <v>0</v>
          </cell>
          <cell r="J14">
            <v>0</v>
          </cell>
          <cell r="K14" t="str">
            <v>ok</v>
          </cell>
          <cell r="L14" t="str">
            <v>ok</v>
          </cell>
          <cell r="M14" t="str">
            <v>Porte Feuille</v>
          </cell>
          <cell r="N14" t="str">
            <v>Non affecté</v>
          </cell>
          <cell r="O14" t="str">
            <v>BQ</v>
          </cell>
          <cell r="P14" t="str">
            <v>Ok mon client</v>
          </cell>
          <cell r="Q14" t="str">
            <v>ROUEN / GRAND QUEVIL</v>
          </cell>
          <cell r="R14" t="str">
            <v>27</v>
          </cell>
          <cell r="S14" t="str">
            <v>343 RUE DE LA SEMAILLE</v>
          </cell>
          <cell r="T14">
            <v>27306</v>
          </cell>
          <cell r="U14" t="str">
            <v>BERNAY</v>
          </cell>
          <cell r="X14" t="str">
            <v>27300</v>
          </cell>
          <cell r="Y14" t="str">
            <v>BERNAY</v>
          </cell>
          <cell r="Z14">
            <v>18059.650000000001</v>
          </cell>
          <cell r="AA14">
            <v>26775.919999999998</v>
          </cell>
          <cell r="AB14">
            <v>804.32</v>
          </cell>
          <cell r="AD14">
            <v>45639.89</v>
          </cell>
          <cell r="AE14">
            <v>11073.23</v>
          </cell>
          <cell r="AF14">
            <v>0.19479230540682357</v>
          </cell>
          <cell r="AG14">
            <v>25807.360000000001</v>
          </cell>
          <cell r="AH14">
            <v>0.31556695454320105</v>
          </cell>
          <cell r="AI14">
            <v>92.02</v>
          </cell>
          <cell r="AJ14">
            <v>0.43360139100195605</v>
          </cell>
          <cell r="AL14">
            <v>36972.609999999993</v>
          </cell>
          <cell r="AM14">
            <v>51761.653999999988</v>
          </cell>
          <cell r="AN14">
            <v>0.13413187455096831</v>
          </cell>
          <cell r="AO14" t="str">
            <v>022-G-27ATELIERSYS</v>
          </cell>
          <cell r="AP14" t="str">
            <v>022-L1-27ATELIERSYSTEM</v>
          </cell>
          <cell r="AT14" t="str">
            <v>Nombre de non</v>
          </cell>
          <cell r="AU14">
            <v>107</v>
          </cell>
          <cell r="AZ14">
            <v>25807.360000000001</v>
          </cell>
          <cell r="BA14">
            <v>92.02</v>
          </cell>
          <cell r="BB14">
            <v>11350.060749999999</v>
          </cell>
        </row>
        <row r="15">
          <cell r="A15">
            <v>396825</v>
          </cell>
          <cell r="B15" t="str">
            <v>AUDY J.E.</v>
          </cell>
          <cell r="H15" t="str">
            <v>NOUVEAU TARIF</v>
          </cell>
          <cell r="I15">
            <v>0</v>
          </cell>
          <cell r="J15">
            <v>0</v>
          </cell>
          <cell r="L15" t="str">
            <v>NON</v>
          </cell>
          <cell r="M15" t="str">
            <v>Porte Feuille</v>
          </cell>
          <cell r="N15" t="str">
            <v>Non affecté</v>
          </cell>
          <cell r="O15" t="str">
            <v>KE</v>
          </cell>
          <cell r="P15" t="str">
            <v>Ok mon client</v>
          </cell>
          <cell r="Q15" t="str">
            <v>ROUEN / GRAND QUEVIL</v>
          </cell>
          <cell r="R15" t="str">
            <v>33</v>
          </cell>
          <cell r="S15" t="str">
            <v>4 RUE PV COUTURIER</v>
          </cell>
          <cell r="T15">
            <v>76120</v>
          </cell>
          <cell r="U15" t="str">
            <v>GRAND QUEVILLY</v>
          </cell>
          <cell r="X15" t="str">
            <v>33502</v>
          </cell>
          <cell r="Y15" t="str">
            <v>LIBOURNE</v>
          </cell>
          <cell r="AA15">
            <v>54964.229999999996</v>
          </cell>
          <cell r="AB15">
            <v>282.51</v>
          </cell>
          <cell r="AD15">
            <v>55246.74</v>
          </cell>
          <cell r="AG15">
            <v>34117.24</v>
          </cell>
          <cell r="AH15">
            <v>0.42229236597098674</v>
          </cell>
          <cell r="AI15">
            <v>17.77</v>
          </cell>
          <cell r="AJ15">
            <v>-1.1660101294316265</v>
          </cell>
          <cell r="AL15">
            <v>34135.009999999995</v>
          </cell>
          <cell r="AM15">
            <v>47789.013999999988</v>
          </cell>
          <cell r="AN15">
            <v>-0.13498943105059247</v>
          </cell>
          <cell r="AO15" t="str">
            <v>022-G-33GABART022</v>
          </cell>
          <cell r="AP15" t="str">
            <v>022-L-33GABART022</v>
          </cell>
          <cell r="AT15" t="str">
            <v>Nombre de données rensignées</v>
          </cell>
          <cell r="AU15">
            <v>186</v>
          </cell>
          <cell r="AV15">
            <v>1.0913978494623655</v>
          </cell>
          <cell r="AZ15">
            <v>34117.24</v>
          </cell>
          <cell r="BA15">
            <v>17.77</v>
          </cell>
          <cell r="BB15">
            <v>0</v>
          </cell>
        </row>
        <row r="16">
          <cell r="A16">
            <v>476272</v>
          </cell>
          <cell r="B16" t="str">
            <v>SUMPAR</v>
          </cell>
          <cell r="C16">
            <v>0.02</v>
          </cell>
          <cell r="D16">
            <v>0.02</v>
          </cell>
          <cell r="E16">
            <v>0.02</v>
          </cell>
          <cell r="F16">
            <v>41275</v>
          </cell>
          <cell r="I16">
            <v>0</v>
          </cell>
          <cell r="J16">
            <v>0</v>
          </cell>
          <cell r="K16" t="str">
            <v>ok</v>
          </cell>
          <cell r="L16" t="str">
            <v>ok</v>
          </cell>
          <cell r="N16" t="str">
            <v>Non affecté</v>
          </cell>
          <cell r="O16" t="str">
            <v>KE</v>
          </cell>
          <cell r="P16" t="str">
            <v>Ok mon client</v>
          </cell>
          <cell r="Q16" t="str">
            <v>ROUEN / GRAND QUEVIL</v>
          </cell>
          <cell r="R16" t="str">
            <v>76</v>
          </cell>
          <cell r="S16" t="str">
            <v>134  ZE LA FORGE FERET</v>
          </cell>
          <cell r="T16">
            <v>76520</v>
          </cell>
          <cell r="U16" t="str">
            <v>BOOS</v>
          </cell>
          <cell r="X16" t="str">
            <v>76520</v>
          </cell>
          <cell r="Y16" t="str">
            <v>BOOS</v>
          </cell>
          <cell r="Z16">
            <v>3349.11</v>
          </cell>
          <cell r="AA16">
            <v>5037.8900000000003</v>
          </cell>
          <cell r="AD16">
            <v>8387</v>
          </cell>
          <cell r="AE16">
            <v>22045.93</v>
          </cell>
          <cell r="AF16">
            <v>7.393337455031429E-2</v>
          </cell>
          <cell r="AG16">
            <v>7168.35</v>
          </cell>
          <cell r="AH16">
            <v>0.12578905884896827</v>
          </cell>
          <cell r="AL16">
            <v>29214.28</v>
          </cell>
          <cell r="AM16">
            <v>40899.991999999998</v>
          </cell>
          <cell r="AN16">
            <v>3.8765937760820313</v>
          </cell>
          <cell r="AO16" t="str">
            <v>022-G-76SUMPAR</v>
          </cell>
          <cell r="AP16" t="str">
            <v>022-L1-76SUMPAR</v>
          </cell>
          <cell r="AT16" t="str">
            <v>Nombre traité :</v>
          </cell>
          <cell r="AU16">
            <v>203</v>
          </cell>
          <cell r="AV16">
            <v>0.96666666666666667</v>
          </cell>
          <cell r="AZ16">
            <v>7311.7170000000006</v>
          </cell>
          <cell r="BA16">
            <v>0</v>
          </cell>
          <cell r="BB16">
            <v>22486.848600000001</v>
          </cell>
        </row>
        <row r="17">
          <cell r="A17">
            <v>853973</v>
          </cell>
          <cell r="B17" t="str">
            <v>TAG NOTICES</v>
          </cell>
          <cell r="H17" t="str">
            <v>Suite mail annulation de la hausse</v>
          </cell>
          <cell r="I17">
            <v>0</v>
          </cell>
          <cell r="J17">
            <v>0</v>
          </cell>
          <cell r="K17" t="str">
            <v>ok</v>
          </cell>
          <cell r="L17" t="str">
            <v>non</v>
          </cell>
          <cell r="N17" t="str">
            <v>Non affecté</v>
          </cell>
          <cell r="O17" t="str">
            <v>BQ</v>
          </cell>
          <cell r="P17" t="str">
            <v>Ok mon client</v>
          </cell>
          <cell r="Q17" t="str">
            <v>ROUEN / GRAND QUEVIL</v>
          </cell>
          <cell r="R17" t="str">
            <v>76</v>
          </cell>
          <cell r="S17" t="str">
            <v>ZI SENTE OLIVIER</v>
          </cell>
          <cell r="T17">
            <v>76800</v>
          </cell>
          <cell r="U17" t="str">
            <v>SAINT ETIENNE DU ROUVRAY</v>
          </cell>
          <cell r="X17" t="str">
            <v>76800</v>
          </cell>
          <cell r="Y17" t="str">
            <v>SAINT ETIENNE DU ROUVRAY</v>
          </cell>
          <cell r="Z17">
            <v>6334.47</v>
          </cell>
          <cell r="AB17">
            <v>288.26</v>
          </cell>
          <cell r="AD17">
            <v>6622.7300000000005</v>
          </cell>
          <cell r="AE17">
            <v>22763.47</v>
          </cell>
          <cell r="AF17">
            <v>0.14369821472736785</v>
          </cell>
          <cell r="AI17">
            <v>228.07999999999998</v>
          </cell>
          <cell r="AJ17">
            <v>0.21948439144159934</v>
          </cell>
          <cell r="AL17">
            <v>22991.550000000003</v>
          </cell>
          <cell r="AM17">
            <v>32188.170000000002</v>
          </cell>
          <cell r="AN17">
            <v>3.8602570239161187</v>
          </cell>
          <cell r="AO17" t="str">
            <v>022-G-76TAG</v>
          </cell>
          <cell r="AP17" t="str">
            <v>022-L1-76TAG</v>
          </cell>
          <cell r="AT17" t="str">
            <v>Nombre total :</v>
          </cell>
          <cell r="AU17">
            <v>210</v>
          </cell>
          <cell r="AZ17">
            <v>0</v>
          </cell>
          <cell r="BA17">
            <v>228.07999999999998</v>
          </cell>
          <cell r="BB17">
            <v>22763.47</v>
          </cell>
        </row>
        <row r="18">
          <cell r="A18">
            <v>678302</v>
          </cell>
          <cell r="B18" t="str">
            <v>BEKO FRANCE</v>
          </cell>
          <cell r="C18">
            <v>2.5000000000000001E-2</v>
          </cell>
          <cell r="F18">
            <v>41306</v>
          </cell>
          <cell r="I18">
            <v>0</v>
          </cell>
          <cell r="J18">
            <v>0</v>
          </cell>
          <cell r="K18" t="str">
            <v>ok</v>
          </cell>
          <cell r="L18" t="str">
            <v>ok</v>
          </cell>
          <cell r="M18" t="str">
            <v>Porte Feuille</v>
          </cell>
          <cell r="N18" t="str">
            <v>DCM</v>
          </cell>
          <cell r="O18" t="str">
            <v>BQ</v>
          </cell>
          <cell r="P18" t="str">
            <v>Ok mon client</v>
          </cell>
          <cell r="Q18" t="str">
            <v>ROUEN / GRAND QUEVIL</v>
          </cell>
          <cell r="R18" t="str">
            <v>93</v>
          </cell>
          <cell r="S18" t="str">
            <v>266 AVENUE DU PRESIDENT WILSON</v>
          </cell>
          <cell r="T18">
            <v>93210</v>
          </cell>
          <cell r="U18" t="str">
            <v>SAINT DENIS</v>
          </cell>
          <cell r="X18" t="str">
            <v>93210</v>
          </cell>
          <cell r="Y18" t="str">
            <v>SAINT DENIS</v>
          </cell>
          <cell r="Z18">
            <v>2056.8599999999997</v>
          </cell>
          <cell r="AA18">
            <v>39422.080000000002</v>
          </cell>
          <cell r="AD18">
            <v>41478.94</v>
          </cell>
          <cell r="AE18">
            <v>2238.19</v>
          </cell>
          <cell r="AF18">
            <v>0.16003556445163264</v>
          </cell>
          <cell r="AG18">
            <v>20478.150000000001</v>
          </cell>
          <cell r="AH18">
            <v>0.41752537167816739</v>
          </cell>
          <cell r="AI18">
            <v>132.56</v>
          </cell>
          <cell r="AJ18">
            <v>-0.35493361496680759</v>
          </cell>
          <cell r="AL18">
            <v>22848.9</v>
          </cell>
          <cell r="AM18">
            <v>31988.46</v>
          </cell>
          <cell r="AN18">
            <v>-0.22880237537410553</v>
          </cell>
          <cell r="AO18" t="str">
            <v>022-G-76BEKO</v>
          </cell>
          <cell r="AP18" t="str">
            <v>022-L1-76BEKO</v>
          </cell>
          <cell r="AZ18">
            <v>20990.103749999998</v>
          </cell>
          <cell r="BA18">
            <v>132.56</v>
          </cell>
          <cell r="BB18">
            <v>2238.19</v>
          </cell>
        </row>
        <row r="19">
          <cell r="A19">
            <v>674249</v>
          </cell>
          <cell r="B19" t="str">
            <v>ATELIERS RECHERCHES CONCEPTIONS</v>
          </cell>
          <cell r="C19">
            <v>0.05</v>
          </cell>
          <cell r="D19">
            <v>0.04</v>
          </cell>
          <cell r="E19">
            <v>0.04</v>
          </cell>
          <cell r="F19">
            <v>41275</v>
          </cell>
          <cell r="G19" t="str">
            <v>courrier/mail</v>
          </cell>
          <cell r="I19">
            <v>0</v>
          </cell>
          <cell r="J19">
            <v>0</v>
          </cell>
          <cell r="K19" t="str">
            <v>ok</v>
          </cell>
          <cell r="L19" t="str">
            <v>ok</v>
          </cell>
          <cell r="M19" t="str">
            <v>Porte Feuille</v>
          </cell>
          <cell r="N19" t="str">
            <v>Non affecté</v>
          </cell>
          <cell r="O19" t="str">
            <v>KE</v>
          </cell>
          <cell r="P19" t="str">
            <v>Ok mon client</v>
          </cell>
          <cell r="Q19" t="str">
            <v>ROUEN / GRAND QUEVIL</v>
          </cell>
          <cell r="R19" t="str">
            <v>76</v>
          </cell>
          <cell r="S19" t="str">
            <v>48 RUE AMPERE</v>
          </cell>
          <cell r="T19">
            <v>76550</v>
          </cell>
          <cell r="U19" t="str">
            <v>OFFRANVILLE</v>
          </cell>
          <cell r="X19" t="str">
            <v>76550</v>
          </cell>
          <cell r="Y19" t="str">
            <v>OFFRAINVILLE</v>
          </cell>
          <cell r="Z19">
            <v>5226.1099999999997</v>
          </cell>
          <cell r="AA19">
            <v>19424.450000000004</v>
          </cell>
          <cell r="AB19">
            <v>11018.76</v>
          </cell>
          <cell r="AD19">
            <v>35669.320000000007</v>
          </cell>
          <cell r="AE19">
            <v>2611.2700000000004</v>
          </cell>
          <cell r="AF19">
            <v>0.27332677203046796</v>
          </cell>
          <cell r="AG19">
            <v>13234.93</v>
          </cell>
          <cell r="AH19">
            <v>0.34935129993131819</v>
          </cell>
          <cell r="AI19">
            <v>5066.21</v>
          </cell>
          <cell r="AJ19">
            <v>0.43747100890014434</v>
          </cell>
          <cell r="AL19">
            <v>20912.41</v>
          </cell>
          <cell r="AM19">
            <v>29277.373999999996</v>
          </cell>
          <cell r="AN19">
            <v>-0.17920010810410769</v>
          </cell>
          <cell r="AO19" t="str">
            <v>022-G-76ARC</v>
          </cell>
          <cell r="AP19" t="str">
            <v>022-L1-76ARC</v>
          </cell>
          <cell r="AZ19">
            <v>13896.676500000001</v>
          </cell>
          <cell r="BA19">
            <v>5268.8584000000001</v>
          </cell>
          <cell r="BB19">
            <v>2715.7208000000005</v>
          </cell>
        </row>
        <row r="20">
          <cell r="A20">
            <v>821691</v>
          </cell>
          <cell r="B20" t="str">
            <v>VENTE INDUSTRIAL FACTOR</v>
          </cell>
          <cell r="H20" t="str">
            <v>PERDU</v>
          </cell>
          <cell r="I20">
            <v>0</v>
          </cell>
          <cell r="J20">
            <v>0</v>
          </cell>
          <cell r="L20" t="str">
            <v>NON</v>
          </cell>
          <cell r="M20" t="str">
            <v>Porte Feuille</v>
          </cell>
          <cell r="N20" t="str">
            <v>Non affecté</v>
          </cell>
          <cell r="O20" t="str">
            <v>KE</v>
          </cell>
          <cell r="P20" t="str">
            <v>Ok mon client</v>
          </cell>
          <cell r="Q20" t="str">
            <v>ROUEN / GRAND QUEVIL</v>
          </cell>
          <cell r="R20" t="str">
            <v>76</v>
          </cell>
          <cell r="S20" t="str">
            <v>ZA DU MOULIN D'ECALLES</v>
          </cell>
          <cell r="T20">
            <v>76750</v>
          </cell>
          <cell r="U20" t="str">
            <v>BUCHY</v>
          </cell>
          <cell r="X20" t="str">
            <v>76750</v>
          </cell>
          <cell r="Y20" t="str">
            <v>ESTOUTEVILLE ECALLES</v>
          </cell>
          <cell r="Z20">
            <v>8166.36</v>
          </cell>
          <cell r="AA20">
            <v>96319.38</v>
          </cell>
          <cell r="AB20">
            <v>16514.88</v>
          </cell>
          <cell r="AD20">
            <v>121000.62000000001</v>
          </cell>
          <cell r="AE20">
            <v>2375.7399999999998</v>
          </cell>
          <cell r="AF20">
            <v>0.18996186451379349</v>
          </cell>
          <cell r="AG20">
            <v>14549.44</v>
          </cell>
          <cell r="AH20">
            <v>-0.18376583566102789</v>
          </cell>
          <cell r="AI20">
            <v>2362.69</v>
          </cell>
          <cell r="AJ20">
            <v>0.34740909725778663</v>
          </cell>
          <cell r="AL20">
            <v>19287.87</v>
          </cell>
          <cell r="AM20">
            <v>27003.017999999996</v>
          </cell>
          <cell r="AN20">
            <v>-0.77683570546993896</v>
          </cell>
          <cell r="AO20" t="str">
            <v>022-G-76VIF</v>
          </cell>
          <cell r="AP20" t="str">
            <v>022-L1-76VIF</v>
          </cell>
          <cell r="AZ20">
            <v>14549.44</v>
          </cell>
          <cell r="BA20">
            <v>2362.69</v>
          </cell>
          <cell r="BB20">
            <v>2375.7399999999998</v>
          </cell>
        </row>
        <row r="21">
          <cell r="A21">
            <v>582493</v>
          </cell>
          <cell r="B21" t="str">
            <v>AUTOLIV ELECTRONIC</v>
          </cell>
          <cell r="I21">
            <v>0</v>
          </cell>
          <cell r="J21">
            <v>0</v>
          </cell>
          <cell r="M21" t="str">
            <v>Porte Feuille</v>
          </cell>
          <cell r="N21" t="str">
            <v>DCM</v>
          </cell>
          <cell r="O21" t="str">
            <v>BQ</v>
          </cell>
          <cell r="P21" t="str">
            <v>Ok mon client</v>
          </cell>
          <cell r="Q21" t="str">
            <v>ROUEN / GRAND QUEVIL</v>
          </cell>
          <cell r="R21" t="str">
            <v>76</v>
          </cell>
          <cell r="S21" t="str">
            <v>BOULEVARD LENINE</v>
          </cell>
          <cell r="T21">
            <v>76807</v>
          </cell>
          <cell r="U21" t="str">
            <v>ST ETIENNE DU ROUVRAY</v>
          </cell>
          <cell r="X21" t="str">
            <v>76807</v>
          </cell>
          <cell r="Y21" t="str">
            <v>SAINT ETIENNE DU ROUVRAY</v>
          </cell>
          <cell r="Z21">
            <v>34969.47</v>
          </cell>
          <cell r="AD21">
            <v>34969.47</v>
          </cell>
          <cell r="AE21">
            <v>19197.849999999999</v>
          </cell>
          <cell r="AF21">
            <v>0.19782683998468603</v>
          </cell>
          <cell r="AL21">
            <v>19197.849999999999</v>
          </cell>
          <cell r="AM21">
            <v>26876.989999999998</v>
          </cell>
          <cell r="AN21">
            <v>-0.2314155747856631</v>
          </cell>
          <cell r="AO21" t="str">
            <v>024-G-G-M-KG</v>
          </cell>
          <cell r="AP21" t="str">
            <v>022-L1-76AUTOLIVELECTRO</v>
          </cell>
          <cell r="AZ21">
            <v>0</v>
          </cell>
          <cell r="BA21">
            <v>0</v>
          </cell>
          <cell r="BB21">
            <v>19197.849999999999</v>
          </cell>
        </row>
        <row r="22">
          <cell r="A22">
            <v>25551</v>
          </cell>
          <cell r="B22" t="str">
            <v>DRESSER RAND</v>
          </cell>
          <cell r="I22">
            <v>0</v>
          </cell>
          <cell r="J22">
            <v>0</v>
          </cell>
          <cell r="N22" t="str">
            <v>Non affecté</v>
          </cell>
          <cell r="O22" t="str">
            <v>BQ</v>
          </cell>
          <cell r="P22" t="str">
            <v>Ok mon client</v>
          </cell>
          <cell r="Q22" t="str">
            <v>ROUEN / GRAND QUEVIL</v>
          </cell>
          <cell r="R22" t="str">
            <v>76</v>
          </cell>
          <cell r="S22" t="str">
            <v>31 BLD WINSTON CHURCHILL</v>
          </cell>
          <cell r="T22">
            <v>76600</v>
          </cell>
          <cell r="U22" t="str">
            <v>LE HAVRE</v>
          </cell>
          <cell r="X22" t="str">
            <v>76600</v>
          </cell>
          <cell r="Y22" t="str">
            <v>LE HAVRE</v>
          </cell>
          <cell r="AE22">
            <v>18680</v>
          </cell>
          <cell r="AF22">
            <v>6.5845824411134901E-2</v>
          </cell>
          <cell r="AL22">
            <v>18680</v>
          </cell>
          <cell r="AM22">
            <v>26152</v>
          </cell>
          <cell r="AZ22">
            <v>0</v>
          </cell>
          <cell r="BA22">
            <v>0</v>
          </cell>
          <cell r="BB22">
            <v>18680</v>
          </cell>
        </row>
        <row r="23">
          <cell r="A23">
            <v>385941</v>
          </cell>
          <cell r="B23" t="str">
            <v>TEMECA TECHNIQUES MECANIQUES</v>
          </cell>
          <cell r="C23">
            <v>3.5000000000000003E-2</v>
          </cell>
          <cell r="E23">
            <v>3.5000000000000003E-2</v>
          </cell>
          <cell r="F23">
            <v>41334</v>
          </cell>
          <cell r="H23" t="str">
            <v xml:space="preserve"> + tarif particulier LOT</v>
          </cell>
          <cell r="I23">
            <v>0</v>
          </cell>
          <cell r="J23">
            <v>0</v>
          </cell>
          <cell r="K23" t="str">
            <v>ok</v>
          </cell>
          <cell r="L23" t="str">
            <v>ok</v>
          </cell>
          <cell r="M23" t="str">
            <v>Porte Feuille</v>
          </cell>
          <cell r="N23" t="str">
            <v>Non affecté</v>
          </cell>
          <cell r="O23" t="str">
            <v>KE</v>
          </cell>
          <cell r="P23" t="str">
            <v>Ok mon client</v>
          </cell>
          <cell r="Q23" t="str">
            <v>ROUEN / GRAND QUEVIL</v>
          </cell>
          <cell r="R23" t="str">
            <v>76</v>
          </cell>
          <cell r="S23" t="str">
            <v>922 RUE DE L'EPINE CHEVALIER</v>
          </cell>
          <cell r="T23">
            <v>76510</v>
          </cell>
          <cell r="U23" t="str">
            <v>ST NICOLAS D'ALIERMONT</v>
          </cell>
          <cell r="X23" t="str">
            <v>76510</v>
          </cell>
          <cell r="Y23" t="str">
            <v>ST NICOLAS D'ALIERMONT</v>
          </cell>
          <cell r="Z23">
            <v>2884.84</v>
          </cell>
          <cell r="AA23">
            <v>24276.759999999995</v>
          </cell>
          <cell r="AB23">
            <v>338.71</v>
          </cell>
          <cell r="AD23">
            <v>27500.309999999994</v>
          </cell>
          <cell r="AE23">
            <v>6734.09</v>
          </cell>
          <cell r="AF23">
            <v>0.13796815902371393</v>
          </cell>
          <cell r="AG23">
            <v>11618.49</v>
          </cell>
          <cell r="AH23">
            <v>7.3757433194847122E-2</v>
          </cell>
          <cell r="AL23">
            <v>18352.580000000002</v>
          </cell>
          <cell r="AM23">
            <v>25693.612000000001</v>
          </cell>
          <cell r="AN23">
            <v>-6.5697368502391162E-2</v>
          </cell>
          <cell r="AO23" t="str">
            <v>022-G-76TEMECA</v>
          </cell>
          <cell r="AP23" t="str">
            <v>022-L1-76TEMECA</v>
          </cell>
          <cell r="AZ23">
            <v>12025.137149999999</v>
          </cell>
          <cell r="BA23">
            <v>0</v>
          </cell>
          <cell r="BB23">
            <v>6969.7831499999993</v>
          </cell>
        </row>
        <row r="24">
          <cell r="A24">
            <v>841775</v>
          </cell>
          <cell r="B24" t="str">
            <v>hightech kitting</v>
          </cell>
          <cell r="C24">
            <v>0.03</v>
          </cell>
          <cell r="D24">
            <v>0.03</v>
          </cell>
          <cell r="E24">
            <v>0.03</v>
          </cell>
          <cell r="F24">
            <v>41275</v>
          </cell>
          <cell r="I24">
            <v>0</v>
          </cell>
          <cell r="J24">
            <v>0</v>
          </cell>
          <cell r="K24" t="str">
            <v>ok</v>
          </cell>
          <cell r="L24" t="str">
            <v>ok</v>
          </cell>
          <cell r="M24" t="str">
            <v>Porte Feuille</v>
          </cell>
          <cell r="N24" t="str">
            <v>Non affecté</v>
          </cell>
          <cell r="O24" t="str">
            <v>KE</v>
          </cell>
          <cell r="P24" t="str">
            <v>Ok mon client</v>
          </cell>
          <cell r="Q24" t="str">
            <v>ROUEN / GRAND QUEVIL</v>
          </cell>
          <cell r="R24" t="str">
            <v>27</v>
          </cell>
          <cell r="S24" t="str">
            <v>12 CHEMIN SABLONNIERE</v>
          </cell>
          <cell r="T24">
            <v>27600</v>
          </cell>
          <cell r="U24" t="str">
            <v>FONTAINE BELLENGER</v>
          </cell>
          <cell r="X24" t="str">
            <v>27600</v>
          </cell>
          <cell r="Y24" t="str">
            <v>fontaine bellenger</v>
          </cell>
          <cell r="Z24">
            <v>625.91</v>
          </cell>
          <cell r="AA24">
            <v>19865.009999999998</v>
          </cell>
          <cell r="AD24">
            <v>20490.919999999998</v>
          </cell>
          <cell r="AE24">
            <v>3775.65</v>
          </cell>
          <cell r="AF24">
            <v>0.22529895514679593</v>
          </cell>
          <cell r="AG24">
            <v>14048.06</v>
          </cell>
          <cell r="AH24">
            <v>0.14255989795032314</v>
          </cell>
          <cell r="AL24">
            <v>17823.71</v>
          </cell>
          <cell r="AM24">
            <v>24953.193999999996</v>
          </cell>
          <cell r="AN24">
            <v>0.2177683578872982</v>
          </cell>
          <cell r="AO24" t="str">
            <v>022-G-27HIGHTEC</v>
          </cell>
          <cell r="AP24" t="str">
            <v>022-L1-27HIGHTECH</v>
          </cell>
          <cell r="AZ24">
            <v>14469.5018</v>
          </cell>
          <cell r="BA24">
            <v>0</v>
          </cell>
          <cell r="BB24">
            <v>3888.9195</v>
          </cell>
        </row>
        <row r="25">
          <cell r="A25">
            <v>376630</v>
          </cell>
          <cell r="B25" t="str">
            <v>CGTI</v>
          </cell>
          <cell r="C25">
            <v>2.5000000000000001E-2</v>
          </cell>
          <cell r="D25">
            <v>2.5000000000000001E-2</v>
          </cell>
          <cell r="E25">
            <v>2.5000000000000001E-2</v>
          </cell>
          <cell r="F25">
            <v>41275</v>
          </cell>
          <cell r="I25">
            <v>0</v>
          </cell>
          <cell r="J25">
            <v>0</v>
          </cell>
          <cell r="K25" t="str">
            <v>ok</v>
          </cell>
          <cell r="L25" t="str">
            <v>ok</v>
          </cell>
          <cell r="M25" t="str">
            <v>Porte Feuille</v>
          </cell>
          <cell r="N25" t="str">
            <v>Non affecté</v>
          </cell>
          <cell r="O25" t="str">
            <v>KE</v>
          </cell>
          <cell r="P25" t="str">
            <v>Ok mon client</v>
          </cell>
          <cell r="Q25" t="str">
            <v>ROUEN / GRAND QUEVIL</v>
          </cell>
          <cell r="R25" t="str">
            <v>27</v>
          </cell>
          <cell r="S25" t="str">
            <v>26 RUE ALBERT CAMUS</v>
          </cell>
          <cell r="T25">
            <v>27120</v>
          </cell>
          <cell r="U25" t="str">
            <v>PACY SUR EURE</v>
          </cell>
          <cell r="X25" t="str">
            <v>27120</v>
          </cell>
          <cell r="Y25" t="str">
            <v>PACY SUR EURE</v>
          </cell>
          <cell r="Z25">
            <v>53054.04</v>
          </cell>
          <cell r="AD25">
            <v>53054.04</v>
          </cell>
          <cell r="AE25">
            <v>14773.050000000001</v>
          </cell>
          <cell r="AF25">
            <v>8.6167040658496424E-2</v>
          </cell>
          <cell r="AG25">
            <v>1844.6800000000003</v>
          </cell>
          <cell r="AH25">
            <v>0.21307760695621983</v>
          </cell>
          <cell r="AL25">
            <v>16617.730000000003</v>
          </cell>
          <cell r="AM25">
            <v>23264.822000000004</v>
          </cell>
          <cell r="AN25">
            <v>-0.56148821088836964</v>
          </cell>
          <cell r="AO25" t="str">
            <v>022-G-27CGTIP</v>
          </cell>
          <cell r="AP25" t="str">
            <v>022-L1-27CGTI</v>
          </cell>
          <cell r="AZ25">
            <v>1890.797</v>
          </cell>
          <cell r="BA25">
            <v>0</v>
          </cell>
          <cell r="BB25">
            <v>15142.376249999999</v>
          </cell>
        </row>
        <row r="26">
          <cell r="A26">
            <v>500765</v>
          </cell>
          <cell r="B26" t="str">
            <v>MAGNETI MARELLI</v>
          </cell>
          <cell r="C26">
            <v>4.4999999999999998E-2</v>
          </cell>
          <cell r="D26">
            <v>4.4999999999999998E-2</v>
          </cell>
          <cell r="F26">
            <v>41365</v>
          </cell>
          <cell r="I26">
            <v>0</v>
          </cell>
          <cell r="J26">
            <v>0</v>
          </cell>
          <cell r="K26" t="str">
            <v>ok</v>
          </cell>
          <cell r="L26" t="str">
            <v>ok</v>
          </cell>
          <cell r="M26" t="str">
            <v>Porte Feuille</v>
          </cell>
          <cell r="N26" t="str">
            <v>Non affecté</v>
          </cell>
          <cell r="O26" t="str">
            <v>KE</v>
          </cell>
          <cell r="P26" t="str">
            <v>Ok mon client</v>
          </cell>
          <cell r="Q26" t="str">
            <v>ROUEN / GRAND QUEVIL</v>
          </cell>
          <cell r="R26" t="str">
            <v>61</v>
          </cell>
          <cell r="S26" t="str">
            <v>9-11 RUE MAURICE RAVEL</v>
          </cell>
          <cell r="T26">
            <v>61200</v>
          </cell>
          <cell r="U26" t="str">
            <v>ARGENTAN</v>
          </cell>
          <cell r="X26" t="str">
            <v>61200</v>
          </cell>
          <cell r="Y26" t="str">
            <v>ARGENTAN</v>
          </cell>
          <cell r="AA26">
            <v>26049.740000000005</v>
          </cell>
          <cell r="AB26">
            <v>1104.17</v>
          </cell>
          <cell r="AD26">
            <v>27153.910000000003</v>
          </cell>
          <cell r="AG26">
            <v>16613.03</v>
          </cell>
          <cell r="AH26">
            <v>0.86334341176775098</v>
          </cell>
          <cell r="AL26">
            <v>16613.03</v>
          </cell>
          <cell r="AM26">
            <v>23258.241999999998</v>
          </cell>
          <cell r="AN26">
            <v>-0.14346618958374702</v>
          </cell>
          <cell r="AO26" t="str">
            <v>001-G-61MAGNETI</v>
          </cell>
          <cell r="AP26" t="str">
            <v>001-L-GENERAL-KG</v>
          </cell>
          <cell r="AZ26">
            <v>17360.616349999997</v>
          </cell>
          <cell r="BA26">
            <v>0</v>
          </cell>
          <cell r="BB26">
            <v>0</v>
          </cell>
        </row>
        <row r="27">
          <cell r="A27">
            <v>510977</v>
          </cell>
          <cell r="B27" t="str">
            <v>DEMOLIN HAUTE NORMANDIE</v>
          </cell>
          <cell r="C27">
            <v>2.5000000000000001E-2</v>
          </cell>
          <cell r="F27">
            <v>41275</v>
          </cell>
          <cell r="H27" t="str">
            <v>meme compte que 74439</v>
          </cell>
          <cell r="I27">
            <v>0</v>
          </cell>
          <cell r="J27">
            <v>0</v>
          </cell>
          <cell r="K27" t="str">
            <v>ok</v>
          </cell>
          <cell r="L27" t="str">
            <v>ok</v>
          </cell>
          <cell r="M27" t="str">
            <v>Porte Feuille</v>
          </cell>
          <cell r="N27" t="str">
            <v>Non affecté</v>
          </cell>
          <cell r="O27" t="str">
            <v>BQ</v>
          </cell>
          <cell r="P27" t="str">
            <v>Ok mon client</v>
          </cell>
          <cell r="Q27" t="str">
            <v>ROUEN / GRAND QUEVIL</v>
          </cell>
          <cell r="R27" t="str">
            <v>76</v>
          </cell>
          <cell r="S27" t="str">
            <v>5 RUE CLAUDE CHAPPE</v>
          </cell>
          <cell r="T27">
            <v>76300</v>
          </cell>
          <cell r="U27" t="str">
            <v>SOTTEVILLE LES ROUEN</v>
          </cell>
          <cell r="X27" t="str">
            <v>76300</v>
          </cell>
          <cell r="Y27" t="str">
            <v>SOTTEVILLE LES ROUEN</v>
          </cell>
          <cell r="Z27">
            <v>1808.7900000000002</v>
          </cell>
          <cell r="AA27">
            <v>21067.41</v>
          </cell>
          <cell r="AD27">
            <v>22876.2</v>
          </cell>
          <cell r="AE27">
            <v>497.38</v>
          </cell>
          <cell r="AF27">
            <v>2.4890425831356297E-2</v>
          </cell>
          <cell r="AG27">
            <v>15645.609999999999</v>
          </cell>
          <cell r="AH27">
            <v>0.56678646597991333</v>
          </cell>
          <cell r="AL27">
            <v>16142.989999999998</v>
          </cell>
          <cell r="AM27">
            <v>22600.185999999994</v>
          </cell>
          <cell r="AN27">
            <v>-1.2065552845315519E-2</v>
          </cell>
          <cell r="AO27" t="str">
            <v>022-G-76DEMOLINSOT</v>
          </cell>
          <cell r="AZ27">
            <v>16036.750249999997</v>
          </cell>
          <cell r="BA27">
            <v>0</v>
          </cell>
          <cell r="BB27">
            <v>497.38</v>
          </cell>
        </row>
        <row r="28">
          <cell r="A28">
            <v>563676</v>
          </cell>
          <cell r="B28" t="str">
            <v>CRYO DIFFUSION</v>
          </cell>
          <cell r="C28">
            <v>0.04</v>
          </cell>
          <cell r="D28">
            <v>0.04</v>
          </cell>
          <cell r="E28">
            <v>0.04</v>
          </cell>
          <cell r="F28">
            <v>41275</v>
          </cell>
          <cell r="I28">
            <v>0</v>
          </cell>
          <cell r="J28">
            <v>0</v>
          </cell>
          <cell r="K28" t="str">
            <v>ok</v>
          </cell>
          <cell r="L28" t="str">
            <v>ok</v>
          </cell>
          <cell r="M28" t="str">
            <v>Porte Feuille</v>
          </cell>
          <cell r="N28" t="str">
            <v>Non affecté</v>
          </cell>
          <cell r="O28" t="str">
            <v>KE</v>
          </cell>
          <cell r="P28" t="str">
            <v>Ok mon client</v>
          </cell>
          <cell r="Q28" t="str">
            <v>ROUEN / GRAND QUEVIL</v>
          </cell>
          <cell r="R28" t="str">
            <v>27</v>
          </cell>
          <cell r="S28" t="str">
            <v>49 RUE DE VERDUN</v>
          </cell>
          <cell r="T28">
            <v>27690</v>
          </cell>
          <cell r="U28" t="str">
            <v>LERY</v>
          </cell>
          <cell r="X28" t="str">
            <v>27690</v>
          </cell>
          <cell r="Y28" t="str">
            <v>LERY</v>
          </cell>
          <cell r="Z28">
            <v>14746.62</v>
          </cell>
          <cell r="AA28">
            <v>1203.3800000000001</v>
          </cell>
          <cell r="AB28">
            <v>9681.41</v>
          </cell>
          <cell r="AD28">
            <v>25631.41</v>
          </cell>
          <cell r="AE28">
            <v>8628.75</v>
          </cell>
          <cell r="AF28">
            <v>0.12791539910183977</v>
          </cell>
          <cell r="AG28">
            <v>908.19</v>
          </cell>
          <cell r="AH28">
            <v>0.37323687774584624</v>
          </cell>
          <cell r="AI28">
            <v>5707.83</v>
          </cell>
          <cell r="AJ28">
            <v>0.37015117829367694</v>
          </cell>
          <cell r="AL28">
            <v>15244.77</v>
          </cell>
          <cell r="AM28">
            <v>21342.678</v>
          </cell>
          <cell r="AN28">
            <v>-0.16732329590919892</v>
          </cell>
          <cell r="AO28" t="str">
            <v>022-G-27CRYO</v>
          </cell>
          <cell r="AZ28">
            <v>944.51760000000013</v>
          </cell>
          <cell r="BA28">
            <v>5936.1432000000004</v>
          </cell>
          <cell r="BB28">
            <v>8973.9</v>
          </cell>
        </row>
        <row r="29">
          <cell r="A29">
            <v>23555</v>
          </cell>
          <cell r="B29" t="str">
            <v>DEMAY LESIEUR SARL</v>
          </cell>
          <cell r="C29">
            <v>2.5000000000000001E-2</v>
          </cell>
          <cell r="D29">
            <v>2.5000000000000001E-2</v>
          </cell>
          <cell r="E29">
            <v>2.5000000000000001E-2</v>
          </cell>
          <cell r="F29">
            <v>41275</v>
          </cell>
          <cell r="I29">
            <v>0</v>
          </cell>
          <cell r="J29">
            <v>0</v>
          </cell>
          <cell r="K29" t="str">
            <v>OK</v>
          </cell>
          <cell r="L29" t="str">
            <v>OK</v>
          </cell>
          <cell r="M29" t="str">
            <v>Porte Feuille</v>
          </cell>
          <cell r="N29" t="str">
            <v>Non affecté</v>
          </cell>
          <cell r="O29" t="str">
            <v>BQ</v>
          </cell>
          <cell r="P29" t="str">
            <v>Ok mon client</v>
          </cell>
          <cell r="Q29" t="str">
            <v>ROUEN / GRAND QUEVIL</v>
          </cell>
          <cell r="R29" t="str">
            <v>76</v>
          </cell>
          <cell r="S29" t="str">
            <v>1 RUE NICEPHORE-NIEPCE</v>
          </cell>
          <cell r="T29">
            <v>76304</v>
          </cell>
          <cell r="U29" t="str">
            <v>SOTTEVILLE LES ROUEN CED</v>
          </cell>
          <cell r="X29" t="str">
            <v>76304</v>
          </cell>
          <cell r="Y29" t="str">
            <v>SOTTEVILLE LES ROUEN CED</v>
          </cell>
          <cell r="Z29">
            <v>1751.9999999999998</v>
          </cell>
          <cell r="AA29">
            <v>22389.809999999998</v>
          </cell>
          <cell r="AB29">
            <v>240.01999999999998</v>
          </cell>
          <cell r="AD29">
            <v>24381.829999999998</v>
          </cell>
          <cell r="AE29">
            <v>488.03</v>
          </cell>
          <cell r="AF29">
            <v>0.20086879904923874</v>
          </cell>
          <cell r="AG29">
            <v>14422.029999999999</v>
          </cell>
          <cell r="AH29">
            <v>-0.13154069264369336</v>
          </cell>
          <cell r="AI29">
            <v>139.95000000000002</v>
          </cell>
          <cell r="AJ29">
            <v>0.70525187566988212</v>
          </cell>
          <cell r="AL29">
            <v>15050.01</v>
          </cell>
          <cell r="AM29">
            <v>21070.013999999999</v>
          </cell>
          <cell r="AN29">
            <v>-0.13583131372829682</v>
          </cell>
          <cell r="AO29" t="str">
            <v>022-G-76DEMAYSOT</v>
          </cell>
          <cell r="AZ29">
            <v>14782.580749999997</v>
          </cell>
          <cell r="BA29">
            <v>143.44875000000002</v>
          </cell>
          <cell r="BB29">
            <v>500.23074999999994</v>
          </cell>
        </row>
        <row r="30">
          <cell r="A30">
            <v>634027</v>
          </cell>
          <cell r="B30" t="str">
            <v>FENEC SA</v>
          </cell>
          <cell r="C30">
            <v>0.04</v>
          </cell>
          <cell r="D30">
            <v>0.04</v>
          </cell>
          <cell r="F30">
            <v>41244</v>
          </cell>
          <cell r="G30" t="str">
            <v>par mail et courrier</v>
          </cell>
          <cell r="I30">
            <v>0</v>
          </cell>
          <cell r="J30">
            <v>0</v>
          </cell>
          <cell r="K30" t="str">
            <v>ok</v>
          </cell>
          <cell r="L30" t="str">
            <v>ok</v>
          </cell>
          <cell r="M30" t="str">
            <v>Porte Feuille</v>
          </cell>
          <cell r="N30" t="str">
            <v>Non affecté</v>
          </cell>
          <cell r="O30" t="str">
            <v>KE</v>
          </cell>
          <cell r="P30" t="str">
            <v>Ok mon client</v>
          </cell>
          <cell r="Q30" t="str">
            <v>ROUEN / GRAND QUEVIL</v>
          </cell>
          <cell r="R30" t="str">
            <v>27</v>
          </cell>
          <cell r="S30" t="str">
            <v>LE GOULET 18 RUE DE LA CROIX DU VAL</v>
          </cell>
          <cell r="T30">
            <v>27600</v>
          </cell>
          <cell r="U30" t="str">
            <v>ST PIERRE LA GARENNE</v>
          </cell>
          <cell r="V30" t="str">
            <v>Mme</v>
          </cell>
          <cell r="W30" t="str">
            <v>Stéphanie DERVAL</v>
          </cell>
          <cell r="X30" t="str">
            <v>27600</v>
          </cell>
          <cell r="Y30" t="str">
            <v>SAINT PIERRE LA GARENNE</v>
          </cell>
          <cell r="Z30">
            <v>633.83000000000004</v>
          </cell>
          <cell r="AA30">
            <v>20257.400000000001</v>
          </cell>
          <cell r="AD30">
            <v>20891.230000000003</v>
          </cell>
          <cell r="AG30">
            <v>14914.35</v>
          </cell>
          <cell r="AH30">
            <v>0.42383409266914057</v>
          </cell>
          <cell r="AI30">
            <v>46.059999999999995</v>
          </cell>
          <cell r="AJ30">
            <v>0.69192357794181514</v>
          </cell>
          <cell r="AL30">
            <v>14960.41</v>
          </cell>
          <cell r="AM30">
            <v>20944.573999999997</v>
          </cell>
          <cell r="AN30">
            <v>2.5534159549243096E-3</v>
          </cell>
          <cell r="AO30" t="str">
            <v>022-G-27FENEC</v>
          </cell>
          <cell r="AZ30">
            <v>15510.924000000001</v>
          </cell>
          <cell r="BA30">
            <v>47.9024</v>
          </cell>
          <cell r="BB30">
            <v>0</v>
          </cell>
        </row>
        <row r="31">
          <cell r="A31">
            <v>609286</v>
          </cell>
          <cell r="B31" t="str">
            <v>FBF FRANCE</v>
          </cell>
          <cell r="C31">
            <v>2.5000000000000001E-2</v>
          </cell>
          <cell r="D31">
            <v>2.5000000000000001E-2</v>
          </cell>
          <cell r="F31">
            <v>41275</v>
          </cell>
          <cell r="I31">
            <v>0</v>
          </cell>
          <cell r="J31">
            <v>0</v>
          </cell>
          <cell r="K31" t="str">
            <v>ok</v>
          </cell>
          <cell r="L31" t="str">
            <v>ok</v>
          </cell>
          <cell r="N31" t="str">
            <v>Non affecté</v>
          </cell>
          <cell r="O31" t="str">
            <v>BQ</v>
          </cell>
          <cell r="P31" t="str">
            <v>Ok mon client</v>
          </cell>
          <cell r="Q31" t="str">
            <v>ROUEN / GRAND QUEVIL</v>
          </cell>
          <cell r="R31" t="str">
            <v>76</v>
          </cell>
          <cell r="S31" t="str">
            <v>3 ALLEE DE PLAINE</v>
          </cell>
          <cell r="T31">
            <v>76700</v>
          </cell>
          <cell r="U31" t="str">
            <v>GONFREVILLE L'ORCHER</v>
          </cell>
          <cell r="X31" t="str">
            <v>76700</v>
          </cell>
          <cell r="Y31" t="str">
            <v>GONFREVILLE L'ORCHER</v>
          </cell>
          <cell r="Z31">
            <v>6219.99</v>
          </cell>
          <cell r="AB31">
            <v>3620.04</v>
          </cell>
          <cell r="AD31">
            <v>9840.0299999999988</v>
          </cell>
          <cell r="AE31">
            <v>8783.909999999998</v>
          </cell>
          <cell r="AF31">
            <v>0.18382588164040845</v>
          </cell>
          <cell r="AG31">
            <v>88.98</v>
          </cell>
          <cell r="AH31">
            <v>0.68498538997527536</v>
          </cell>
          <cell r="AI31">
            <v>5202.6100000000006</v>
          </cell>
          <cell r="AJ31">
            <v>0.45870438107027045</v>
          </cell>
          <cell r="AL31">
            <v>14075.499999999998</v>
          </cell>
          <cell r="AM31">
            <v>19705.699999999997</v>
          </cell>
          <cell r="AN31">
            <v>1.0026056831127548</v>
          </cell>
          <cell r="AO31" t="str">
            <v>022-G-76FBF</v>
          </cell>
          <cell r="AZ31">
            <v>91.204499999999996</v>
          </cell>
          <cell r="BA31">
            <v>5332.6752500000002</v>
          </cell>
          <cell r="BB31">
            <v>8783.909999999998</v>
          </cell>
        </row>
        <row r="32">
          <cell r="A32">
            <v>53416</v>
          </cell>
          <cell r="B32" t="str">
            <v>LIPPERT PELISSIER</v>
          </cell>
          <cell r="H32" t="str">
            <v>PERDU</v>
          </cell>
          <cell r="I32">
            <v>0</v>
          </cell>
          <cell r="J32">
            <v>0</v>
          </cell>
          <cell r="L32" t="str">
            <v>NON</v>
          </cell>
          <cell r="M32" t="str">
            <v>Doublon</v>
          </cell>
          <cell r="N32" t="str">
            <v>Non affecté</v>
          </cell>
          <cell r="O32" t="str">
            <v>KE</v>
          </cell>
          <cell r="P32" t="str">
            <v>Ok mon client</v>
          </cell>
          <cell r="Q32" t="str">
            <v>ROUEN / GRAND QUEVIL</v>
          </cell>
          <cell r="R32" t="str">
            <v>68</v>
          </cell>
          <cell r="S32" t="str">
            <v>PARC INDUSTRIEL D INCARVIL</v>
          </cell>
          <cell r="T32">
            <v>27100</v>
          </cell>
          <cell r="U32" t="str">
            <v>VAL DE REUIL</v>
          </cell>
          <cell r="X32" t="str">
            <v>68830</v>
          </cell>
          <cell r="Y32" t="str">
            <v>ODEREN</v>
          </cell>
          <cell r="AA32">
            <v>14357.54</v>
          </cell>
          <cell r="AD32">
            <v>14357.54</v>
          </cell>
          <cell r="AG32">
            <v>13824.470000000001</v>
          </cell>
          <cell r="AH32">
            <v>-4.0027809660168846E-3</v>
          </cell>
          <cell r="AL32">
            <v>13824.470000000001</v>
          </cell>
          <cell r="AM32">
            <v>19354.258000000002</v>
          </cell>
          <cell r="AN32">
            <v>0.34802048261749574</v>
          </cell>
          <cell r="AO32" t="str">
            <v>022-G-27OSBORN</v>
          </cell>
          <cell r="AZ32">
            <v>13824.470000000001</v>
          </cell>
          <cell r="BA32">
            <v>0</v>
          </cell>
          <cell r="BB32">
            <v>0</v>
          </cell>
        </row>
        <row r="33">
          <cell r="A33">
            <v>848229</v>
          </cell>
          <cell r="B33" t="str">
            <v>GAZFIO</v>
          </cell>
          <cell r="H33" t="str">
            <v>PERDU</v>
          </cell>
          <cell r="I33">
            <v>0</v>
          </cell>
          <cell r="J33">
            <v>0</v>
          </cell>
          <cell r="L33" t="str">
            <v>NON</v>
          </cell>
          <cell r="M33" t="str">
            <v>Porte Feuille</v>
          </cell>
          <cell r="N33" t="str">
            <v>Non affecté</v>
          </cell>
          <cell r="O33" t="str">
            <v>KE</v>
          </cell>
          <cell r="P33" t="str">
            <v>Ok mon client</v>
          </cell>
          <cell r="Q33" t="str">
            <v>ROUEN / GRAND QUEVIL</v>
          </cell>
          <cell r="R33" t="str">
            <v>27</v>
          </cell>
          <cell r="S33" t="str">
            <v>12 RUE DU MOULIN DES PONTS</v>
          </cell>
          <cell r="T33">
            <v>27610</v>
          </cell>
          <cell r="U33" t="str">
            <v>ROMILLY SUR ANDELLE</v>
          </cell>
          <cell r="X33" t="str">
            <v>27610</v>
          </cell>
          <cell r="Y33" t="str">
            <v>ROMILLY SUR ANDELLE</v>
          </cell>
          <cell r="Z33">
            <v>266.70999999999998</v>
          </cell>
          <cell r="AA33">
            <v>18877.07</v>
          </cell>
          <cell r="AD33">
            <v>19143.78</v>
          </cell>
          <cell r="AG33">
            <v>13733.52</v>
          </cell>
          <cell r="AH33">
            <v>-0.23041434388270401</v>
          </cell>
          <cell r="AL33">
            <v>13733.52</v>
          </cell>
          <cell r="AM33">
            <v>19226.928</v>
          </cell>
          <cell r="AN33">
            <v>4.3433428507850813E-3</v>
          </cell>
          <cell r="AO33" t="str">
            <v>022-G-27GAZFIO</v>
          </cell>
          <cell r="AP33" t="str">
            <v>022-L1-27GAZFIO</v>
          </cell>
          <cell r="AZ33">
            <v>13733.52</v>
          </cell>
          <cell r="BA33">
            <v>0</v>
          </cell>
          <cell r="BB33">
            <v>0</v>
          </cell>
        </row>
        <row r="34">
          <cell r="A34">
            <v>681052</v>
          </cell>
          <cell r="B34" t="str">
            <v>STOKVIS TAPES</v>
          </cell>
          <cell r="H34" t="str">
            <v>DEMARRAGE JUILLET 2012</v>
          </cell>
          <cell r="I34">
            <v>0</v>
          </cell>
          <cell r="J34">
            <v>0</v>
          </cell>
          <cell r="L34" t="str">
            <v>en attente</v>
          </cell>
          <cell r="N34" t="str">
            <v>Non affecté</v>
          </cell>
          <cell r="O34" t="str">
            <v>KE</v>
          </cell>
          <cell r="P34" t="str">
            <v>Ok mon client</v>
          </cell>
          <cell r="Q34" t="str">
            <v>ROUEN / GRAND QUEVIL</v>
          </cell>
          <cell r="R34" t="str">
            <v>27</v>
          </cell>
          <cell r="X34" t="str">
            <v>27140</v>
          </cell>
          <cell r="Y34" t="str">
            <v>GISORS</v>
          </cell>
          <cell r="AG34">
            <v>11222.73</v>
          </cell>
          <cell r="AH34">
            <v>0.12823439573080669</v>
          </cell>
          <cell r="AI34">
            <v>1830.51</v>
          </cell>
          <cell r="AJ34">
            <v>0.43931472649698688</v>
          </cell>
          <cell r="AL34">
            <v>13053.24</v>
          </cell>
          <cell r="AM34">
            <v>18274.536</v>
          </cell>
          <cell r="AO34" t="str">
            <v>022-G-27STOKVIS</v>
          </cell>
          <cell r="AP34" t="str">
            <v>022-L1-27STOKVIS</v>
          </cell>
          <cell r="AZ34">
            <v>11222.73</v>
          </cell>
          <cell r="BA34">
            <v>1830.51</v>
          </cell>
          <cell r="BB34">
            <v>0</v>
          </cell>
        </row>
        <row r="35">
          <cell r="A35">
            <v>840923</v>
          </cell>
          <cell r="B35" t="str">
            <v>GCA LOGISTICS LE HAVRE</v>
          </cell>
          <cell r="I35">
            <v>0</v>
          </cell>
          <cell r="J35">
            <v>0</v>
          </cell>
          <cell r="N35" t="str">
            <v>Non affecté</v>
          </cell>
          <cell r="O35" t="str">
            <v>BQ</v>
          </cell>
          <cell r="P35" t="str">
            <v>Ok mon client</v>
          </cell>
          <cell r="Q35" t="str">
            <v>ROUEN / GRAND QUEVIL</v>
          </cell>
          <cell r="R35" t="str">
            <v>76</v>
          </cell>
          <cell r="S35" t="str">
            <v>ZI DES HERBAGES</v>
          </cell>
          <cell r="T35">
            <v>76170</v>
          </cell>
          <cell r="U35" t="str">
            <v>LILLEBONNE</v>
          </cell>
          <cell r="X35" t="str">
            <v>76170</v>
          </cell>
          <cell r="Y35" t="str">
            <v>lillebonne</v>
          </cell>
          <cell r="Z35">
            <v>10488.7</v>
          </cell>
          <cell r="AD35">
            <v>10488.7</v>
          </cell>
          <cell r="AE35">
            <v>13002.289999999999</v>
          </cell>
          <cell r="AF35">
            <v>0.15038350936642689</v>
          </cell>
          <cell r="AL35">
            <v>13002.289999999999</v>
          </cell>
          <cell r="AM35">
            <v>18203.205999999998</v>
          </cell>
          <cell r="AN35">
            <v>0.73550640212800422</v>
          </cell>
          <cell r="AP35" t="str">
            <v>022-L1-76GCASTOCKAGE</v>
          </cell>
          <cell r="AZ35">
            <v>0</v>
          </cell>
          <cell r="BA35">
            <v>0</v>
          </cell>
          <cell r="BB35">
            <v>13002.289999999999</v>
          </cell>
        </row>
        <row r="36">
          <cell r="A36">
            <v>843062</v>
          </cell>
          <cell r="B36" t="str">
            <v>saemt</v>
          </cell>
          <cell r="C36">
            <v>2.5000000000000001E-2</v>
          </cell>
          <cell r="F36">
            <v>41275</v>
          </cell>
          <cell r="I36">
            <v>0</v>
          </cell>
          <cell r="J36">
            <v>0</v>
          </cell>
          <cell r="K36" t="str">
            <v>ok</v>
          </cell>
          <cell r="L36" t="str">
            <v>ok</v>
          </cell>
          <cell r="N36" t="str">
            <v>Non affecté</v>
          </cell>
          <cell r="O36" t="str">
            <v>BQ</v>
          </cell>
          <cell r="P36" t="str">
            <v>Ok mon client</v>
          </cell>
          <cell r="Q36" t="str">
            <v>ROUEN / GRAND QUEVIL</v>
          </cell>
          <cell r="R36" t="str">
            <v>76</v>
          </cell>
          <cell r="S36" t="str">
            <v>ZONE D'EMPLOI DES HAUTES VALLEES</v>
          </cell>
          <cell r="T36">
            <v>76930</v>
          </cell>
          <cell r="U36" t="str">
            <v>OCTEVILLLE SUR MER</v>
          </cell>
          <cell r="X36" t="str">
            <v>76930</v>
          </cell>
          <cell r="Y36" t="str">
            <v>OCTEVILLLE SUR MER</v>
          </cell>
          <cell r="Z36">
            <v>5081.0100000000011</v>
          </cell>
          <cell r="AA36">
            <v>8849.17</v>
          </cell>
          <cell r="AB36">
            <v>386.23</v>
          </cell>
          <cell r="AD36">
            <v>14316.41</v>
          </cell>
          <cell r="AE36">
            <v>823.13999999999987</v>
          </cell>
          <cell r="AF36">
            <v>6.4557669412250634E-2</v>
          </cell>
          <cell r="AG36">
            <v>11255.03</v>
          </cell>
          <cell r="AH36">
            <v>-0.29944033911948625</v>
          </cell>
          <cell r="AI36">
            <v>220.07999999999998</v>
          </cell>
          <cell r="AJ36">
            <v>0.45724282079243922</v>
          </cell>
          <cell r="AL36">
            <v>12298.25</v>
          </cell>
          <cell r="AM36">
            <v>17217.55</v>
          </cell>
          <cell r="AN36">
            <v>0.20264437802493784</v>
          </cell>
          <cell r="AO36" t="str">
            <v>022-G-76SAEMT</v>
          </cell>
          <cell r="AP36" t="str">
            <v>022-L1-76SAEMT</v>
          </cell>
          <cell r="AZ36">
            <v>11536.40575</v>
          </cell>
          <cell r="BA36">
            <v>220.07999999999998</v>
          </cell>
          <cell r="BB36">
            <v>823.13999999999987</v>
          </cell>
        </row>
        <row r="37">
          <cell r="A37">
            <v>516854</v>
          </cell>
          <cell r="B37" t="str">
            <v>AMN DPI</v>
          </cell>
          <cell r="C37">
            <v>4.4999999999999998E-2</v>
          </cell>
          <cell r="D37">
            <v>4.4999999999999998E-2</v>
          </cell>
          <cell r="E37">
            <v>4.4999999999999998E-2</v>
          </cell>
          <cell r="F37">
            <v>41395</v>
          </cell>
          <cell r="G37" t="str">
            <v>OUI</v>
          </cell>
          <cell r="I37">
            <v>0</v>
          </cell>
          <cell r="J37">
            <v>0</v>
          </cell>
          <cell r="K37" t="str">
            <v>OK</v>
          </cell>
          <cell r="L37" t="str">
            <v>OK</v>
          </cell>
          <cell r="M37" t="str">
            <v>Porte Feuille</v>
          </cell>
          <cell r="N37" t="str">
            <v>Non affecté</v>
          </cell>
          <cell r="O37" t="str">
            <v>BQ</v>
          </cell>
          <cell r="P37" t="str">
            <v>Ok mon client</v>
          </cell>
          <cell r="Q37" t="str">
            <v>ROUEN / GRAND QUEVIL</v>
          </cell>
          <cell r="R37" t="str">
            <v>76</v>
          </cell>
          <cell r="S37" t="str">
            <v>ZI LA GRANDE CAMPAGNE BP 116</v>
          </cell>
          <cell r="T37">
            <v>76330</v>
          </cell>
          <cell r="U37" t="str">
            <v>NOTRE DAME DE GRAVENCHON</v>
          </cell>
          <cell r="X37" t="str">
            <v>76330</v>
          </cell>
          <cell r="Y37" t="str">
            <v>NOTRE DAME DE GRAVENCHON</v>
          </cell>
          <cell r="Z37">
            <v>2239.7599999999998</v>
          </cell>
          <cell r="AA37">
            <v>4098.5000000000009</v>
          </cell>
          <cell r="AB37">
            <v>11083.97</v>
          </cell>
          <cell r="AD37">
            <v>17422.23</v>
          </cell>
          <cell r="AE37">
            <v>341.19</v>
          </cell>
          <cell r="AF37">
            <v>0.23796125326064654</v>
          </cell>
          <cell r="AG37">
            <v>3325.17</v>
          </cell>
          <cell r="AH37">
            <v>0.57683968037724387</v>
          </cell>
          <cell r="AI37">
            <v>7379.48</v>
          </cell>
          <cell r="AJ37">
            <v>0.36256755218524817</v>
          </cell>
          <cell r="AL37">
            <v>11045.84</v>
          </cell>
          <cell r="AM37">
            <v>15464.175999999999</v>
          </cell>
          <cell r="AN37">
            <v>-0.11238825339810121</v>
          </cell>
          <cell r="AO37" t="str">
            <v>022-G-76AMN</v>
          </cell>
          <cell r="AZ37">
            <v>3474.8026499999996</v>
          </cell>
          <cell r="BA37">
            <v>7711.556599999999</v>
          </cell>
          <cell r="BB37">
            <v>356.54354999999998</v>
          </cell>
        </row>
        <row r="38">
          <cell r="A38">
            <v>62655</v>
          </cell>
          <cell r="B38" t="str">
            <v>PLAXIM</v>
          </cell>
          <cell r="C38">
            <v>0.04</v>
          </cell>
          <cell r="D38">
            <v>0.04</v>
          </cell>
          <cell r="E38">
            <v>0.02</v>
          </cell>
          <cell r="F38">
            <v>41275</v>
          </cell>
          <cell r="I38">
            <v>0</v>
          </cell>
          <cell r="J38">
            <v>0</v>
          </cell>
          <cell r="K38" t="str">
            <v>ok</v>
          </cell>
          <cell r="L38" t="str">
            <v>ok</v>
          </cell>
          <cell r="N38" t="str">
            <v>Non affecté</v>
          </cell>
          <cell r="O38" t="str">
            <v>KE</v>
          </cell>
          <cell r="P38" t="str">
            <v>Ok mon client</v>
          </cell>
          <cell r="Q38" t="str">
            <v>ROUEN / GRAND QUEVIL</v>
          </cell>
          <cell r="R38" t="str">
            <v>27</v>
          </cell>
          <cell r="S38" t="str">
            <v>RUE FR BERNOUILLI</v>
          </cell>
          <cell r="T38">
            <v>27000</v>
          </cell>
          <cell r="U38" t="str">
            <v>EVREUX</v>
          </cell>
          <cell r="X38" t="str">
            <v>27000</v>
          </cell>
          <cell r="Y38" t="str">
            <v>EVREUX</v>
          </cell>
          <cell r="Z38">
            <v>6801.35</v>
          </cell>
          <cell r="AA38">
            <v>3413.55</v>
          </cell>
          <cell r="AD38">
            <v>10214.900000000001</v>
          </cell>
          <cell r="AE38">
            <v>7313.8200000000006</v>
          </cell>
          <cell r="AF38">
            <v>0.11760201919106567</v>
          </cell>
          <cell r="AG38">
            <v>2542.61</v>
          </cell>
          <cell r="AH38">
            <v>0.6083237303400838</v>
          </cell>
          <cell r="AL38">
            <v>9856.43</v>
          </cell>
          <cell r="AM38">
            <v>13799.002</v>
          </cell>
          <cell r="AN38">
            <v>0.3508700036221597</v>
          </cell>
          <cell r="AO38" t="str">
            <v>022-G-27PLAXIM</v>
          </cell>
          <cell r="AZ38">
            <v>2644.3144000000002</v>
          </cell>
          <cell r="BA38">
            <v>0</v>
          </cell>
          <cell r="BB38">
            <v>7460.0964000000004</v>
          </cell>
        </row>
        <row r="39">
          <cell r="A39">
            <v>609078</v>
          </cell>
          <cell r="B39" t="str">
            <v>DEVATEC SAS</v>
          </cell>
          <cell r="C39">
            <v>7.0000000000000007E-2</v>
          </cell>
          <cell r="D39">
            <v>7.0000000000000007E-2</v>
          </cell>
          <cell r="F39">
            <v>41306</v>
          </cell>
          <cell r="I39">
            <v>0</v>
          </cell>
          <cell r="J39">
            <v>0</v>
          </cell>
          <cell r="K39" t="str">
            <v>ok</v>
          </cell>
          <cell r="L39" t="str">
            <v>ok</v>
          </cell>
          <cell r="N39" t="str">
            <v>Non affecté</v>
          </cell>
          <cell r="O39" t="str">
            <v>KE</v>
          </cell>
          <cell r="P39" t="str">
            <v>Ok mon client</v>
          </cell>
          <cell r="Q39" t="str">
            <v>ROUEN / GRAND QUEVIL</v>
          </cell>
          <cell r="R39" t="str">
            <v>76</v>
          </cell>
          <cell r="S39" t="str">
            <v>RUE SAINT ELOI</v>
          </cell>
          <cell r="T39">
            <v>76550</v>
          </cell>
          <cell r="U39" t="str">
            <v>AMBRUMESNIL</v>
          </cell>
          <cell r="X39" t="str">
            <v>76550</v>
          </cell>
          <cell r="Y39" t="str">
            <v>AMBRUMESNIL</v>
          </cell>
          <cell r="AA39">
            <v>142.41</v>
          </cell>
          <cell r="AB39">
            <v>8909.8200000000015</v>
          </cell>
          <cell r="AD39">
            <v>9052.2300000000014</v>
          </cell>
          <cell r="AI39">
            <v>8818.9800000000014</v>
          </cell>
          <cell r="AJ39">
            <v>0.4718153346532139</v>
          </cell>
          <cell r="AL39">
            <v>8818.9800000000014</v>
          </cell>
          <cell r="AM39">
            <v>12346.572000000002</v>
          </cell>
          <cell r="AN39">
            <v>0.3639260160203619</v>
          </cell>
          <cell r="AO39" t="str">
            <v>022-G-76DEVATEC</v>
          </cell>
          <cell r="AZ39">
            <v>0</v>
          </cell>
          <cell r="BA39">
            <v>9436.3086000000021</v>
          </cell>
          <cell r="BB39">
            <v>0</v>
          </cell>
        </row>
        <row r="40">
          <cell r="A40">
            <v>548638</v>
          </cell>
          <cell r="B40" t="str">
            <v>GROUPE LEADER</v>
          </cell>
          <cell r="D40">
            <v>0.06</v>
          </cell>
          <cell r="F40">
            <v>41275</v>
          </cell>
          <cell r="I40">
            <v>0</v>
          </cell>
          <cell r="J40">
            <v>0</v>
          </cell>
          <cell r="K40" t="str">
            <v>ok</v>
          </cell>
          <cell r="L40" t="str">
            <v>ok</v>
          </cell>
          <cell r="M40" t="str">
            <v>Porte Feuille</v>
          </cell>
          <cell r="N40" t="str">
            <v>Non affecté</v>
          </cell>
          <cell r="O40" t="str">
            <v>BQ</v>
          </cell>
          <cell r="P40" t="str">
            <v>Ok mon client</v>
          </cell>
          <cell r="Q40" t="str">
            <v>ROUEN / GRAND QUEVIL</v>
          </cell>
          <cell r="R40" t="str">
            <v>76</v>
          </cell>
          <cell r="S40" t="str">
            <v>ZI DES HAUTES VALLEES</v>
          </cell>
          <cell r="T40">
            <v>76930</v>
          </cell>
          <cell r="U40" t="str">
            <v>OCTEVILLE SUR MER</v>
          </cell>
          <cell r="X40" t="str">
            <v>76930</v>
          </cell>
          <cell r="Y40" t="str">
            <v>OCTEVILLE SUR MER</v>
          </cell>
          <cell r="Z40">
            <v>650</v>
          </cell>
          <cell r="AA40">
            <v>281.02999999999997</v>
          </cell>
          <cell r="AB40">
            <v>16273.429999999997</v>
          </cell>
          <cell r="AD40">
            <v>17204.459999999995</v>
          </cell>
          <cell r="AE40">
            <v>209</v>
          </cell>
          <cell r="AF40">
            <v>0.18660287081339713</v>
          </cell>
          <cell r="AI40">
            <v>8339.65</v>
          </cell>
          <cell r="AJ40">
            <v>0.42914160255609285</v>
          </cell>
          <cell r="AL40">
            <v>8548.65</v>
          </cell>
          <cell r="AM40">
            <v>11968.109999999999</v>
          </cell>
          <cell r="AN40">
            <v>-0.30436003222420227</v>
          </cell>
          <cell r="AO40" t="str">
            <v>022-G-76LEADER</v>
          </cell>
          <cell r="AP40" t="str">
            <v>022-L1-76LEADER</v>
          </cell>
          <cell r="AZ40">
            <v>0</v>
          </cell>
          <cell r="BA40">
            <v>8840.0290000000005</v>
          </cell>
          <cell r="BB40">
            <v>209</v>
          </cell>
        </row>
        <row r="41">
          <cell r="A41">
            <v>3307</v>
          </cell>
          <cell r="B41" t="str">
            <v>SOVAL</v>
          </cell>
          <cell r="C41">
            <v>0.05</v>
          </cell>
          <cell r="D41">
            <v>0.05</v>
          </cell>
          <cell r="E41">
            <v>0.05</v>
          </cell>
          <cell r="F41">
            <v>41275</v>
          </cell>
          <cell r="I41">
            <v>0</v>
          </cell>
          <cell r="J41">
            <v>0</v>
          </cell>
          <cell r="K41" t="str">
            <v>ok</v>
          </cell>
          <cell r="L41" t="str">
            <v>ok</v>
          </cell>
          <cell r="N41" t="str">
            <v>Non affecté</v>
          </cell>
          <cell r="O41" t="str">
            <v>BQ</v>
          </cell>
          <cell r="P41" t="str">
            <v>Ok mon client</v>
          </cell>
          <cell r="Q41" t="str">
            <v>ROUEN / GRAND QUEVIL</v>
          </cell>
          <cell r="R41" t="str">
            <v>76</v>
          </cell>
          <cell r="S41" t="str">
            <v>34 RUE GASTON CONTREMOULIN</v>
          </cell>
          <cell r="T41">
            <v>76300</v>
          </cell>
          <cell r="U41" t="str">
            <v>SOTTEVILLE LES ROUEN</v>
          </cell>
          <cell r="X41" t="str">
            <v>76800</v>
          </cell>
          <cell r="Y41" t="str">
            <v>SAINT ETIENNE DU ROUVRAY</v>
          </cell>
          <cell r="AA41">
            <v>8858.0400000000009</v>
          </cell>
          <cell r="AB41">
            <v>35.58</v>
          </cell>
          <cell r="AD41">
            <v>8893.6200000000008</v>
          </cell>
          <cell r="AE41">
            <v>1693.72</v>
          </cell>
          <cell r="AF41">
            <v>0.21612190917034679</v>
          </cell>
          <cell r="AG41">
            <v>6770.21</v>
          </cell>
          <cell r="AH41">
            <v>0.39038080059555047</v>
          </cell>
          <cell r="AL41">
            <v>8463.93</v>
          </cell>
          <cell r="AM41">
            <v>11849.502</v>
          </cell>
          <cell r="AN41">
            <v>0.33235982648235463</v>
          </cell>
          <cell r="AO41" t="str">
            <v>022-G-76SOVAL</v>
          </cell>
          <cell r="AZ41">
            <v>7108.7205000000004</v>
          </cell>
          <cell r="BA41">
            <v>0</v>
          </cell>
          <cell r="BB41">
            <v>1778.4060000000002</v>
          </cell>
        </row>
        <row r="42">
          <cell r="A42">
            <v>434151</v>
          </cell>
          <cell r="B42" t="str">
            <v>INTERNATIONAL FLUIDES CONTROLES</v>
          </cell>
          <cell r="C42">
            <v>0.05</v>
          </cell>
          <cell r="D42">
            <v>0.05</v>
          </cell>
          <cell r="E42">
            <v>0.05</v>
          </cell>
          <cell r="F42">
            <v>41275</v>
          </cell>
          <cell r="I42">
            <v>0</v>
          </cell>
          <cell r="J42">
            <v>0</v>
          </cell>
          <cell r="K42" t="str">
            <v>ok</v>
          </cell>
          <cell r="L42" t="str">
            <v>ok</v>
          </cell>
          <cell r="M42" t="str">
            <v>Porte Feuille</v>
          </cell>
          <cell r="N42" t="str">
            <v>Non affecté</v>
          </cell>
          <cell r="O42" t="str">
            <v>BQ</v>
          </cell>
          <cell r="P42" t="str">
            <v>Ok mon client</v>
          </cell>
          <cell r="Q42" t="str">
            <v>ROUEN / GRAND QUEVIL</v>
          </cell>
          <cell r="R42" t="str">
            <v>76</v>
          </cell>
          <cell r="S42" t="str">
            <v>RUE JULIOT CURIE</v>
          </cell>
          <cell r="T42">
            <v>76650</v>
          </cell>
          <cell r="U42" t="str">
            <v>PETIT COURONNE</v>
          </cell>
          <cell r="X42" t="str">
            <v>76650</v>
          </cell>
          <cell r="Y42" t="str">
            <v>PETIT COURONNE</v>
          </cell>
          <cell r="Z42">
            <v>1481.42</v>
          </cell>
          <cell r="AB42">
            <v>14134.789999999999</v>
          </cell>
          <cell r="AD42">
            <v>15616.21</v>
          </cell>
          <cell r="AI42">
            <v>8282.869999999999</v>
          </cell>
          <cell r="AJ42">
            <v>0.40316026861278703</v>
          </cell>
          <cell r="AL42">
            <v>8282.869999999999</v>
          </cell>
          <cell r="AM42">
            <v>11596.017999999998</v>
          </cell>
          <cell r="AN42">
            <v>-0.25743711182162643</v>
          </cell>
          <cell r="AO42" t="str">
            <v>022-G-76INTERFLUIDE</v>
          </cell>
          <cell r="AZ42">
            <v>0</v>
          </cell>
          <cell r="BA42">
            <v>8697.0134999999991</v>
          </cell>
          <cell r="BB42">
            <v>0</v>
          </cell>
        </row>
        <row r="43">
          <cell r="A43">
            <v>610279</v>
          </cell>
          <cell r="B43" t="str">
            <v>DUCHESNE ETS</v>
          </cell>
          <cell r="C43">
            <v>0.05</v>
          </cell>
          <cell r="D43">
            <v>0.05</v>
          </cell>
          <cell r="E43">
            <v>0.05</v>
          </cell>
          <cell r="F43">
            <v>41275</v>
          </cell>
          <cell r="I43">
            <v>0</v>
          </cell>
          <cell r="J43">
            <v>0</v>
          </cell>
          <cell r="K43" t="str">
            <v>ok</v>
          </cell>
          <cell r="L43" t="str">
            <v>ok</v>
          </cell>
          <cell r="N43" t="str">
            <v>Non affecté</v>
          </cell>
          <cell r="O43" t="str">
            <v>BQ</v>
          </cell>
          <cell r="P43" t="str">
            <v>Ok mon client</v>
          </cell>
          <cell r="Q43" t="str">
            <v>ROUEN / GRAND QUEVIL</v>
          </cell>
          <cell r="R43" t="str">
            <v>27</v>
          </cell>
          <cell r="S43" t="str">
            <v>4 RUE DU COTEAU</v>
          </cell>
          <cell r="T43">
            <v>27550</v>
          </cell>
          <cell r="U43" t="str">
            <v>NASSANDRES</v>
          </cell>
          <cell r="X43" t="str">
            <v>27550</v>
          </cell>
          <cell r="Y43" t="str">
            <v>NASSANDRES</v>
          </cell>
          <cell r="AA43">
            <v>1442.07</v>
          </cell>
          <cell r="AB43">
            <v>10365.519999999999</v>
          </cell>
          <cell r="AD43">
            <v>11807.589999999998</v>
          </cell>
          <cell r="AG43">
            <v>725.05</v>
          </cell>
          <cell r="AH43">
            <v>0.65791324736225099</v>
          </cell>
          <cell r="AI43">
            <v>7450.0300000000007</v>
          </cell>
          <cell r="AJ43">
            <v>0.60451771151291611</v>
          </cell>
          <cell r="AL43">
            <v>8175.0800000000008</v>
          </cell>
          <cell r="AM43">
            <v>11445.112000000001</v>
          </cell>
          <cell r="AN43">
            <v>-3.0698728529699792E-2</v>
          </cell>
          <cell r="AO43" t="str">
            <v>022-G-27DUCHESNELAUNAY</v>
          </cell>
          <cell r="AZ43">
            <v>761.30250000000001</v>
          </cell>
          <cell r="BA43">
            <v>7822.531500000001</v>
          </cell>
          <cell r="BB43">
            <v>0</v>
          </cell>
        </row>
        <row r="44">
          <cell r="A44">
            <v>66417</v>
          </cell>
          <cell r="B44" t="str">
            <v>REGMA TRANSFERT THERMIQUE</v>
          </cell>
          <cell r="C44">
            <v>0.1</v>
          </cell>
          <cell r="D44">
            <v>0.1</v>
          </cell>
          <cell r="E44">
            <v>0.02</v>
          </cell>
          <cell r="F44">
            <v>41275</v>
          </cell>
          <cell r="I44">
            <v>0</v>
          </cell>
          <cell r="J44">
            <v>0</v>
          </cell>
          <cell r="K44" t="str">
            <v>OK</v>
          </cell>
          <cell r="L44" t="str">
            <v>OK</v>
          </cell>
          <cell r="M44" t="str">
            <v>Porte Feuille</v>
          </cell>
          <cell r="N44" t="str">
            <v>Non affecté</v>
          </cell>
          <cell r="O44" t="str">
            <v>KE</v>
          </cell>
          <cell r="P44" t="str">
            <v>Ok mon client</v>
          </cell>
          <cell r="Q44" t="str">
            <v>ROUEN / GRAND QUEVIL</v>
          </cell>
          <cell r="R44" t="str">
            <v>76</v>
          </cell>
          <cell r="S44" t="str">
            <v>7 RUE VERDIER MONETTI</v>
          </cell>
          <cell r="T44">
            <v>76880</v>
          </cell>
          <cell r="U44" t="str">
            <v>ARQUES LA BATAILLE</v>
          </cell>
          <cell r="X44" t="str">
            <v>76880</v>
          </cell>
          <cell r="Y44" t="str">
            <v>ARQUES LA BATAILLE</v>
          </cell>
          <cell r="Z44">
            <v>13642.35</v>
          </cell>
          <cell r="AA44">
            <v>2183.0500000000002</v>
          </cell>
          <cell r="AB44">
            <v>1828.0499999999997</v>
          </cell>
          <cell r="AD44">
            <v>17653.45</v>
          </cell>
          <cell r="AE44">
            <v>6718.4699999999993</v>
          </cell>
          <cell r="AF44">
            <v>0.18099012940592782</v>
          </cell>
          <cell r="AG44">
            <v>147.24</v>
          </cell>
          <cell r="AH44">
            <v>0.41293126867698998</v>
          </cell>
          <cell r="AI44">
            <v>1271.5899999999999</v>
          </cell>
          <cell r="AJ44">
            <v>0.37636345048325331</v>
          </cell>
          <cell r="AL44">
            <v>8137.2999999999993</v>
          </cell>
          <cell r="AM44">
            <v>11392.219999999998</v>
          </cell>
          <cell r="AN44">
            <v>-0.35467458202221114</v>
          </cell>
          <cell r="AO44" t="str">
            <v>022-G-76REGMA</v>
          </cell>
          <cell r="AP44" t="str">
            <v>022-L-76REGMA</v>
          </cell>
          <cell r="AZ44">
            <v>161.96400000000003</v>
          </cell>
          <cell r="BA44">
            <v>1398.749</v>
          </cell>
          <cell r="BB44">
            <v>6852.8393999999998</v>
          </cell>
        </row>
        <row r="45">
          <cell r="A45">
            <v>466051</v>
          </cell>
          <cell r="B45" t="str">
            <v>CREMER OLEO GMBH</v>
          </cell>
          <cell r="C45">
            <v>0.1</v>
          </cell>
          <cell r="D45">
            <v>0.1</v>
          </cell>
          <cell r="E45">
            <v>0.02</v>
          </cell>
          <cell r="F45">
            <v>41275</v>
          </cell>
          <cell r="I45">
            <v>0</v>
          </cell>
          <cell r="J45">
            <v>0</v>
          </cell>
          <cell r="K45" t="str">
            <v>OK</v>
          </cell>
          <cell r="L45" t="str">
            <v>OK</v>
          </cell>
          <cell r="N45" t="str">
            <v>Non affecté</v>
          </cell>
          <cell r="O45" t="str">
            <v>BQ</v>
          </cell>
          <cell r="P45" t="str">
            <v>Ok mon client</v>
          </cell>
          <cell r="Q45" t="str">
            <v>ROUEN / GRAND QUEVIL</v>
          </cell>
          <cell r="R45" t="str">
            <v>20</v>
          </cell>
          <cell r="S45" t="str">
            <v>GLOCKENGISSERWALL 3</v>
          </cell>
          <cell r="T45">
            <v>20095</v>
          </cell>
          <cell r="U45" t="str">
            <v>HAMBOURG</v>
          </cell>
          <cell r="X45" t="str">
            <v>20095</v>
          </cell>
          <cell r="Y45" t="str">
            <v>HAMBOURG</v>
          </cell>
          <cell r="Z45">
            <v>12758.229999999998</v>
          </cell>
          <cell r="AD45">
            <v>12758.229999999998</v>
          </cell>
          <cell r="AE45">
            <v>7747.9</v>
          </cell>
          <cell r="AF45">
            <v>3.5222447372836349E-2</v>
          </cell>
          <cell r="AL45">
            <v>7747.9</v>
          </cell>
          <cell r="AM45">
            <v>10847.06</v>
          </cell>
          <cell r="AN45">
            <v>-0.14979899249347273</v>
          </cell>
          <cell r="AP45" t="str">
            <v>022-L-GENERAL-KG</v>
          </cell>
          <cell r="AZ45">
            <v>0</v>
          </cell>
          <cell r="BA45">
            <v>0</v>
          </cell>
          <cell r="BB45">
            <v>7902.8580000000002</v>
          </cell>
        </row>
        <row r="46">
          <cell r="A46">
            <v>873135</v>
          </cell>
          <cell r="B46" t="str">
            <v>FOURNITURE INDUSTRIE SERVICE</v>
          </cell>
          <cell r="H46" t="str">
            <v>Pas de hausse</v>
          </cell>
          <cell r="I46">
            <v>0</v>
          </cell>
          <cell r="J46">
            <v>0</v>
          </cell>
          <cell r="L46" t="str">
            <v>non</v>
          </cell>
          <cell r="N46" t="str">
            <v>Non affecté</v>
          </cell>
          <cell r="O46" t="str">
            <v>BQ</v>
          </cell>
          <cell r="P46" t="str">
            <v>Ok mon client</v>
          </cell>
          <cell r="Q46" t="str">
            <v>ROUEN / GRAND QUEVIL</v>
          </cell>
          <cell r="R46" t="str">
            <v>76</v>
          </cell>
          <cell r="S46" t="str">
            <v>546 BOULEVARD JULES DURAND</v>
          </cell>
          <cell r="T46">
            <v>76600</v>
          </cell>
          <cell r="U46" t="str">
            <v>LE HAVRE</v>
          </cell>
          <cell r="X46" t="str">
            <v>76600</v>
          </cell>
          <cell r="Y46" t="str">
            <v>LE HAVRE</v>
          </cell>
          <cell r="AE46">
            <v>6481.02</v>
          </cell>
          <cell r="AF46">
            <v>0.20111494795572304</v>
          </cell>
          <cell r="AG46">
            <v>69.17</v>
          </cell>
          <cell r="AH46">
            <v>0.74945785745265292</v>
          </cell>
          <cell r="AI46">
            <v>193.42</v>
          </cell>
          <cell r="AJ46">
            <v>0.44819563643883775</v>
          </cell>
          <cell r="AL46">
            <v>6743.6100000000006</v>
          </cell>
          <cell r="AM46">
            <v>9441.0540000000001</v>
          </cell>
          <cell r="AZ46">
            <v>69.17</v>
          </cell>
          <cell r="BA46">
            <v>193.42</v>
          </cell>
          <cell r="BB46">
            <v>6481.02</v>
          </cell>
        </row>
        <row r="47">
          <cell r="A47">
            <v>69606</v>
          </cell>
          <cell r="B47" t="str">
            <v>SAB</v>
          </cell>
          <cell r="F47">
            <v>41306</v>
          </cell>
          <cell r="H47" t="str">
            <v>Suite mail de KE en attente</v>
          </cell>
          <cell r="I47">
            <v>0</v>
          </cell>
          <cell r="J47">
            <v>0</v>
          </cell>
          <cell r="L47" t="str">
            <v>non</v>
          </cell>
          <cell r="N47" t="str">
            <v>Non affecté</v>
          </cell>
          <cell r="O47" t="str">
            <v>KE</v>
          </cell>
          <cell r="P47" t="str">
            <v>Ok mon client</v>
          </cell>
          <cell r="Q47" t="str">
            <v>ROUEN / GRAND QUEVIL</v>
          </cell>
          <cell r="R47" t="str">
            <v>27</v>
          </cell>
          <cell r="S47" t="str">
            <v>32 RTE D'ECOS  BP 26</v>
          </cell>
          <cell r="T47" t="str">
            <v>27620</v>
          </cell>
          <cell r="U47" t="str">
            <v>GASNY</v>
          </cell>
          <cell r="X47" t="str">
            <v>27620</v>
          </cell>
          <cell r="Y47" t="str">
            <v>GASNY CEDEX</v>
          </cell>
          <cell r="AA47">
            <v>3561.61</v>
          </cell>
          <cell r="AB47">
            <v>5168.78</v>
          </cell>
          <cell r="AD47">
            <v>8730.39</v>
          </cell>
          <cell r="AG47">
            <v>2794.3999999999996</v>
          </cell>
          <cell r="AH47">
            <v>0.44024119667907236</v>
          </cell>
          <cell r="AI47">
            <v>3448.6699999999996</v>
          </cell>
          <cell r="AJ47">
            <v>0.49854581621320682</v>
          </cell>
          <cell r="AL47">
            <v>6243.07</v>
          </cell>
          <cell r="AM47">
            <v>8740.2979999999989</v>
          </cell>
          <cell r="AN47">
            <v>1.1348862994664533E-3</v>
          </cell>
          <cell r="AO47" t="str">
            <v>022-G-27SAB022</v>
          </cell>
          <cell r="AZ47">
            <v>2794.3999999999996</v>
          </cell>
          <cell r="BA47">
            <v>3448.6699999999996</v>
          </cell>
          <cell r="BB47">
            <v>0</v>
          </cell>
        </row>
        <row r="48">
          <cell r="A48">
            <v>539603</v>
          </cell>
          <cell r="B48" t="str">
            <v>KNAUF PACK NORD</v>
          </cell>
          <cell r="C48">
            <v>0.1</v>
          </cell>
          <cell r="D48">
            <v>0.1</v>
          </cell>
          <cell r="E48">
            <v>0.02</v>
          </cell>
          <cell r="F48">
            <v>41275</v>
          </cell>
          <cell r="I48">
            <v>0</v>
          </cell>
          <cell r="J48">
            <v>0</v>
          </cell>
          <cell r="K48" t="str">
            <v>ok</v>
          </cell>
          <cell r="L48" t="str">
            <v>ok</v>
          </cell>
          <cell r="N48" t="str">
            <v>Non affecté</v>
          </cell>
          <cell r="O48" t="str">
            <v>BQ</v>
          </cell>
          <cell r="P48" t="str">
            <v>Ok mon client</v>
          </cell>
          <cell r="Q48" t="str">
            <v>ROUEN / GRAND QUEVIL</v>
          </cell>
          <cell r="R48" t="str">
            <v>76</v>
          </cell>
          <cell r="S48" t="str">
            <v>ROUTE DE BARENTIN</v>
          </cell>
          <cell r="T48">
            <v>76480</v>
          </cell>
          <cell r="U48" t="str">
            <v>DUCLAIR</v>
          </cell>
          <cell r="X48" t="str">
            <v>76480</v>
          </cell>
          <cell r="Y48" t="str">
            <v>DUCLAIR</v>
          </cell>
          <cell r="Z48">
            <v>2495.14</v>
          </cell>
          <cell r="AA48">
            <v>8062.0999999999985</v>
          </cell>
          <cell r="AB48">
            <v>107.47</v>
          </cell>
          <cell r="AD48">
            <v>10664.709999999997</v>
          </cell>
          <cell r="AE48">
            <v>2194.94</v>
          </cell>
          <cell r="AF48">
            <v>8.5540339905277651E-2</v>
          </cell>
          <cell r="AG48">
            <v>3762.75</v>
          </cell>
          <cell r="AH48">
            <v>0.61241113547272596</v>
          </cell>
          <cell r="AI48">
            <v>192.5</v>
          </cell>
          <cell r="AJ48">
            <v>0.38114285714285717</v>
          </cell>
          <cell r="AL48">
            <v>6150.1900000000005</v>
          </cell>
          <cell r="AM48">
            <v>8610.2659999999996</v>
          </cell>
          <cell r="AN48">
            <v>-0.19263946230136575</v>
          </cell>
          <cell r="AO48" t="str">
            <v>022-G-76KNAUFPACKNORD</v>
          </cell>
          <cell r="AP48" t="str">
            <v>022-L1-76KNAUF</v>
          </cell>
          <cell r="AZ48">
            <v>4139.0250000000005</v>
          </cell>
          <cell r="BA48">
            <v>211.75000000000003</v>
          </cell>
          <cell r="BB48">
            <v>2238.8388</v>
          </cell>
        </row>
        <row r="49">
          <cell r="A49">
            <v>473873</v>
          </cell>
          <cell r="B49" t="str">
            <v>BILLAULT GENEVIEVE COLETTE</v>
          </cell>
          <cell r="C49">
            <v>0.1</v>
          </cell>
          <cell r="D49">
            <v>0.1</v>
          </cell>
          <cell r="E49">
            <v>0.02</v>
          </cell>
          <cell r="F49">
            <v>41275</v>
          </cell>
          <cell r="I49">
            <v>0</v>
          </cell>
          <cell r="J49">
            <v>0</v>
          </cell>
          <cell r="K49" t="str">
            <v>OK</v>
          </cell>
          <cell r="L49" t="str">
            <v>OK</v>
          </cell>
          <cell r="N49" t="str">
            <v>Non affecté</v>
          </cell>
          <cell r="O49" t="str">
            <v>BQ</v>
          </cell>
          <cell r="P49" t="str">
            <v>Ok mon client</v>
          </cell>
          <cell r="Q49" t="str">
            <v>ROUEN / GRAND QUEVIL</v>
          </cell>
          <cell r="R49" t="str">
            <v>76</v>
          </cell>
          <cell r="S49" t="str">
            <v>151 RUE FELIX FAURE</v>
          </cell>
          <cell r="T49">
            <v>76600</v>
          </cell>
          <cell r="U49" t="str">
            <v>LE HAVRE</v>
          </cell>
          <cell r="X49" t="str">
            <v>76600</v>
          </cell>
          <cell r="Y49" t="str">
            <v>LE HAVRE</v>
          </cell>
          <cell r="AA49">
            <v>6658.4500000000007</v>
          </cell>
          <cell r="AD49">
            <v>6658.4500000000007</v>
          </cell>
          <cell r="AG49">
            <v>6090.3799999999992</v>
          </cell>
          <cell r="AH49">
            <v>0.54375917430439524</v>
          </cell>
          <cell r="AI49">
            <v>41.19</v>
          </cell>
          <cell r="AL49">
            <v>6131.5699999999988</v>
          </cell>
          <cell r="AM49">
            <v>8584.1979999999985</v>
          </cell>
          <cell r="AN49">
            <v>0.28921866200091584</v>
          </cell>
          <cell r="AO49" t="str">
            <v>022-G-76KERITH</v>
          </cell>
          <cell r="AZ49">
            <v>6699.4179999999997</v>
          </cell>
          <cell r="BA49">
            <v>45.309000000000005</v>
          </cell>
          <cell r="BB49">
            <v>0</v>
          </cell>
        </row>
        <row r="50">
          <cell r="A50">
            <v>42534</v>
          </cell>
          <cell r="B50" t="str">
            <v>INDUSTRIELLE DE CLOISONS</v>
          </cell>
          <cell r="H50" t="str">
            <v>Pas de contrat INES</v>
          </cell>
          <cell r="I50">
            <v>0</v>
          </cell>
          <cell r="J50">
            <v>0</v>
          </cell>
          <cell r="K50" t="str">
            <v>non</v>
          </cell>
          <cell r="L50" t="str">
            <v>non</v>
          </cell>
          <cell r="N50" t="str">
            <v>Non affecté</v>
          </cell>
          <cell r="O50" t="str">
            <v>BQ</v>
          </cell>
          <cell r="P50" t="str">
            <v>Ok mon client</v>
          </cell>
          <cell r="Q50" t="str">
            <v>ROUEN / GRAND QUEVIL</v>
          </cell>
          <cell r="R50" t="str">
            <v>76</v>
          </cell>
          <cell r="S50" t="str">
            <v>1744 RUE POTIERS</v>
          </cell>
          <cell r="T50">
            <v>76170</v>
          </cell>
          <cell r="U50" t="str">
            <v>MELAMARE</v>
          </cell>
          <cell r="X50" t="str">
            <v>76170</v>
          </cell>
          <cell r="Y50" t="str">
            <v>MELAMARE</v>
          </cell>
          <cell r="Z50">
            <v>1523.6100000000001</v>
          </cell>
          <cell r="AD50">
            <v>1523.6100000000001</v>
          </cell>
          <cell r="AE50">
            <v>5873</v>
          </cell>
          <cell r="AF50">
            <v>0.16056529882513196</v>
          </cell>
          <cell r="AK50">
            <v>235</v>
          </cell>
          <cell r="AL50">
            <v>6108</v>
          </cell>
          <cell r="AM50">
            <v>8551.1999999999989</v>
          </cell>
          <cell r="AN50">
            <v>4.6124598814657283</v>
          </cell>
          <cell r="AZ50">
            <v>0</v>
          </cell>
          <cell r="BA50">
            <v>0</v>
          </cell>
          <cell r="BB50">
            <v>5873</v>
          </cell>
        </row>
        <row r="51">
          <cell r="A51">
            <v>441440</v>
          </cell>
          <cell r="B51" t="str">
            <v>MPO</v>
          </cell>
          <cell r="H51" t="str">
            <v>Pas de contrat INES</v>
          </cell>
          <cell r="I51">
            <v>0</v>
          </cell>
          <cell r="J51">
            <v>0</v>
          </cell>
          <cell r="K51" t="str">
            <v>non</v>
          </cell>
          <cell r="L51" t="str">
            <v>non</v>
          </cell>
          <cell r="N51" t="str">
            <v>Non affecté</v>
          </cell>
          <cell r="O51" t="str">
            <v>KE</v>
          </cell>
          <cell r="P51" t="str">
            <v>Ok mon client</v>
          </cell>
          <cell r="Q51" t="str">
            <v>GENNEVILLIERS</v>
          </cell>
          <cell r="R51" t="str">
            <v>61</v>
          </cell>
          <cell r="X51" t="str">
            <v>61430</v>
          </cell>
          <cell r="Y51" t="str">
            <v>ATHIS DE L'ORNE</v>
          </cell>
          <cell r="AK51">
            <v>5900</v>
          </cell>
          <cell r="AL51">
            <v>5900</v>
          </cell>
          <cell r="AM51">
            <v>8260</v>
          </cell>
          <cell r="AZ51">
            <v>0</v>
          </cell>
          <cell r="BA51">
            <v>0</v>
          </cell>
          <cell r="BB51">
            <v>0</v>
          </cell>
        </row>
        <row r="52">
          <cell r="A52">
            <v>478856</v>
          </cell>
          <cell r="B52" t="str">
            <v>REDSEA</v>
          </cell>
          <cell r="C52">
            <v>0.1</v>
          </cell>
          <cell r="D52">
            <v>0.1</v>
          </cell>
          <cell r="E52">
            <v>0.02</v>
          </cell>
          <cell r="F52">
            <v>41275</v>
          </cell>
          <cell r="I52">
            <v>0</v>
          </cell>
          <cell r="J52">
            <v>0</v>
          </cell>
          <cell r="K52" t="str">
            <v>ok</v>
          </cell>
          <cell r="L52" t="str">
            <v>ok</v>
          </cell>
          <cell r="N52" t="str">
            <v>Non affecté</v>
          </cell>
          <cell r="O52" t="str">
            <v>BQ</v>
          </cell>
          <cell r="P52" t="str">
            <v>Ok mon client</v>
          </cell>
          <cell r="Q52" t="str">
            <v>ROUEN / GRAND QUEVIL</v>
          </cell>
          <cell r="R52" t="str">
            <v>27</v>
          </cell>
          <cell r="S52" t="str">
            <v>ZA LA SAINT DENIS</v>
          </cell>
          <cell r="T52">
            <v>27130</v>
          </cell>
          <cell r="U52" t="str">
            <v>VERNEUIL SUR AVRE</v>
          </cell>
          <cell r="X52" t="str">
            <v>27130</v>
          </cell>
          <cell r="Y52" t="str">
            <v>VERNEUIL SUR AVRE</v>
          </cell>
          <cell r="Z52">
            <v>1040.8</v>
          </cell>
          <cell r="AA52">
            <v>6642.51</v>
          </cell>
          <cell r="AB52">
            <v>2036.4100000000003</v>
          </cell>
          <cell r="AD52">
            <v>9719.7200000000012</v>
          </cell>
          <cell r="AG52">
            <v>4738.4699999999993</v>
          </cell>
          <cell r="AH52">
            <v>-6.3438198405813447E-3</v>
          </cell>
          <cell r="AI52">
            <v>1161.03</v>
          </cell>
          <cell r="AJ52">
            <v>0.22752211398499586</v>
          </cell>
          <cell r="AL52">
            <v>5899.4999999999991</v>
          </cell>
          <cell r="AM52">
            <v>8259.2999999999975</v>
          </cell>
          <cell r="AN52">
            <v>-0.15025329947776311</v>
          </cell>
          <cell r="AO52" t="str">
            <v>022-G-27REDSEA</v>
          </cell>
          <cell r="AP52" t="str">
            <v>022-L1-27REDSEA</v>
          </cell>
          <cell r="AZ52">
            <v>5212.317</v>
          </cell>
          <cell r="BA52">
            <v>1277.133</v>
          </cell>
          <cell r="BB52">
            <v>0</v>
          </cell>
        </row>
        <row r="53">
          <cell r="A53">
            <v>641165</v>
          </cell>
          <cell r="B53" t="str">
            <v>TECFLU</v>
          </cell>
          <cell r="C53">
            <v>0.1</v>
          </cell>
          <cell r="D53">
            <v>0.1</v>
          </cell>
          <cell r="E53">
            <v>0.02</v>
          </cell>
          <cell r="F53">
            <v>41275</v>
          </cell>
          <cell r="I53">
            <v>0</v>
          </cell>
          <cell r="J53">
            <v>0</v>
          </cell>
          <cell r="K53" t="str">
            <v>ok</v>
          </cell>
          <cell r="L53" t="str">
            <v>ok</v>
          </cell>
          <cell r="N53" t="str">
            <v>Non affecté</v>
          </cell>
          <cell r="O53" t="str">
            <v>BQ</v>
          </cell>
          <cell r="P53" t="str">
            <v>Ok mon client</v>
          </cell>
          <cell r="Q53" t="str">
            <v>ROUEN / GRAND QUEVIL</v>
          </cell>
          <cell r="R53" t="str">
            <v>76</v>
          </cell>
          <cell r="X53" t="str">
            <v>76600</v>
          </cell>
          <cell r="Y53" t="str">
            <v>LE HAVRE</v>
          </cell>
          <cell r="Z53">
            <v>2657.17</v>
          </cell>
          <cell r="AA53">
            <v>2949.21</v>
          </cell>
          <cell r="AB53">
            <v>3124.96</v>
          </cell>
          <cell r="AD53">
            <v>8731.34</v>
          </cell>
          <cell r="AE53">
            <v>399.53999999999996</v>
          </cell>
          <cell r="AF53">
            <v>0.24913650698303041</v>
          </cell>
          <cell r="AG53">
            <v>3522.03</v>
          </cell>
          <cell r="AH53">
            <v>0.23402980667399237</v>
          </cell>
          <cell r="AI53">
            <v>1618.37</v>
          </cell>
          <cell r="AJ53">
            <v>0.56297149303189131</v>
          </cell>
          <cell r="AL53">
            <v>5539.9400000000005</v>
          </cell>
          <cell r="AM53">
            <v>7755.9160000000002</v>
          </cell>
          <cell r="AN53">
            <v>-0.11171526936300724</v>
          </cell>
          <cell r="AO53" t="str">
            <v>022-G-76TECFLU</v>
          </cell>
          <cell r="AP53" t="str">
            <v>022-L1-76TECFLU</v>
          </cell>
          <cell r="AZ53">
            <v>3874.2330000000006</v>
          </cell>
          <cell r="BA53">
            <v>1780.2070000000001</v>
          </cell>
          <cell r="BB53">
            <v>407.53079999999994</v>
          </cell>
        </row>
        <row r="54">
          <cell r="A54">
            <v>481382</v>
          </cell>
          <cell r="B54" t="str">
            <v>LES PLASTIQUES DE HAUTE NORMANDI</v>
          </cell>
          <cell r="C54">
            <v>0.1</v>
          </cell>
          <cell r="D54">
            <v>0.1</v>
          </cell>
          <cell r="E54">
            <v>0.02</v>
          </cell>
          <cell r="F54">
            <v>41275</v>
          </cell>
          <cell r="I54">
            <v>0</v>
          </cell>
          <cell r="J54">
            <v>0</v>
          </cell>
          <cell r="K54" t="str">
            <v>ok</v>
          </cell>
          <cell r="L54" t="str">
            <v>ok</v>
          </cell>
          <cell r="M54" t="str">
            <v>Porte Feuille</v>
          </cell>
          <cell r="N54" t="str">
            <v>Non affecté</v>
          </cell>
          <cell r="O54" t="str">
            <v>KE</v>
          </cell>
          <cell r="P54" t="str">
            <v>Ok mon client</v>
          </cell>
          <cell r="Q54" t="str">
            <v>ROUEN / GRAND QUEVIL</v>
          </cell>
          <cell r="R54" t="str">
            <v>76</v>
          </cell>
          <cell r="S54" t="str">
            <v>ZI RUE DES ETANGS</v>
          </cell>
          <cell r="T54">
            <v>76340</v>
          </cell>
          <cell r="U54" t="str">
            <v>BLANGY SUR BRESLE</v>
          </cell>
          <cell r="X54" t="str">
            <v>76340</v>
          </cell>
          <cell r="Y54" t="str">
            <v>BLANGY SUR BRESLE</v>
          </cell>
          <cell r="Z54">
            <v>19254.490000000002</v>
          </cell>
          <cell r="AA54">
            <v>17828.260000000002</v>
          </cell>
          <cell r="AB54">
            <v>5903.2599999999993</v>
          </cell>
          <cell r="AD54">
            <v>42986.01</v>
          </cell>
          <cell r="AE54">
            <v>5177.34</v>
          </cell>
          <cell r="AF54">
            <v>0.19649858807804782</v>
          </cell>
          <cell r="AG54">
            <v>234.2</v>
          </cell>
          <cell r="AH54">
            <v>0.32463706233988032</v>
          </cell>
          <cell r="AI54">
            <v>94.710000000000008</v>
          </cell>
          <cell r="AJ54">
            <v>0.53098933586738462</v>
          </cell>
          <cell r="AL54">
            <v>5506.25</v>
          </cell>
          <cell r="AM54">
            <v>7708.7499999999991</v>
          </cell>
          <cell r="AN54">
            <v>-0.82066839885814014</v>
          </cell>
          <cell r="AO54" t="str">
            <v>022-G-76PHN1</v>
          </cell>
          <cell r="AP54" t="str">
            <v>022-L1-76PHN</v>
          </cell>
          <cell r="AZ54">
            <v>257.62</v>
          </cell>
          <cell r="BA54">
            <v>104.18100000000001</v>
          </cell>
          <cell r="BB54">
            <v>5280.8868000000002</v>
          </cell>
        </row>
        <row r="55">
          <cell r="A55">
            <v>808243</v>
          </cell>
          <cell r="B55" t="str">
            <v>EQUASUD</v>
          </cell>
          <cell r="H55" t="str">
            <v>compte HS voir mail de Lemoine le 30/01/2013</v>
          </cell>
          <cell r="I55">
            <v>0</v>
          </cell>
          <cell r="J55">
            <v>0</v>
          </cell>
          <cell r="K55" t="str">
            <v>non</v>
          </cell>
          <cell r="L55" t="str">
            <v>non</v>
          </cell>
          <cell r="N55" t="str">
            <v>Non affecté</v>
          </cell>
          <cell r="O55" t="str">
            <v>BQ</v>
          </cell>
          <cell r="P55" t="str">
            <v>Ok mon client</v>
          </cell>
          <cell r="Q55" t="str">
            <v>ROUEN / GRAND QUEVIL</v>
          </cell>
          <cell r="R55" t="str">
            <v>76</v>
          </cell>
          <cell r="S55" t="str">
            <v>59 RUE STENDHAL</v>
          </cell>
          <cell r="T55">
            <v>76600</v>
          </cell>
          <cell r="U55" t="str">
            <v>LE HAVRE</v>
          </cell>
          <cell r="X55" t="str">
            <v>76600</v>
          </cell>
          <cell r="Y55" t="str">
            <v>LE HAVRE</v>
          </cell>
          <cell r="Z55">
            <v>5760.7300000000005</v>
          </cell>
          <cell r="AA55">
            <v>7302.9700000000012</v>
          </cell>
          <cell r="AB55">
            <v>192.04999999999998</v>
          </cell>
          <cell r="AD55">
            <v>13255.75</v>
          </cell>
          <cell r="AE55">
            <v>2539.4</v>
          </cell>
          <cell r="AF55">
            <v>0.21241238087737263</v>
          </cell>
          <cell r="AG55">
            <v>2751.2999999999997</v>
          </cell>
          <cell r="AH55">
            <v>0.56096754261621773</v>
          </cell>
          <cell r="AL55">
            <v>5290.7</v>
          </cell>
          <cell r="AM55">
            <v>7406.98</v>
          </cell>
          <cell r="AN55">
            <v>-0.44122512871772634</v>
          </cell>
          <cell r="AO55" t="str">
            <v>022-G-76EQUASUD</v>
          </cell>
          <cell r="AZ55">
            <v>2751.2999999999997</v>
          </cell>
          <cell r="BA55">
            <v>0</v>
          </cell>
          <cell r="BB55">
            <v>2539.4</v>
          </cell>
        </row>
        <row r="56">
          <cell r="A56">
            <v>75825</v>
          </cell>
          <cell r="B56" t="str">
            <v>DALKIA FRANCE</v>
          </cell>
          <cell r="C56">
            <v>0.1</v>
          </cell>
          <cell r="D56">
            <v>0.1</v>
          </cell>
          <cell r="E56">
            <v>0.02</v>
          </cell>
          <cell r="F56">
            <v>41275</v>
          </cell>
          <cell r="I56">
            <v>0</v>
          </cell>
          <cell r="J56">
            <v>0</v>
          </cell>
          <cell r="K56" t="str">
            <v>ok</v>
          </cell>
          <cell r="L56" t="str">
            <v>ok</v>
          </cell>
          <cell r="N56" t="str">
            <v>Non affecté</v>
          </cell>
          <cell r="O56" t="str">
            <v>KE</v>
          </cell>
          <cell r="P56" t="str">
            <v>Ok mon client</v>
          </cell>
          <cell r="Q56" t="str">
            <v>ROUEN / GRAND QUEVIL</v>
          </cell>
          <cell r="R56" t="str">
            <v>59</v>
          </cell>
          <cell r="S56" t="str">
            <v>37 AVENUE DU MARECHAL DELATTE DE T</v>
          </cell>
          <cell r="T56">
            <v>59350</v>
          </cell>
          <cell r="U56" t="str">
            <v>ST ANDRE LEZ LILLE</v>
          </cell>
          <cell r="X56" t="str">
            <v>59350</v>
          </cell>
          <cell r="Y56" t="str">
            <v>ST ANDRE LEZ LILLE</v>
          </cell>
          <cell r="AA56">
            <v>7934.2500000000009</v>
          </cell>
          <cell r="AB56">
            <v>664.57999999999993</v>
          </cell>
          <cell r="AD56">
            <v>8598.8300000000017</v>
          </cell>
          <cell r="AE56">
            <v>343.8</v>
          </cell>
          <cell r="AF56">
            <v>0.27283304246655032</v>
          </cell>
          <cell r="AG56">
            <v>4209.58</v>
          </cell>
          <cell r="AH56">
            <v>0.72818665995182408</v>
          </cell>
          <cell r="AI56">
            <v>396.15000000000003</v>
          </cell>
          <cell r="AJ56">
            <v>0.47242206235011996</v>
          </cell>
          <cell r="AL56">
            <v>4949.53</v>
          </cell>
          <cell r="AM56">
            <v>6929.3419999999996</v>
          </cell>
          <cell r="AN56">
            <v>-0.19415292545613783</v>
          </cell>
          <cell r="AO56" t="str">
            <v>022-G-76DALKIA</v>
          </cell>
          <cell r="AZ56">
            <v>4630.5380000000005</v>
          </cell>
          <cell r="BA56">
            <v>435.7650000000001</v>
          </cell>
          <cell r="BB56">
            <v>350.67600000000004</v>
          </cell>
        </row>
        <row r="57">
          <cell r="A57">
            <v>82729</v>
          </cell>
          <cell r="B57" t="str">
            <v>TRAMICO 27 BRIONNE</v>
          </cell>
          <cell r="H57" t="str">
            <v>Pas de hausse pas de contrat</v>
          </cell>
          <cell r="I57">
            <v>0</v>
          </cell>
          <cell r="J57">
            <v>0</v>
          </cell>
          <cell r="K57" t="str">
            <v>non</v>
          </cell>
          <cell r="L57" t="str">
            <v>non</v>
          </cell>
          <cell r="N57" t="str">
            <v>Non affecté</v>
          </cell>
          <cell r="O57" t="str">
            <v>BQ</v>
          </cell>
          <cell r="P57" t="str">
            <v>Ok mon client</v>
          </cell>
          <cell r="Q57" t="str">
            <v>ROUEN / GRAND QUEVIL</v>
          </cell>
          <cell r="R57" t="str">
            <v>27</v>
          </cell>
          <cell r="S57" t="str">
            <v>ROUTE D AUTHOU ZI</v>
          </cell>
          <cell r="T57">
            <v>27800</v>
          </cell>
          <cell r="U57" t="str">
            <v>BRIONNE</v>
          </cell>
          <cell r="X57" t="str">
            <v>27800</v>
          </cell>
          <cell r="Y57" t="str">
            <v>BRIONNE</v>
          </cell>
          <cell r="Z57">
            <v>2106.8900000000003</v>
          </cell>
          <cell r="AA57">
            <v>1948.75</v>
          </cell>
          <cell r="AC57">
            <v>342.48</v>
          </cell>
          <cell r="AD57">
            <v>4398.1200000000008</v>
          </cell>
          <cell r="AE57">
            <v>2147.58</v>
          </cell>
          <cell r="AF57">
            <v>0.29715126622592197</v>
          </cell>
          <cell r="AG57">
            <v>2317.6800000000003</v>
          </cell>
          <cell r="AH57">
            <v>0.82543750647198932</v>
          </cell>
          <cell r="AL57">
            <v>4465.26</v>
          </cell>
          <cell r="AM57">
            <v>6251.3639999999996</v>
          </cell>
          <cell r="AN57">
            <v>0.4213718588851596</v>
          </cell>
          <cell r="AZ57">
            <v>2317.6800000000003</v>
          </cell>
          <cell r="BA57">
            <v>0</v>
          </cell>
          <cell r="BB57">
            <v>2147.58</v>
          </cell>
        </row>
        <row r="58">
          <cell r="A58">
            <v>498245</v>
          </cell>
          <cell r="B58" t="str">
            <v>ECC</v>
          </cell>
          <cell r="H58" t="str">
            <v>Pas de contrat INES</v>
          </cell>
          <cell r="I58">
            <v>0</v>
          </cell>
          <cell r="J58">
            <v>0</v>
          </cell>
          <cell r="K58" t="str">
            <v>non</v>
          </cell>
          <cell r="L58" t="str">
            <v>non</v>
          </cell>
          <cell r="N58" t="str">
            <v>Non affecté</v>
          </cell>
          <cell r="O58" t="str">
            <v>BQ</v>
          </cell>
          <cell r="P58" t="str">
            <v>Ok mon client</v>
          </cell>
          <cell r="Q58" t="str">
            <v>ROUEN / GRAND QUEVIL</v>
          </cell>
          <cell r="R58" t="str">
            <v>76</v>
          </cell>
          <cell r="S58" t="str">
            <v>ZA DE COUPEAUVILLE</v>
          </cell>
          <cell r="T58">
            <v>76133</v>
          </cell>
          <cell r="U58" t="str">
            <v>EPOUVILLE</v>
          </cell>
          <cell r="X58" t="str">
            <v>76133</v>
          </cell>
          <cell r="Y58" t="str">
            <v>EPOUVILLE</v>
          </cell>
          <cell r="AE58">
            <v>4239.1100000000006</v>
          </cell>
          <cell r="AF58">
            <v>0.14840615129119078</v>
          </cell>
          <cell r="AL58">
            <v>4239.1100000000006</v>
          </cell>
          <cell r="AM58">
            <v>5934.7540000000008</v>
          </cell>
          <cell r="AZ58">
            <v>0</v>
          </cell>
          <cell r="BA58">
            <v>0</v>
          </cell>
          <cell r="BB58">
            <v>4239.1100000000006</v>
          </cell>
        </row>
        <row r="59">
          <cell r="A59">
            <v>592295</v>
          </cell>
          <cell r="B59" t="str">
            <v>AUCLAIR MOUTON MARIE CHRISTINE</v>
          </cell>
          <cell r="C59">
            <v>0.1</v>
          </cell>
          <cell r="D59">
            <v>0.1</v>
          </cell>
          <cell r="E59">
            <v>0.02</v>
          </cell>
          <cell r="F59">
            <v>41275</v>
          </cell>
          <cell r="I59">
            <v>0</v>
          </cell>
          <cell r="J59">
            <v>0</v>
          </cell>
          <cell r="K59" t="str">
            <v>OK</v>
          </cell>
          <cell r="L59" t="str">
            <v>OK</v>
          </cell>
          <cell r="M59" t="str">
            <v>Porte Feuille</v>
          </cell>
          <cell r="N59" t="str">
            <v>Non affecté</v>
          </cell>
          <cell r="O59" t="str">
            <v>BQ</v>
          </cell>
          <cell r="P59" t="str">
            <v>Ok mon client</v>
          </cell>
          <cell r="Q59" t="str">
            <v>ROUEN / GRAND QUEVIL</v>
          </cell>
          <cell r="R59" t="str">
            <v>75</v>
          </cell>
          <cell r="S59" t="str">
            <v>9 RUE LALLIER</v>
          </cell>
          <cell r="T59">
            <v>75009</v>
          </cell>
          <cell r="U59" t="str">
            <v>PARIS</v>
          </cell>
          <cell r="X59" t="str">
            <v>75009</v>
          </cell>
          <cell r="Y59" t="str">
            <v>PARIS</v>
          </cell>
          <cell r="AA59">
            <v>12299.03</v>
          </cell>
          <cell r="AB59">
            <v>3238.9199999999996</v>
          </cell>
          <cell r="AD59">
            <v>15537.95</v>
          </cell>
          <cell r="AG59">
            <v>1659.1599999999999</v>
          </cell>
          <cell r="AH59">
            <v>0.55556426143349646</v>
          </cell>
          <cell r="AI59">
            <v>2506.7600000000002</v>
          </cell>
          <cell r="AJ59">
            <v>0.47544240374028629</v>
          </cell>
          <cell r="AL59">
            <v>4165.92</v>
          </cell>
          <cell r="AM59">
            <v>5832.2879999999996</v>
          </cell>
          <cell r="AN59">
            <v>-0.62464237560295932</v>
          </cell>
          <cell r="AO59" t="str">
            <v>022-G-76JARDIN</v>
          </cell>
          <cell r="AZ59">
            <v>1825.076</v>
          </cell>
          <cell r="BA59">
            <v>2757.4360000000006</v>
          </cell>
          <cell r="BB59">
            <v>0</v>
          </cell>
        </row>
        <row r="60">
          <cell r="A60">
            <v>810416</v>
          </cell>
          <cell r="B60" t="str">
            <v>STE NORMANDE DES TUYAUX FLEXIB</v>
          </cell>
          <cell r="H60" t="str">
            <v>compte HS voir mail de Lemoine le 14/12/2012</v>
          </cell>
          <cell r="I60">
            <v>0</v>
          </cell>
          <cell r="J60">
            <v>0</v>
          </cell>
          <cell r="L60" t="str">
            <v>NON</v>
          </cell>
          <cell r="N60" t="str">
            <v>Non affecté</v>
          </cell>
          <cell r="O60" t="str">
            <v>BQ</v>
          </cell>
          <cell r="P60" t="str">
            <v>Ok mon client</v>
          </cell>
          <cell r="Q60" t="str">
            <v>ROUEN / GRAND QUEVIL</v>
          </cell>
          <cell r="R60" t="str">
            <v>76</v>
          </cell>
          <cell r="X60" t="str">
            <v>76170</v>
          </cell>
          <cell r="Y60" t="str">
            <v>LA FRENAYE</v>
          </cell>
          <cell r="Z60">
            <v>12269.91</v>
          </cell>
          <cell r="AA60">
            <v>359.77</v>
          </cell>
          <cell r="AD60">
            <v>12629.68</v>
          </cell>
          <cell r="AE60">
            <v>3602.1499999999996</v>
          </cell>
          <cell r="AF60">
            <v>3.5481587385311292E-2</v>
          </cell>
          <cell r="AG60">
            <v>226.50000000000003</v>
          </cell>
          <cell r="AH60">
            <v>0.42701986754966886</v>
          </cell>
          <cell r="AI60">
            <v>133.09</v>
          </cell>
          <cell r="AJ60">
            <v>0.63836501615448193</v>
          </cell>
          <cell r="AL60">
            <v>3961.74</v>
          </cell>
          <cell r="AM60">
            <v>5546.4359999999997</v>
          </cell>
          <cell r="AN60">
            <v>-0.56084112978317746</v>
          </cell>
          <cell r="AO60" t="str">
            <v>022-G-76TUYAUX</v>
          </cell>
          <cell r="AP60" t="str">
            <v>022-L1-76SNTF</v>
          </cell>
          <cell r="AZ60">
            <v>226.50000000000003</v>
          </cell>
          <cell r="BA60">
            <v>133.09</v>
          </cell>
          <cell r="BB60">
            <v>3602.1499999999996</v>
          </cell>
        </row>
        <row r="61">
          <cell r="A61">
            <v>465543</v>
          </cell>
          <cell r="B61" t="str">
            <v>BIOPACK</v>
          </cell>
          <cell r="D61">
            <v>0.1</v>
          </cell>
          <cell r="E61">
            <v>0.02</v>
          </cell>
          <cell r="F61">
            <v>41275</v>
          </cell>
          <cell r="I61">
            <v>0</v>
          </cell>
          <cell r="J61">
            <v>0</v>
          </cell>
          <cell r="K61" t="str">
            <v>ok</v>
          </cell>
          <cell r="L61" t="str">
            <v>ok</v>
          </cell>
          <cell r="N61" t="str">
            <v>Non affecté</v>
          </cell>
          <cell r="O61" t="str">
            <v>KE</v>
          </cell>
          <cell r="P61" t="str">
            <v>Ok mon client</v>
          </cell>
          <cell r="Q61" t="str">
            <v>ROUEN / GRAND QUEVIL</v>
          </cell>
          <cell r="R61" t="str">
            <v>27</v>
          </cell>
          <cell r="S61" t="str">
            <v>ROUTE DES FALAISES</v>
          </cell>
          <cell r="T61">
            <v>27100</v>
          </cell>
          <cell r="U61" t="str">
            <v>VAL DE REUIL</v>
          </cell>
          <cell r="X61" t="str">
            <v>27100</v>
          </cell>
          <cell r="Y61" t="str">
            <v>VAL DE REUIL</v>
          </cell>
          <cell r="Z61">
            <v>10097.539999999999</v>
          </cell>
          <cell r="AD61">
            <v>10097.539999999999</v>
          </cell>
          <cell r="AE61">
            <v>3622.96</v>
          </cell>
          <cell r="AF61">
            <v>0.16366727758517899</v>
          </cell>
          <cell r="AL61">
            <v>3622.96</v>
          </cell>
          <cell r="AM61">
            <v>5072.1439999999993</v>
          </cell>
          <cell r="AN61">
            <v>-0.49768517876631335</v>
          </cell>
          <cell r="AO61" t="str">
            <v>022-G-27BIOPACK</v>
          </cell>
          <cell r="AP61" t="str">
            <v>022-L1-27BIOPACK</v>
          </cell>
          <cell r="AZ61">
            <v>0</v>
          </cell>
          <cell r="BA61">
            <v>0</v>
          </cell>
          <cell r="BB61">
            <v>3695.4192000000003</v>
          </cell>
        </row>
        <row r="62">
          <cell r="A62">
            <v>74439</v>
          </cell>
          <cell r="B62" t="str">
            <v>DEMOLIN HAUTE NORMANDIE</v>
          </cell>
          <cell r="C62">
            <v>2.5000000000000001E-2</v>
          </cell>
          <cell r="F62">
            <v>41275</v>
          </cell>
          <cell r="H62" t="str">
            <v>meme compte que 510977</v>
          </cell>
          <cell r="I62">
            <v>0</v>
          </cell>
          <cell r="J62">
            <v>0</v>
          </cell>
          <cell r="K62" t="str">
            <v>OK</v>
          </cell>
          <cell r="L62" t="str">
            <v>OK</v>
          </cell>
          <cell r="M62" t="str">
            <v>Porte Feuille</v>
          </cell>
          <cell r="N62" t="str">
            <v>Non affecté</v>
          </cell>
          <cell r="O62" t="str">
            <v>BQ</v>
          </cell>
          <cell r="P62" t="str">
            <v>Ok mon client</v>
          </cell>
          <cell r="Q62" t="str">
            <v>ROUEN / GRAND QUEVIL</v>
          </cell>
          <cell r="R62" t="str">
            <v>76</v>
          </cell>
          <cell r="S62" t="str">
            <v>29 RUE DES MAGASINS GENERAUX</v>
          </cell>
          <cell r="T62">
            <v>76064</v>
          </cell>
          <cell r="U62" t="str">
            <v>LE HAVRE</v>
          </cell>
          <cell r="X62" t="str">
            <v>76064</v>
          </cell>
          <cell r="Y62" t="str">
            <v>LE HAVRE CEDEX</v>
          </cell>
          <cell r="Z62">
            <v>126.49000000000001</v>
          </cell>
          <cell r="AA62">
            <v>2714.18</v>
          </cell>
          <cell r="AB62">
            <v>176.49</v>
          </cell>
          <cell r="AD62">
            <v>3017.16</v>
          </cell>
          <cell r="AG62">
            <v>3608.5799999999995</v>
          </cell>
          <cell r="AH62">
            <v>0.46276097523125442</v>
          </cell>
          <cell r="AL62">
            <v>3608.5799999999995</v>
          </cell>
          <cell r="AM62">
            <v>5052.0119999999988</v>
          </cell>
          <cell r="AN62">
            <v>0.67442628166885377</v>
          </cell>
          <cell r="AO62" t="str">
            <v>022-G-76DEMOLIN</v>
          </cell>
          <cell r="AZ62">
            <v>3698.7944999999991</v>
          </cell>
          <cell r="BA62">
            <v>0</v>
          </cell>
          <cell r="BB62">
            <v>0</v>
          </cell>
        </row>
        <row r="63">
          <cell r="A63">
            <v>79869</v>
          </cell>
          <cell r="B63" t="str">
            <v>C E R I</v>
          </cell>
          <cell r="C63">
            <v>0.05</v>
          </cell>
          <cell r="F63">
            <v>41275</v>
          </cell>
          <cell r="I63">
            <v>0</v>
          </cell>
          <cell r="J63">
            <v>0</v>
          </cell>
          <cell r="K63" t="str">
            <v>ok</v>
          </cell>
          <cell r="L63" t="str">
            <v>ok</v>
          </cell>
          <cell r="N63" t="str">
            <v>Non affecté</v>
          </cell>
          <cell r="O63" t="str">
            <v>KE</v>
          </cell>
          <cell r="P63" t="str">
            <v>Ok mon client</v>
          </cell>
          <cell r="Q63" t="str">
            <v>ROUEN / GRAND QUEVIL</v>
          </cell>
          <cell r="R63" t="str">
            <v>27</v>
          </cell>
          <cell r="S63" t="str">
            <v>Z I RUE DE LA MECANIQUE BP 115</v>
          </cell>
          <cell r="T63">
            <v>27400</v>
          </cell>
          <cell r="U63" t="str">
            <v>LOUVIERS</v>
          </cell>
          <cell r="X63" t="str">
            <v>27400</v>
          </cell>
          <cell r="Y63" t="str">
            <v>LOUVIERS</v>
          </cell>
          <cell r="Z63">
            <v>372</v>
          </cell>
          <cell r="AA63">
            <v>2020.0100000000002</v>
          </cell>
          <cell r="AD63">
            <v>2392.0100000000002</v>
          </cell>
          <cell r="AE63">
            <v>1311.52</v>
          </cell>
          <cell r="AF63">
            <v>0.19940222032450897</v>
          </cell>
          <cell r="AG63">
            <v>1977.1000000000001</v>
          </cell>
          <cell r="AH63">
            <v>0.36865105457488229</v>
          </cell>
          <cell r="AI63">
            <v>98.51</v>
          </cell>
          <cell r="AJ63">
            <v>0.45376103948837682</v>
          </cell>
          <cell r="AL63">
            <v>3387.13</v>
          </cell>
          <cell r="AM63">
            <v>4741.982</v>
          </cell>
          <cell r="AN63">
            <v>0.98242565875560706</v>
          </cell>
          <cell r="AO63" t="str">
            <v>022-G-27CERI</v>
          </cell>
          <cell r="AZ63">
            <v>2075.9550000000004</v>
          </cell>
          <cell r="BA63">
            <v>98.51</v>
          </cell>
          <cell r="BB63">
            <v>1311.52</v>
          </cell>
        </row>
        <row r="64">
          <cell r="A64">
            <v>531024</v>
          </cell>
          <cell r="B64" t="str">
            <v>ALUCO SARL</v>
          </cell>
          <cell r="C64">
            <v>0.15</v>
          </cell>
          <cell r="D64">
            <v>0.15</v>
          </cell>
          <cell r="E64">
            <v>0.02</v>
          </cell>
          <cell r="F64">
            <v>41306</v>
          </cell>
          <cell r="I64">
            <v>0</v>
          </cell>
          <cell r="J64">
            <v>0</v>
          </cell>
          <cell r="K64" t="str">
            <v>ok</v>
          </cell>
          <cell r="L64" t="str">
            <v>ok</v>
          </cell>
          <cell r="N64" t="str">
            <v>Non affecté</v>
          </cell>
          <cell r="O64" t="str">
            <v>KE</v>
          </cell>
          <cell r="P64" t="str">
            <v>Ok mon client</v>
          </cell>
          <cell r="Q64" t="str">
            <v>ROUEN / GRAND QUEVIL</v>
          </cell>
          <cell r="R64" t="str">
            <v>27</v>
          </cell>
          <cell r="S64" t="str">
            <v>ROUTE D'INGREMARE</v>
          </cell>
          <cell r="T64">
            <v>27400</v>
          </cell>
          <cell r="U64" t="str">
            <v>LOUVIERS</v>
          </cell>
          <cell r="X64" t="str">
            <v>27400</v>
          </cell>
          <cell r="Y64" t="str">
            <v>LOUVIERS</v>
          </cell>
          <cell r="Z64">
            <v>399.84000000000003</v>
          </cell>
          <cell r="AA64">
            <v>4039.61</v>
          </cell>
          <cell r="AD64">
            <v>4439.45</v>
          </cell>
          <cell r="AE64">
            <v>146.75</v>
          </cell>
          <cell r="AF64">
            <v>0.18228279386712096</v>
          </cell>
          <cell r="AG64">
            <v>3074.1600000000003</v>
          </cell>
          <cell r="AH64">
            <v>0.5605466208655373</v>
          </cell>
          <cell r="AL64">
            <v>3220.9100000000003</v>
          </cell>
          <cell r="AM64">
            <v>4509.2740000000003</v>
          </cell>
          <cell r="AN64">
            <v>1.5728074423633664E-2</v>
          </cell>
          <cell r="AO64" t="str">
            <v>022-G-27ALUCO</v>
          </cell>
          <cell r="AZ64">
            <v>3535.2840000000001</v>
          </cell>
          <cell r="BA64">
            <v>0</v>
          </cell>
          <cell r="BB64">
            <v>149.685</v>
          </cell>
        </row>
        <row r="65">
          <cell r="A65">
            <v>562977</v>
          </cell>
          <cell r="B65" t="str">
            <v>MAGDALA SARL</v>
          </cell>
          <cell r="C65">
            <v>0.19803000000000001</v>
          </cell>
          <cell r="F65">
            <v>41306</v>
          </cell>
          <cell r="H65" t="str">
            <v>Passage sur un TS + 170% + TG MESS INTER +10% supp LOT</v>
          </cell>
          <cell r="I65" t="str">
            <v>A faire</v>
          </cell>
          <cell r="J65">
            <v>0</v>
          </cell>
          <cell r="L65" t="str">
            <v>OK</v>
          </cell>
          <cell r="N65" t="str">
            <v>Non affecté</v>
          </cell>
          <cell r="O65" t="str">
            <v>BQ</v>
          </cell>
          <cell r="P65" t="str">
            <v>Ok mon client</v>
          </cell>
          <cell r="Q65" t="str">
            <v>ROUEN / GRAND QUEVIL</v>
          </cell>
          <cell r="R65" t="str">
            <v>76</v>
          </cell>
          <cell r="S65" t="str">
            <v>14 RUE BOURG L ABBE</v>
          </cell>
          <cell r="T65">
            <v>76000</v>
          </cell>
          <cell r="U65" t="str">
            <v>ROUEN</v>
          </cell>
          <cell r="X65" t="str">
            <v>76000</v>
          </cell>
          <cell r="Y65" t="str">
            <v>ROUEN</v>
          </cell>
          <cell r="AA65">
            <v>4668.05</v>
          </cell>
          <cell r="AB65">
            <v>205.7</v>
          </cell>
          <cell r="AD65">
            <v>4873.75</v>
          </cell>
          <cell r="AG65">
            <v>3082.1600000000003</v>
          </cell>
          <cell r="AH65">
            <v>0.56965894048329746</v>
          </cell>
          <cell r="AI65">
            <v>137.04</v>
          </cell>
          <cell r="AJ65">
            <v>0.11025977816695856</v>
          </cell>
          <cell r="AL65">
            <v>3219.2000000000003</v>
          </cell>
          <cell r="AM65">
            <v>4506.88</v>
          </cell>
          <cell r="AN65">
            <v>-7.527468581687613E-2</v>
          </cell>
          <cell r="AO65" t="str">
            <v>022-G-76MAGDALA</v>
          </cell>
          <cell r="AZ65">
            <v>3692.5201448000003</v>
          </cell>
          <cell r="BA65">
            <v>137.04</v>
          </cell>
          <cell r="BB65">
            <v>0</v>
          </cell>
        </row>
        <row r="66">
          <cell r="A66">
            <v>62625</v>
          </cell>
          <cell r="B66" t="str">
            <v>THUILLIER NORD OUEST</v>
          </cell>
          <cell r="C66">
            <v>0.49741999999999997</v>
          </cell>
          <cell r="F66">
            <v>41306</v>
          </cell>
          <cell r="H66" t="str">
            <v>Passage sur un TS + 170% + TG MESS INTER +10% supp LOT</v>
          </cell>
          <cell r="I66" t="str">
            <v>A faire</v>
          </cell>
          <cell r="J66">
            <v>0</v>
          </cell>
          <cell r="L66" t="str">
            <v>OK</v>
          </cell>
          <cell r="N66" t="str">
            <v>Non affecté</v>
          </cell>
          <cell r="O66" t="str">
            <v>BQ</v>
          </cell>
          <cell r="P66" t="str">
            <v>Ok mon client</v>
          </cell>
          <cell r="Q66" t="str">
            <v>ROUEN / GRAND QUEVIL</v>
          </cell>
          <cell r="R66" t="str">
            <v>27</v>
          </cell>
          <cell r="S66" t="str">
            <v>ZE LA BAUDRIERE</v>
          </cell>
          <cell r="T66">
            <v>27520</v>
          </cell>
          <cell r="U66" t="str">
            <v>BOURTHEROULDE INFREVILLE</v>
          </cell>
          <cell r="X66" t="str">
            <v>27520</v>
          </cell>
          <cell r="Y66" t="str">
            <v>BOURTHEROULDE INFREVILLE</v>
          </cell>
          <cell r="Z66">
            <v>624.69000000000005</v>
          </cell>
          <cell r="AA66">
            <v>3980.16</v>
          </cell>
          <cell r="AD66">
            <v>4604.8500000000004</v>
          </cell>
          <cell r="AE66">
            <v>249.43</v>
          </cell>
          <cell r="AF66">
            <v>0.3184460570099828</v>
          </cell>
          <cell r="AG66">
            <v>2918.6</v>
          </cell>
          <cell r="AH66">
            <v>0.58656890289865005</v>
          </cell>
          <cell r="AL66">
            <v>3168.0299999999997</v>
          </cell>
          <cell r="AM66">
            <v>4435.2419999999993</v>
          </cell>
          <cell r="AN66">
            <v>-3.6832470113033255E-2</v>
          </cell>
          <cell r="AO66" t="str">
            <v>022-G-27THUILLIER</v>
          </cell>
          <cell r="AZ66">
            <v>4370.3700119999994</v>
          </cell>
          <cell r="BA66">
            <v>0</v>
          </cell>
          <cell r="BB66">
            <v>249.43</v>
          </cell>
        </row>
        <row r="67">
          <cell r="A67">
            <v>35077</v>
          </cell>
          <cell r="B67" t="str">
            <v>DELAUNAY D S A</v>
          </cell>
          <cell r="C67">
            <v>0.81695600000000002</v>
          </cell>
          <cell r="F67">
            <v>41306</v>
          </cell>
          <cell r="H67" t="str">
            <v>Passage sur un TS + 170% + TG MESS INTER +10% supp LOT</v>
          </cell>
          <cell r="I67" t="str">
            <v>A faire</v>
          </cell>
          <cell r="J67">
            <v>0</v>
          </cell>
          <cell r="L67" t="str">
            <v>OK</v>
          </cell>
          <cell r="N67" t="str">
            <v>Non affecté</v>
          </cell>
          <cell r="O67" t="str">
            <v>KE</v>
          </cell>
          <cell r="P67" t="str">
            <v>Ok mon client</v>
          </cell>
          <cell r="Q67" t="str">
            <v>ROUEN / GRAND QUEVIL</v>
          </cell>
          <cell r="R67" t="str">
            <v>76</v>
          </cell>
          <cell r="S67" t="str">
            <v>6 A RUE FAIDHERBE</v>
          </cell>
          <cell r="T67">
            <v>76420</v>
          </cell>
          <cell r="U67" t="str">
            <v>BIHOREL</v>
          </cell>
          <cell r="X67" t="str">
            <v>76420</v>
          </cell>
          <cell r="Y67" t="str">
            <v>BIHOREL</v>
          </cell>
          <cell r="AA67">
            <v>9392.98</v>
          </cell>
          <cell r="AB67">
            <v>601.54999999999995</v>
          </cell>
          <cell r="AD67">
            <v>9994.5299999999988</v>
          </cell>
          <cell r="AG67">
            <v>2566.5500000000002</v>
          </cell>
          <cell r="AH67">
            <v>0.399785704545012</v>
          </cell>
          <cell r="AI67">
            <v>515.93000000000006</v>
          </cell>
          <cell r="AJ67">
            <v>0.53520826468706983</v>
          </cell>
          <cell r="AL67">
            <v>3082.4800000000005</v>
          </cell>
          <cell r="AM67">
            <v>4315.4720000000007</v>
          </cell>
          <cell r="AN67">
            <v>-0.56821661448812488</v>
          </cell>
          <cell r="AO67" t="str">
            <v>022-G-76DELAUNAYDSA</v>
          </cell>
          <cell r="AZ67">
            <v>4663.3084218000013</v>
          </cell>
          <cell r="BA67">
            <v>515.93000000000006</v>
          </cell>
          <cell r="BB67">
            <v>0</v>
          </cell>
        </row>
        <row r="68">
          <cell r="A68">
            <v>609702</v>
          </cell>
          <cell r="B68" t="str">
            <v>DUEX ET CIE</v>
          </cell>
          <cell r="C68">
            <v>0.15</v>
          </cell>
          <cell r="D68">
            <v>0.15</v>
          </cell>
          <cell r="E68">
            <v>0.15</v>
          </cell>
          <cell r="F68">
            <v>41275</v>
          </cell>
          <cell r="I68">
            <v>0</v>
          </cell>
          <cell r="J68">
            <v>0</v>
          </cell>
          <cell r="K68" t="str">
            <v>ok</v>
          </cell>
          <cell r="L68" t="str">
            <v>ok</v>
          </cell>
          <cell r="N68" t="str">
            <v>Non affecté</v>
          </cell>
          <cell r="O68" t="str">
            <v>KE</v>
          </cell>
          <cell r="P68" t="str">
            <v>Ok mon client</v>
          </cell>
          <cell r="Q68" t="str">
            <v>ROUEN / GRAND QUEVIL</v>
          </cell>
          <cell r="R68" t="str">
            <v>76</v>
          </cell>
          <cell r="S68" t="str">
            <v>1483 ROUTE DE PARIS</v>
          </cell>
          <cell r="T68">
            <v>76520</v>
          </cell>
          <cell r="U68" t="str">
            <v>FRANQUEVILLE ST PIERRE</v>
          </cell>
          <cell r="X68" t="str">
            <v>76520</v>
          </cell>
          <cell r="Y68" t="str">
            <v>FRANQUEVILLE ST PIERRE</v>
          </cell>
          <cell r="AB68">
            <v>1150.6600000000001</v>
          </cell>
          <cell r="AD68">
            <v>1150.6600000000001</v>
          </cell>
          <cell r="AE68">
            <v>1677.7599999999998</v>
          </cell>
          <cell r="AF68">
            <v>-0.26358954796872003</v>
          </cell>
          <cell r="AG68">
            <v>256.11</v>
          </cell>
          <cell r="AH68">
            <v>0.763968607239077</v>
          </cell>
          <cell r="AI68">
            <v>1128.27</v>
          </cell>
          <cell r="AJ68">
            <v>0.53754863640795203</v>
          </cell>
          <cell r="AL68">
            <v>3062.14</v>
          </cell>
          <cell r="AM68">
            <v>4286.9959999999992</v>
          </cell>
          <cell r="AN68">
            <v>2.7256843898284453</v>
          </cell>
          <cell r="AO68" t="str">
            <v>022-G-76DUEX</v>
          </cell>
          <cell r="AZ68">
            <v>294.5265</v>
          </cell>
          <cell r="BA68">
            <v>1297.5104999999999</v>
          </cell>
          <cell r="BB68">
            <v>1929.4239999999995</v>
          </cell>
        </row>
        <row r="69">
          <cell r="A69">
            <v>588083</v>
          </cell>
          <cell r="B69" t="str">
            <v>VROMMAN</v>
          </cell>
          <cell r="C69">
            <v>0.10632</v>
          </cell>
          <cell r="F69">
            <v>41306</v>
          </cell>
          <cell r="H69" t="str">
            <v>Passage sur un TS + 170% + TG MESS INTER +10% supp LOT</v>
          </cell>
          <cell r="I69" t="str">
            <v>A faire</v>
          </cell>
          <cell r="J69">
            <v>0</v>
          </cell>
          <cell r="L69" t="str">
            <v>OK</v>
          </cell>
          <cell r="N69" t="str">
            <v>Non affecté</v>
          </cell>
          <cell r="O69" t="str">
            <v>KE - BQ</v>
          </cell>
          <cell r="P69" t="str">
            <v>Ok mon client</v>
          </cell>
          <cell r="Q69" t="str">
            <v>ROUEN / GRAND QUEVIL</v>
          </cell>
          <cell r="R69" t="str">
            <v>27</v>
          </cell>
          <cell r="S69" t="str">
            <v>ROUTE DE BOURY</v>
          </cell>
          <cell r="T69">
            <v>27000</v>
          </cell>
          <cell r="U69" t="str">
            <v>GISORS</v>
          </cell>
          <cell r="X69" t="str">
            <v>27000</v>
          </cell>
          <cell r="Y69" t="str">
            <v>GISORS</v>
          </cell>
          <cell r="Z69">
            <v>648.22</v>
          </cell>
          <cell r="AA69">
            <v>3705.8500000000008</v>
          </cell>
          <cell r="AB69">
            <v>60.27</v>
          </cell>
          <cell r="AD69">
            <v>4414.3400000000011</v>
          </cell>
          <cell r="AE69">
            <v>332.88</v>
          </cell>
          <cell r="AF69">
            <v>0.21893775534727228</v>
          </cell>
          <cell r="AG69">
            <v>2668.5200000000004</v>
          </cell>
          <cell r="AH69">
            <v>0.67941030983466477</v>
          </cell>
          <cell r="AL69">
            <v>3001.4000000000005</v>
          </cell>
          <cell r="AM69">
            <v>4201.9600000000009</v>
          </cell>
          <cell r="AN69">
            <v>-4.8111382449018469E-2</v>
          </cell>
          <cell r="AO69" t="str">
            <v>022-G-27VROMMAN</v>
          </cell>
          <cell r="AZ69">
            <v>2952.2370464000005</v>
          </cell>
          <cell r="BA69">
            <v>0</v>
          </cell>
          <cell r="BB69">
            <v>332.88</v>
          </cell>
        </row>
        <row r="70">
          <cell r="A70">
            <v>534905</v>
          </cell>
          <cell r="B70" t="str">
            <v>AMG INDUSTRIES</v>
          </cell>
          <cell r="C70">
            <v>0.26316489999999998</v>
          </cell>
          <cell r="F70">
            <v>41306</v>
          </cell>
          <cell r="H70" t="str">
            <v>Passage sur un TS + 170% + TG MESS INTER +10% supp LOT</v>
          </cell>
          <cell r="I70" t="str">
            <v>A faire</v>
          </cell>
          <cell r="J70">
            <v>0</v>
          </cell>
          <cell r="L70" t="str">
            <v>OK</v>
          </cell>
          <cell r="N70" t="str">
            <v>Non affecté</v>
          </cell>
          <cell r="O70" t="str">
            <v>KE</v>
          </cell>
          <cell r="P70" t="str">
            <v>Ok mon client</v>
          </cell>
          <cell r="Q70" t="str">
            <v>ROUEN / GRAND QUEVIL</v>
          </cell>
          <cell r="R70" t="str">
            <v>27</v>
          </cell>
          <cell r="S70" t="str">
            <v>Z A</v>
          </cell>
          <cell r="T70">
            <v>27220</v>
          </cell>
          <cell r="U70" t="str">
            <v>GROSSOEUVRE</v>
          </cell>
          <cell r="X70" t="str">
            <v>27220</v>
          </cell>
          <cell r="Y70" t="str">
            <v>GROSSOEUVRE</v>
          </cell>
          <cell r="Z70">
            <v>2589.04</v>
          </cell>
          <cell r="AA70">
            <v>113.33</v>
          </cell>
          <cell r="AB70">
            <v>372.4</v>
          </cell>
          <cell r="AD70">
            <v>3074.77</v>
          </cell>
          <cell r="AE70">
            <v>2679.62</v>
          </cell>
          <cell r="AF70">
            <v>-7.6645195960621332E-2</v>
          </cell>
          <cell r="AG70">
            <v>52.01</v>
          </cell>
          <cell r="AH70">
            <v>0.45895020188425306</v>
          </cell>
          <cell r="AI70">
            <v>63.14</v>
          </cell>
          <cell r="AJ70">
            <v>0.60880582831802343</v>
          </cell>
          <cell r="AL70">
            <v>2794.77</v>
          </cell>
          <cell r="AM70">
            <v>3912.6779999999999</v>
          </cell>
          <cell r="AN70">
            <v>0.27251078942490015</v>
          </cell>
          <cell r="AO70" t="str">
            <v>022-G-27AMG</v>
          </cell>
          <cell r="AZ70">
            <v>65.697206448999992</v>
          </cell>
          <cell r="BA70">
            <v>63.14</v>
          </cell>
          <cell r="BB70">
            <v>2679.62</v>
          </cell>
        </row>
        <row r="71">
          <cell r="A71">
            <v>612071</v>
          </cell>
          <cell r="B71" t="str">
            <v>DUCATTEAU STEPHANE</v>
          </cell>
          <cell r="C71">
            <v>0.15</v>
          </cell>
          <cell r="D71">
            <v>0.15</v>
          </cell>
          <cell r="E71">
            <v>0.15</v>
          </cell>
          <cell r="F71">
            <v>41275</v>
          </cell>
          <cell r="H71" t="str">
            <v>renseigné en HS mais récuperer</v>
          </cell>
          <cell r="I71">
            <v>0</v>
          </cell>
          <cell r="J71">
            <v>0</v>
          </cell>
          <cell r="K71" t="str">
            <v>ok</v>
          </cell>
          <cell r="L71" t="str">
            <v>ok</v>
          </cell>
          <cell r="Q71" t="str">
            <v>ROUEN / GRAND QUEVIL</v>
          </cell>
          <cell r="R71" t="str">
            <v>27</v>
          </cell>
          <cell r="S71" t="str">
            <v>3 IMPASSE DU VIEUX CHEMIN</v>
          </cell>
          <cell r="T71">
            <v>27930</v>
          </cell>
          <cell r="U71" t="str">
            <v>DARDEZ</v>
          </cell>
          <cell r="X71" t="str">
            <v>27930</v>
          </cell>
          <cell r="Y71" t="str">
            <v>DARDEZ</v>
          </cell>
          <cell r="AA71">
            <v>118.46000000000001</v>
          </cell>
          <cell r="AB71">
            <v>3427.68</v>
          </cell>
          <cell r="AD71">
            <v>3546.14</v>
          </cell>
          <cell r="AG71">
            <v>478.16</v>
          </cell>
          <cell r="AI71">
            <v>2303.58</v>
          </cell>
          <cell r="AL71">
            <v>2781.74</v>
          </cell>
          <cell r="AM71">
            <v>3894.4359999999992</v>
          </cell>
          <cell r="AN71">
            <v>9.8218344453405493E-2</v>
          </cell>
          <cell r="AO71" t="str">
            <v>022-G-27DUCATTEAU</v>
          </cell>
          <cell r="AZ71">
            <v>549.88400000000001</v>
          </cell>
          <cell r="BA71">
            <v>2649.1169999999997</v>
          </cell>
          <cell r="BB71">
            <v>0</v>
          </cell>
        </row>
        <row r="72">
          <cell r="A72">
            <v>630837</v>
          </cell>
          <cell r="B72" t="str">
            <v>DISTRART MUSIQUE</v>
          </cell>
          <cell r="F72">
            <v>41306</v>
          </cell>
          <cell r="H72" t="str">
            <v>Passage sur un TS + 170% + TG MESS INTER +10% supp LOT</v>
          </cell>
          <cell r="I72">
            <v>0</v>
          </cell>
          <cell r="J72">
            <v>0</v>
          </cell>
          <cell r="L72" t="str">
            <v>OK</v>
          </cell>
          <cell r="N72" t="str">
            <v>Non affecté</v>
          </cell>
          <cell r="O72" t="str">
            <v>BQ</v>
          </cell>
          <cell r="P72" t="str">
            <v>Ok mon client</v>
          </cell>
          <cell r="Q72" t="str">
            <v>ROUEN / GRAND QUEVIL</v>
          </cell>
          <cell r="R72" t="str">
            <v>75</v>
          </cell>
          <cell r="S72" t="str">
            <v>63 BIS RUE DELA TOMBE ISSOIRE</v>
          </cell>
          <cell r="T72">
            <v>75014</v>
          </cell>
          <cell r="U72" t="str">
            <v>PARIS</v>
          </cell>
          <cell r="X72" t="str">
            <v>75014</v>
          </cell>
          <cell r="Y72" t="str">
            <v>PARIS</v>
          </cell>
          <cell r="AA72">
            <v>304.82</v>
          </cell>
          <cell r="AB72">
            <v>2516.4999999999995</v>
          </cell>
          <cell r="AD72">
            <v>2821.3199999999997</v>
          </cell>
          <cell r="AG72">
            <v>607.12</v>
          </cell>
          <cell r="AH72">
            <v>0.31880023718539996</v>
          </cell>
          <cell r="AI72">
            <v>2007.71</v>
          </cell>
          <cell r="AJ72">
            <v>0.25743757813628459</v>
          </cell>
          <cell r="AL72">
            <v>2614.83</v>
          </cell>
          <cell r="AM72">
            <v>3660.7619999999997</v>
          </cell>
          <cell r="AN72">
            <v>0.29753519629109793</v>
          </cell>
          <cell r="AO72" t="str">
            <v>022-G-27DISTRART</v>
          </cell>
          <cell r="AZ72">
            <v>607.12</v>
          </cell>
          <cell r="BA72">
            <v>2007.71</v>
          </cell>
          <cell r="BB72">
            <v>0</v>
          </cell>
        </row>
        <row r="73">
          <cell r="A73">
            <v>584580</v>
          </cell>
          <cell r="B73" t="str">
            <v>S 2 M</v>
          </cell>
          <cell r="C73">
            <v>0.05</v>
          </cell>
          <cell r="D73">
            <v>0.05</v>
          </cell>
          <cell r="F73">
            <v>41306</v>
          </cell>
          <cell r="I73">
            <v>0</v>
          </cell>
          <cell r="J73">
            <v>0</v>
          </cell>
          <cell r="K73" t="str">
            <v>ok</v>
          </cell>
          <cell r="L73" t="str">
            <v>ok</v>
          </cell>
          <cell r="N73" t="str">
            <v>Non affecté</v>
          </cell>
          <cell r="O73" t="str">
            <v>KE</v>
          </cell>
          <cell r="P73" t="str">
            <v>Ok mon client</v>
          </cell>
          <cell r="Q73" t="str">
            <v>ROUEN / GRAND QUEVIL</v>
          </cell>
          <cell r="R73" t="str">
            <v>27</v>
          </cell>
          <cell r="S73" t="str">
            <v>2 RUE DES CHAMPS</v>
          </cell>
          <cell r="T73">
            <v>27950</v>
          </cell>
          <cell r="U73" t="str">
            <v>ST MARCEL</v>
          </cell>
          <cell r="X73" t="str">
            <v>27950</v>
          </cell>
          <cell r="Y73" t="str">
            <v>ST MARCEL</v>
          </cell>
          <cell r="AB73">
            <v>276.12</v>
          </cell>
          <cell r="AD73">
            <v>276.12</v>
          </cell>
          <cell r="AG73">
            <v>2282.58</v>
          </cell>
          <cell r="AH73">
            <v>9.0520376065680405E-2</v>
          </cell>
          <cell r="AI73">
            <v>314.88</v>
          </cell>
          <cell r="AJ73">
            <v>0.4743394308943088</v>
          </cell>
          <cell r="AL73">
            <v>2597.46</v>
          </cell>
          <cell r="AM73">
            <v>3636.444</v>
          </cell>
          <cell r="AN73">
            <v>12.169795740982181</v>
          </cell>
          <cell r="AO73" t="str">
            <v>022-G-27S2M</v>
          </cell>
          <cell r="AZ73">
            <v>2396.7089999999998</v>
          </cell>
          <cell r="BA73">
            <v>330.62400000000002</v>
          </cell>
          <cell r="BB73">
            <v>0</v>
          </cell>
        </row>
        <row r="74">
          <cell r="A74">
            <v>872841</v>
          </cell>
          <cell r="B74" t="str">
            <v>ALLAND ET ROBERT</v>
          </cell>
          <cell r="F74">
            <v>41306</v>
          </cell>
          <cell r="H74" t="str">
            <v>Passage sur un TS + 170% + TG MESS INTER +10% supp LOT</v>
          </cell>
          <cell r="I74">
            <v>0</v>
          </cell>
          <cell r="J74">
            <v>0</v>
          </cell>
          <cell r="L74" t="str">
            <v>non</v>
          </cell>
          <cell r="N74" t="str">
            <v>Non affecté</v>
          </cell>
          <cell r="O74" t="str">
            <v>KE - BQ</v>
          </cell>
          <cell r="P74" t="str">
            <v>Ok mon client</v>
          </cell>
          <cell r="Q74" t="str">
            <v>ROUEN / GRAND QUEVIL</v>
          </cell>
          <cell r="R74" t="str">
            <v>27</v>
          </cell>
          <cell r="S74" t="str">
            <v>125 GRANDE RUE</v>
          </cell>
          <cell r="T74">
            <v>27940</v>
          </cell>
          <cell r="U74" t="str">
            <v>PORT MORT</v>
          </cell>
          <cell r="X74" t="str">
            <v>27940</v>
          </cell>
          <cell r="Y74" t="str">
            <v>PORT MORT</v>
          </cell>
          <cell r="AE74">
            <v>2271.59</v>
          </cell>
          <cell r="AF74">
            <v>0.18559247047222435</v>
          </cell>
          <cell r="AL74">
            <v>2271.59</v>
          </cell>
          <cell r="AM74">
            <v>3180.2260000000001</v>
          </cell>
          <cell r="AZ74">
            <v>0</v>
          </cell>
          <cell r="BA74">
            <v>0</v>
          </cell>
          <cell r="BB74">
            <v>2271.59</v>
          </cell>
        </row>
        <row r="75">
          <cell r="A75">
            <v>874416</v>
          </cell>
          <cell r="B75" t="str">
            <v>CHROMOROC</v>
          </cell>
          <cell r="F75">
            <v>41306</v>
          </cell>
          <cell r="H75" t="str">
            <v>Passage sur un TS + 170% + TG MESS INTER +10% supp LOT</v>
          </cell>
          <cell r="I75">
            <v>0</v>
          </cell>
          <cell r="J75">
            <v>0</v>
          </cell>
          <cell r="L75" t="str">
            <v>non</v>
          </cell>
          <cell r="N75" t="str">
            <v>Non affecté</v>
          </cell>
          <cell r="O75" t="str">
            <v>KE - BQ</v>
          </cell>
          <cell r="P75" t="str">
            <v>Ok mon client</v>
          </cell>
          <cell r="Q75" t="str">
            <v>ROUEN / GRAND QUEVIL</v>
          </cell>
          <cell r="R75" t="str">
            <v>27</v>
          </cell>
          <cell r="X75" t="str">
            <v>27400</v>
          </cell>
          <cell r="Y75" t="str">
            <v>LOUVIERS</v>
          </cell>
          <cell r="AE75">
            <v>2187</v>
          </cell>
          <cell r="AF75">
            <v>0.13351623228166437</v>
          </cell>
          <cell r="AL75">
            <v>2187</v>
          </cell>
          <cell r="AM75">
            <v>3061.7999999999997</v>
          </cell>
          <cell r="AZ75">
            <v>0</v>
          </cell>
          <cell r="BA75">
            <v>0</v>
          </cell>
          <cell r="BB75">
            <v>2187</v>
          </cell>
        </row>
        <row r="76">
          <cell r="A76">
            <v>870192</v>
          </cell>
          <cell r="B76" t="str">
            <v>SOCIETE AUTOMATIQUE DE PROFILAGE</v>
          </cell>
          <cell r="F76">
            <v>41306</v>
          </cell>
          <cell r="H76" t="str">
            <v>Passage sur un TS + 170% + TG MESS INTER +10% supp LOT</v>
          </cell>
          <cell r="I76">
            <v>0</v>
          </cell>
          <cell r="J76">
            <v>0</v>
          </cell>
          <cell r="L76" t="str">
            <v>OK</v>
          </cell>
          <cell r="N76" t="str">
            <v>Non affecté</v>
          </cell>
          <cell r="O76" t="str">
            <v>KE - BQ</v>
          </cell>
          <cell r="P76" t="str">
            <v>Ok mon client</v>
          </cell>
          <cell r="Q76" t="str">
            <v>ROUEN / GRAND QUEVIL</v>
          </cell>
          <cell r="R76" t="str">
            <v>27</v>
          </cell>
          <cell r="X76" t="str">
            <v>27140</v>
          </cell>
          <cell r="Y76" t="str">
            <v>GISORS</v>
          </cell>
          <cell r="AE76">
            <v>2183.5100000000002</v>
          </cell>
          <cell r="AF76">
            <v>-2.9722785789851117E-3</v>
          </cell>
          <cell r="AL76">
            <v>2183.5100000000002</v>
          </cell>
          <cell r="AM76">
            <v>3056.9140000000002</v>
          </cell>
          <cell r="AP76" t="str">
            <v>022-L1-27SAP</v>
          </cell>
          <cell r="AZ76">
            <v>0</v>
          </cell>
          <cell r="BA76">
            <v>0</v>
          </cell>
          <cell r="BB76">
            <v>2183.5100000000002</v>
          </cell>
        </row>
        <row r="77">
          <cell r="A77">
            <v>83028</v>
          </cell>
          <cell r="B77" t="str">
            <v>LOXAM POWER</v>
          </cell>
          <cell r="C77">
            <v>0.19803000000000001</v>
          </cell>
          <cell r="F77">
            <v>41306</v>
          </cell>
          <cell r="H77" t="str">
            <v>Passage sur un TS + 170% + TG MESS INTER +10% supp LOT</v>
          </cell>
          <cell r="I77" t="str">
            <v>A faire</v>
          </cell>
          <cell r="J77">
            <v>0</v>
          </cell>
          <cell r="L77" t="str">
            <v>OK</v>
          </cell>
          <cell r="N77" t="str">
            <v>Non affecté</v>
          </cell>
          <cell r="O77" t="str">
            <v>BQ</v>
          </cell>
          <cell r="P77" t="str">
            <v>Ok mon client</v>
          </cell>
          <cell r="Q77" t="str">
            <v>ROUEN / GRAND QUEVIL</v>
          </cell>
          <cell r="R77" t="str">
            <v>76</v>
          </cell>
          <cell r="S77" t="str">
            <v>BP 51</v>
          </cell>
          <cell r="T77">
            <v>76170</v>
          </cell>
          <cell r="U77" t="str">
            <v>LILLEBONNE</v>
          </cell>
          <cell r="X77" t="str">
            <v>76170</v>
          </cell>
          <cell r="Y77" t="str">
            <v>lillebonne</v>
          </cell>
          <cell r="AA77">
            <v>410.89</v>
          </cell>
          <cell r="AD77">
            <v>410.89</v>
          </cell>
          <cell r="AG77">
            <v>2156.9699999999998</v>
          </cell>
          <cell r="AH77">
            <v>0.48075309345980699</v>
          </cell>
          <cell r="AL77">
            <v>2156.9699999999998</v>
          </cell>
          <cell r="AM77">
            <v>3019.7579999999994</v>
          </cell>
          <cell r="AN77">
            <v>6.349310034315752</v>
          </cell>
          <cell r="AO77" t="str">
            <v>022-G-76LOXAM</v>
          </cell>
          <cell r="AZ77">
            <v>2584.1147690999996</v>
          </cell>
          <cell r="BA77">
            <v>0</v>
          </cell>
          <cell r="BB77">
            <v>0</v>
          </cell>
        </row>
        <row r="78">
          <cell r="A78">
            <v>513655</v>
          </cell>
          <cell r="B78" t="str">
            <v>SOCOTEX</v>
          </cell>
          <cell r="F78">
            <v>41306</v>
          </cell>
          <cell r="H78" t="str">
            <v>Passage sur un TS + 170% + TG MESS INTER +10% supp LOT</v>
          </cell>
          <cell r="I78">
            <v>0</v>
          </cell>
          <cell r="J78">
            <v>0</v>
          </cell>
          <cell r="L78" t="str">
            <v>non</v>
          </cell>
          <cell r="N78" t="str">
            <v>Non affecté</v>
          </cell>
          <cell r="O78" t="str">
            <v>BQ</v>
          </cell>
          <cell r="P78" t="str">
            <v>Ok mon client</v>
          </cell>
          <cell r="Q78" t="str">
            <v>ROUEN / GRAND QUEVIL</v>
          </cell>
          <cell r="R78" t="str">
            <v>14</v>
          </cell>
          <cell r="S78" t="str">
            <v>ROUTE DE CHAMPLAIN</v>
          </cell>
          <cell r="T78">
            <v>14600</v>
          </cell>
          <cell r="U78" t="str">
            <v>HONFLEUR</v>
          </cell>
          <cell r="X78" t="str">
            <v>14600</v>
          </cell>
          <cell r="Y78" t="str">
            <v>HONFLEUR</v>
          </cell>
          <cell r="AE78">
            <v>1942.6799999999998</v>
          </cell>
          <cell r="AF78">
            <v>0.18154302304033607</v>
          </cell>
          <cell r="AG78">
            <v>83.41</v>
          </cell>
          <cell r="AH78">
            <v>0.34899892099268676</v>
          </cell>
          <cell r="AI78">
            <v>104.85</v>
          </cell>
          <cell r="AJ78">
            <v>0.62060085836909873</v>
          </cell>
          <cell r="AL78">
            <v>2130.94</v>
          </cell>
          <cell r="AM78">
            <v>2983.3159999999998</v>
          </cell>
          <cell r="AZ78">
            <v>83.41</v>
          </cell>
          <cell r="BA78">
            <v>104.85</v>
          </cell>
          <cell r="BB78">
            <v>1942.6799999999998</v>
          </cell>
        </row>
        <row r="79">
          <cell r="A79">
            <v>814424</v>
          </cell>
          <cell r="B79" t="str">
            <v>LE COMPTOIR COLONIAL</v>
          </cell>
          <cell r="C79">
            <v>0.15</v>
          </cell>
          <cell r="D79">
            <v>0.15</v>
          </cell>
          <cell r="E79">
            <v>0.02</v>
          </cell>
          <cell r="F79">
            <v>41306</v>
          </cell>
          <cell r="I79">
            <v>0</v>
          </cell>
          <cell r="J79">
            <v>0</v>
          </cell>
          <cell r="K79" t="str">
            <v>ok</v>
          </cell>
          <cell r="L79" t="str">
            <v>ok</v>
          </cell>
          <cell r="N79" t="str">
            <v>Non affecté</v>
          </cell>
          <cell r="O79" t="str">
            <v>KE - BQ</v>
          </cell>
          <cell r="P79" t="str">
            <v>Ok mon client</v>
          </cell>
          <cell r="Q79" t="str">
            <v>ROUEN / GRAND QUEVIL</v>
          </cell>
          <cell r="R79" t="str">
            <v>76</v>
          </cell>
          <cell r="S79" t="str">
            <v>8 RUE PIERRE GILLES DE GENNES</v>
          </cell>
          <cell r="T79">
            <v>76130</v>
          </cell>
          <cell r="U79" t="str">
            <v>MONT SAINT AIGNAN</v>
          </cell>
          <cell r="X79" t="str">
            <v>76130</v>
          </cell>
          <cell r="Y79" t="str">
            <v>MONT SAINT AIGNAN</v>
          </cell>
          <cell r="Z79">
            <v>314.46000000000004</v>
          </cell>
          <cell r="AA79">
            <v>2793.65</v>
          </cell>
          <cell r="AB79">
            <v>1238.71</v>
          </cell>
          <cell r="AD79">
            <v>4346.82</v>
          </cell>
          <cell r="AG79">
            <v>841.13000000000011</v>
          </cell>
          <cell r="AH79">
            <v>0.13011068443641299</v>
          </cell>
          <cell r="AI79">
            <v>1252.4699999999998</v>
          </cell>
          <cell r="AJ79">
            <v>0.15022315903774117</v>
          </cell>
          <cell r="AL79">
            <v>2093.6</v>
          </cell>
          <cell r="AM79">
            <v>2931.0399999999995</v>
          </cell>
          <cell r="AN79">
            <v>-0.32570476808333459</v>
          </cell>
          <cell r="AO79" t="str">
            <v>022-G-76COLONIAL</v>
          </cell>
          <cell r="AZ79">
            <v>967.29950000000008</v>
          </cell>
          <cell r="BA79">
            <v>1440.3404999999996</v>
          </cell>
          <cell r="BB79">
            <v>0</v>
          </cell>
        </row>
        <row r="80">
          <cell r="A80">
            <v>58563</v>
          </cell>
          <cell r="B80" t="str">
            <v>VIVIA DEVELOPPEMENT</v>
          </cell>
          <cell r="C80">
            <v>0.04</v>
          </cell>
          <cell r="D80">
            <v>0.04</v>
          </cell>
          <cell r="E80">
            <v>0.04</v>
          </cell>
          <cell r="F80">
            <v>41275</v>
          </cell>
          <cell r="I80">
            <v>0</v>
          </cell>
          <cell r="J80">
            <v>0</v>
          </cell>
          <cell r="K80" t="str">
            <v>ok</v>
          </cell>
          <cell r="L80" t="str">
            <v>ok</v>
          </cell>
          <cell r="N80" t="str">
            <v>Non affecté</v>
          </cell>
          <cell r="O80" t="str">
            <v>KE</v>
          </cell>
          <cell r="P80" t="str">
            <v>Ok mon client</v>
          </cell>
          <cell r="Q80" t="str">
            <v>ROUEN / GRAND QUEVIL</v>
          </cell>
          <cell r="R80" t="str">
            <v>27</v>
          </cell>
          <cell r="S80" t="str">
            <v>766 RUE COCHEREL  ZI N°1</v>
          </cell>
          <cell r="T80">
            <v>27000</v>
          </cell>
          <cell r="U80" t="str">
            <v>EVREUX</v>
          </cell>
          <cell r="X80" t="str">
            <v>27000</v>
          </cell>
          <cell r="Y80" t="str">
            <v>EVREUX</v>
          </cell>
          <cell r="Z80">
            <v>210</v>
          </cell>
          <cell r="AA80">
            <v>4304.43</v>
          </cell>
          <cell r="AB80">
            <v>563.43999999999994</v>
          </cell>
          <cell r="AD80">
            <v>5077.87</v>
          </cell>
          <cell r="AG80">
            <v>588.49</v>
          </cell>
          <cell r="AH80">
            <v>0.3760131862903362</v>
          </cell>
          <cell r="AI80">
            <v>1329.34</v>
          </cell>
          <cell r="AJ80">
            <v>0.64081423864474107</v>
          </cell>
          <cell r="AL80">
            <v>1917.83</v>
          </cell>
          <cell r="AM80">
            <v>2684.9619999999995</v>
          </cell>
          <cell r="AN80">
            <v>-0.47124246977571316</v>
          </cell>
          <cell r="AO80" t="str">
            <v>022-G-27UGIMAG</v>
          </cell>
          <cell r="AP80" t="str">
            <v>022-L1-27UGIMAG</v>
          </cell>
          <cell r="AZ80">
            <v>612.02960000000007</v>
          </cell>
          <cell r="BA80">
            <v>1382.5136</v>
          </cell>
          <cell r="BB80">
            <v>0</v>
          </cell>
        </row>
        <row r="81">
          <cell r="A81">
            <v>540831</v>
          </cell>
          <cell r="B81" t="str">
            <v>LE CHEVALLIER</v>
          </cell>
          <cell r="F81">
            <v>41306</v>
          </cell>
          <cell r="H81" t="str">
            <v>Passage sur un TS + 170% + TG MESS INTER +10% supp LOT</v>
          </cell>
          <cell r="I81">
            <v>0</v>
          </cell>
          <cell r="J81">
            <v>0</v>
          </cell>
          <cell r="L81" t="str">
            <v>non</v>
          </cell>
          <cell r="N81" t="str">
            <v>Non affecté</v>
          </cell>
          <cell r="O81" t="str">
            <v>KE</v>
          </cell>
          <cell r="P81" t="str">
            <v>Ok mon client</v>
          </cell>
          <cell r="Q81" t="str">
            <v>ROUEN / GRAND QUEVIL</v>
          </cell>
          <cell r="R81" t="str">
            <v>76</v>
          </cell>
          <cell r="S81" t="str">
            <v>56 RUE JEAN MERMOZ</v>
          </cell>
          <cell r="T81">
            <v>76237</v>
          </cell>
          <cell r="U81" t="str">
            <v>BOIS GUILLAUME CEDEX</v>
          </cell>
          <cell r="X81" t="str">
            <v>76237</v>
          </cell>
          <cell r="Y81" t="str">
            <v>BOIS GUILLAUME CEDEX</v>
          </cell>
          <cell r="AB81">
            <v>7203.7100000000009</v>
          </cell>
          <cell r="AD81">
            <v>7203.7100000000009</v>
          </cell>
          <cell r="AI81">
            <v>1806.1100000000001</v>
          </cell>
          <cell r="AJ81">
            <v>0.52366319640709957</v>
          </cell>
          <cell r="AL81">
            <v>1806.1100000000001</v>
          </cell>
          <cell r="AM81">
            <v>2528.5540000000001</v>
          </cell>
          <cell r="AN81">
            <v>-0.64899281064895731</v>
          </cell>
          <cell r="AO81" t="str">
            <v>022-G-76CHEVALLIER</v>
          </cell>
          <cell r="AZ81">
            <v>0</v>
          </cell>
          <cell r="BA81">
            <v>1806.1100000000001</v>
          </cell>
          <cell r="BB81">
            <v>0</v>
          </cell>
        </row>
        <row r="82">
          <cell r="A82">
            <v>876656</v>
          </cell>
          <cell r="B82" t="str">
            <v>BONNA SABLA</v>
          </cell>
          <cell r="F82">
            <v>41306</v>
          </cell>
          <cell r="H82" t="str">
            <v>Passage sur un TS + 170% + TG MESS INTER +10% supp LOT</v>
          </cell>
          <cell r="I82">
            <v>0</v>
          </cell>
          <cell r="J82">
            <v>0</v>
          </cell>
          <cell r="K82" t="str">
            <v>Pas de contrat INES</v>
          </cell>
          <cell r="L82" t="str">
            <v>NON</v>
          </cell>
          <cell r="N82" t="str">
            <v>Non affecté</v>
          </cell>
          <cell r="O82" t="str">
            <v>KE - BQ</v>
          </cell>
          <cell r="P82" t="str">
            <v>Ok mon client</v>
          </cell>
          <cell r="Q82" t="str">
            <v>ROUEN / GRAND QUEVIL</v>
          </cell>
          <cell r="R82" t="str">
            <v>27</v>
          </cell>
          <cell r="X82" t="str">
            <v>27590</v>
          </cell>
          <cell r="Y82" t="str">
            <v>PITRES</v>
          </cell>
          <cell r="AE82">
            <v>1636.8899999999999</v>
          </cell>
          <cell r="AF82">
            <v>0.35810569859496472</v>
          </cell>
          <cell r="AG82">
            <v>168.77</v>
          </cell>
          <cell r="AH82">
            <v>0.5703620311666765</v>
          </cell>
          <cell r="AL82">
            <v>1805.6599999999999</v>
          </cell>
          <cell r="AM82">
            <v>2527.9239999999995</v>
          </cell>
          <cell r="AP82" t="str">
            <v>022-L1-27BONNASABLA</v>
          </cell>
          <cell r="AZ82">
            <v>168.77</v>
          </cell>
          <cell r="BA82">
            <v>0</v>
          </cell>
          <cell r="BB82">
            <v>1636.8899999999999</v>
          </cell>
        </row>
        <row r="83">
          <cell r="A83">
            <v>591446</v>
          </cell>
          <cell r="B83" t="str">
            <v>GROUPE EMILE DUFOUR</v>
          </cell>
          <cell r="F83">
            <v>41306</v>
          </cell>
          <cell r="H83" t="str">
            <v>Passage sur un TS + 170% + TG MESS INTER +10% supp LOT</v>
          </cell>
          <cell r="I83">
            <v>0</v>
          </cell>
          <cell r="J83">
            <v>0</v>
          </cell>
          <cell r="K83" t="str">
            <v>Pas de contrat INES</v>
          </cell>
          <cell r="L83" t="str">
            <v>NON</v>
          </cell>
          <cell r="N83" t="str">
            <v>Non affecté</v>
          </cell>
          <cell r="O83" t="str">
            <v>BQ</v>
          </cell>
          <cell r="P83" t="str">
            <v>Ok mon client</v>
          </cell>
          <cell r="Q83" t="str">
            <v>ROUEN / GRAND QUEVIL</v>
          </cell>
          <cell r="R83" t="str">
            <v>78</v>
          </cell>
          <cell r="S83" t="str">
            <v>PARC INDUSTRIEL DE LA VAUCOULEUR</v>
          </cell>
          <cell r="T83">
            <v>78205</v>
          </cell>
          <cell r="U83" t="str">
            <v>MANTES LA JOLIE CEDEX</v>
          </cell>
          <cell r="X83" t="str">
            <v>78205</v>
          </cell>
          <cell r="Y83" t="str">
            <v>MANTES LA JOLIE CEDEX</v>
          </cell>
          <cell r="Z83">
            <v>1939.0400000000002</v>
          </cell>
          <cell r="AA83">
            <v>1198.3299999999997</v>
          </cell>
          <cell r="AB83">
            <v>220.26999999999998</v>
          </cell>
          <cell r="AD83">
            <v>3357.64</v>
          </cell>
          <cell r="AE83">
            <v>413.71000000000004</v>
          </cell>
          <cell r="AF83">
            <v>0.2023398032438182</v>
          </cell>
          <cell r="AG83">
            <v>949.2399999999999</v>
          </cell>
          <cell r="AH83">
            <v>2.6389532678774551E-2</v>
          </cell>
          <cell r="AI83">
            <v>390.65</v>
          </cell>
          <cell r="AJ83">
            <v>0.51340074235248945</v>
          </cell>
          <cell r="AL83">
            <v>1753.6</v>
          </cell>
          <cell r="AM83">
            <v>2455.0399999999995</v>
          </cell>
          <cell r="AN83">
            <v>-0.26881976626440007</v>
          </cell>
          <cell r="AO83" t="str">
            <v>022-G-76GEDADREM</v>
          </cell>
          <cell r="AZ83">
            <v>949.2399999999999</v>
          </cell>
          <cell r="BA83">
            <v>390.65</v>
          </cell>
          <cell r="BB83">
            <v>413.71000000000004</v>
          </cell>
        </row>
        <row r="84">
          <cell r="A84">
            <v>814638</v>
          </cell>
          <cell r="B84" t="str">
            <v>BRUNONE ET TRAON</v>
          </cell>
          <cell r="F84">
            <v>41306</v>
          </cell>
          <cell r="H84" t="str">
            <v>Passage sur un TS + 170% + TG MESS INTER +10% supp LOT</v>
          </cell>
          <cell r="I84">
            <v>0</v>
          </cell>
          <cell r="J84">
            <v>0</v>
          </cell>
          <cell r="L84" t="str">
            <v>OK</v>
          </cell>
          <cell r="N84" t="str">
            <v>Non affecté</v>
          </cell>
          <cell r="O84" t="str">
            <v>KE - BQ</v>
          </cell>
          <cell r="P84" t="str">
            <v>Ok mon client</v>
          </cell>
          <cell r="Q84" t="str">
            <v>ROUEN / GRAND QUEVIL</v>
          </cell>
          <cell r="R84" t="str">
            <v>27</v>
          </cell>
          <cell r="S84" t="str">
            <v>1 RUE DE LA CRESSONNIERE</v>
          </cell>
          <cell r="T84">
            <v>27950</v>
          </cell>
          <cell r="U84" t="str">
            <v>SAINT MARCEL</v>
          </cell>
          <cell r="X84" t="str">
            <v>27950</v>
          </cell>
          <cell r="Y84" t="str">
            <v>SAINT MARCEL</v>
          </cell>
          <cell r="Z84">
            <v>793</v>
          </cell>
          <cell r="AD84">
            <v>793</v>
          </cell>
          <cell r="AE84">
            <v>1647.48</v>
          </cell>
          <cell r="AL84">
            <v>1647.48</v>
          </cell>
          <cell r="AM84">
            <v>2306.4719999999998</v>
          </cell>
          <cell r="AN84">
            <v>1.9085397225725091</v>
          </cell>
          <cell r="AZ84">
            <v>0</v>
          </cell>
          <cell r="BA84">
            <v>0</v>
          </cell>
          <cell r="BB84">
            <v>1647.48</v>
          </cell>
        </row>
        <row r="85">
          <cell r="A85">
            <v>826751</v>
          </cell>
          <cell r="B85" t="str">
            <v>ATELIER CREATION</v>
          </cell>
          <cell r="C85">
            <v>0.1</v>
          </cell>
          <cell r="F85">
            <v>41306</v>
          </cell>
          <cell r="I85">
            <v>0</v>
          </cell>
          <cell r="J85">
            <v>0</v>
          </cell>
          <cell r="K85" t="str">
            <v>ok</v>
          </cell>
          <cell r="L85" t="str">
            <v>ok</v>
          </cell>
          <cell r="N85" t="str">
            <v>Non affecté</v>
          </cell>
          <cell r="O85" t="str">
            <v>KE - BQ</v>
          </cell>
          <cell r="P85" t="str">
            <v>Ok mon client</v>
          </cell>
          <cell r="Q85" t="str">
            <v>ROUEN / GRAND QUEVIL</v>
          </cell>
          <cell r="R85" t="str">
            <v>27</v>
          </cell>
          <cell r="S85" t="str">
            <v>3 CARREFOUR ST JEAN</v>
          </cell>
          <cell r="T85">
            <v>27240</v>
          </cell>
          <cell r="U85" t="str">
            <v>MANTHELON</v>
          </cell>
          <cell r="X85" t="str">
            <v>27240</v>
          </cell>
          <cell r="Y85" t="str">
            <v>manthelon</v>
          </cell>
          <cell r="AA85">
            <v>4388.3700000000008</v>
          </cell>
          <cell r="AB85">
            <v>241.23</v>
          </cell>
          <cell r="AD85">
            <v>4629.6000000000004</v>
          </cell>
          <cell r="AG85">
            <v>1589.4099999999999</v>
          </cell>
          <cell r="AH85">
            <v>0.3060003397487116</v>
          </cell>
          <cell r="AI85">
            <v>42.91</v>
          </cell>
          <cell r="AJ85">
            <v>0.59473316243299934</v>
          </cell>
          <cell r="AL85">
            <v>1632.32</v>
          </cell>
          <cell r="AM85">
            <v>2285.2479999999996</v>
          </cell>
          <cell r="AN85">
            <v>-0.50638327285294638</v>
          </cell>
          <cell r="AO85" t="str">
            <v>022-G-27ATBCREATION</v>
          </cell>
          <cell r="AZ85">
            <v>1748.3509999999999</v>
          </cell>
          <cell r="BA85">
            <v>42.91</v>
          </cell>
          <cell r="BB85">
            <v>0</v>
          </cell>
        </row>
        <row r="86">
          <cell r="A86">
            <v>62755</v>
          </cell>
          <cell r="B86" t="str">
            <v>FILTRAUTO</v>
          </cell>
          <cell r="F86">
            <v>41306</v>
          </cell>
          <cell r="H86" t="str">
            <v>Passage sur un TS + 170% + TG MESS INTER +10% supp LOT</v>
          </cell>
          <cell r="I86">
            <v>0</v>
          </cell>
          <cell r="J86">
            <v>0</v>
          </cell>
          <cell r="K86" t="str">
            <v>GERE PAR 001</v>
          </cell>
          <cell r="L86" t="str">
            <v>NON</v>
          </cell>
          <cell r="N86" t="str">
            <v>Non affecté</v>
          </cell>
          <cell r="O86" t="str">
            <v>BQ</v>
          </cell>
          <cell r="P86" t="str">
            <v>Ok mon client</v>
          </cell>
          <cell r="Q86" t="str">
            <v>ROUEN / GRAND QUEVIL</v>
          </cell>
          <cell r="R86" t="str">
            <v>78</v>
          </cell>
          <cell r="S86" t="str">
            <v>7 AVE DU 8 MAI 1945 PARC ARIANE 4</v>
          </cell>
          <cell r="T86">
            <v>78286</v>
          </cell>
          <cell r="U86" t="str">
            <v>GUYANCOURT CEDEX</v>
          </cell>
          <cell r="X86" t="str">
            <v>78286</v>
          </cell>
          <cell r="Y86" t="str">
            <v>GUYANCOURT CEDEX</v>
          </cell>
          <cell r="AA86">
            <v>1067.24</v>
          </cell>
          <cell r="AD86">
            <v>1067.24</v>
          </cell>
          <cell r="AG86">
            <v>1578.67</v>
          </cell>
          <cell r="AL86">
            <v>1578.67</v>
          </cell>
          <cell r="AM86">
            <v>2210.1379999999999</v>
          </cell>
          <cell r="AN86">
            <v>1.0708912709418685</v>
          </cell>
          <cell r="AZ86">
            <v>1578.67</v>
          </cell>
          <cell r="BA86">
            <v>0</v>
          </cell>
          <cell r="BB86">
            <v>0</v>
          </cell>
        </row>
        <row r="87">
          <cell r="A87">
            <v>539605</v>
          </cell>
          <cell r="B87" t="str">
            <v>PICOURT (STE DES ETS)</v>
          </cell>
          <cell r="F87">
            <v>41306</v>
          </cell>
          <cell r="H87" t="str">
            <v>Passage sur un TS + 170% + TG MESS INTER +10% supp LOT</v>
          </cell>
          <cell r="I87">
            <v>0</v>
          </cell>
          <cell r="J87">
            <v>0</v>
          </cell>
          <cell r="K87" t="str">
            <v>HS</v>
          </cell>
          <cell r="L87" t="str">
            <v>NON</v>
          </cell>
          <cell r="N87" t="str">
            <v>Non affecté</v>
          </cell>
          <cell r="O87" t="str">
            <v>KE</v>
          </cell>
          <cell r="P87" t="str">
            <v>Ok mon client</v>
          </cell>
          <cell r="Q87" t="str">
            <v>ROUEN / GRAND QUEVIL</v>
          </cell>
          <cell r="R87" t="str">
            <v>27</v>
          </cell>
          <cell r="S87" t="str">
            <v>39 ROUTE D'HERQUEVILLE</v>
          </cell>
          <cell r="T87">
            <v>27430</v>
          </cell>
          <cell r="U87" t="str">
            <v>ANDE</v>
          </cell>
          <cell r="X87" t="str">
            <v>27430</v>
          </cell>
          <cell r="Y87" t="str">
            <v>ANDE</v>
          </cell>
          <cell r="AB87">
            <v>6366.54</v>
          </cell>
          <cell r="AD87">
            <v>6366.54</v>
          </cell>
          <cell r="AI87">
            <v>1356.74</v>
          </cell>
          <cell r="AJ87">
            <v>0.46638265253475242</v>
          </cell>
          <cell r="AL87">
            <v>1356.74</v>
          </cell>
          <cell r="AM87">
            <v>1899.4359999999999</v>
          </cell>
          <cell r="AN87">
            <v>-0.70165333132282215</v>
          </cell>
          <cell r="AO87" t="str">
            <v>022-G-27PICOURT</v>
          </cell>
          <cell r="AZ87">
            <v>0</v>
          </cell>
          <cell r="BA87">
            <v>1356.74</v>
          </cell>
          <cell r="BB87">
            <v>0</v>
          </cell>
        </row>
        <row r="88">
          <cell r="A88">
            <v>80746</v>
          </cell>
          <cell r="B88" t="str">
            <v>KSB SAS</v>
          </cell>
          <cell r="C88">
            <v>1.6900500000000001</v>
          </cell>
          <cell r="F88">
            <v>41306</v>
          </cell>
          <cell r="H88" t="str">
            <v>Passage sur un TS + 170% + TG MESS INTER +10% supp LOT</v>
          </cell>
          <cell r="I88" t="str">
            <v>A faire</v>
          </cell>
          <cell r="J88">
            <v>0</v>
          </cell>
          <cell r="L88" t="str">
            <v>OK</v>
          </cell>
          <cell r="N88" t="str">
            <v>Non affecté</v>
          </cell>
          <cell r="O88" t="str">
            <v>BQ</v>
          </cell>
          <cell r="P88" t="str">
            <v>Ok mon client</v>
          </cell>
          <cell r="Q88" t="str">
            <v>ROUEN / GRAND QUEVIL</v>
          </cell>
          <cell r="R88" t="str">
            <v>92</v>
          </cell>
          <cell r="S88" t="str">
            <v>4 ALLEE DES BARBANIERS</v>
          </cell>
          <cell r="T88">
            <v>92230</v>
          </cell>
          <cell r="U88" t="str">
            <v>GENNEVILLIERS</v>
          </cell>
          <cell r="X88" t="str">
            <v>92230</v>
          </cell>
          <cell r="Y88" t="str">
            <v>GENNEVILLIERS</v>
          </cell>
          <cell r="Z88">
            <v>12082.03</v>
          </cell>
          <cell r="AA88">
            <v>19976.999999999996</v>
          </cell>
          <cell r="AB88">
            <v>4084.06</v>
          </cell>
          <cell r="AD88">
            <v>36143.089999999997</v>
          </cell>
          <cell r="AE88">
            <v>329</v>
          </cell>
          <cell r="AF88">
            <v>0.69604863221884494</v>
          </cell>
          <cell r="AG88">
            <v>170.06</v>
          </cell>
          <cell r="AH88">
            <v>0.17399741267787841</v>
          </cell>
          <cell r="AI88">
            <v>816.54000000000008</v>
          </cell>
          <cell r="AJ88">
            <v>0.43428368481642049</v>
          </cell>
          <cell r="AL88">
            <v>1315.6000000000001</v>
          </cell>
          <cell r="AM88">
            <v>1841.8400000000001</v>
          </cell>
          <cell r="AN88">
            <v>-0.94904032831725238</v>
          </cell>
          <cell r="AO88" t="str">
            <v>022-G-76KSB</v>
          </cell>
          <cell r="AP88" t="str">
            <v>022-L-76KSB</v>
          </cell>
          <cell r="AZ88">
            <v>457.46990299999999</v>
          </cell>
          <cell r="BA88">
            <v>816.54000000000008</v>
          </cell>
          <cell r="BB88">
            <v>329</v>
          </cell>
        </row>
        <row r="89">
          <cell r="A89">
            <v>841776</v>
          </cell>
          <cell r="B89" t="str">
            <v>la risloise de conditionnement</v>
          </cell>
          <cell r="F89">
            <v>41306</v>
          </cell>
          <cell r="H89" t="str">
            <v>Passage sur un TS + 170% + TG MESS INTER +10% supp LOT</v>
          </cell>
          <cell r="I89">
            <v>0</v>
          </cell>
          <cell r="J89">
            <v>0</v>
          </cell>
          <cell r="L89" t="str">
            <v>OK</v>
          </cell>
          <cell r="N89" t="str">
            <v>Non affecté</v>
          </cell>
          <cell r="O89" t="str">
            <v>BQ</v>
          </cell>
          <cell r="P89" t="str">
            <v>Ok mon client</v>
          </cell>
          <cell r="Q89" t="str">
            <v>ROUEN / GRAND QUEVIL</v>
          </cell>
          <cell r="R89" t="str">
            <v>27</v>
          </cell>
          <cell r="S89" t="str">
            <v>25 RUE COLIN NOEL</v>
          </cell>
          <cell r="T89">
            <v>27920</v>
          </cell>
          <cell r="U89" t="str">
            <v>PONT AUTHOU</v>
          </cell>
          <cell r="X89" t="str">
            <v>27920</v>
          </cell>
          <cell r="Y89" t="str">
            <v>pont authou</v>
          </cell>
          <cell r="Z89">
            <v>4245.25</v>
          </cell>
          <cell r="AD89">
            <v>4245.25</v>
          </cell>
          <cell r="AE89">
            <v>941.55</v>
          </cell>
          <cell r="AF89">
            <v>0.21406191917582706</v>
          </cell>
          <cell r="AI89">
            <v>338.89</v>
          </cell>
          <cell r="AJ89">
            <v>0.72038124465165687</v>
          </cell>
          <cell r="AL89">
            <v>1280.44</v>
          </cell>
          <cell r="AM89">
            <v>1792.616</v>
          </cell>
          <cell r="AN89">
            <v>-0.57773605794711735</v>
          </cell>
          <cell r="AZ89">
            <v>0</v>
          </cell>
          <cell r="BA89">
            <v>338.89</v>
          </cell>
          <cell r="BB89">
            <v>941.55</v>
          </cell>
        </row>
        <row r="90">
          <cell r="A90">
            <v>875486</v>
          </cell>
          <cell r="B90" t="str">
            <v>ASWOOD</v>
          </cell>
          <cell r="I90">
            <v>0</v>
          </cell>
          <cell r="J90">
            <v>0</v>
          </cell>
          <cell r="L90" t="str">
            <v>non</v>
          </cell>
          <cell r="N90" t="str">
            <v>Non affecté</v>
          </cell>
          <cell r="O90" t="str">
            <v>BQ</v>
          </cell>
          <cell r="P90" t="str">
            <v>Ok mon client</v>
          </cell>
          <cell r="Q90" t="str">
            <v>ROUEN / GRAND QUEVIL</v>
          </cell>
          <cell r="R90" t="str">
            <v>27</v>
          </cell>
          <cell r="S90" t="str">
            <v>RUE ANDRE NOEL ZA LE MOULIN A VENT</v>
          </cell>
          <cell r="T90">
            <v>27210</v>
          </cell>
          <cell r="U90" t="str">
            <v>BOULLEVILLE</v>
          </cell>
          <cell r="X90" t="str">
            <v>27210</v>
          </cell>
          <cell r="Y90" t="str">
            <v>BOULLEVILLE</v>
          </cell>
          <cell r="AE90">
            <v>1230</v>
          </cell>
          <cell r="AF90">
            <v>0.82926829268292679</v>
          </cell>
          <cell r="AL90">
            <v>1230</v>
          </cell>
          <cell r="AM90">
            <v>1722</v>
          </cell>
          <cell r="AP90" t="str">
            <v>022-L1-27ASWOOD</v>
          </cell>
          <cell r="AZ90">
            <v>0</v>
          </cell>
          <cell r="BA90">
            <v>0</v>
          </cell>
          <cell r="BB90">
            <v>1230</v>
          </cell>
        </row>
        <row r="91">
          <cell r="A91">
            <v>685249</v>
          </cell>
          <cell r="B91" t="str">
            <v>CCI PRODUCTIONS PARFUMS ET</v>
          </cell>
          <cell r="F91">
            <v>41306</v>
          </cell>
          <cell r="H91" t="str">
            <v>Passage sur un TS + 170% + TG MESS INTER +10% supp LOT</v>
          </cell>
          <cell r="I91">
            <v>0</v>
          </cell>
          <cell r="J91">
            <v>0</v>
          </cell>
          <cell r="L91" t="str">
            <v>non</v>
          </cell>
          <cell r="N91" t="str">
            <v>Non affecté</v>
          </cell>
          <cell r="O91" t="str">
            <v>KE</v>
          </cell>
          <cell r="P91" t="str">
            <v>Ok mon client</v>
          </cell>
          <cell r="Q91" t="str">
            <v>ROUEN / GRAND QUEVIL</v>
          </cell>
          <cell r="R91" t="str">
            <v>27</v>
          </cell>
          <cell r="S91" t="str">
            <v>ZA DES PATIS</v>
          </cell>
          <cell r="T91">
            <v>27400</v>
          </cell>
          <cell r="U91" t="str">
            <v>ACQUIGNY</v>
          </cell>
          <cell r="X91" t="str">
            <v>27400</v>
          </cell>
          <cell r="Y91" t="str">
            <v>ACQUIGNY</v>
          </cell>
          <cell r="Z91">
            <v>418.01</v>
          </cell>
          <cell r="AD91">
            <v>418.01</v>
          </cell>
          <cell r="AE91">
            <v>311.68</v>
          </cell>
          <cell r="AF91">
            <v>0.13372689938398361</v>
          </cell>
          <cell r="AG91">
            <v>889.77</v>
          </cell>
          <cell r="AH91">
            <v>0.54566910549917413</v>
          </cell>
          <cell r="AL91">
            <v>1201.45</v>
          </cell>
          <cell r="AM91">
            <v>1682.03</v>
          </cell>
          <cell r="AN91">
            <v>3.0238989497858899</v>
          </cell>
          <cell r="AO91" t="str">
            <v>022-G-27CCIPPC</v>
          </cell>
          <cell r="AP91" t="str">
            <v>022-L1-27CCIPPC</v>
          </cell>
          <cell r="AZ91">
            <v>889.77</v>
          </cell>
          <cell r="BA91">
            <v>0</v>
          </cell>
          <cell r="BB91">
            <v>311.68</v>
          </cell>
        </row>
        <row r="92">
          <cell r="A92">
            <v>698183</v>
          </cell>
          <cell r="B92" t="str">
            <v>NORFIT</v>
          </cell>
          <cell r="C92">
            <v>1.3678589999999999</v>
          </cell>
          <cell r="F92">
            <v>41306</v>
          </cell>
          <cell r="H92" t="str">
            <v>Passage sur un TS + 170% + TG MESS INTER +10% supp LOT</v>
          </cell>
          <cell r="I92" t="str">
            <v>A faire</v>
          </cell>
          <cell r="J92">
            <v>0</v>
          </cell>
          <cell r="L92" t="str">
            <v>OK</v>
          </cell>
          <cell r="N92" t="str">
            <v>Non affecté</v>
          </cell>
          <cell r="O92" t="str">
            <v>BQ</v>
          </cell>
          <cell r="P92" t="str">
            <v>Ok mon client</v>
          </cell>
          <cell r="Q92" t="str">
            <v>ROUEN / GRAND QUEVIL</v>
          </cell>
          <cell r="R92" t="str">
            <v>76</v>
          </cell>
          <cell r="X92" t="str">
            <v>76080</v>
          </cell>
          <cell r="Y92" t="str">
            <v>LE HAVRE CEDEX</v>
          </cell>
          <cell r="AA92">
            <v>5227.24</v>
          </cell>
          <cell r="AD92">
            <v>5227.24</v>
          </cell>
          <cell r="AG92">
            <v>1110.83</v>
          </cell>
          <cell r="AH92">
            <v>0.34761394632842113</v>
          </cell>
          <cell r="AL92">
            <v>1110.83</v>
          </cell>
          <cell r="AM92">
            <v>1555.1619999999998</v>
          </cell>
          <cell r="AN92">
            <v>-0.70248888514780261</v>
          </cell>
          <cell r="AO92" t="str">
            <v>022-G-76ETIECLAIRAGE</v>
          </cell>
          <cell r="AZ92">
            <v>2630.28881297</v>
          </cell>
          <cell r="BA92">
            <v>0</v>
          </cell>
          <cell r="BB92">
            <v>0</v>
          </cell>
        </row>
        <row r="93">
          <cell r="A93">
            <v>610507</v>
          </cell>
          <cell r="B93" t="str">
            <v>PROTECOP</v>
          </cell>
          <cell r="C93">
            <v>0.99729999999999996</v>
          </cell>
          <cell r="F93">
            <v>41306</v>
          </cell>
          <cell r="H93" t="str">
            <v>Passage sur un TS + 170% + TG MESS INTER +10% supp LOT</v>
          </cell>
          <cell r="I93" t="str">
            <v>A faire</v>
          </cell>
          <cell r="J93">
            <v>0</v>
          </cell>
          <cell r="L93" t="str">
            <v>OK</v>
          </cell>
          <cell r="N93" t="str">
            <v>Non affecté</v>
          </cell>
          <cell r="O93" t="str">
            <v>BQ</v>
          </cell>
          <cell r="P93" t="str">
            <v>Ok mon client</v>
          </cell>
          <cell r="Q93" t="str">
            <v>ROUEN / GRAND QUEVIL</v>
          </cell>
          <cell r="R93" t="str">
            <v>27</v>
          </cell>
          <cell r="S93" t="str">
            <v>5 RUE THOMAS LINDET</v>
          </cell>
          <cell r="T93">
            <v>27300</v>
          </cell>
          <cell r="U93" t="str">
            <v>BERNAY</v>
          </cell>
          <cell r="X93" t="str">
            <v>27300</v>
          </cell>
          <cell r="Y93" t="str">
            <v>BERNAY</v>
          </cell>
          <cell r="Z93">
            <v>974.02</v>
          </cell>
          <cell r="AA93">
            <v>2512.1999999999998</v>
          </cell>
          <cell r="AB93">
            <v>846.29</v>
          </cell>
          <cell r="AD93">
            <v>4332.51</v>
          </cell>
          <cell r="AG93">
            <v>1077.69</v>
          </cell>
          <cell r="AH93">
            <v>3.6476166615631328E-2</v>
          </cell>
          <cell r="AL93">
            <v>1077.69</v>
          </cell>
          <cell r="AM93">
            <v>1508.7660000000001</v>
          </cell>
          <cell r="AN93">
            <v>-0.65175706461150695</v>
          </cell>
          <cell r="AO93" t="str">
            <v>022-G-27PROTECOP1</v>
          </cell>
          <cell r="AP93" t="str">
            <v>022-L1-27PROTECOP</v>
          </cell>
          <cell r="AZ93">
            <v>2152.470237</v>
          </cell>
          <cell r="BA93">
            <v>0</v>
          </cell>
          <cell r="BB93">
            <v>0</v>
          </cell>
        </row>
        <row r="94">
          <cell r="A94">
            <v>559900</v>
          </cell>
          <cell r="B94" t="str">
            <v>JM EQUIPEMENT</v>
          </cell>
          <cell r="F94">
            <v>41306</v>
          </cell>
          <cell r="H94" t="str">
            <v>Passage sur un TS + 170% + TG MESS INTER +10% supp LOT</v>
          </cell>
          <cell r="I94">
            <v>0</v>
          </cell>
          <cell r="J94">
            <v>0</v>
          </cell>
          <cell r="K94" t="str">
            <v>GERE PAR 003</v>
          </cell>
          <cell r="L94" t="str">
            <v>NON</v>
          </cell>
          <cell r="N94" t="str">
            <v>Non affecté</v>
          </cell>
          <cell r="O94" t="str">
            <v>BQ</v>
          </cell>
          <cell r="P94" t="str">
            <v>Ok mon client</v>
          </cell>
          <cell r="Q94" t="str">
            <v>ROUEN / GRAND QUEVIL</v>
          </cell>
          <cell r="R94" t="str">
            <v>76</v>
          </cell>
          <cell r="S94" t="str">
            <v>11 RUE DES HAUTES VALLEES ZI</v>
          </cell>
          <cell r="T94">
            <v>76930</v>
          </cell>
          <cell r="U94" t="str">
            <v>OCTEVILLE SUR MER</v>
          </cell>
          <cell r="X94" t="str">
            <v>76930</v>
          </cell>
          <cell r="Y94" t="str">
            <v>OCTEVILLE SUR MER</v>
          </cell>
          <cell r="Z94">
            <v>1115.67</v>
          </cell>
          <cell r="AA94">
            <v>47.04</v>
          </cell>
          <cell r="AB94">
            <v>466.92</v>
          </cell>
          <cell r="AD94">
            <v>1629.63</v>
          </cell>
          <cell r="AE94">
            <v>526.45999999999992</v>
          </cell>
          <cell r="AF94">
            <v>0.18322379667970981</v>
          </cell>
          <cell r="AG94">
            <v>198.92000000000002</v>
          </cell>
          <cell r="AH94">
            <v>0.46858033380253367</v>
          </cell>
          <cell r="AI94">
            <v>332.24</v>
          </cell>
          <cell r="AJ94">
            <v>0.51640380447869005</v>
          </cell>
          <cell r="AL94">
            <v>1057.6199999999999</v>
          </cell>
          <cell r="AM94">
            <v>1480.6679999999997</v>
          </cell>
          <cell r="AN94">
            <v>-9.1408479225345896E-2</v>
          </cell>
          <cell r="AZ94">
            <v>198.92000000000002</v>
          </cell>
          <cell r="BA94">
            <v>332.24</v>
          </cell>
          <cell r="BB94">
            <v>526.45999999999992</v>
          </cell>
        </row>
        <row r="95">
          <cell r="A95">
            <v>687380</v>
          </cell>
          <cell r="B95" t="str">
            <v>SOCIETE NORMANDE D'EMBALLAGES</v>
          </cell>
          <cell r="C95">
            <v>0.96151799999999998</v>
          </cell>
          <cell r="F95">
            <v>41306</v>
          </cell>
          <cell r="H95" t="str">
            <v>Passage sur un TS + 170% + TG MESS INTER +10% supp LOT</v>
          </cell>
          <cell r="I95" t="str">
            <v>A faire</v>
          </cell>
          <cell r="J95">
            <v>0</v>
          </cell>
          <cell r="L95" t="str">
            <v>OK</v>
          </cell>
          <cell r="N95" t="str">
            <v>Non affecté</v>
          </cell>
          <cell r="O95" t="str">
            <v>BQ</v>
          </cell>
          <cell r="P95" t="str">
            <v>Ok mon client</v>
          </cell>
          <cell r="Q95" t="str">
            <v>ROUEN / GRAND QUEVIL</v>
          </cell>
          <cell r="R95" t="str">
            <v>76</v>
          </cell>
          <cell r="S95" t="str">
            <v>53 RUE  JEAN JAURES</v>
          </cell>
          <cell r="T95">
            <v>76290</v>
          </cell>
          <cell r="U95" t="str">
            <v>MONTVILLIERS</v>
          </cell>
          <cell r="X95" t="str">
            <v>76290</v>
          </cell>
          <cell r="Y95" t="str">
            <v>MONTVILLIERS</v>
          </cell>
          <cell r="AA95">
            <v>543.45000000000005</v>
          </cell>
          <cell r="AB95">
            <v>349.98</v>
          </cell>
          <cell r="AD95">
            <v>893.43000000000006</v>
          </cell>
          <cell r="AG95">
            <v>690.35</v>
          </cell>
          <cell r="AH95">
            <v>0.43924096472803653</v>
          </cell>
          <cell r="AI95">
            <v>240.89000000000001</v>
          </cell>
          <cell r="AJ95">
            <v>0.31528913612022069</v>
          </cell>
          <cell r="AL95">
            <v>931.24</v>
          </cell>
          <cell r="AM95">
            <v>1303.7359999999999</v>
          </cell>
          <cell r="AN95">
            <v>0.45924806644057159</v>
          </cell>
          <cell r="AO95" t="str">
            <v>022-G-76SNEP</v>
          </cell>
          <cell r="AP95" t="str">
            <v>022-L-76SNEP</v>
          </cell>
          <cell r="AZ95">
            <v>1354.1339513</v>
          </cell>
          <cell r="BA95">
            <v>240.89000000000001</v>
          </cell>
          <cell r="BB95">
            <v>0</v>
          </cell>
        </row>
        <row r="96">
          <cell r="A96">
            <v>841033</v>
          </cell>
          <cell r="B96" t="str">
            <v>CARGOTEC</v>
          </cell>
          <cell r="H96" t="str">
            <v>Application d'un TS +10% suite demande de BQ</v>
          </cell>
          <cell r="I96">
            <v>0</v>
          </cell>
          <cell r="J96">
            <v>0</v>
          </cell>
          <cell r="K96" t="str">
            <v>NON</v>
          </cell>
          <cell r="L96" t="str">
            <v>NON</v>
          </cell>
          <cell r="N96" t="str">
            <v>Non affecté</v>
          </cell>
          <cell r="O96" t="str">
            <v>BQ</v>
          </cell>
          <cell r="P96" t="str">
            <v>Ok mon client</v>
          </cell>
          <cell r="Q96" t="str">
            <v>ROUEN / GRAND QUEVIL</v>
          </cell>
          <cell r="R96" t="str">
            <v>76</v>
          </cell>
          <cell r="X96" t="str">
            <v>76600</v>
          </cell>
          <cell r="Y96" t="str">
            <v>LE HAVRE</v>
          </cell>
          <cell r="Z96">
            <v>283.23</v>
          </cell>
          <cell r="AA96">
            <v>1767.66</v>
          </cell>
          <cell r="AB96">
            <v>208.32999999999998</v>
          </cell>
          <cell r="AD96">
            <v>2259.2200000000003</v>
          </cell>
          <cell r="AE96">
            <v>161.98000000000002</v>
          </cell>
          <cell r="AF96">
            <v>0.13569576490924801</v>
          </cell>
          <cell r="AG96">
            <v>480.65</v>
          </cell>
          <cell r="AH96">
            <v>0.56178092166857385</v>
          </cell>
          <cell r="AI96">
            <v>160.93</v>
          </cell>
          <cell r="AJ96">
            <v>0.51121605667060221</v>
          </cell>
          <cell r="AL96">
            <v>803.56</v>
          </cell>
          <cell r="AM96">
            <v>1124.9839999999999</v>
          </cell>
          <cell r="AN96">
            <v>-0.50204760935190029</v>
          </cell>
          <cell r="AO96" t="str">
            <v>022-G-76CARGOTEC</v>
          </cell>
          <cell r="AP96" t="str">
            <v>022-L1-76CARGOTEC</v>
          </cell>
          <cell r="AZ96">
            <v>480.65</v>
          </cell>
          <cell r="BA96">
            <v>160.93</v>
          </cell>
          <cell r="BB96">
            <v>161.98000000000002</v>
          </cell>
        </row>
        <row r="97">
          <cell r="A97">
            <v>567866</v>
          </cell>
          <cell r="B97" t="str">
            <v>MECANIQUE DE PRECISION</v>
          </cell>
          <cell r="F97">
            <v>41306</v>
          </cell>
          <cell r="H97" t="str">
            <v>Passage sur un TS + 170% + TG MESS INTER +10% supp LOT</v>
          </cell>
          <cell r="I97">
            <v>0</v>
          </cell>
          <cell r="J97">
            <v>0</v>
          </cell>
          <cell r="K97" t="str">
            <v>Pas de contrat INES</v>
          </cell>
          <cell r="L97" t="str">
            <v>NON</v>
          </cell>
          <cell r="N97" t="str">
            <v>Non affecté</v>
          </cell>
          <cell r="O97" t="str">
            <v>KE</v>
          </cell>
          <cell r="P97" t="str">
            <v>Ok mon client</v>
          </cell>
          <cell r="Q97" t="str">
            <v>ROUEN / GRAND QUEVIL</v>
          </cell>
          <cell r="R97" t="str">
            <v>61</v>
          </cell>
          <cell r="S97" t="str">
            <v>ROUTE DE FLERS LE BUAT</v>
          </cell>
          <cell r="T97">
            <v>61430</v>
          </cell>
          <cell r="U97" t="str">
            <v>ATHIS DE L'ORNE</v>
          </cell>
          <cell r="X97" t="str">
            <v>61430</v>
          </cell>
          <cell r="Y97" t="str">
            <v>ATHIS DE L'ORNE</v>
          </cell>
          <cell r="AA97">
            <v>50.49</v>
          </cell>
          <cell r="AB97">
            <v>84.92</v>
          </cell>
          <cell r="AD97">
            <v>135.41</v>
          </cell>
          <cell r="AE97">
            <v>802</v>
          </cell>
          <cell r="AF97">
            <v>0.15211970074812967</v>
          </cell>
          <cell r="AL97">
            <v>802</v>
          </cell>
          <cell r="AM97">
            <v>1122.8</v>
          </cell>
          <cell r="AN97">
            <v>7.2918543682150503</v>
          </cell>
          <cell r="AO97" t="str">
            <v>024-G-G-M-KG</v>
          </cell>
          <cell r="AZ97">
            <v>0</v>
          </cell>
          <cell r="BA97">
            <v>0</v>
          </cell>
          <cell r="BB97">
            <v>802</v>
          </cell>
        </row>
        <row r="98">
          <cell r="A98">
            <v>520648</v>
          </cell>
          <cell r="B98" t="str">
            <v>DUFOUR</v>
          </cell>
          <cell r="C98">
            <v>0.19803000000000001</v>
          </cell>
          <cell r="F98">
            <v>41306</v>
          </cell>
          <cell r="H98" t="str">
            <v>Passage sur un TS + 170% + TG MESS INTER +10% supp LOT</v>
          </cell>
          <cell r="I98" t="str">
            <v>A faire</v>
          </cell>
          <cell r="J98">
            <v>0</v>
          </cell>
          <cell r="L98" t="str">
            <v>OK</v>
          </cell>
          <cell r="N98" t="str">
            <v>Non affecté</v>
          </cell>
          <cell r="O98" t="str">
            <v>BQ</v>
          </cell>
          <cell r="P98" t="str">
            <v>Ok mon client</v>
          </cell>
          <cell r="Q98" t="str">
            <v>ROUEN / GRAND QUEVIL</v>
          </cell>
          <cell r="R98" t="str">
            <v>76</v>
          </cell>
          <cell r="S98" t="str">
            <v>118 RUE MARCEAU</v>
          </cell>
          <cell r="T98">
            <v>76600</v>
          </cell>
          <cell r="U98" t="str">
            <v>LE HAVRE</v>
          </cell>
          <cell r="X98" t="str">
            <v>76600</v>
          </cell>
          <cell r="Y98" t="str">
            <v>LE HAVRE</v>
          </cell>
          <cell r="AA98">
            <v>1551.83</v>
          </cell>
          <cell r="AD98">
            <v>1551.83</v>
          </cell>
          <cell r="AG98">
            <v>796.60000000000014</v>
          </cell>
          <cell r="AH98">
            <v>0.65361536530253561</v>
          </cell>
          <cell r="AL98">
            <v>796.60000000000014</v>
          </cell>
          <cell r="AM98">
            <v>1115.24</v>
          </cell>
          <cell r="AN98">
            <v>-0.28133880644142717</v>
          </cell>
          <cell r="AO98" t="str">
            <v>022-G-76DUFOUR</v>
          </cell>
          <cell r="AZ98">
            <v>954.35069800000008</v>
          </cell>
          <cell r="BA98">
            <v>0</v>
          </cell>
          <cell r="BB98">
            <v>0</v>
          </cell>
        </row>
        <row r="99">
          <cell r="A99">
            <v>18878</v>
          </cell>
          <cell r="B99" t="str">
            <v>MONTEREY SND</v>
          </cell>
          <cell r="C99">
            <v>2.0729099999999998</v>
          </cell>
          <cell r="F99">
            <v>41306</v>
          </cell>
          <cell r="H99" t="str">
            <v>Passage sur un TS + 170% + TG MESS INTER +10% supp LOT</v>
          </cell>
          <cell r="I99" t="str">
            <v>A faire</v>
          </cell>
          <cell r="J99">
            <v>0</v>
          </cell>
          <cell r="L99" t="str">
            <v>OK</v>
          </cell>
          <cell r="N99" t="str">
            <v>Non affecté</v>
          </cell>
          <cell r="O99" t="str">
            <v>KE</v>
          </cell>
          <cell r="P99" t="str">
            <v>Ok mon client</v>
          </cell>
          <cell r="Q99" t="str">
            <v>ROUEN / GRAND QUEVIL</v>
          </cell>
          <cell r="R99" t="str">
            <v>76</v>
          </cell>
          <cell r="S99" t="str">
            <v>RUE PIERRE-GILLES DE GENNES</v>
          </cell>
          <cell r="T99">
            <v>76150</v>
          </cell>
          <cell r="U99" t="str">
            <v>ST JEAN DU CARDONNAY</v>
          </cell>
          <cell r="X99" t="str">
            <v>76150</v>
          </cell>
          <cell r="Y99" t="str">
            <v>ST JEAN DU CARDONNAY</v>
          </cell>
          <cell r="AA99">
            <v>936.2</v>
          </cell>
          <cell r="AD99">
            <v>936.2</v>
          </cell>
          <cell r="AE99">
            <v>770</v>
          </cell>
          <cell r="AF99">
            <v>0.15584415584415584</v>
          </cell>
          <cell r="AL99">
            <v>770</v>
          </cell>
          <cell r="AM99">
            <v>1078</v>
          </cell>
          <cell r="AN99">
            <v>0.15146336252937398</v>
          </cell>
          <cell r="AO99" t="str">
            <v>022-G-76MONTEREY</v>
          </cell>
          <cell r="AP99" t="str">
            <v>022-L-76MONTEREY</v>
          </cell>
          <cell r="AZ99">
            <v>0</v>
          </cell>
          <cell r="BA99">
            <v>0</v>
          </cell>
          <cell r="BB99">
            <v>770</v>
          </cell>
        </row>
        <row r="100">
          <cell r="A100">
            <v>53416</v>
          </cell>
          <cell r="B100" t="str">
            <v>OSBORN UNIPOL</v>
          </cell>
          <cell r="F100">
            <v>41275</v>
          </cell>
          <cell r="H100" t="str">
            <v>FERME</v>
          </cell>
          <cell r="I100">
            <v>0</v>
          </cell>
          <cell r="J100">
            <v>0</v>
          </cell>
          <cell r="L100" t="str">
            <v>NON</v>
          </cell>
          <cell r="M100" t="str">
            <v>Doublon</v>
          </cell>
          <cell r="N100" t="str">
            <v>Non affecté</v>
          </cell>
          <cell r="O100" t="str">
            <v>KE</v>
          </cell>
          <cell r="P100" t="str">
            <v>Ok mon client</v>
          </cell>
          <cell r="Q100" t="str">
            <v>ROUEN / GRAND QUEVIL</v>
          </cell>
          <cell r="R100" t="str">
            <v>27</v>
          </cell>
          <cell r="S100" t="str">
            <v>PARC INDUSTRIEL D INCARVIL</v>
          </cell>
          <cell r="T100">
            <v>27100</v>
          </cell>
          <cell r="U100" t="str">
            <v>VAL DE REUIL</v>
          </cell>
          <cell r="X100" t="str">
            <v>27100</v>
          </cell>
          <cell r="Y100" t="str">
            <v>VAL DE REUIL</v>
          </cell>
          <cell r="AG100">
            <v>760.39</v>
          </cell>
          <cell r="AH100">
            <v>-4.0027809660168846E-3</v>
          </cell>
          <cell r="AL100">
            <v>760.39</v>
          </cell>
          <cell r="AM100">
            <v>1064.5459999999998</v>
          </cell>
          <cell r="AO100" t="str">
            <v>022-G-27OSBORN</v>
          </cell>
          <cell r="AZ100">
            <v>760.39</v>
          </cell>
          <cell r="BA100">
            <v>0</v>
          </cell>
          <cell r="BB100">
            <v>0</v>
          </cell>
        </row>
        <row r="101">
          <cell r="A101">
            <v>604265</v>
          </cell>
          <cell r="B101" t="str">
            <v>DISTRI +</v>
          </cell>
          <cell r="C101">
            <v>0.19803000000000001</v>
          </cell>
          <cell r="F101">
            <v>41306</v>
          </cell>
          <cell r="H101" t="str">
            <v>Passage sur un TS + 170% + TG MESS INTER +10% supp LOT</v>
          </cell>
          <cell r="I101" t="str">
            <v>A faire</v>
          </cell>
          <cell r="J101">
            <v>0</v>
          </cell>
          <cell r="L101" t="str">
            <v>OK</v>
          </cell>
          <cell r="M101" t="str">
            <v>Doublon</v>
          </cell>
          <cell r="N101" t="str">
            <v>Non affecté</v>
          </cell>
          <cell r="O101" t="str">
            <v>KE</v>
          </cell>
          <cell r="P101" t="str">
            <v>Ok mon client</v>
          </cell>
          <cell r="Q101" t="str">
            <v>ROUEN / GRAND QUEVIL</v>
          </cell>
          <cell r="R101" t="str">
            <v>27</v>
          </cell>
          <cell r="S101" t="str">
            <v>1 RUE WILLIAM DIAN</v>
          </cell>
          <cell r="T101">
            <v>27620</v>
          </cell>
          <cell r="U101" t="str">
            <v>GASNY</v>
          </cell>
          <cell r="X101" t="str">
            <v>27620</v>
          </cell>
          <cell r="Y101" t="str">
            <v>GASNY</v>
          </cell>
          <cell r="AB101">
            <v>1126.08</v>
          </cell>
          <cell r="AD101">
            <v>1126.08</v>
          </cell>
          <cell r="AI101">
            <v>684.04</v>
          </cell>
          <cell r="AJ101">
            <v>0.4195840494618942</v>
          </cell>
          <cell r="AL101">
            <v>684.04</v>
          </cell>
          <cell r="AM101">
            <v>957.65599999999984</v>
          </cell>
          <cell r="AN101">
            <v>-0.14956663824950278</v>
          </cell>
          <cell r="AO101" t="str">
            <v>022-G-27DISTRI</v>
          </cell>
          <cell r="AZ101">
            <v>0</v>
          </cell>
          <cell r="BA101">
            <v>684.04</v>
          </cell>
          <cell r="BB101">
            <v>0</v>
          </cell>
        </row>
        <row r="102">
          <cell r="A102">
            <v>498226</v>
          </cell>
          <cell r="B102" t="str">
            <v>ALLIANCE EUROPE</v>
          </cell>
          <cell r="F102">
            <v>41306</v>
          </cell>
          <cell r="H102" t="str">
            <v>Passage sur un TS + 170% + TG MESS INTER +10% supp LOT</v>
          </cell>
          <cell r="I102">
            <v>0</v>
          </cell>
          <cell r="J102">
            <v>0</v>
          </cell>
          <cell r="K102" t="str">
            <v>Pas de contrat INES</v>
          </cell>
          <cell r="L102" t="str">
            <v>NON</v>
          </cell>
          <cell r="N102" t="str">
            <v>Non affecté</v>
          </cell>
          <cell r="O102" t="str">
            <v>BQ</v>
          </cell>
          <cell r="P102" t="str">
            <v>Ok mon client</v>
          </cell>
          <cell r="Q102" t="str">
            <v>ROUEN / GRAND QUEVIL</v>
          </cell>
          <cell r="R102" t="str">
            <v>76</v>
          </cell>
          <cell r="S102" t="str">
            <v>PARC DES ALIZES</v>
          </cell>
          <cell r="T102">
            <v>76430</v>
          </cell>
          <cell r="U102" t="str">
            <v>SANDOUVILLE</v>
          </cell>
          <cell r="X102" t="str">
            <v>76430</v>
          </cell>
          <cell r="Y102" t="str">
            <v>SANDOUVILLE</v>
          </cell>
          <cell r="AA102">
            <v>916.83999999999992</v>
          </cell>
          <cell r="AB102">
            <v>350.71999999999997</v>
          </cell>
          <cell r="AD102">
            <v>1267.56</v>
          </cell>
          <cell r="AG102">
            <v>521.37</v>
          </cell>
          <cell r="AH102">
            <v>0.62604292536969897</v>
          </cell>
          <cell r="AI102">
            <v>112.14</v>
          </cell>
          <cell r="AJ102">
            <v>0.64856429463171039</v>
          </cell>
          <cell r="AL102">
            <v>633.51</v>
          </cell>
          <cell r="AM102">
            <v>886.91399999999999</v>
          </cell>
          <cell r="AN102">
            <v>-0.30029821073558649</v>
          </cell>
          <cell r="AO102" t="str">
            <v>022-G-76ALLIANCE</v>
          </cell>
          <cell r="AZ102">
            <v>521.37</v>
          </cell>
          <cell r="BA102">
            <v>112.14</v>
          </cell>
          <cell r="BB102">
            <v>0</v>
          </cell>
        </row>
        <row r="103">
          <cell r="A103">
            <v>859971</v>
          </cell>
          <cell r="B103" t="str">
            <v>DISTILLERIE BUSNEL</v>
          </cell>
          <cell r="F103">
            <v>41275</v>
          </cell>
          <cell r="I103">
            <v>0</v>
          </cell>
          <cell r="J103">
            <v>0</v>
          </cell>
          <cell r="L103" t="str">
            <v>en attente</v>
          </cell>
          <cell r="N103" t="str">
            <v>Non affecté</v>
          </cell>
          <cell r="O103" t="str">
            <v>BQ</v>
          </cell>
          <cell r="P103" t="str">
            <v>Ok mon client</v>
          </cell>
          <cell r="Q103" t="str">
            <v>ROUEN / GRAND QUEVIL</v>
          </cell>
          <cell r="R103" t="str">
            <v>27</v>
          </cell>
          <cell r="X103" t="str">
            <v>27260</v>
          </cell>
          <cell r="Y103" t="str">
            <v>CORMEILLES</v>
          </cell>
          <cell r="Z103">
            <v>1019.2</v>
          </cell>
          <cell r="AD103">
            <v>1019.2</v>
          </cell>
          <cell r="AE103">
            <v>593.55999999999995</v>
          </cell>
          <cell r="AF103">
            <v>0.1828964215917514</v>
          </cell>
          <cell r="AL103">
            <v>593.55999999999995</v>
          </cell>
          <cell r="AM103">
            <v>830.98399999999992</v>
          </cell>
          <cell r="AN103">
            <v>-0.18467032967032981</v>
          </cell>
          <cell r="AP103" t="str">
            <v>022-L1-27BUSNEL</v>
          </cell>
          <cell r="AZ103">
            <v>0</v>
          </cell>
          <cell r="BA103">
            <v>0</v>
          </cell>
          <cell r="BB103">
            <v>593.55999999999995</v>
          </cell>
        </row>
        <row r="104">
          <cell r="A104">
            <v>608961</v>
          </cell>
          <cell r="B104" t="str">
            <v>MANUCO SERVICES</v>
          </cell>
          <cell r="C104">
            <v>0.19803000000000001</v>
          </cell>
          <cell r="F104">
            <v>41306</v>
          </cell>
          <cell r="H104" t="str">
            <v>Passage sur un TS + 170% + TG MESS INTER +10% supp LOT</v>
          </cell>
          <cell r="I104" t="str">
            <v>A faire</v>
          </cell>
          <cell r="J104">
            <v>0</v>
          </cell>
          <cell r="L104" t="str">
            <v>OK</v>
          </cell>
          <cell r="N104" t="str">
            <v>Non affecté</v>
          </cell>
          <cell r="O104" t="str">
            <v>KE</v>
          </cell>
          <cell r="P104" t="str">
            <v>Ok mon client</v>
          </cell>
          <cell r="Q104" t="str">
            <v>ROUEN / GRAND QUEVIL</v>
          </cell>
          <cell r="R104" t="str">
            <v>76</v>
          </cell>
          <cell r="S104" t="str">
            <v>ZONE ARTISANALE BRIQUETERIE</v>
          </cell>
          <cell r="T104">
            <v>76160</v>
          </cell>
          <cell r="U104" t="str">
            <v>ST JACQUES SUR DARNETAL</v>
          </cell>
          <cell r="X104" t="str">
            <v>76160</v>
          </cell>
          <cell r="Y104" t="str">
            <v>ST JACQUES SUR DARNETAL</v>
          </cell>
          <cell r="AA104">
            <v>1343.8100000000002</v>
          </cell>
          <cell r="AD104">
            <v>1343.8100000000002</v>
          </cell>
          <cell r="AG104">
            <v>588.19000000000005</v>
          </cell>
          <cell r="AH104">
            <v>0.41734813580645708</v>
          </cell>
          <cell r="AL104">
            <v>588.19000000000005</v>
          </cell>
          <cell r="AM104">
            <v>823.46600000000001</v>
          </cell>
          <cell r="AN104">
            <v>-0.38721545456574968</v>
          </cell>
          <cell r="AO104" t="str">
            <v>022-G-76MANUCO</v>
          </cell>
          <cell r="AZ104">
            <v>704.66926569999998</v>
          </cell>
          <cell r="BA104">
            <v>0</v>
          </cell>
          <cell r="BB104">
            <v>0</v>
          </cell>
        </row>
        <row r="105">
          <cell r="A105">
            <v>87863</v>
          </cell>
          <cell r="B105" t="str">
            <v>SOGIRE</v>
          </cell>
          <cell r="C105">
            <v>0.19803000000000001</v>
          </cell>
          <cell r="F105">
            <v>41306</v>
          </cell>
          <cell r="H105" t="str">
            <v>Passage sur un TS + 170% + TG MESS INTER +10% supp LOT</v>
          </cell>
          <cell r="I105" t="str">
            <v>A faire</v>
          </cell>
          <cell r="J105">
            <v>0</v>
          </cell>
          <cell r="L105" t="str">
            <v>OK</v>
          </cell>
          <cell r="N105" t="str">
            <v>Non affecté</v>
          </cell>
          <cell r="O105" t="str">
            <v>BQ</v>
          </cell>
          <cell r="P105" t="str">
            <v>Ok mon client</v>
          </cell>
          <cell r="Q105" t="str">
            <v>ROUEN / GRAND QUEVIL</v>
          </cell>
          <cell r="R105" t="str">
            <v>76</v>
          </cell>
          <cell r="S105" t="str">
            <v>24 RUE HENRI RIVIÈRE IM LE TRIDENT</v>
          </cell>
          <cell r="T105">
            <v>76174</v>
          </cell>
          <cell r="U105" t="str">
            <v>ROUEN CEDEX</v>
          </cell>
          <cell r="X105" t="str">
            <v>76174</v>
          </cell>
          <cell r="Y105" t="str">
            <v>ROUEN CEDEX</v>
          </cell>
          <cell r="AA105">
            <v>720.56</v>
          </cell>
          <cell r="AD105">
            <v>720.56</v>
          </cell>
          <cell r="AG105">
            <v>587.01</v>
          </cell>
          <cell r="AH105">
            <v>0.53474387148430202</v>
          </cell>
          <cell r="AL105">
            <v>587.01</v>
          </cell>
          <cell r="AM105">
            <v>821.81399999999996</v>
          </cell>
          <cell r="AN105">
            <v>0.14052126124125675</v>
          </cell>
          <cell r="AO105" t="str">
            <v>022-G-76SOGIRE</v>
          </cell>
          <cell r="AZ105">
            <v>703.25559029999999</v>
          </cell>
          <cell r="BA105">
            <v>0</v>
          </cell>
          <cell r="BB105">
            <v>0</v>
          </cell>
        </row>
        <row r="106">
          <cell r="A106">
            <v>560683</v>
          </cell>
          <cell r="B106" t="str">
            <v>I N B P</v>
          </cell>
          <cell r="C106">
            <v>0.19803000000000001</v>
          </cell>
          <cell r="F106">
            <v>41306</v>
          </cell>
          <cell r="H106" t="str">
            <v>Passage sur un TS + 170% + TG MESS INTER +10% supp LOT</v>
          </cell>
          <cell r="I106" t="str">
            <v>A faire</v>
          </cell>
          <cell r="J106">
            <v>0</v>
          </cell>
          <cell r="L106" t="str">
            <v>OK</v>
          </cell>
          <cell r="N106" t="str">
            <v>Non affecté</v>
          </cell>
          <cell r="O106" t="str">
            <v>BQ</v>
          </cell>
          <cell r="P106" t="str">
            <v>Ok mon client</v>
          </cell>
          <cell r="Q106" t="str">
            <v>ROUEN / GRAND QUEVIL</v>
          </cell>
          <cell r="R106" t="str">
            <v>76</v>
          </cell>
          <cell r="S106" t="str">
            <v>150 BOULEVARD DE L'EUROPE BP1032</v>
          </cell>
          <cell r="T106">
            <v>76171</v>
          </cell>
          <cell r="U106" t="str">
            <v>ROUEN CEDEX</v>
          </cell>
          <cell r="X106" t="str">
            <v>76171</v>
          </cell>
          <cell r="Y106" t="str">
            <v>ROUEN CEDEX</v>
          </cell>
          <cell r="AA106">
            <v>651.19000000000005</v>
          </cell>
          <cell r="AD106">
            <v>651.19000000000005</v>
          </cell>
          <cell r="AG106">
            <v>566.69000000000005</v>
          </cell>
          <cell r="AH106">
            <v>0.62065679648485061</v>
          </cell>
          <cell r="AL106">
            <v>566.69000000000005</v>
          </cell>
          <cell r="AM106">
            <v>793.36599999999999</v>
          </cell>
          <cell r="AN106">
            <v>0.21833259110244319</v>
          </cell>
          <cell r="AO106" t="str">
            <v>022-G-76INBP</v>
          </cell>
          <cell r="AZ106">
            <v>678.91162070000007</v>
          </cell>
          <cell r="BA106">
            <v>0</v>
          </cell>
          <cell r="BB106">
            <v>0</v>
          </cell>
        </row>
        <row r="107">
          <cell r="A107">
            <v>547494</v>
          </cell>
          <cell r="B107" t="str">
            <v>RUBIS TERMINAL</v>
          </cell>
          <cell r="C107">
            <v>0.19800000000000001</v>
          </cell>
          <cell r="F107">
            <v>41306</v>
          </cell>
          <cell r="H107" t="str">
            <v>Passage sur un TS + 170% + TG MESS INTER +10% supp LOT</v>
          </cell>
          <cell r="I107" t="str">
            <v>A faire</v>
          </cell>
          <cell r="J107">
            <v>0</v>
          </cell>
          <cell r="L107" t="str">
            <v>ok</v>
          </cell>
          <cell r="N107" t="str">
            <v>Non affecté</v>
          </cell>
          <cell r="O107" t="str">
            <v>BQ</v>
          </cell>
          <cell r="P107" t="str">
            <v>Ok mon client</v>
          </cell>
          <cell r="Q107" t="str">
            <v>ROUEN / GRAND QUEVIL</v>
          </cell>
          <cell r="R107" t="str">
            <v>75</v>
          </cell>
          <cell r="S107" t="str">
            <v>33, AVENUE DE WAGRAM</v>
          </cell>
          <cell r="T107">
            <v>75017</v>
          </cell>
          <cell r="U107" t="str">
            <v>PARIS</v>
          </cell>
          <cell r="X107" t="str">
            <v>75017</v>
          </cell>
          <cell r="Y107" t="str">
            <v>PARIS CEDEX 17</v>
          </cell>
          <cell r="AA107">
            <v>915.32</v>
          </cell>
          <cell r="AD107">
            <v>915.32</v>
          </cell>
          <cell r="AG107">
            <v>564.33999999999992</v>
          </cell>
          <cell r="AH107">
            <v>0.70326398979338689</v>
          </cell>
          <cell r="AL107">
            <v>564.33999999999992</v>
          </cell>
          <cell r="AM107">
            <v>790.07599999999979</v>
          </cell>
          <cell r="AN107">
            <v>-0.13683083511777328</v>
          </cell>
          <cell r="AO107" t="str">
            <v>022-G-76RUBIS</v>
          </cell>
          <cell r="AZ107">
            <v>676.07931999999983</v>
          </cell>
          <cell r="BA107">
            <v>0</v>
          </cell>
          <cell r="BB107">
            <v>0</v>
          </cell>
        </row>
        <row r="108">
          <cell r="A108">
            <v>38099</v>
          </cell>
          <cell r="B108" t="str">
            <v>GONDRAND FRERES</v>
          </cell>
          <cell r="C108">
            <v>0.83995500000000001</v>
          </cell>
          <cell r="F108">
            <v>41306</v>
          </cell>
          <cell r="H108" t="str">
            <v>Passage sur un TS + 170% + TG MESS INTER +10% supp LOT</v>
          </cell>
          <cell r="I108" t="str">
            <v>A faire</v>
          </cell>
          <cell r="J108">
            <v>0</v>
          </cell>
          <cell r="L108" t="str">
            <v>ok</v>
          </cell>
          <cell r="N108" t="str">
            <v>Non affecté</v>
          </cell>
          <cell r="O108" t="str">
            <v>BQ</v>
          </cell>
          <cell r="P108" t="str">
            <v>Ok mon client</v>
          </cell>
          <cell r="Q108" t="str">
            <v>ROUEN / GRAND QUEVIL</v>
          </cell>
          <cell r="R108" t="str">
            <v>76</v>
          </cell>
          <cell r="S108" t="str">
            <v>45 RUE GL CHANZY</v>
          </cell>
          <cell r="T108">
            <v>76059</v>
          </cell>
          <cell r="U108" t="str">
            <v>LE HAVRE CEDEX</v>
          </cell>
          <cell r="X108" t="str">
            <v>76059</v>
          </cell>
          <cell r="Y108" t="str">
            <v>LE HAVRE CEDEX</v>
          </cell>
          <cell r="AA108">
            <v>384.23</v>
          </cell>
          <cell r="AB108">
            <v>316.58999999999997</v>
          </cell>
          <cell r="AD108">
            <v>700.81999999999994</v>
          </cell>
          <cell r="AG108">
            <v>176.52</v>
          </cell>
          <cell r="AH108">
            <v>0.52271697258101057</v>
          </cell>
          <cell r="AI108">
            <v>374.14</v>
          </cell>
          <cell r="AJ108">
            <v>0.4686213716790506</v>
          </cell>
          <cell r="AL108">
            <v>550.66</v>
          </cell>
          <cell r="AM108">
            <v>770.92399999999986</v>
          </cell>
          <cell r="AN108">
            <v>0.10003139179817921</v>
          </cell>
          <cell r="AO108" t="str">
            <v>022-G-76GONDRAND</v>
          </cell>
          <cell r="AZ108">
            <v>324.78885660000003</v>
          </cell>
          <cell r="BA108">
            <v>374.14</v>
          </cell>
          <cell r="BB108">
            <v>0</v>
          </cell>
        </row>
        <row r="109">
          <cell r="A109">
            <v>530959</v>
          </cell>
          <cell r="B109" t="str">
            <v>ATELIER TECHNIQUE BOBINAGE</v>
          </cell>
          <cell r="C109">
            <v>0.19803000000000001</v>
          </cell>
          <cell r="F109">
            <v>41306</v>
          </cell>
          <cell r="H109" t="str">
            <v>Passage sur un TS + 170% + TG MESS INTER +10% supp LOT</v>
          </cell>
          <cell r="I109" t="str">
            <v>A faire</v>
          </cell>
          <cell r="J109">
            <v>0</v>
          </cell>
          <cell r="L109" t="str">
            <v>ok</v>
          </cell>
          <cell r="N109" t="str">
            <v>Non affecté</v>
          </cell>
          <cell r="O109" t="str">
            <v>BQ</v>
          </cell>
          <cell r="P109" t="str">
            <v>Ok mon client</v>
          </cell>
          <cell r="Q109" t="str">
            <v>ROUEN / GRAND QUEVIL</v>
          </cell>
          <cell r="R109" t="str">
            <v>76</v>
          </cell>
          <cell r="S109" t="str">
            <v>6 RUE PAUL VAILLANT COUTURIER</v>
          </cell>
          <cell r="T109">
            <v>76120</v>
          </cell>
          <cell r="U109" t="str">
            <v>LE GRAND QUEVILLY</v>
          </cell>
          <cell r="X109" t="str">
            <v>76120</v>
          </cell>
          <cell r="Y109" t="str">
            <v>LE GRAND QUEVILLY</v>
          </cell>
          <cell r="Z109">
            <v>316.63</v>
          </cell>
          <cell r="AA109">
            <v>1792.3700000000001</v>
          </cell>
          <cell r="AD109">
            <v>2109</v>
          </cell>
          <cell r="AG109">
            <v>545.02</v>
          </cell>
          <cell r="AH109">
            <v>0.66863601335730793</v>
          </cell>
          <cell r="AL109">
            <v>545.02</v>
          </cell>
          <cell r="AM109">
            <v>763.02799999999991</v>
          </cell>
          <cell r="AN109">
            <v>-0.63820388809862494</v>
          </cell>
          <cell r="AO109" t="str">
            <v>022-G-76ATB</v>
          </cell>
          <cell r="AZ109">
            <v>652.95031059999997</v>
          </cell>
          <cell r="BA109">
            <v>0</v>
          </cell>
          <cell r="BB109">
            <v>0</v>
          </cell>
        </row>
        <row r="110">
          <cell r="A110">
            <v>565957</v>
          </cell>
          <cell r="B110" t="str">
            <v>CARTONNAGES GIL</v>
          </cell>
          <cell r="F110">
            <v>41306</v>
          </cell>
          <cell r="H110" t="str">
            <v>Passage sur un TS + 170% + TG MESS INTER +10% supp LOT</v>
          </cell>
          <cell r="I110">
            <v>0</v>
          </cell>
          <cell r="J110">
            <v>0</v>
          </cell>
          <cell r="K110" t="str">
            <v>Pas de contrat INES</v>
          </cell>
          <cell r="L110" t="str">
            <v>NON</v>
          </cell>
          <cell r="N110" t="str">
            <v>Non affecté</v>
          </cell>
          <cell r="O110" t="str">
            <v>KE</v>
          </cell>
          <cell r="P110" t="str">
            <v>Ok mon client</v>
          </cell>
          <cell r="Q110" t="str">
            <v>ROUEN / GRAND QUEVIL</v>
          </cell>
          <cell r="R110" t="str">
            <v>27</v>
          </cell>
          <cell r="S110" t="str">
            <v>39 RUE DES PRES</v>
          </cell>
          <cell r="T110">
            <v>27950</v>
          </cell>
          <cell r="U110" t="str">
            <v>ST MARCEL</v>
          </cell>
          <cell r="X110" t="str">
            <v>27950</v>
          </cell>
          <cell r="Y110" t="str">
            <v>ST MARCEL</v>
          </cell>
          <cell r="AE110">
            <v>528.33999999999992</v>
          </cell>
          <cell r="AF110">
            <v>0.29022977628042551</v>
          </cell>
          <cell r="AL110">
            <v>528.33999999999992</v>
          </cell>
          <cell r="AM110">
            <v>739.67599999999982</v>
          </cell>
          <cell r="AZ110">
            <v>0</v>
          </cell>
          <cell r="BA110">
            <v>0</v>
          </cell>
          <cell r="BB110">
            <v>528.33999999999992</v>
          </cell>
        </row>
        <row r="111">
          <cell r="A111">
            <v>32346</v>
          </cell>
          <cell r="B111" t="str">
            <v>VILLETARD</v>
          </cell>
          <cell r="C111">
            <v>0.19803000000000001</v>
          </cell>
          <cell r="F111">
            <v>41306</v>
          </cell>
          <cell r="H111" t="str">
            <v>Passage sur un TS + 170% + TG MESS INTER +10% supp LOT</v>
          </cell>
          <cell r="I111" t="str">
            <v>A faire</v>
          </cell>
          <cell r="J111">
            <v>0</v>
          </cell>
          <cell r="L111" t="str">
            <v>OK</v>
          </cell>
          <cell r="N111" t="str">
            <v>Non affecté</v>
          </cell>
          <cell r="O111" t="str">
            <v>KE</v>
          </cell>
          <cell r="P111" t="str">
            <v>Ok mon client</v>
          </cell>
          <cell r="Q111" t="str">
            <v>ROUEN / GRAND QUEVIL</v>
          </cell>
          <cell r="R111" t="str">
            <v>76</v>
          </cell>
          <cell r="S111" t="str">
            <v>8 RUE DE L INDUSTRIE ILE LACROIX</v>
          </cell>
          <cell r="T111">
            <v>76000</v>
          </cell>
          <cell r="U111" t="str">
            <v>ROUEN</v>
          </cell>
          <cell r="X111" t="str">
            <v>76000</v>
          </cell>
          <cell r="Y111" t="str">
            <v>ROUEN</v>
          </cell>
          <cell r="AA111">
            <v>969.47</v>
          </cell>
          <cell r="AD111">
            <v>969.47</v>
          </cell>
          <cell r="AG111">
            <v>498.9</v>
          </cell>
          <cell r="AH111">
            <v>0.67662858288234107</v>
          </cell>
          <cell r="AL111">
            <v>498.9</v>
          </cell>
          <cell r="AM111">
            <v>698.45999999999992</v>
          </cell>
          <cell r="AN111">
            <v>-0.2795444933829826</v>
          </cell>
          <cell r="AO111" t="str">
            <v>022-G-76VILLETARD</v>
          </cell>
          <cell r="AZ111">
            <v>597.69716699999992</v>
          </cell>
          <cell r="BA111">
            <v>0</v>
          </cell>
          <cell r="BB111">
            <v>0</v>
          </cell>
        </row>
        <row r="112">
          <cell r="A112">
            <v>878049</v>
          </cell>
          <cell r="B112" t="str">
            <v>MANGO</v>
          </cell>
          <cell r="H112" t="str">
            <v>Pas de hausse</v>
          </cell>
          <cell r="I112">
            <v>0</v>
          </cell>
          <cell r="J112">
            <v>0</v>
          </cell>
          <cell r="L112" t="str">
            <v>non</v>
          </cell>
          <cell r="N112" t="str">
            <v>Non affecté</v>
          </cell>
          <cell r="O112" t="str">
            <v>BQ</v>
          </cell>
          <cell r="P112" t="str">
            <v>Ok mon client</v>
          </cell>
          <cell r="Q112" t="str">
            <v>ROUEN / GRAND QUEVIL</v>
          </cell>
          <cell r="R112" t="str">
            <v>69</v>
          </cell>
          <cell r="X112" t="str">
            <v>69007</v>
          </cell>
          <cell r="Y112" t="str">
            <v>LYON</v>
          </cell>
          <cell r="AG112">
            <v>486.58000000000004</v>
          </cell>
          <cell r="AH112">
            <v>0.58200090427062356</v>
          </cell>
          <cell r="AL112">
            <v>486.58000000000004</v>
          </cell>
          <cell r="AM112">
            <v>681.21199999999999</v>
          </cell>
          <cell r="AZ112">
            <v>486.58000000000004</v>
          </cell>
          <cell r="BA112">
            <v>0</v>
          </cell>
          <cell r="BB112">
            <v>0</v>
          </cell>
        </row>
        <row r="113">
          <cell r="A113">
            <v>540666</v>
          </cell>
          <cell r="B113" t="str">
            <v>CABIS</v>
          </cell>
          <cell r="F113">
            <v>41306</v>
          </cell>
          <cell r="H113" t="str">
            <v>Passage sur un TS + 170% + TG MESS INTER +10% supp LOT</v>
          </cell>
          <cell r="I113">
            <v>0</v>
          </cell>
          <cell r="J113">
            <v>0</v>
          </cell>
          <cell r="L113" t="str">
            <v>OK</v>
          </cell>
          <cell r="N113" t="str">
            <v>Non affecté</v>
          </cell>
          <cell r="O113" t="str">
            <v>KE</v>
          </cell>
          <cell r="P113" t="str">
            <v>Ok mon client</v>
          </cell>
          <cell r="Q113" t="str">
            <v>ROUEN / GRAND QUEVIL</v>
          </cell>
          <cell r="R113" t="str">
            <v>27</v>
          </cell>
          <cell r="S113" t="str">
            <v>39  ROUTE D'ERQUEVILLE</v>
          </cell>
          <cell r="T113">
            <v>27430</v>
          </cell>
          <cell r="U113" t="str">
            <v>ANDE</v>
          </cell>
          <cell r="X113" t="str">
            <v>27430</v>
          </cell>
          <cell r="Y113" t="str">
            <v>ANDE</v>
          </cell>
          <cell r="AB113">
            <v>2188.1800000000003</v>
          </cell>
          <cell r="AD113">
            <v>2188.1800000000003</v>
          </cell>
          <cell r="AI113">
            <v>422.77000000000004</v>
          </cell>
          <cell r="AJ113">
            <v>0.60571942190789319</v>
          </cell>
          <cell r="AL113">
            <v>422.77000000000004</v>
          </cell>
          <cell r="AM113">
            <v>591.87800000000004</v>
          </cell>
          <cell r="AN113">
            <v>-0.72951128334963311</v>
          </cell>
          <cell r="AZ113">
            <v>0</v>
          </cell>
          <cell r="BA113">
            <v>422.77000000000004</v>
          </cell>
          <cell r="BB113">
            <v>0</v>
          </cell>
        </row>
        <row r="114">
          <cell r="A114">
            <v>86198</v>
          </cell>
          <cell r="B114" t="str">
            <v>VERON</v>
          </cell>
          <cell r="F114">
            <v>41306</v>
          </cell>
          <cell r="H114" t="str">
            <v>Passage sur un TS + 170% + TG MESS INTER +10% supp LOT</v>
          </cell>
          <cell r="I114">
            <v>0</v>
          </cell>
          <cell r="J114">
            <v>0</v>
          </cell>
          <cell r="K114" t="str">
            <v>Pas de contrat INES</v>
          </cell>
          <cell r="L114" t="str">
            <v>NON</v>
          </cell>
          <cell r="N114" t="str">
            <v>Non affecté</v>
          </cell>
          <cell r="O114" t="str">
            <v>KE - BQ</v>
          </cell>
          <cell r="P114" t="str">
            <v>Ok mon client</v>
          </cell>
          <cell r="Q114" t="str">
            <v>ROUEN / GRAND QUEVIL</v>
          </cell>
          <cell r="R114" t="str">
            <v>27</v>
          </cell>
          <cell r="S114" t="str">
            <v>ZI   RTE DE DELINCOURT</v>
          </cell>
          <cell r="T114">
            <v>27140</v>
          </cell>
          <cell r="U114" t="str">
            <v>GISORS</v>
          </cell>
          <cell r="X114" t="str">
            <v>27140</v>
          </cell>
          <cell r="Y114" t="str">
            <v>GISORS</v>
          </cell>
          <cell r="AA114">
            <v>39.58</v>
          </cell>
          <cell r="AD114">
            <v>39.58</v>
          </cell>
          <cell r="AG114">
            <v>419.47</v>
          </cell>
          <cell r="AH114">
            <v>0.49781867594822038</v>
          </cell>
          <cell r="AL114">
            <v>419.47</v>
          </cell>
          <cell r="AM114">
            <v>587.25800000000004</v>
          </cell>
          <cell r="AN114">
            <v>13.83724103082365</v>
          </cell>
          <cell r="AZ114">
            <v>419.47</v>
          </cell>
          <cell r="BA114">
            <v>0</v>
          </cell>
          <cell r="BB114">
            <v>0</v>
          </cell>
        </row>
        <row r="115">
          <cell r="A115">
            <v>444551</v>
          </cell>
          <cell r="B115" t="str">
            <v>NAVIMPEX SA</v>
          </cell>
          <cell r="F115">
            <v>41306</v>
          </cell>
          <cell r="H115" t="str">
            <v>Passage sur un TS + 170% + TG MESS INTER +10% supp LOT</v>
          </cell>
          <cell r="I115">
            <v>0</v>
          </cell>
          <cell r="J115">
            <v>0</v>
          </cell>
          <cell r="K115" t="str">
            <v>Pas de contrat INES</v>
          </cell>
          <cell r="L115" t="str">
            <v>NON</v>
          </cell>
          <cell r="N115" t="str">
            <v>Non affecté</v>
          </cell>
          <cell r="O115" t="str">
            <v>BQ</v>
          </cell>
          <cell r="P115" t="str">
            <v>Ok mon client</v>
          </cell>
          <cell r="Q115" t="str">
            <v>ROUEN / GRAND QUEVIL</v>
          </cell>
          <cell r="R115" t="str">
            <v>75</v>
          </cell>
          <cell r="S115" t="str">
            <v>10-12 RUE DE L'AMIRAL HAMELIN</v>
          </cell>
          <cell r="T115">
            <v>75116</v>
          </cell>
          <cell r="U115" t="str">
            <v>PARIS</v>
          </cell>
          <cell r="X115" t="str">
            <v>75116</v>
          </cell>
          <cell r="Y115" t="str">
            <v>PARIS</v>
          </cell>
          <cell r="Z115">
            <v>2677.6800000000003</v>
          </cell>
          <cell r="AA115">
            <v>587.46</v>
          </cell>
          <cell r="AD115">
            <v>3265.1400000000003</v>
          </cell>
          <cell r="AE115">
            <v>167.57</v>
          </cell>
          <cell r="AF115">
            <v>0.10485170376559046</v>
          </cell>
          <cell r="AG115">
            <v>190.06</v>
          </cell>
          <cell r="AH115">
            <v>0.67810165210986006</v>
          </cell>
          <cell r="AI115">
            <v>53.19</v>
          </cell>
          <cell r="AJ115">
            <v>0.54559127655574347</v>
          </cell>
          <cell r="AL115">
            <v>410.82</v>
          </cell>
          <cell r="AM115">
            <v>575.14799999999991</v>
          </cell>
          <cell r="AN115">
            <v>-0.82385196346864153</v>
          </cell>
          <cell r="AO115" t="str">
            <v>024-G-GENERAL-KG</v>
          </cell>
          <cell r="AP115" t="str">
            <v>022-L1-76NAVIMPEX</v>
          </cell>
          <cell r="AQ115">
            <v>38855</v>
          </cell>
          <cell r="AZ115">
            <v>190.06</v>
          </cell>
          <cell r="BA115">
            <v>53.19</v>
          </cell>
          <cell r="BB115">
            <v>167.57</v>
          </cell>
        </row>
        <row r="116">
          <cell r="A116">
            <v>568723</v>
          </cell>
          <cell r="B116" t="str">
            <v>IDAP</v>
          </cell>
          <cell r="C116">
            <v>1.34846</v>
          </cell>
          <cell r="F116">
            <v>41306</v>
          </cell>
          <cell r="H116" t="str">
            <v>Passage sur un TS + 170% + TG MESS INTER +10% supp LOT</v>
          </cell>
          <cell r="I116" t="str">
            <v>A faire</v>
          </cell>
          <cell r="J116">
            <v>0</v>
          </cell>
          <cell r="L116" t="str">
            <v>OK</v>
          </cell>
          <cell r="N116" t="str">
            <v>Non affecté</v>
          </cell>
          <cell r="O116" t="str">
            <v>KE</v>
          </cell>
          <cell r="P116" t="str">
            <v>Ok mon client</v>
          </cell>
          <cell r="Q116" t="str">
            <v>ROUEN / GRAND QUEVIL</v>
          </cell>
          <cell r="R116" t="str">
            <v>76</v>
          </cell>
          <cell r="S116" t="str">
            <v>147 RUE LA FORGE FERET</v>
          </cell>
          <cell r="T116">
            <v>76520</v>
          </cell>
          <cell r="U116" t="str">
            <v>BOOS</v>
          </cell>
          <cell r="X116" t="str">
            <v>76520</v>
          </cell>
          <cell r="Y116" t="str">
            <v>BOOS</v>
          </cell>
          <cell r="AG116">
            <v>345.25</v>
          </cell>
          <cell r="AH116">
            <v>0.42444605358435916</v>
          </cell>
          <cell r="AL116">
            <v>345.25</v>
          </cell>
          <cell r="AM116">
            <v>483.34999999999997</v>
          </cell>
          <cell r="AO116" t="str">
            <v>022-G-76IDAP</v>
          </cell>
          <cell r="AP116" t="str">
            <v>022-L1-76IDAP</v>
          </cell>
          <cell r="AZ116">
            <v>810.80581500000005</v>
          </cell>
          <cell r="BA116">
            <v>0</v>
          </cell>
          <cell r="BB116">
            <v>0</v>
          </cell>
        </row>
        <row r="117">
          <cell r="A117">
            <v>68585</v>
          </cell>
          <cell r="B117" t="str">
            <v>RAH</v>
          </cell>
          <cell r="F117">
            <v>41306</v>
          </cell>
          <cell r="H117" t="str">
            <v>Passage sur un TS + 170% + TG MESS INTER +10% supp LOT</v>
          </cell>
          <cell r="I117">
            <v>0</v>
          </cell>
          <cell r="J117">
            <v>0</v>
          </cell>
          <cell r="L117" t="str">
            <v>OK</v>
          </cell>
          <cell r="N117" t="str">
            <v>Non affecté</v>
          </cell>
          <cell r="O117" t="str">
            <v>KE - BQ</v>
          </cell>
          <cell r="P117" t="str">
            <v>Ok mon client</v>
          </cell>
          <cell r="Q117" t="str">
            <v>ROUEN / GRAND QUEVIL</v>
          </cell>
          <cell r="R117" t="str">
            <v>27</v>
          </cell>
          <cell r="S117" t="str">
            <v>ZA DE GADENCOURT</v>
          </cell>
          <cell r="T117">
            <v>27120</v>
          </cell>
          <cell r="U117" t="str">
            <v>PACY SUR EURE</v>
          </cell>
          <cell r="X117" t="str">
            <v>27120</v>
          </cell>
          <cell r="Y117" t="str">
            <v>PACY SUR EURE</v>
          </cell>
          <cell r="AB117">
            <v>864.48</v>
          </cell>
          <cell r="AD117">
            <v>864.48</v>
          </cell>
          <cell r="AI117">
            <v>342.08000000000004</v>
          </cell>
          <cell r="AJ117">
            <v>0.54493101028999069</v>
          </cell>
          <cell r="AL117">
            <v>342.08000000000004</v>
          </cell>
          <cell r="AM117">
            <v>478.91200000000003</v>
          </cell>
          <cell r="AN117">
            <v>-0.44601147510642236</v>
          </cell>
          <cell r="AO117" t="str">
            <v>022-G-27RAH</v>
          </cell>
          <cell r="AZ117">
            <v>0</v>
          </cell>
          <cell r="BA117">
            <v>342.08000000000004</v>
          </cell>
          <cell r="BB117">
            <v>0</v>
          </cell>
        </row>
        <row r="118">
          <cell r="A118">
            <v>520554</v>
          </cell>
          <cell r="B118" t="str">
            <v>WORK UP</v>
          </cell>
          <cell r="C118">
            <v>0.37313400000000002</v>
          </cell>
          <cell r="F118">
            <v>41306</v>
          </cell>
          <cell r="H118" t="str">
            <v>Passage sur un TS + 170% + TG MESS INTER +10% supp LOT</v>
          </cell>
          <cell r="I118" t="str">
            <v>A faire</v>
          </cell>
          <cell r="J118">
            <v>0</v>
          </cell>
          <cell r="L118" t="str">
            <v>OK</v>
          </cell>
          <cell r="N118" t="str">
            <v>Non affecté</v>
          </cell>
          <cell r="O118" t="str">
            <v>BQ</v>
          </cell>
          <cell r="P118" t="str">
            <v>Ok mon client</v>
          </cell>
          <cell r="Q118" t="str">
            <v>ROUEN / GRAND QUEVIL</v>
          </cell>
          <cell r="R118" t="str">
            <v>76</v>
          </cell>
          <cell r="S118" t="str">
            <v>ZONE INDUSTRIELLE DU MANOIR</v>
          </cell>
          <cell r="T118">
            <v>76170</v>
          </cell>
          <cell r="U118" t="str">
            <v>LILLEBONNE</v>
          </cell>
          <cell r="X118" t="str">
            <v>76170</v>
          </cell>
          <cell r="Y118" t="str">
            <v>lillebonne</v>
          </cell>
          <cell r="AA118">
            <v>127.13</v>
          </cell>
          <cell r="AB118">
            <v>50.74</v>
          </cell>
          <cell r="AD118">
            <v>177.87</v>
          </cell>
          <cell r="AG118">
            <v>245.31</v>
          </cell>
          <cell r="AH118">
            <v>0.67078390607802374</v>
          </cell>
          <cell r="AI118">
            <v>85.63</v>
          </cell>
          <cell r="AJ118">
            <v>0.78348709564405006</v>
          </cell>
          <cell r="AL118">
            <v>330.94</v>
          </cell>
          <cell r="AM118">
            <v>463.31599999999997</v>
          </cell>
          <cell r="AN118">
            <v>1.6048012593467136</v>
          </cell>
          <cell r="AO118" t="str">
            <v>022-G-76WORK</v>
          </cell>
          <cell r="AZ118">
            <v>336.84350154000003</v>
          </cell>
          <cell r="BA118">
            <v>85.63</v>
          </cell>
          <cell r="BB118">
            <v>0</v>
          </cell>
        </row>
        <row r="119">
          <cell r="A119">
            <v>566100</v>
          </cell>
          <cell r="B119" t="str">
            <v>SOJEP</v>
          </cell>
          <cell r="F119">
            <v>41306</v>
          </cell>
          <cell r="H119" t="str">
            <v>Passage sur un TS + 170% + TG MESS INTER +10% supp LOT</v>
          </cell>
          <cell r="I119">
            <v>0</v>
          </cell>
          <cell r="J119">
            <v>0</v>
          </cell>
          <cell r="K119" t="str">
            <v>Pas de contrat INES</v>
          </cell>
          <cell r="L119" t="str">
            <v>NON</v>
          </cell>
          <cell r="N119" t="str">
            <v>Non affecté</v>
          </cell>
          <cell r="O119" t="str">
            <v>BQ</v>
          </cell>
          <cell r="P119" t="str">
            <v>Ok mon client</v>
          </cell>
          <cell r="Q119" t="str">
            <v>ROUEN / GRAND QUEVIL</v>
          </cell>
          <cell r="R119" t="str">
            <v>76</v>
          </cell>
          <cell r="S119" t="str">
            <v>4 RUE DU CLOS SAINT YON BP 67</v>
          </cell>
          <cell r="T119">
            <v>76530</v>
          </cell>
          <cell r="U119" t="str">
            <v>GRAND-COURONNE ESSARTS</v>
          </cell>
          <cell r="X119" t="str">
            <v>76530</v>
          </cell>
          <cell r="Y119" t="str">
            <v>GRAND-COURONNE ESSARTS</v>
          </cell>
          <cell r="AA119">
            <v>4.01</v>
          </cell>
          <cell r="AB119">
            <v>989.14</v>
          </cell>
          <cell r="AD119">
            <v>993.15</v>
          </cell>
          <cell r="AI119">
            <v>243.95</v>
          </cell>
          <cell r="AJ119">
            <v>0.64406640705062512</v>
          </cell>
          <cell r="AL119">
            <v>243.95</v>
          </cell>
          <cell r="AM119">
            <v>341.53</v>
          </cell>
          <cell r="AN119">
            <v>-0.656114383527161</v>
          </cell>
          <cell r="AZ119">
            <v>0</v>
          </cell>
          <cell r="BA119">
            <v>243.95</v>
          </cell>
          <cell r="BB119">
            <v>0</v>
          </cell>
        </row>
        <row r="120">
          <cell r="A120">
            <v>9245</v>
          </cell>
          <cell r="B120" t="str">
            <v>LEMONNIER ET CIE</v>
          </cell>
          <cell r="F120">
            <v>41306</v>
          </cell>
          <cell r="H120" t="str">
            <v>Passage sur un TS + 170% + TG MESS INTER +10% supp LOT</v>
          </cell>
          <cell r="I120">
            <v>0</v>
          </cell>
          <cell r="J120">
            <v>0</v>
          </cell>
          <cell r="K120" t="str">
            <v>Pas de contrat INES</v>
          </cell>
          <cell r="L120" t="str">
            <v>NON</v>
          </cell>
          <cell r="N120" t="str">
            <v>Non affecté</v>
          </cell>
          <cell r="O120" t="str">
            <v>BQ</v>
          </cell>
          <cell r="P120" t="str">
            <v>Ok mon client</v>
          </cell>
          <cell r="Q120" t="str">
            <v>GENNEVILLIERS</v>
          </cell>
          <cell r="R120" t="str">
            <v>76</v>
          </cell>
          <cell r="S120" t="str">
            <v>BP 60291</v>
          </cell>
          <cell r="T120">
            <v>76143</v>
          </cell>
          <cell r="U120" t="str">
            <v>LE PETIT QUEVILLY</v>
          </cell>
          <cell r="X120" t="str">
            <v>76143</v>
          </cell>
          <cell r="Y120" t="str">
            <v>LE PETIT QUEVILLY</v>
          </cell>
          <cell r="AE120">
            <v>240</v>
          </cell>
          <cell r="AF120">
            <v>0.27687499999999993</v>
          </cell>
          <cell r="AL120">
            <v>240</v>
          </cell>
          <cell r="AM120">
            <v>336</v>
          </cell>
          <cell r="AZ120">
            <v>0</v>
          </cell>
          <cell r="BA120">
            <v>0</v>
          </cell>
          <cell r="BB120">
            <v>240</v>
          </cell>
        </row>
        <row r="121">
          <cell r="A121">
            <v>859970</v>
          </cell>
          <cell r="B121" t="str">
            <v>PLS FRANCE</v>
          </cell>
          <cell r="F121">
            <v>41306</v>
          </cell>
          <cell r="H121" t="str">
            <v>Passage sur un TS + 170% + TG MESS INTER +10% supp LOT</v>
          </cell>
          <cell r="I121">
            <v>0</v>
          </cell>
          <cell r="J121">
            <v>0</v>
          </cell>
          <cell r="K121" t="str">
            <v>Pas de contrat INES</v>
          </cell>
          <cell r="L121" t="str">
            <v>NON</v>
          </cell>
          <cell r="N121" t="str">
            <v>Non affecté</v>
          </cell>
          <cell r="O121" t="str">
            <v>BQ</v>
          </cell>
          <cell r="P121" t="str">
            <v>Ok mon client</v>
          </cell>
          <cell r="Q121" t="str">
            <v>ROUEN / GRAND QUEVIL</v>
          </cell>
          <cell r="R121" t="str">
            <v>76</v>
          </cell>
          <cell r="X121" t="str">
            <v>76600</v>
          </cell>
          <cell r="Y121" t="str">
            <v>LE HAVRE</v>
          </cell>
          <cell r="Z121">
            <v>512.04999999999995</v>
          </cell>
          <cell r="AD121">
            <v>512.04999999999995</v>
          </cell>
          <cell r="AI121">
            <v>238.73</v>
          </cell>
          <cell r="AJ121">
            <v>0.48200896410170491</v>
          </cell>
          <cell r="AL121">
            <v>238.73</v>
          </cell>
          <cell r="AM121">
            <v>334.22199999999998</v>
          </cell>
          <cell r="AN121">
            <v>-0.34728639781271353</v>
          </cell>
          <cell r="AZ121">
            <v>0</v>
          </cell>
          <cell r="BA121">
            <v>238.73</v>
          </cell>
          <cell r="BB121">
            <v>0</v>
          </cell>
        </row>
        <row r="122">
          <cell r="A122">
            <v>678056</v>
          </cell>
          <cell r="B122" t="str">
            <v>MATIERES PLASTIQUES INDUSTRIELLES</v>
          </cell>
          <cell r="C122">
            <v>0.37313400000000002</v>
          </cell>
          <cell r="F122">
            <v>41306</v>
          </cell>
          <cell r="H122" t="str">
            <v>Passage sur un TS + 170% + TG MESS INTER +10% supp LOT</v>
          </cell>
          <cell r="I122" t="str">
            <v>A faire</v>
          </cell>
          <cell r="J122">
            <v>0</v>
          </cell>
          <cell r="L122" t="str">
            <v>OK</v>
          </cell>
          <cell r="N122" t="str">
            <v>Non affecté</v>
          </cell>
          <cell r="O122" t="str">
            <v>BQ</v>
          </cell>
          <cell r="P122" t="str">
            <v>Ok mon client</v>
          </cell>
          <cell r="Q122" t="str">
            <v>ROUEN / GRAND QUEVIL</v>
          </cell>
          <cell r="R122" t="str">
            <v>76</v>
          </cell>
          <cell r="S122" t="str">
            <v>100 BOULEVARD JULES DURAND</v>
          </cell>
          <cell r="T122">
            <v>76600</v>
          </cell>
          <cell r="U122" t="str">
            <v>LE HAVRE</v>
          </cell>
          <cell r="X122" t="str">
            <v>76600</v>
          </cell>
          <cell r="Y122" t="str">
            <v>LE HAVRE</v>
          </cell>
          <cell r="Z122">
            <v>134.25</v>
          </cell>
          <cell r="AA122">
            <v>630.43000000000006</v>
          </cell>
          <cell r="AD122">
            <v>764.68000000000006</v>
          </cell>
          <cell r="AG122">
            <v>237.76000000000002</v>
          </cell>
          <cell r="AH122">
            <v>0.52876850605652748</v>
          </cell>
          <cell r="AL122">
            <v>237.76000000000002</v>
          </cell>
          <cell r="AM122">
            <v>332.86400000000003</v>
          </cell>
          <cell r="AN122">
            <v>-0.56470157451482972</v>
          </cell>
          <cell r="AO122" t="str">
            <v>022-G-76MPI</v>
          </cell>
          <cell r="AZ122">
            <v>326.47633984000004</v>
          </cell>
          <cell r="BA122">
            <v>0</v>
          </cell>
          <cell r="BB122">
            <v>0</v>
          </cell>
        </row>
        <row r="123">
          <cell r="A123">
            <v>816062</v>
          </cell>
          <cell r="B123" t="str">
            <v>DUSOGAT</v>
          </cell>
          <cell r="F123">
            <v>41306</v>
          </cell>
          <cell r="H123" t="str">
            <v>Passage sur un TS + 170% + TG MESS INTER +10% supp LOT</v>
          </cell>
          <cell r="I123">
            <v>0</v>
          </cell>
          <cell r="J123">
            <v>0</v>
          </cell>
          <cell r="K123" t="str">
            <v>Pas de contrat INES</v>
          </cell>
          <cell r="L123" t="str">
            <v>NON</v>
          </cell>
          <cell r="N123" t="str">
            <v>Non affecté</v>
          </cell>
          <cell r="O123" t="str">
            <v>BQ</v>
          </cell>
          <cell r="P123" t="str">
            <v>Ok mon client</v>
          </cell>
          <cell r="Q123" t="str">
            <v>ROUEN / GRAND QUEVIL</v>
          </cell>
          <cell r="R123" t="str">
            <v>77</v>
          </cell>
          <cell r="X123" t="str">
            <v>77570</v>
          </cell>
          <cell r="Y123" t="str">
            <v>CHATEAU LANDON</v>
          </cell>
          <cell r="Z123">
            <v>691.59999999999991</v>
          </cell>
          <cell r="AD123">
            <v>691.59999999999991</v>
          </cell>
          <cell r="AE123">
            <v>227.71</v>
          </cell>
          <cell r="AF123">
            <v>0.34126740151947654</v>
          </cell>
          <cell r="AL123">
            <v>227.71</v>
          </cell>
          <cell r="AM123">
            <v>318.79399999999998</v>
          </cell>
          <cell r="AN123">
            <v>-0.53904858299595138</v>
          </cell>
          <cell r="AZ123">
            <v>0</v>
          </cell>
          <cell r="BA123">
            <v>0</v>
          </cell>
          <cell r="BB123">
            <v>227.71</v>
          </cell>
        </row>
        <row r="124">
          <cell r="A124">
            <v>514199</v>
          </cell>
          <cell r="B124" t="str">
            <v>RENO</v>
          </cell>
          <cell r="F124">
            <v>41306</v>
          </cell>
          <cell r="H124" t="str">
            <v>Passage sur un TS + 170% + TG MESS INTER +10% supp LOT</v>
          </cell>
          <cell r="I124">
            <v>0</v>
          </cell>
          <cell r="J124">
            <v>0</v>
          </cell>
          <cell r="K124" t="str">
            <v>Pas de contrat INES</v>
          </cell>
          <cell r="L124" t="str">
            <v>NON</v>
          </cell>
          <cell r="N124" t="str">
            <v>Non affecté</v>
          </cell>
          <cell r="O124" t="str">
            <v>BQ</v>
          </cell>
          <cell r="P124" t="str">
            <v>Ok mon client</v>
          </cell>
          <cell r="Q124" t="str">
            <v>ROUEN / GRAND QUEVIL</v>
          </cell>
          <cell r="R124" t="str">
            <v>75</v>
          </cell>
          <cell r="S124" t="str">
            <v>251 BOULEVARD PEREIRE</v>
          </cell>
          <cell r="T124">
            <v>75852</v>
          </cell>
          <cell r="U124" t="str">
            <v>PARIS CEDEX 17</v>
          </cell>
          <cell r="X124" t="str">
            <v>75852</v>
          </cell>
          <cell r="Y124" t="str">
            <v>PARIS CEDEX 17</v>
          </cell>
          <cell r="Z124">
            <v>1670.91</v>
          </cell>
          <cell r="AA124">
            <v>629.63000000000011</v>
          </cell>
          <cell r="AD124">
            <v>2300.54</v>
          </cell>
          <cell r="AG124">
            <v>222.64</v>
          </cell>
          <cell r="AH124">
            <v>0.65590190441969087</v>
          </cell>
          <cell r="AL124">
            <v>222.64</v>
          </cell>
          <cell r="AM124">
            <v>311.69599999999997</v>
          </cell>
          <cell r="AN124">
            <v>-0.86451181027063217</v>
          </cell>
          <cell r="AO124" t="str">
            <v>022-G-76AGRIVA</v>
          </cell>
          <cell r="AZ124">
            <v>222.64</v>
          </cell>
          <cell r="BA124">
            <v>0</v>
          </cell>
          <cell r="BB124">
            <v>0</v>
          </cell>
        </row>
        <row r="125">
          <cell r="A125">
            <v>391993</v>
          </cell>
          <cell r="B125" t="str">
            <v>COMMERCIAL IMPORTATION ET DISTRIBUT</v>
          </cell>
          <cell r="F125">
            <v>41306</v>
          </cell>
          <cell r="H125" t="str">
            <v>Passage sur un TS + 170% + TG MESS INTER +10% supp LOT</v>
          </cell>
          <cell r="I125">
            <v>0</v>
          </cell>
          <cell r="J125">
            <v>0</v>
          </cell>
          <cell r="K125" t="str">
            <v>Pas de contrat INES</v>
          </cell>
          <cell r="L125" t="str">
            <v>NON</v>
          </cell>
          <cell r="N125" t="str">
            <v>Non affecté</v>
          </cell>
          <cell r="O125" t="str">
            <v>BQ</v>
          </cell>
          <cell r="P125" t="str">
            <v>Ok mon client</v>
          </cell>
          <cell r="Q125" t="str">
            <v>ROUEN / GRAND QUEVIL</v>
          </cell>
          <cell r="R125" t="str">
            <v>44</v>
          </cell>
          <cell r="X125" t="str">
            <v>44101</v>
          </cell>
          <cell r="Y125" t="str">
            <v>NANTES CEDEX 4</v>
          </cell>
          <cell r="AE125">
            <v>200</v>
          </cell>
          <cell r="AF125">
            <v>-0.17499999999999999</v>
          </cell>
          <cell r="AL125">
            <v>200</v>
          </cell>
          <cell r="AM125">
            <v>280</v>
          </cell>
          <cell r="AZ125">
            <v>0</v>
          </cell>
          <cell r="BA125">
            <v>0</v>
          </cell>
          <cell r="BB125">
            <v>200</v>
          </cell>
        </row>
        <row r="126">
          <cell r="A126">
            <v>465986</v>
          </cell>
          <cell r="B126" t="str">
            <v>PLAYCUBE</v>
          </cell>
          <cell r="C126">
            <v>0.19803000000000001</v>
          </cell>
          <cell r="F126">
            <v>41306</v>
          </cell>
          <cell r="H126" t="str">
            <v>Passage sur un TS + 170% + TG MESS INTER +10% supp LOT</v>
          </cell>
          <cell r="I126" t="str">
            <v>A faire</v>
          </cell>
          <cell r="J126">
            <v>0</v>
          </cell>
          <cell r="L126" t="str">
            <v>OK</v>
          </cell>
          <cell r="N126" t="str">
            <v>Non affecté</v>
          </cell>
          <cell r="O126" t="str">
            <v>BQ</v>
          </cell>
          <cell r="P126" t="str">
            <v>Ok mon client</v>
          </cell>
          <cell r="Q126" t="str">
            <v>ROUEN / GRAND QUEVIL</v>
          </cell>
          <cell r="R126" t="str">
            <v>75</v>
          </cell>
          <cell r="S126" t="str">
            <v>37RUE BUFFON</v>
          </cell>
          <cell r="T126">
            <v>75005</v>
          </cell>
          <cell r="U126" t="str">
            <v>PARIS</v>
          </cell>
          <cell r="X126" t="str">
            <v>75005</v>
          </cell>
          <cell r="Y126" t="str">
            <v>PARIS</v>
          </cell>
          <cell r="Z126">
            <v>246</v>
          </cell>
          <cell r="AA126">
            <v>1587.4099999999999</v>
          </cell>
          <cell r="AD126">
            <v>1833.4099999999999</v>
          </cell>
          <cell r="AE126">
            <v>187</v>
          </cell>
          <cell r="AF126">
            <v>0.25133689839572193</v>
          </cell>
          <cell r="AL126">
            <v>187</v>
          </cell>
          <cell r="AM126">
            <v>261.8</v>
          </cell>
          <cell r="AN126">
            <v>-0.85720597138665111</v>
          </cell>
          <cell r="AO126" t="str">
            <v>022-G-75PLAYCUBE</v>
          </cell>
          <cell r="AZ126">
            <v>0</v>
          </cell>
          <cell r="BA126">
            <v>0</v>
          </cell>
          <cell r="BB126">
            <v>187</v>
          </cell>
        </row>
        <row r="127">
          <cell r="A127">
            <v>604265</v>
          </cell>
          <cell r="B127" t="str">
            <v>CLAUDE BOURNOVILLE SARL</v>
          </cell>
          <cell r="C127">
            <v>0.19803000000000001</v>
          </cell>
          <cell r="F127">
            <v>41306</v>
          </cell>
          <cell r="H127" t="str">
            <v>Passage sur un TS + 170% + TG MESS INTER +10% supp LOT</v>
          </cell>
          <cell r="I127" t="str">
            <v>A faire</v>
          </cell>
          <cell r="J127">
            <v>0</v>
          </cell>
          <cell r="L127" t="str">
            <v>OK</v>
          </cell>
          <cell r="M127" t="str">
            <v>Doublon</v>
          </cell>
          <cell r="N127" t="str">
            <v>Non affecté</v>
          </cell>
          <cell r="O127" t="str">
            <v>KE</v>
          </cell>
          <cell r="P127" t="str">
            <v>Ok mon client</v>
          </cell>
          <cell r="Q127" t="str">
            <v>ROUEN / GRAND QUEVIL</v>
          </cell>
          <cell r="R127" t="str">
            <v>27</v>
          </cell>
          <cell r="S127" t="str">
            <v>1 RUE WILLIAM DIAN</v>
          </cell>
          <cell r="T127">
            <v>27620</v>
          </cell>
          <cell r="U127" t="str">
            <v>GASNY</v>
          </cell>
          <cell r="X127" t="str">
            <v>27620</v>
          </cell>
          <cell r="Y127" t="str">
            <v>GASNY</v>
          </cell>
          <cell r="AI127">
            <v>182.89</v>
          </cell>
          <cell r="AJ127">
            <v>0.4195840494618942</v>
          </cell>
          <cell r="AL127">
            <v>182.89</v>
          </cell>
          <cell r="AM127">
            <v>256.04599999999999</v>
          </cell>
          <cell r="AO127" t="str">
            <v>022-G-27DISTRI</v>
          </cell>
          <cell r="AZ127">
            <v>0</v>
          </cell>
          <cell r="BA127">
            <v>182.89</v>
          </cell>
          <cell r="BB127">
            <v>0</v>
          </cell>
        </row>
        <row r="128">
          <cell r="A128">
            <v>45230</v>
          </cell>
          <cell r="B128" t="str">
            <v>ETABLISSEMENTS LAFFILE   CIE</v>
          </cell>
          <cell r="F128">
            <v>41306</v>
          </cell>
          <cell r="H128" t="str">
            <v>Passage sur un TS + 170% + TG MESS INTER +10% supp LOT</v>
          </cell>
          <cell r="I128">
            <v>0</v>
          </cell>
          <cell r="J128">
            <v>0</v>
          </cell>
          <cell r="K128" t="str">
            <v>CONCESSIONNAIRE</v>
          </cell>
          <cell r="L128" t="str">
            <v>NON</v>
          </cell>
          <cell r="N128" t="str">
            <v>Non affecté</v>
          </cell>
          <cell r="O128" t="str">
            <v>KE</v>
          </cell>
          <cell r="P128" t="str">
            <v>Ok mon client</v>
          </cell>
          <cell r="Q128" t="str">
            <v>ROUEN / GRAND QUEVIL</v>
          </cell>
          <cell r="R128" t="str">
            <v>76</v>
          </cell>
          <cell r="S128" t="str">
            <v>26 AVENUE NORMANDIE SUSSEX</v>
          </cell>
          <cell r="T128">
            <v>76200</v>
          </cell>
          <cell r="U128" t="str">
            <v>DIEPPE</v>
          </cell>
          <cell r="X128" t="str">
            <v>76200</v>
          </cell>
          <cell r="Y128" t="str">
            <v>DIEPPE</v>
          </cell>
          <cell r="AA128">
            <v>168.32</v>
          </cell>
          <cell r="AD128">
            <v>168.32</v>
          </cell>
          <cell r="AG128">
            <v>174.90000000000003</v>
          </cell>
          <cell r="AH128">
            <v>0.65277301315037162</v>
          </cell>
          <cell r="AL128">
            <v>174.90000000000003</v>
          </cell>
          <cell r="AM128">
            <v>244.86000000000004</v>
          </cell>
          <cell r="AN128">
            <v>0.45472908745247187</v>
          </cell>
          <cell r="AO128" t="str">
            <v>022-G-CONCESSIONNAIRES</v>
          </cell>
          <cell r="AZ128">
            <v>174.90000000000003</v>
          </cell>
          <cell r="BA128">
            <v>0</v>
          </cell>
          <cell r="BB128">
            <v>0</v>
          </cell>
        </row>
        <row r="129">
          <cell r="A129">
            <v>485110</v>
          </cell>
          <cell r="B129" t="str">
            <v>CENTRATEC</v>
          </cell>
          <cell r="C129">
            <v>0.41088459999999999</v>
          </cell>
          <cell r="F129">
            <v>41306</v>
          </cell>
          <cell r="H129" t="str">
            <v>Passage sur un TS + 170% + TG MESS INTER +10% supp LOT</v>
          </cell>
          <cell r="I129" t="str">
            <v>A faire</v>
          </cell>
          <cell r="J129">
            <v>0</v>
          </cell>
          <cell r="L129" t="str">
            <v>OK</v>
          </cell>
          <cell r="N129" t="str">
            <v>Non affecté</v>
          </cell>
          <cell r="O129" t="str">
            <v>BQ</v>
          </cell>
          <cell r="P129" t="str">
            <v>Ok mon client</v>
          </cell>
          <cell r="Q129" t="str">
            <v>ROUEN / GRAND QUEVIL</v>
          </cell>
          <cell r="R129" t="str">
            <v>76</v>
          </cell>
          <cell r="S129" t="str">
            <v>4 RUE DE VALMY</v>
          </cell>
          <cell r="T129">
            <v>76600</v>
          </cell>
          <cell r="U129" t="str">
            <v>LE HAVRE</v>
          </cell>
          <cell r="X129" t="str">
            <v>76600</v>
          </cell>
          <cell r="Y129" t="str">
            <v>LE HAVRE</v>
          </cell>
          <cell r="Z129">
            <v>125.4</v>
          </cell>
          <cell r="AA129">
            <v>249.42000000000002</v>
          </cell>
          <cell r="AD129">
            <v>374.82000000000005</v>
          </cell>
          <cell r="AI129">
            <v>161.76</v>
          </cell>
          <cell r="AJ129">
            <v>0.52262611275964388</v>
          </cell>
          <cell r="AL129">
            <v>161.76</v>
          </cell>
          <cell r="AM129">
            <v>226.46399999999997</v>
          </cell>
          <cell r="AN129">
            <v>-0.3958059868736995</v>
          </cell>
          <cell r="AO129" t="str">
            <v>022-G-76CENTRATEC</v>
          </cell>
          <cell r="AZ129">
            <v>0</v>
          </cell>
          <cell r="BA129">
            <v>161.76</v>
          </cell>
          <cell r="BB129">
            <v>0</v>
          </cell>
        </row>
        <row r="130">
          <cell r="A130">
            <v>437794</v>
          </cell>
          <cell r="B130" t="str">
            <v>TV GETAL</v>
          </cell>
          <cell r="F130">
            <v>41306</v>
          </cell>
          <cell r="H130" t="str">
            <v>Passage sur un TS + 170% + TG MESS INTER +10% supp LOT</v>
          </cell>
          <cell r="I130">
            <v>0</v>
          </cell>
          <cell r="J130">
            <v>0</v>
          </cell>
          <cell r="K130" t="str">
            <v>PAS GERE PAR 022</v>
          </cell>
          <cell r="L130" t="str">
            <v>NON</v>
          </cell>
          <cell r="N130" t="str">
            <v>Non affecté</v>
          </cell>
          <cell r="O130" t="str">
            <v>KE</v>
          </cell>
          <cell r="P130" t="str">
            <v>Ok mon client</v>
          </cell>
          <cell r="Q130" t="str">
            <v>ROUEN / GRAND QUEVIL</v>
          </cell>
          <cell r="R130" t="str">
            <v>76</v>
          </cell>
          <cell r="S130" t="str">
            <v>ZA LES POINTES</v>
          </cell>
          <cell r="T130">
            <v>76520</v>
          </cell>
          <cell r="U130" t="str">
            <v>LES AUTHIEUX SUR LE PORT ST OUEN</v>
          </cell>
          <cell r="X130" t="str">
            <v>76520</v>
          </cell>
          <cell r="Y130" t="str">
            <v>LES AUTHIEUX SUR LE PORT ST OUEN</v>
          </cell>
          <cell r="Z130">
            <v>2456.84</v>
          </cell>
          <cell r="AD130">
            <v>2456.84</v>
          </cell>
          <cell r="AG130">
            <v>158.85</v>
          </cell>
          <cell r="AL130">
            <v>158.85</v>
          </cell>
          <cell r="AM130">
            <v>222.39</v>
          </cell>
          <cell r="AN130">
            <v>-0.90948128490255775</v>
          </cell>
          <cell r="AZ130">
            <v>158.85</v>
          </cell>
          <cell r="BA130">
            <v>0</v>
          </cell>
          <cell r="BB130">
            <v>0</v>
          </cell>
        </row>
        <row r="131">
          <cell r="A131">
            <v>42615</v>
          </cell>
          <cell r="B131" t="str">
            <v>MERITOR LVS FRANCE</v>
          </cell>
          <cell r="F131">
            <v>41306</v>
          </cell>
          <cell r="H131" t="str">
            <v>Passage sur un TS + 170% + TG MESS INTER +10% supp LOT</v>
          </cell>
          <cell r="I131">
            <v>0</v>
          </cell>
          <cell r="J131">
            <v>0</v>
          </cell>
          <cell r="K131" t="str">
            <v>Pas de contrat INES</v>
          </cell>
          <cell r="L131" t="str">
            <v>NON</v>
          </cell>
          <cell r="N131" t="str">
            <v>Non affecté</v>
          </cell>
          <cell r="O131" t="str">
            <v>BQ</v>
          </cell>
          <cell r="P131" t="str">
            <v>Ok mon client</v>
          </cell>
          <cell r="Q131" t="str">
            <v>ROUEN / GRAND QUEVIL</v>
          </cell>
          <cell r="R131" t="str">
            <v>14</v>
          </cell>
          <cell r="S131" t="str">
            <v>19 RUE BEAUVOIR</v>
          </cell>
          <cell r="T131">
            <v>14220</v>
          </cell>
          <cell r="U131" t="str">
            <v>THURY HARCOURT</v>
          </cell>
          <cell r="X131" t="str">
            <v>14220</v>
          </cell>
          <cell r="Y131" t="str">
            <v>THURY HARCOURT</v>
          </cell>
          <cell r="AA131">
            <v>3902.67</v>
          </cell>
          <cell r="AC131">
            <v>165</v>
          </cell>
          <cell r="AD131">
            <v>4067.67</v>
          </cell>
          <cell r="AG131">
            <v>152.03</v>
          </cell>
          <cell r="AH131">
            <v>1.0594506930157825</v>
          </cell>
          <cell r="AL131">
            <v>152.03</v>
          </cell>
          <cell r="AM131">
            <v>212.84199999999998</v>
          </cell>
          <cell r="AN131">
            <v>-0.94767471304211015</v>
          </cell>
          <cell r="AZ131">
            <v>152.03</v>
          </cell>
          <cell r="BA131">
            <v>0</v>
          </cell>
          <cell r="BB131">
            <v>0</v>
          </cell>
        </row>
        <row r="132">
          <cell r="A132">
            <v>573706</v>
          </cell>
          <cell r="B132" t="str">
            <v>LES PRODUITS MONASTIQUES</v>
          </cell>
          <cell r="C132">
            <v>1.048163</v>
          </cell>
          <cell r="F132">
            <v>41306</v>
          </cell>
          <cell r="H132" t="str">
            <v>Passage sur un TS + 170% + TG MESS INTER +10% supp LOT</v>
          </cell>
          <cell r="I132" t="str">
            <v>A faire</v>
          </cell>
          <cell r="J132">
            <v>0</v>
          </cell>
          <cell r="L132" t="str">
            <v>OK</v>
          </cell>
          <cell r="N132" t="str">
            <v>Non affecté</v>
          </cell>
          <cell r="O132" t="str">
            <v>BQ</v>
          </cell>
          <cell r="P132" t="str">
            <v>Ok mon client</v>
          </cell>
          <cell r="Q132" t="str">
            <v>ROUEN / GRAND QUEVIL</v>
          </cell>
          <cell r="R132" t="str">
            <v>76</v>
          </cell>
          <cell r="S132" t="str">
            <v>B.P.5</v>
          </cell>
          <cell r="T132">
            <v>76490</v>
          </cell>
          <cell r="U132" t="str">
            <v>CAUDEBEC EN CAUX</v>
          </cell>
          <cell r="X132" t="str">
            <v>76490</v>
          </cell>
          <cell r="Y132" t="str">
            <v>CAUDEBEC EN CAUX</v>
          </cell>
          <cell r="AB132">
            <v>261.7</v>
          </cell>
          <cell r="AD132">
            <v>261.7</v>
          </cell>
          <cell r="AI132">
            <v>140.35999999999999</v>
          </cell>
          <cell r="AJ132">
            <v>0.36128526645768028</v>
          </cell>
          <cell r="AL132">
            <v>140.35999999999999</v>
          </cell>
          <cell r="AM132">
            <v>196.50399999999996</v>
          </cell>
          <cell r="AN132">
            <v>-0.24912495223538411</v>
          </cell>
          <cell r="AO132" t="str">
            <v>022-G-76PRODUITS</v>
          </cell>
          <cell r="AZ132">
            <v>0</v>
          </cell>
          <cell r="BA132">
            <v>140.35999999999999</v>
          </cell>
          <cell r="BB132">
            <v>0</v>
          </cell>
        </row>
        <row r="133">
          <cell r="A133">
            <v>678055</v>
          </cell>
          <cell r="B133" t="str">
            <v>VANATEC</v>
          </cell>
          <cell r="C133">
            <v>0.44532100000000002</v>
          </cell>
          <cell r="F133">
            <v>41306</v>
          </cell>
          <cell r="H133" t="str">
            <v>Passage sur un TS + 170% + TG MESS INTER +10% supp LOT</v>
          </cell>
          <cell r="I133" t="str">
            <v>A faire</v>
          </cell>
          <cell r="J133">
            <v>0</v>
          </cell>
          <cell r="L133" t="str">
            <v>OK</v>
          </cell>
          <cell r="N133" t="str">
            <v>Non affecté</v>
          </cell>
          <cell r="O133" t="str">
            <v>BQ</v>
          </cell>
          <cell r="P133" t="str">
            <v>Ok mon client</v>
          </cell>
          <cell r="Q133" t="str">
            <v>ROUEN / GRAND QUEVIL</v>
          </cell>
          <cell r="R133" t="str">
            <v>76</v>
          </cell>
          <cell r="S133" t="str">
            <v>100 BOULEVARD JULES DURAND</v>
          </cell>
          <cell r="T133">
            <v>76600</v>
          </cell>
          <cell r="U133" t="str">
            <v>LE HAVRE</v>
          </cell>
          <cell r="X133" t="str">
            <v>76600</v>
          </cell>
          <cell r="Y133" t="str">
            <v>LE HAVRE</v>
          </cell>
          <cell r="AA133">
            <v>241.82</v>
          </cell>
          <cell r="AD133">
            <v>241.82</v>
          </cell>
          <cell r="AG133">
            <v>96.339999999999989</v>
          </cell>
          <cell r="AH133">
            <v>0.77174589993772047</v>
          </cell>
          <cell r="AL133">
            <v>96.339999999999989</v>
          </cell>
          <cell r="AM133">
            <v>134.87599999999998</v>
          </cell>
          <cell r="AN133">
            <v>-0.44224629890000833</v>
          </cell>
          <cell r="AO133" t="str">
            <v>022-G-76VANATEC</v>
          </cell>
          <cell r="AZ133">
            <v>139.24222513999999</v>
          </cell>
          <cell r="BA133">
            <v>0</v>
          </cell>
          <cell r="BB133">
            <v>0</v>
          </cell>
        </row>
        <row r="134">
          <cell r="A134">
            <v>57402</v>
          </cell>
          <cell r="B134" t="str">
            <v>THERMAL PRODUCTS FRANCE SAS</v>
          </cell>
          <cell r="F134">
            <v>41306</v>
          </cell>
          <cell r="H134" t="str">
            <v>Passage sur un TS + 170% + TG MESS INTER +10% supp LOT</v>
          </cell>
          <cell r="I134">
            <v>0</v>
          </cell>
          <cell r="J134">
            <v>0</v>
          </cell>
          <cell r="L134" t="str">
            <v>OK</v>
          </cell>
          <cell r="N134" t="str">
            <v>Non affecté</v>
          </cell>
          <cell r="O134" t="str">
            <v>BQ</v>
          </cell>
          <cell r="P134" t="str">
            <v>Ok mon client</v>
          </cell>
          <cell r="Q134" t="str">
            <v>ROUEN / GRAND QUEVIL</v>
          </cell>
          <cell r="R134" t="str">
            <v>60</v>
          </cell>
          <cell r="X134" t="str">
            <v>60640</v>
          </cell>
          <cell r="Y134" t="str">
            <v>GUISCARD</v>
          </cell>
          <cell r="AG134">
            <v>83.08</v>
          </cell>
          <cell r="AH134">
            <v>0.60038517091959553</v>
          </cell>
          <cell r="AL134">
            <v>83.08</v>
          </cell>
          <cell r="AM134">
            <v>116.31199999999998</v>
          </cell>
          <cell r="AZ134">
            <v>83.08</v>
          </cell>
          <cell r="BA134">
            <v>0</v>
          </cell>
          <cell r="BB134">
            <v>0</v>
          </cell>
        </row>
        <row r="135">
          <cell r="A135">
            <v>559609</v>
          </cell>
          <cell r="B135" t="str">
            <v>CEDRE BLEU INTERNATIONAL</v>
          </cell>
          <cell r="F135">
            <v>41306</v>
          </cell>
          <cell r="H135" t="str">
            <v>Passage sur un TS + 170% + TG MESS INTER +10% supp LOT</v>
          </cell>
          <cell r="I135">
            <v>0</v>
          </cell>
          <cell r="J135">
            <v>0</v>
          </cell>
          <cell r="K135" t="str">
            <v>Pas de contrat INES</v>
          </cell>
          <cell r="L135" t="str">
            <v>NON</v>
          </cell>
          <cell r="N135" t="str">
            <v>Non affecté</v>
          </cell>
          <cell r="O135" t="str">
            <v>BQ</v>
          </cell>
          <cell r="P135" t="str">
            <v>Ok mon client</v>
          </cell>
          <cell r="Q135" t="str">
            <v>ROUEN / GRAND QUEVIL</v>
          </cell>
          <cell r="R135" t="str">
            <v>14</v>
          </cell>
          <cell r="S135" t="str">
            <v>10 RUE COLBERT</v>
          </cell>
          <cell r="T135">
            <v>14112</v>
          </cell>
          <cell r="U135" t="str">
            <v>BIEVILLE BEUVILLE</v>
          </cell>
          <cell r="X135" t="str">
            <v>14112</v>
          </cell>
          <cell r="Y135" t="str">
            <v>BIEVILLE BEUVILLE</v>
          </cell>
          <cell r="AB135">
            <v>128.13999999999999</v>
          </cell>
          <cell r="AD135">
            <v>128.13999999999999</v>
          </cell>
          <cell r="AG135">
            <v>68.900000000000006</v>
          </cell>
          <cell r="AH135">
            <v>0.96110304789550061</v>
          </cell>
          <cell r="AL135">
            <v>68.900000000000006</v>
          </cell>
          <cell r="AM135">
            <v>96.460000000000008</v>
          </cell>
          <cell r="AN135">
            <v>-0.24722959263305744</v>
          </cell>
          <cell r="AZ135">
            <v>68.900000000000006</v>
          </cell>
          <cell r="BA135">
            <v>0</v>
          </cell>
          <cell r="BB135">
            <v>0</v>
          </cell>
        </row>
        <row r="136">
          <cell r="A136">
            <v>34608</v>
          </cell>
          <cell r="B136" t="str">
            <v>Ste LEON LEFEVRE</v>
          </cell>
          <cell r="F136">
            <v>41306</v>
          </cell>
          <cell r="H136" t="str">
            <v>Passage sur un TS + 170% + TG MESS INTER +10% supp LOT</v>
          </cell>
          <cell r="I136">
            <v>0</v>
          </cell>
          <cell r="J136">
            <v>0</v>
          </cell>
          <cell r="K136" t="str">
            <v>CONCESSIONNAIRE</v>
          </cell>
          <cell r="L136" t="str">
            <v>NON</v>
          </cell>
          <cell r="N136" t="str">
            <v>Non affecté</v>
          </cell>
          <cell r="O136" t="str">
            <v>BQ</v>
          </cell>
          <cell r="P136" t="str">
            <v>Ok mon client</v>
          </cell>
          <cell r="Q136" t="str">
            <v>ROUEN / GRAND QUEVIL</v>
          </cell>
          <cell r="R136" t="str">
            <v>27</v>
          </cell>
          <cell r="S136" t="str">
            <v>ROUTE DE BROGLIE - RN 138 - Z I</v>
          </cell>
          <cell r="T136">
            <v>27301</v>
          </cell>
          <cell r="U136" t="str">
            <v>BERNAY CEDEX</v>
          </cell>
          <cell r="X136" t="str">
            <v>27301</v>
          </cell>
          <cell r="Y136" t="str">
            <v>BERNAY CEDEX</v>
          </cell>
          <cell r="AA136">
            <v>52.640000000000015</v>
          </cell>
          <cell r="AD136">
            <v>52.640000000000015</v>
          </cell>
          <cell r="AG136">
            <v>46.11</v>
          </cell>
          <cell r="AH136">
            <v>0.74907829104315771</v>
          </cell>
          <cell r="AL136">
            <v>46.11</v>
          </cell>
          <cell r="AM136">
            <v>64.554000000000002</v>
          </cell>
          <cell r="AN136">
            <v>0.22632978723404218</v>
          </cell>
          <cell r="AO136" t="str">
            <v>022-G-CONCESSIONNAIRES</v>
          </cell>
          <cell r="AZ136">
            <v>46.11</v>
          </cell>
          <cell r="BA136">
            <v>0</v>
          </cell>
          <cell r="BB136">
            <v>0</v>
          </cell>
        </row>
        <row r="137">
          <cell r="A137">
            <v>605293</v>
          </cell>
          <cell r="B137" t="str">
            <v>SDV LOGISTIQUE INTERNATIONAL</v>
          </cell>
          <cell r="F137">
            <v>41306</v>
          </cell>
          <cell r="H137" t="str">
            <v>Passage sur un TS + 170% + TG MESS INTER +10% supp LOT</v>
          </cell>
          <cell r="I137">
            <v>0</v>
          </cell>
          <cell r="J137">
            <v>0</v>
          </cell>
          <cell r="L137" t="str">
            <v>OK</v>
          </cell>
          <cell r="N137" t="str">
            <v>Non affecté</v>
          </cell>
          <cell r="O137" t="str">
            <v>BQ</v>
          </cell>
          <cell r="P137" t="str">
            <v>Ok mon client</v>
          </cell>
          <cell r="Q137" t="str">
            <v>ROUEN / GRAND QUEVIL</v>
          </cell>
          <cell r="R137" t="str">
            <v>76</v>
          </cell>
          <cell r="S137" t="str">
            <v>BP 112</v>
          </cell>
          <cell r="T137">
            <v>76051</v>
          </cell>
          <cell r="U137" t="str">
            <v>LE HAVRE CEDEX</v>
          </cell>
          <cell r="X137" t="str">
            <v>76051</v>
          </cell>
          <cell r="Y137" t="str">
            <v>LE HAVRE CEDEX</v>
          </cell>
          <cell r="AA137">
            <v>-61.2</v>
          </cell>
          <cell r="AD137">
            <v>-61.2</v>
          </cell>
          <cell r="AG137">
            <v>41.01</v>
          </cell>
          <cell r="AH137">
            <v>0.96854425749817119</v>
          </cell>
          <cell r="AL137">
            <v>41.01</v>
          </cell>
          <cell r="AM137">
            <v>57.413999999999994</v>
          </cell>
          <cell r="AN137">
            <v>-1.9381372549019606</v>
          </cell>
          <cell r="AZ137">
            <v>41.01</v>
          </cell>
          <cell r="BA137">
            <v>0</v>
          </cell>
          <cell r="BB137">
            <v>0</v>
          </cell>
        </row>
        <row r="138">
          <cell r="A138">
            <v>534491</v>
          </cell>
          <cell r="B138" t="str">
            <v>LEON VINCENT</v>
          </cell>
          <cell r="F138">
            <v>41306</v>
          </cell>
          <cell r="H138" t="str">
            <v>Passage sur un TS + 170% + TG MESS INTER +10% supp LOT</v>
          </cell>
          <cell r="I138">
            <v>0</v>
          </cell>
          <cell r="J138">
            <v>0</v>
          </cell>
          <cell r="K138" t="str">
            <v>PAS GERE PAR 022</v>
          </cell>
          <cell r="L138" t="str">
            <v>NON</v>
          </cell>
          <cell r="N138" t="str">
            <v>Non affecté</v>
          </cell>
          <cell r="O138" t="str">
            <v>BQ</v>
          </cell>
          <cell r="P138" t="str">
            <v>Ok mon client</v>
          </cell>
          <cell r="Q138" t="str">
            <v>ROUEN / GRAND QUEVIL</v>
          </cell>
          <cell r="R138" t="str">
            <v>33</v>
          </cell>
          <cell r="X138" t="str">
            <v>33520</v>
          </cell>
          <cell r="Y138" t="str">
            <v>BRUGES CEDEX</v>
          </cell>
          <cell r="AG138">
            <v>39.1</v>
          </cell>
          <cell r="AH138">
            <v>0.63427109974424556</v>
          </cell>
          <cell r="AL138">
            <v>39.1</v>
          </cell>
          <cell r="AM138">
            <v>54.74</v>
          </cell>
          <cell r="AO138" t="str">
            <v>022-G-33LEONVINCENT022</v>
          </cell>
          <cell r="AZ138">
            <v>39.1</v>
          </cell>
          <cell r="BA138">
            <v>0</v>
          </cell>
          <cell r="BB138">
            <v>0</v>
          </cell>
        </row>
        <row r="139">
          <cell r="A139">
            <v>74468</v>
          </cell>
          <cell r="B139" t="str">
            <v>E P H</v>
          </cell>
          <cell r="F139">
            <v>41306</v>
          </cell>
          <cell r="H139" t="str">
            <v>Passage sur un TS + 170% + TG MESS INTER +10% supp LOT</v>
          </cell>
          <cell r="I139">
            <v>0</v>
          </cell>
          <cell r="J139">
            <v>0</v>
          </cell>
          <cell r="K139" t="str">
            <v>Erreur tiers</v>
          </cell>
          <cell r="L139" t="str">
            <v>NON</v>
          </cell>
          <cell r="N139" t="str">
            <v>Non affecté</v>
          </cell>
          <cell r="O139" t="str">
            <v>KE - BQ</v>
          </cell>
          <cell r="P139" t="str">
            <v>Ok mon client</v>
          </cell>
          <cell r="Q139" t="str">
            <v>GENNEVILLIERS</v>
          </cell>
          <cell r="R139" t="str">
            <v>27</v>
          </cell>
          <cell r="S139" t="str">
            <v>ZA LA BERGERIE</v>
          </cell>
          <cell r="T139">
            <v>27600</v>
          </cell>
          <cell r="U139" t="str">
            <v>GAILLON</v>
          </cell>
          <cell r="X139" t="str">
            <v>27600</v>
          </cell>
          <cell r="Y139" t="str">
            <v>GAILLON</v>
          </cell>
          <cell r="AG139">
            <v>27.88</v>
          </cell>
          <cell r="AL139">
            <v>27.88</v>
          </cell>
          <cell r="AM139">
            <v>39.031999999999996</v>
          </cell>
          <cell r="AZ139">
            <v>27.88</v>
          </cell>
          <cell r="BA139">
            <v>0</v>
          </cell>
          <cell r="BB139">
            <v>0</v>
          </cell>
        </row>
        <row r="140">
          <cell r="A140">
            <v>14924</v>
          </cell>
          <cell r="B140" t="str">
            <v>CGR - COMPTOIR GENERAL DU RESSORT</v>
          </cell>
          <cell r="C140">
            <v>0.37313400000000002</v>
          </cell>
          <cell r="F140">
            <v>41306</v>
          </cell>
          <cell r="H140" t="str">
            <v>Passage sur un TS + 170% + TG MESS INTER +10% supp LOT</v>
          </cell>
          <cell r="I140" t="str">
            <v>A faire</v>
          </cell>
          <cell r="J140">
            <v>0</v>
          </cell>
          <cell r="L140" t="str">
            <v>OK</v>
          </cell>
          <cell r="N140" t="str">
            <v>Non affecté</v>
          </cell>
          <cell r="O140" t="str">
            <v>KE</v>
          </cell>
          <cell r="P140" t="str">
            <v>Ok mon client</v>
          </cell>
          <cell r="Q140" t="str">
            <v>ROUEN / GRAND QUEVIL</v>
          </cell>
          <cell r="R140" t="str">
            <v>61</v>
          </cell>
          <cell r="S140" t="str">
            <v>USINE D'IGE - ZA DES ROCS</v>
          </cell>
          <cell r="T140">
            <v>61130</v>
          </cell>
          <cell r="U140" t="str">
            <v>IGE</v>
          </cell>
          <cell r="X140" t="str">
            <v>61130</v>
          </cell>
          <cell r="Y140" t="str">
            <v>IGE</v>
          </cell>
          <cell r="AA140">
            <v>46.86</v>
          </cell>
          <cell r="AD140">
            <v>46.86</v>
          </cell>
          <cell r="AG140">
            <v>25.23</v>
          </cell>
          <cell r="AH140">
            <v>0.72017439556084029</v>
          </cell>
          <cell r="AL140">
            <v>25.23</v>
          </cell>
          <cell r="AM140">
            <v>35.321999999999996</v>
          </cell>
          <cell r="AN140">
            <v>-0.24622279129321389</v>
          </cell>
          <cell r="AO140" t="str">
            <v>022-G-61CGR</v>
          </cell>
          <cell r="AZ140">
            <v>34.644170819999999</v>
          </cell>
          <cell r="BA140">
            <v>0</v>
          </cell>
          <cell r="BB140">
            <v>0</v>
          </cell>
        </row>
        <row r="141">
          <cell r="A141">
            <v>574510</v>
          </cell>
          <cell r="B141" t="str">
            <v>DELAUNAY ET FILS</v>
          </cell>
          <cell r="F141">
            <v>41306</v>
          </cell>
          <cell r="H141" t="str">
            <v>Passage sur un TS + 170% + TG MESS INTER +10% supp LOT</v>
          </cell>
          <cell r="I141">
            <v>0</v>
          </cell>
          <cell r="J141">
            <v>0</v>
          </cell>
          <cell r="L141" t="str">
            <v>OK</v>
          </cell>
          <cell r="N141" t="str">
            <v>Non affecté</v>
          </cell>
          <cell r="O141" t="str">
            <v>BQ</v>
          </cell>
          <cell r="P141" t="str">
            <v>Ok mon client</v>
          </cell>
          <cell r="Q141" t="str">
            <v>ROUEN / GRAND QUEVIL</v>
          </cell>
          <cell r="R141" t="str">
            <v>76</v>
          </cell>
          <cell r="S141" t="str">
            <v>6 RUE DE VALMY  BP 429</v>
          </cell>
          <cell r="T141">
            <v>76057</v>
          </cell>
          <cell r="U141" t="str">
            <v>LE HAVRE</v>
          </cell>
          <cell r="X141" t="str">
            <v>76057</v>
          </cell>
          <cell r="Y141" t="str">
            <v>LE HAVRE CEDEX</v>
          </cell>
          <cell r="Z141">
            <v>673.89</v>
          </cell>
          <cell r="AA141">
            <v>112.23999999999998</v>
          </cell>
          <cell r="AD141">
            <v>786.13</v>
          </cell>
          <cell r="AG141">
            <v>20.580000000000002</v>
          </cell>
          <cell r="AH141">
            <v>0.42759961127308066</v>
          </cell>
          <cell r="AL141">
            <v>20.580000000000002</v>
          </cell>
          <cell r="AM141">
            <v>28.812000000000001</v>
          </cell>
          <cell r="AN141">
            <v>-0.96334957322580239</v>
          </cell>
          <cell r="AZ141">
            <v>20.580000000000002</v>
          </cell>
          <cell r="BA141">
            <v>0</v>
          </cell>
          <cell r="BB141">
            <v>0</v>
          </cell>
        </row>
        <row r="142">
          <cell r="A142">
            <v>872443</v>
          </cell>
          <cell r="B142" t="str">
            <v>DELIE ISOLATION</v>
          </cell>
          <cell r="F142">
            <v>41306</v>
          </cell>
          <cell r="H142" t="str">
            <v>Passage sur un TS + 170% + TG MESS INTER +10% supp LOT</v>
          </cell>
          <cell r="I142">
            <v>0</v>
          </cell>
          <cell r="J142">
            <v>0</v>
          </cell>
          <cell r="K142" t="str">
            <v>Pas de contrat INES</v>
          </cell>
          <cell r="L142" t="str">
            <v>NON</v>
          </cell>
          <cell r="N142" t="str">
            <v>Non affecté</v>
          </cell>
          <cell r="O142" t="str">
            <v>BQ</v>
          </cell>
          <cell r="P142" t="str">
            <v>Ok mon client</v>
          </cell>
          <cell r="Q142" t="str">
            <v>ROUEN / GRAND QUEVIL</v>
          </cell>
          <cell r="R142" t="str">
            <v>76</v>
          </cell>
          <cell r="S142" t="str">
            <v>2 RUE BUFFON - LOCAL 2</v>
          </cell>
          <cell r="T142">
            <v>76600</v>
          </cell>
          <cell r="U142" t="str">
            <v>LE HAVRE</v>
          </cell>
          <cell r="X142" t="str">
            <v>76600</v>
          </cell>
          <cell r="Y142" t="str">
            <v>LE HAVRE</v>
          </cell>
          <cell r="AG142">
            <v>19.439999999999998</v>
          </cell>
          <cell r="AL142">
            <v>19.439999999999998</v>
          </cell>
          <cell r="AM142">
            <v>27.215999999999994</v>
          </cell>
          <cell r="AZ142">
            <v>19.439999999999998</v>
          </cell>
          <cell r="BA142">
            <v>0</v>
          </cell>
          <cell r="BB142">
            <v>0</v>
          </cell>
        </row>
        <row r="143">
          <cell r="A143">
            <v>43137</v>
          </cell>
          <cell r="B143" t="str">
            <v>ISAAC</v>
          </cell>
          <cell r="C143">
            <v>0.19803000000000001</v>
          </cell>
          <cell r="F143">
            <v>41306</v>
          </cell>
          <cell r="H143" t="str">
            <v>Passage sur un TS + 170% + TG MESS INTER +10% supp LOT</v>
          </cell>
          <cell r="I143" t="str">
            <v>A faire</v>
          </cell>
          <cell r="J143">
            <v>0</v>
          </cell>
          <cell r="L143" t="str">
            <v>OK</v>
          </cell>
          <cell r="N143" t="str">
            <v>Non affecté</v>
          </cell>
          <cell r="O143" t="str">
            <v>BQ</v>
          </cell>
          <cell r="P143" t="str">
            <v>Ok mon client</v>
          </cell>
          <cell r="Q143" t="str">
            <v>ROUEN / GRAND QUEVIL</v>
          </cell>
          <cell r="R143" t="str">
            <v>76</v>
          </cell>
          <cell r="S143" t="str">
            <v>PARC DE L'ESTUAIRE</v>
          </cell>
          <cell r="T143">
            <v>76700</v>
          </cell>
          <cell r="U143" t="str">
            <v>GONFREVILLE L'ORCHER</v>
          </cell>
          <cell r="X143" t="str">
            <v>76700</v>
          </cell>
          <cell r="Y143" t="str">
            <v>GONFREVILLE L'ORCHER</v>
          </cell>
          <cell r="AA143">
            <v>571.46999999999991</v>
          </cell>
          <cell r="AD143">
            <v>571.46999999999991</v>
          </cell>
          <cell r="AG143">
            <v>8.82</v>
          </cell>
          <cell r="AL143">
            <v>8.82</v>
          </cell>
          <cell r="AM143">
            <v>12.347999999999999</v>
          </cell>
          <cell r="AN143">
            <v>-0.97839256653892592</v>
          </cell>
          <cell r="AZ143">
            <v>10.566624599999999</v>
          </cell>
          <cell r="BA143">
            <v>0</v>
          </cell>
          <cell r="BB143">
            <v>0</v>
          </cell>
        </row>
        <row r="144">
          <cell r="A144">
            <v>26249</v>
          </cell>
          <cell r="B144" t="str">
            <v>FORLUMEN</v>
          </cell>
          <cell r="F144">
            <v>41306</v>
          </cell>
          <cell r="H144" t="str">
            <v>Passage sur un TS + 170% + TG MESS INTER +10% supp LOT</v>
          </cell>
          <cell r="I144">
            <v>0</v>
          </cell>
          <cell r="J144">
            <v>0</v>
          </cell>
          <cell r="K144" t="str">
            <v>Pas de contrat INES</v>
          </cell>
          <cell r="L144" t="str">
            <v>NON</v>
          </cell>
          <cell r="N144" t="str">
            <v>Non affecté</v>
          </cell>
          <cell r="O144" t="str">
            <v>KE</v>
          </cell>
          <cell r="P144" t="str">
            <v>Ok mon client</v>
          </cell>
          <cell r="Q144" t="str">
            <v>ROUEN / GRAND QUEVIL</v>
          </cell>
          <cell r="R144" t="str">
            <v>76</v>
          </cell>
          <cell r="S144" t="str">
            <v>ZAC DE ST JEAN DE LA NEUVILLE</v>
          </cell>
          <cell r="T144">
            <v>76210</v>
          </cell>
          <cell r="U144" t="str">
            <v>ST JEAN DE LA NEUVILLE</v>
          </cell>
          <cell r="X144" t="str">
            <v>76210</v>
          </cell>
          <cell r="Y144" t="str">
            <v>ST JEAN DE LA NEUVILLE</v>
          </cell>
          <cell r="AA144">
            <v>118.98</v>
          </cell>
          <cell r="AD144">
            <v>118.98</v>
          </cell>
          <cell r="AM144">
            <v>0</v>
          </cell>
          <cell r="AN144">
            <v>-1</v>
          </cell>
          <cell r="AZ144">
            <v>0</v>
          </cell>
          <cell r="BA144">
            <v>0</v>
          </cell>
          <cell r="BB144">
            <v>0</v>
          </cell>
        </row>
        <row r="145">
          <cell r="A145">
            <v>30077</v>
          </cell>
          <cell r="B145" t="str">
            <v>ETABLISSEMENTS GABART LAVAL</v>
          </cell>
          <cell r="F145">
            <v>41306</v>
          </cell>
          <cell r="H145" t="str">
            <v>Passage sur un TS + 170% + TG MESS INTER +10% supp LOT</v>
          </cell>
          <cell r="I145">
            <v>0</v>
          </cell>
          <cell r="J145">
            <v>0</v>
          </cell>
          <cell r="K145" t="str">
            <v>Pas de contrat INES</v>
          </cell>
          <cell r="L145" t="str">
            <v>NON</v>
          </cell>
          <cell r="N145" t="str">
            <v>Non affecté</v>
          </cell>
          <cell r="O145" t="str">
            <v>KE</v>
          </cell>
          <cell r="P145" t="str">
            <v>Ok mon client</v>
          </cell>
          <cell r="Q145" t="str">
            <v>ROUEN / GRAND QUEVIL</v>
          </cell>
          <cell r="R145" t="str">
            <v>33</v>
          </cell>
          <cell r="S145" t="str">
            <v>79 AV DE VERDUN</v>
          </cell>
          <cell r="T145">
            <v>33500</v>
          </cell>
          <cell r="U145" t="str">
            <v>LIBOURNE</v>
          </cell>
          <cell r="X145" t="str">
            <v>33500</v>
          </cell>
          <cell r="Y145" t="str">
            <v>LIBOURNE</v>
          </cell>
          <cell r="Z145">
            <v>385.51</v>
          </cell>
          <cell r="AA145">
            <v>1838.28</v>
          </cell>
          <cell r="AD145">
            <v>2223.79</v>
          </cell>
          <cell r="AM145">
            <v>0</v>
          </cell>
          <cell r="AN145">
            <v>-1</v>
          </cell>
          <cell r="AZ145">
            <v>0</v>
          </cell>
          <cell r="BA145">
            <v>0</v>
          </cell>
          <cell r="BB145">
            <v>0</v>
          </cell>
        </row>
        <row r="146">
          <cell r="A146">
            <v>34348</v>
          </cell>
          <cell r="B146" t="str">
            <v>ETABLISSEMENTS LACHEVRE</v>
          </cell>
          <cell r="F146">
            <v>41306</v>
          </cell>
          <cell r="H146" t="str">
            <v>Passage sur un TS + 170% + TG MESS INTER +10% supp LOT</v>
          </cell>
          <cell r="I146">
            <v>0</v>
          </cell>
          <cell r="J146">
            <v>0</v>
          </cell>
          <cell r="K146" t="str">
            <v>CONCESSIONNAIRE</v>
          </cell>
          <cell r="L146" t="str">
            <v>NON</v>
          </cell>
          <cell r="N146" t="str">
            <v>Non affecté</v>
          </cell>
          <cell r="O146" t="str">
            <v>BQ</v>
          </cell>
          <cell r="P146" t="str">
            <v>Ok mon client</v>
          </cell>
          <cell r="Q146" t="str">
            <v>ROUEN / GRAND QUEVIL</v>
          </cell>
          <cell r="R146" t="str">
            <v>76</v>
          </cell>
          <cell r="S146" t="str">
            <v>ROUTE DU HAVRE</v>
          </cell>
          <cell r="T146">
            <v>76400</v>
          </cell>
          <cell r="U146" t="str">
            <v>FECAMP</v>
          </cell>
          <cell r="X146" t="str">
            <v>76400</v>
          </cell>
          <cell r="Y146" t="str">
            <v>FECAMP</v>
          </cell>
          <cell r="AA146">
            <v>80.73</v>
          </cell>
          <cell r="AD146">
            <v>80.73</v>
          </cell>
          <cell r="AM146">
            <v>0</v>
          </cell>
          <cell r="AN146">
            <v>-1</v>
          </cell>
          <cell r="AO146" t="str">
            <v>022-G-G-M-KG</v>
          </cell>
          <cell r="AZ146">
            <v>0</v>
          </cell>
          <cell r="BA146">
            <v>0</v>
          </cell>
          <cell r="BB146">
            <v>0</v>
          </cell>
        </row>
        <row r="147">
          <cell r="A147">
            <v>347676</v>
          </cell>
          <cell r="B147" t="str">
            <v>J CARDON ET FILS</v>
          </cell>
          <cell r="C147">
            <v>1.057043</v>
          </cell>
          <cell r="F147">
            <v>41306</v>
          </cell>
          <cell r="H147" t="str">
            <v>Passage sur un TS + 170% + TG MESS INTER +10% supp LOT</v>
          </cell>
          <cell r="I147" t="str">
            <v>A faire</v>
          </cell>
          <cell r="J147">
            <v>0</v>
          </cell>
          <cell r="L147" t="str">
            <v>OK</v>
          </cell>
          <cell r="N147" t="str">
            <v>Non affecté</v>
          </cell>
          <cell r="O147" t="str">
            <v>BQ</v>
          </cell>
          <cell r="P147" t="str">
            <v>Ok mon client</v>
          </cell>
          <cell r="Q147" t="str">
            <v>ROUEN / GRAND QUEVIL</v>
          </cell>
          <cell r="R147" t="str">
            <v>76</v>
          </cell>
          <cell r="S147" t="str">
            <v>144 BLD JULES DURAND BP 417</v>
          </cell>
          <cell r="T147">
            <v>76657</v>
          </cell>
          <cell r="U147" t="str">
            <v>LE HAVRE CEDEX</v>
          </cell>
          <cell r="X147" t="str">
            <v>76657</v>
          </cell>
          <cell r="Y147" t="str">
            <v>LE HAVRE CEDEX</v>
          </cell>
          <cell r="AB147">
            <v>222.49</v>
          </cell>
          <cell r="AD147">
            <v>222.49</v>
          </cell>
          <cell r="AM147">
            <v>0</v>
          </cell>
          <cell r="AN147">
            <v>-1</v>
          </cell>
          <cell r="AO147" t="str">
            <v>022-G-76CARDONJETFILS</v>
          </cell>
          <cell r="AZ147">
            <v>0</v>
          </cell>
          <cell r="BA147">
            <v>0</v>
          </cell>
          <cell r="BB147">
            <v>0</v>
          </cell>
        </row>
        <row r="148">
          <cell r="A148">
            <v>37060</v>
          </cell>
          <cell r="B148" t="str">
            <v>ETS  ROGER GERVILLIERS</v>
          </cell>
          <cell r="F148">
            <v>41306</v>
          </cell>
          <cell r="H148" t="str">
            <v>Passage sur un TS + 170% + TG MESS INTER +10% supp LOT</v>
          </cell>
          <cell r="I148">
            <v>0</v>
          </cell>
          <cell r="J148">
            <v>0</v>
          </cell>
          <cell r="K148" t="str">
            <v>Pas de contrat INES</v>
          </cell>
          <cell r="L148" t="str">
            <v>NON</v>
          </cell>
          <cell r="N148" t="str">
            <v>Non affecté</v>
          </cell>
          <cell r="O148" t="str">
            <v>KE</v>
          </cell>
          <cell r="P148" t="str">
            <v>Ok mon client</v>
          </cell>
          <cell r="Q148" t="str">
            <v>ROUEN / GRAND QUEVIL</v>
          </cell>
          <cell r="R148" t="str">
            <v>27</v>
          </cell>
          <cell r="S148" t="str">
            <v>10/12 AV  DE PARIS  -  BP 224</v>
          </cell>
          <cell r="T148">
            <v>27202</v>
          </cell>
          <cell r="U148" t="str">
            <v>VERNON</v>
          </cell>
          <cell r="X148" t="str">
            <v>27202</v>
          </cell>
          <cell r="Y148" t="str">
            <v>VERNON</v>
          </cell>
          <cell r="AA148">
            <v>31.72</v>
          </cell>
          <cell r="AD148">
            <v>31.72</v>
          </cell>
          <cell r="AM148">
            <v>0</v>
          </cell>
          <cell r="AN148">
            <v>-1</v>
          </cell>
          <cell r="AO148" t="str">
            <v>022-G-CONCESSIONNAIRES</v>
          </cell>
          <cell r="AZ148">
            <v>0</v>
          </cell>
          <cell r="BA148">
            <v>0</v>
          </cell>
          <cell r="BB148">
            <v>0</v>
          </cell>
        </row>
        <row r="149">
          <cell r="A149">
            <v>376443</v>
          </cell>
          <cell r="B149" t="str">
            <v>AJCN</v>
          </cell>
          <cell r="F149">
            <v>41306</v>
          </cell>
          <cell r="H149" t="str">
            <v>Passage sur un TS + 170% + TG MESS INTER +10% supp LOT</v>
          </cell>
          <cell r="I149">
            <v>0</v>
          </cell>
          <cell r="J149">
            <v>0</v>
          </cell>
          <cell r="K149" t="str">
            <v>Pas de contrat INES</v>
          </cell>
          <cell r="L149" t="str">
            <v>NON</v>
          </cell>
          <cell r="N149" t="str">
            <v>Non affecté</v>
          </cell>
          <cell r="O149" t="str">
            <v>KE</v>
          </cell>
          <cell r="P149" t="str">
            <v>Ok mon client</v>
          </cell>
          <cell r="Q149" t="str">
            <v>ROUEN / GRAND QUEVIL</v>
          </cell>
          <cell r="R149" t="str">
            <v>27</v>
          </cell>
          <cell r="S149" t="str">
            <v>31 RUE FAUBOURG CAPPEVILLE</v>
          </cell>
          <cell r="T149">
            <v>27140</v>
          </cell>
          <cell r="U149" t="str">
            <v>GISORS</v>
          </cell>
          <cell r="X149" t="str">
            <v>27140</v>
          </cell>
          <cell r="Y149" t="str">
            <v>GISORS</v>
          </cell>
          <cell r="AA149">
            <v>58.77</v>
          </cell>
          <cell r="AB149">
            <v>30.18</v>
          </cell>
          <cell r="AD149">
            <v>88.95</v>
          </cell>
          <cell r="AM149">
            <v>0</v>
          </cell>
          <cell r="AN149">
            <v>-1</v>
          </cell>
          <cell r="AZ149">
            <v>0</v>
          </cell>
          <cell r="BA149">
            <v>0</v>
          </cell>
          <cell r="BB149">
            <v>0</v>
          </cell>
        </row>
        <row r="150">
          <cell r="A150">
            <v>379963</v>
          </cell>
          <cell r="B150" t="str">
            <v>LACHERAY</v>
          </cell>
          <cell r="F150">
            <v>41306</v>
          </cell>
          <cell r="H150" t="str">
            <v>Passage sur un TS + 170% + TG MESS INTER +10% supp LOT</v>
          </cell>
          <cell r="I150">
            <v>0</v>
          </cell>
          <cell r="J150">
            <v>0</v>
          </cell>
          <cell r="K150" t="str">
            <v>Pas de contrat INES</v>
          </cell>
          <cell r="L150" t="str">
            <v>NON</v>
          </cell>
          <cell r="N150" t="str">
            <v>Non affecté</v>
          </cell>
          <cell r="O150" t="str">
            <v>KE</v>
          </cell>
          <cell r="P150" t="str">
            <v>Ok mon client</v>
          </cell>
          <cell r="Q150" t="str">
            <v>ROUEN / GRAND QUEVIL</v>
          </cell>
          <cell r="R150" t="str">
            <v>76</v>
          </cell>
          <cell r="S150" t="str">
            <v>373 ROUTE DE NEUFCHATEL</v>
          </cell>
          <cell r="T150">
            <v>76230</v>
          </cell>
          <cell r="U150" t="str">
            <v>QUINCAMPOIX</v>
          </cell>
          <cell r="X150" t="str">
            <v>76230</v>
          </cell>
          <cell r="Y150" t="str">
            <v>QUINCAMPOIX</v>
          </cell>
          <cell r="AA150">
            <v>43.69</v>
          </cell>
          <cell r="AD150">
            <v>43.69</v>
          </cell>
          <cell r="AM150">
            <v>0</v>
          </cell>
          <cell r="AN150">
            <v>-1</v>
          </cell>
          <cell r="AZ150">
            <v>0</v>
          </cell>
          <cell r="BA150">
            <v>0</v>
          </cell>
          <cell r="BB150">
            <v>0</v>
          </cell>
        </row>
        <row r="151">
          <cell r="A151">
            <v>383952</v>
          </cell>
          <cell r="B151" t="str">
            <v>SENARD FONDERIE MÉCANIQUE</v>
          </cell>
          <cell r="F151">
            <v>41306</v>
          </cell>
          <cell r="H151" t="str">
            <v>Passage sur un TS + 170% + TG MESS INTER +10% supp LOT</v>
          </cell>
          <cell r="I151">
            <v>0</v>
          </cell>
          <cell r="J151">
            <v>0</v>
          </cell>
          <cell r="K151" t="str">
            <v>Pas de contrat INES</v>
          </cell>
          <cell r="L151" t="str">
            <v>NON</v>
          </cell>
          <cell r="N151" t="str">
            <v>Non affecté</v>
          </cell>
          <cell r="O151" t="str">
            <v>KE</v>
          </cell>
          <cell r="P151" t="str">
            <v>Ok mon client</v>
          </cell>
          <cell r="Q151" t="str">
            <v>ROUEN / GRAND QUEVIL</v>
          </cell>
          <cell r="R151" t="str">
            <v>76</v>
          </cell>
          <cell r="S151" t="str">
            <v>13 RUE DE LA REPUBLIQUE</v>
          </cell>
          <cell r="T151">
            <v>76150</v>
          </cell>
          <cell r="U151" t="str">
            <v>MAROMME</v>
          </cell>
          <cell r="X151" t="str">
            <v>76150</v>
          </cell>
          <cell r="Y151" t="str">
            <v>MAROMME</v>
          </cell>
          <cell r="AA151">
            <v>16.04</v>
          </cell>
          <cell r="AD151">
            <v>16.04</v>
          </cell>
          <cell r="AM151">
            <v>0</v>
          </cell>
          <cell r="AN151">
            <v>-1</v>
          </cell>
          <cell r="AZ151">
            <v>0</v>
          </cell>
          <cell r="BA151">
            <v>0</v>
          </cell>
          <cell r="BB151">
            <v>0</v>
          </cell>
        </row>
        <row r="152">
          <cell r="A152">
            <v>394188</v>
          </cell>
          <cell r="B152" t="str">
            <v>VATINEL LOGISTIQUE</v>
          </cell>
          <cell r="F152">
            <v>41306</v>
          </cell>
          <cell r="H152" t="str">
            <v>Passage sur un TS + 170% + TG MESS INTER +10% supp LOT</v>
          </cell>
          <cell r="I152">
            <v>0</v>
          </cell>
          <cell r="J152">
            <v>0</v>
          </cell>
          <cell r="K152" t="str">
            <v>Pas de contrat INES</v>
          </cell>
          <cell r="L152" t="str">
            <v>NON</v>
          </cell>
          <cell r="N152" t="str">
            <v>Non affecté</v>
          </cell>
          <cell r="O152" t="str">
            <v>BQ</v>
          </cell>
          <cell r="P152" t="str">
            <v>Ok mon client</v>
          </cell>
          <cell r="Q152" t="str">
            <v>ROUEN / GRAND QUEVIL</v>
          </cell>
          <cell r="R152" t="str">
            <v>76</v>
          </cell>
          <cell r="S152" t="str">
            <v>ZI DE ROGERVILLE PLPN</v>
          </cell>
          <cell r="T152">
            <v>76430</v>
          </cell>
          <cell r="U152" t="str">
            <v>OUDALE</v>
          </cell>
          <cell r="X152" t="str">
            <v>76430</v>
          </cell>
          <cell r="Y152" t="str">
            <v>OUDALE</v>
          </cell>
          <cell r="AB152">
            <v>-56.03</v>
          </cell>
          <cell r="AD152">
            <v>-56.03</v>
          </cell>
          <cell r="AM152">
            <v>0</v>
          </cell>
          <cell r="AN152">
            <v>-1</v>
          </cell>
          <cell r="AZ152">
            <v>0</v>
          </cell>
          <cell r="BA152">
            <v>0</v>
          </cell>
          <cell r="BB152">
            <v>0</v>
          </cell>
        </row>
        <row r="153">
          <cell r="A153">
            <v>39785</v>
          </cell>
          <cell r="B153" t="str">
            <v>TENIC</v>
          </cell>
          <cell r="F153">
            <v>41306</v>
          </cell>
          <cell r="H153" t="str">
            <v>Passage sur un TS + 170% + TG MESS INTER +10% supp LOT</v>
          </cell>
          <cell r="I153">
            <v>0</v>
          </cell>
          <cell r="J153">
            <v>0</v>
          </cell>
          <cell r="K153" t="str">
            <v>Pas de contrat INES</v>
          </cell>
          <cell r="L153" t="str">
            <v>NON</v>
          </cell>
          <cell r="N153" t="str">
            <v>Non affecté</v>
          </cell>
          <cell r="O153" t="str">
            <v>BQ</v>
          </cell>
          <cell r="P153" t="str">
            <v>Ok mon client</v>
          </cell>
          <cell r="Q153" t="str">
            <v>ROUEN / GRAND QUEVIL</v>
          </cell>
          <cell r="R153" t="str">
            <v>14</v>
          </cell>
          <cell r="S153" t="str">
            <v>11 RUE DES BUISSONS</v>
          </cell>
          <cell r="T153">
            <v>14610</v>
          </cell>
          <cell r="U153" t="str">
            <v>VILLONS LES BUISSONS</v>
          </cell>
          <cell r="X153" t="str">
            <v>14610</v>
          </cell>
          <cell r="Y153" t="str">
            <v>VILLONS LES BUISSONS</v>
          </cell>
          <cell r="AM153">
            <v>0</v>
          </cell>
          <cell r="AZ153">
            <v>0</v>
          </cell>
          <cell r="BA153">
            <v>0</v>
          </cell>
          <cell r="BB153">
            <v>0</v>
          </cell>
        </row>
        <row r="154">
          <cell r="A154">
            <v>428</v>
          </cell>
          <cell r="B154" t="str">
            <v>ACMA</v>
          </cell>
          <cell r="F154">
            <v>41306</v>
          </cell>
          <cell r="H154" t="str">
            <v>Passage sur un TS + 170% + TG MESS INTER +10% supp LOT</v>
          </cell>
          <cell r="I154">
            <v>0</v>
          </cell>
          <cell r="J154">
            <v>0</v>
          </cell>
          <cell r="K154" t="str">
            <v>Pas de contrat INES</v>
          </cell>
          <cell r="L154" t="str">
            <v>NON</v>
          </cell>
          <cell r="N154" t="str">
            <v>Non affecté</v>
          </cell>
          <cell r="O154" t="str">
            <v>BQ</v>
          </cell>
          <cell r="P154" t="str">
            <v>Ok mon client</v>
          </cell>
          <cell r="Q154" t="str">
            <v>ROUEN / GRAND QUEVIL</v>
          </cell>
          <cell r="R154" t="str">
            <v>76</v>
          </cell>
          <cell r="S154" t="str">
            <v>30, RUE DES MOULINS</v>
          </cell>
          <cell r="T154">
            <v>76370</v>
          </cell>
          <cell r="U154" t="str">
            <v>ANCOURT</v>
          </cell>
          <cell r="X154" t="str">
            <v>76370</v>
          </cell>
          <cell r="Y154" t="str">
            <v>ANCOURT</v>
          </cell>
          <cell r="AA154">
            <v>17.809999999999999</v>
          </cell>
          <cell r="AD154">
            <v>17.809999999999999</v>
          </cell>
          <cell r="AM154">
            <v>0</v>
          </cell>
          <cell r="AN154">
            <v>-1</v>
          </cell>
          <cell r="AO154" t="str">
            <v>022-G-76ACMAR</v>
          </cell>
          <cell r="AZ154">
            <v>0</v>
          </cell>
          <cell r="BA154">
            <v>0</v>
          </cell>
          <cell r="BB154">
            <v>0</v>
          </cell>
        </row>
        <row r="155">
          <cell r="A155">
            <v>43100</v>
          </cell>
          <cell r="B155" t="str">
            <v>FADICLASS AUGERE</v>
          </cell>
          <cell r="F155">
            <v>41306</v>
          </cell>
          <cell r="H155" t="str">
            <v>Passage sur un TS + 170% + TG MESS INTER +10% supp LOT</v>
          </cell>
          <cell r="I155">
            <v>0</v>
          </cell>
          <cell r="J155">
            <v>0</v>
          </cell>
          <cell r="K155" t="str">
            <v>Pas de contrat INES</v>
          </cell>
          <cell r="L155" t="str">
            <v>NON</v>
          </cell>
          <cell r="N155" t="str">
            <v>Non affecté</v>
          </cell>
          <cell r="O155" t="str">
            <v>KE</v>
          </cell>
          <cell r="P155" t="str">
            <v>Ok mon client</v>
          </cell>
          <cell r="Q155" t="str">
            <v>ROUEN / GRAND QUEVIL</v>
          </cell>
          <cell r="R155" t="str">
            <v>61</v>
          </cell>
          <cell r="S155" t="str">
            <v>BP 1</v>
          </cell>
          <cell r="T155">
            <v>61350</v>
          </cell>
          <cell r="U155" t="str">
            <v>SAINT MARS D'EGRENNE</v>
          </cell>
          <cell r="X155" t="str">
            <v>61350</v>
          </cell>
          <cell r="Y155" t="str">
            <v>SAINT MARS D'EGRENNE</v>
          </cell>
          <cell r="AB155">
            <v>134.86000000000001</v>
          </cell>
          <cell r="AD155">
            <v>134.86000000000001</v>
          </cell>
          <cell r="AM155">
            <v>0</v>
          </cell>
          <cell r="AN155">
            <v>-1</v>
          </cell>
          <cell r="AZ155">
            <v>0</v>
          </cell>
          <cell r="BA155">
            <v>0</v>
          </cell>
          <cell r="BB155">
            <v>0</v>
          </cell>
        </row>
        <row r="156">
          <cell r="A156">
            <v>463088</v>
          </cell>
          <cell r="B156" t="str">
            <v>ROUTE SERVICE INDUSTRIE</v>
          </cell>
          <cell r="F156">
            <v>41306</v>
          </cell>
          <cell r="H156" t="str">
            <v>Passage sur un TS + 170% + TG MESS INTER +10% supp LOT</v>
          </cell>
          <cell r="I156">
            <v>0</v>
          </cell>
          <cell r="J156">
            <v>0</v>
          </cell>
          <cell r="L156" t="str">
            <v>OK</v>
          </cell>
          <cell r="N156" t="str">
            <v>Non affecté</v>
          </cell>
          <cell r="O156" t="str">
            <v>KE</v>
          </cell>
          <cell r="P156" t="str">
            <v>Ok mon client</v>
          </cell>
          <cell r="Q156" t="str">
            <v>ROUEN / GRAND QUEVIL</v>
          </cell>
          <cell r="R156" t="str">
            <v>27</v>
          </cell>
          <cell r="S156" t="str">
            <v>ZA ECOPARC ALLEE DES MEIRISIERS</v>
          </cell>
          <cell r="T156">
            <v>27400</v>
          </cell>
          <cell r="U156" t="str">
            <v>HEUDEBOUVILLE</v>
          </cell>
          <cell r="X156" t="str">
            <v>27400</v>
          </cell>
          <cell r="Y156" t="str">
            <v>HEUDEBOUVILLE</v>
          </cell>
          <cell r="Z156">
            <v>6093.1200000000008</v>
          </cell>
          <cell r="AD156">
            <v>6093.1200000000008</v>
          </cell>
          <cell r="AM156">
            <v>0</v>
          </cell>
          <cell r="AN156">
            <v>-1</v>
          </cell>
          <cell r="AP156" t="str">
            <v>022-L1-27RS</v>
          </cell>
          <cell r="AZ156">
            <v>0</v>
          </cell>
          <cell r="BA156">
            <v>0</v>
          </cell>
          <cell r="BB156">
            <v>0</v>
          </cell>
        </row>
        <row r="157">
          <cell r="A157">
            <v>47299</v>
          </cell>
          <cell r="B157" t="str">
            <v>SOFEDIT LE THEIL</v>
          </cell>
          <cell r="F157">
            <v>41306</v>
          </cell>
          <cell r="H157" t="str">
            <v>Passage sur un TS + 170% + TG MESS INTER +10% supp LOT</v>
          </cell>
          <cell r="I157">
            <v>0</v>
          </cell>
          <cell r="J157">
            <v>0</v>
          </cell>
          <cell r="K157" t="str">
            <v>PAS GERE PAR 022</v>
          </cell>
          <cell r="L157" t="str">
            <v>NON</v>
          </cell>
          <cell r="N157" t="str">
            <v>Non affecté</v>
          </cell>
          <cell r="O157" t="str">
            <v>KE</v>
          </cell>
          <cell r="P157" t="str">
            <v>Ok mon client</v>
          </cell>
          <cell r="Q157" t="str">
            <v>ROUEN / GRAND QUEVIL</v>
          </cell>
          <cell r="R157" t="str">
            <v>61</v>
          </cell>
          <cell r="S157" t="str">
            <v>RUE DE LA PECHERIE</v>
          </cell>
          <cell r="T157">
            <v>61260</v>
          </cell>
          <cell r="U157" t="str">
            <v>THEIL(LE)</v>
          </cell>
          <cell r="X157" t="str">
            <v>61260</v>
          </cell>
          <cell r="Y157" t="str">
            <v>THEIL(LE)</v>
          </cell>
          <cell r="AA157">
            <v>134.57</v>
          </cell>
          <cell r="AD157">
            <v>134.57</v>
          </cell>
          <cell r="AM157">
            <v>0</v>
          </cell>
          <cell r="AN157">
            <v>-1</v>
          </cell>
          <cell r="AZ157">
            <v>0</v>
          </cell>
          <cell r="BA157">
            <v>0</v>
          </cell>
          <cell r="BB157">
            <v>0</v>
          </cell>
        </row>
        <row r="158">
          <cell r="A158">
            <v>482634</v>
          </cell>
          <cell r="B158" t="str">
            <v>RMC INDUSTRIE</v>
          </cell>
          <cell r="C158">
            <v>0.9615184</v>
          </cell>
          <cell r="F158">
            <v>41306</v>
          </cell>
          <cell r="H158" t="str">
            <v>Passage sur un TS + 170% + TG MESS INTER +10% supp LOT</v>
          </cell>
          <cell r="I158" t="str">
            <v>A faire</v>
          </cell>
          <cell r="J158">
            <v>0</v>
          </cell>
          <cell r="L158" t="str">
            <v>OK</v>
          </cell>
          <cell r="N158" t="str">
            <v>Non affecté</v>
          </cell>
          <cell r="O158" t="str">
            <v>BQ</v>
          </cell>
          <cell r="P158" t="str">
            <v>Ok mon client</v>
          </cell>
          <cell r="Q158" t="str">
            <v>ROUEN / GRAND QUEVIL</v>
          </cell>
          <cell r="R158" t="str">
            <v>27</v>
          </cell>
          <cell r="S158" t="str">
            <v>1 RUE DE LA FORGE</v>
          </cell>
          <cell r="T158">
            <v>27190</v>
          </cell>
          <cell r="U158" t="str">
            <v>LA BONNEVILLE SUR ITON</v>
          </cell>
          <cell r="X158" t="str">
            <v>27190</v>
          </cell>
          <cell r="Y158" t="str">
            <v>LA BONNEVILLE SUR ITON</v>
          </cell>
          <cell r="Z158">
            <v>367.4</v>
          </cell>
          <cell r="AD158">
            <v>367.4</v>
          </cell>
          <cell r="AM158">
            <v>0</v>
          </cell>
          <cell r="AN158">
            <v>-1</v>
          </cell>
          <cell r="AO158" t="str">
            <v>022-G-27RMC</v>
          </cell>
          <cell r="AZ158">
            <v>0</v>
          </cell>
          <cell r="BA158">
            <v>0</v>
          </cell>
          <cell r="BB158">
            <v>0</v>
          </cell>
        </row>
        <row r="159">
          <cell r="A159">
            <v>483002</v>
          </cell>
          <cell r="B159" t="str">
            <v>STYL'PARQUET</v>
          </cell>
          <cell r="F159">
            <v>41306</v>
          </cell>
          <cell r="H159" t="str">
            <v>Passage sur un TS + 170% + TG MESS INTER +10% supp LOT</v>
          </cell>
          <cell r="I159">
            <v>0</v>
          </cell>
          <cell r="J159">
            <v>0</v>
          </cell>
          <cell r="K159" t="str">
            <v>Pas de contrat INES</v>
          </cell>
          <cell r="L159" t="str">
            <v>NON</v>
          </cell>
          <cell r="N159" t="str">
            <v>Non affecté</v>
          </cell>
          <cell r="O159" t="str">
            <v>KE</v>
          </cell>
          <cell r="P159" t="str">
            <v>Ok mon client</v>
          </cell>
          <cell r="Q159" t="str">
            <v>ROUEN / GRAND QUEVIL</v>
          </cell>
          <cell r="R159" t="str">
            <v>76</v>
          </cell>
          <cell r="S159" t="str">
            <v>3 RUE DE LA CORDERIE</v>
          </cell>
          <cell r="T159">
            <v>76130</v>
          </cell>
          <cell r="U159" t="str">
            <v>MONT ST AIGNAN</v>
          </cell>
          <cell r="X159" t="str">
            <v>76130</v>
          </cell>
          <cell r="Y159" t="str">
            <v>MONT SAINT AIGNAN</v>
          </cell>
          <cell r="AA159">
            <v>106.6</v>
          </cell>
          <cell r="AB159">
            <v>131.36000000000001</v>
          </cell>
          <cell r="AD159">
            <v>237.96</v>
          </cell>
          <cell r="AM159">
            <v>0</v>
          </cell>
          <cell r="AN159">
            <v>-1</v>
          </cell>
          <cell r="AZ159">
            <v>0</v>
          </cell>
          <cell r="BA159">
            <v>0</v>
          </cell>
          <cell r="BB159">
            <v>0</v>
          </cell>
        </row>
        <row r="160">
          <cell r="A160">
            <v>483904</v>
          </cell>
          <cell r="B160" t="str">
            <v>ALBAUT VILLETTE</v>
          </cell>
          <cell r="F160">
            <v>41306</v>
          </cell>
          <cell r="H160" t="str">
            <v>Passage sur un TS + 170% + TG MESS INTER +10% supp LOT</v>
          </cell>
          <cell r="I160">
            <v>0</v>
          </cell>
          <cell r="J160">
            <v>0</v>
          </cell>
          <cell r="K160" t="str">
            <v>Pas de contrat INES</v>
          </cell>
          <cell r="L160" t="str">
            <v>NON</v>
          </cell>
          <cell r="N160" t="str">
            <v>Non affecté</v>
          </cell>
          <cell r="O160" t="str">
            <v>BQ</v>
          </cell>
          <cell r="P160" t="str">
            <v>Ok mon client</v>
          </cell>
          <cell r="Q160" t="str">
            <v>ROUEN / GRAND QUEVIL</v>
          </cell>
          <cell r="R160" t="str">
            <v>76</v>
          </cell>
          <cell r="S160" t="str">
            <v>26 RUE GRANDE EPINE</v>
          </cell>
          <cell r="T160">
            <v>76800</v>
          </cell>
          <cell r="U160" t="str">
            <v>ST ETIENNE DU ROUVRAY</v>
          </cell>
          <cell r="X160" t="str">
            <v>76800</v>
          </cell>
          <cell r="Y160" t="str">
            <v>SAINT ETIENNE DU ROUVRAY</v>
          </cell>
          <cell r="AA160">
            <v>182</v>
          </cell>
          <cell r="AD160">
            <v>182</v>
          </cell>
          <cell r="AM160">
            <v>0</v>
          </cell>
          <cell r="AN160">
            <v>-1</v>
          </cell>
          <cell r="AZ160">
            <v>0</v>
          </cell>
          <cell r="BA160">
            <v>0</v>
          </cell>
          <cell r="BB160">
            <v>0</v>
          </cell>
        </row>
        <row r="161">
          <cell r="A161">
            <v>486369</v>
          </cell>
          <cell r="B161" t="str">
            <v>JILINTER</v>
          </cell>
          <cell r="C161">
            <v>0.37313400000000002</v>
          </cell>
          <cell r="F161">
            <v>41306</v>
          </cell>
          <cell r="H161" t="str">
            <v>Passage sur un TS + 170% + TG MESS INTER +10% supp LOT</v>
          </cell>
          <cell r="I161" t="str">
            <v>A faire</v>
          </cell>
          <cell r="J161">
            <v>0</v>
          </cell>
          <cell r="L161" t="str">
            <v>OK</v>
          </cell>
          <cell r="N161" t="str">
            <v>Non affecté</v>
          </cell>
          <cell r="O161" t="str">
            <v>BQ</v>
          </cell>
          <cell r="P161" t="str">
            <v>Ok mon client</v>
          </cell>
          <cell r="Q161" t="str">
            <v>ROUEN / GRAND QUEVIL</v>
          </cell>
          <cell r="R161" t="str">
            <v>14</v>
          </cell>
          <cell r="S161" t="str">
            <v>23 RUE D'ANGERVILLE</v>
          </cell>
          <cell r="T161">
            <v>14880</v>
          </cell>
          <cell r="U161" t="str">
            <v>HERMANVILLE SUR MER</v>
          </cell>
          <cell r="X161" t="str">
            <v>14880</v>
          </cell>
          <cell r="Y161" t="str">
            <v>HERMANVILLE SUR MER</v>
          </cell>
          <cell r="AB161">
            <v>1118.6300000000001</v>
          </cell>
          <cell r="AD161">
            <v>1118.6300000000001</v>
          </cell>
          <cell r="AM161">
            <v>0</v>
          </cell>
          <cell r="AN161">
            <v>-1</v>
          </cell>
          <cell r="AO161" t="str">
            <v>022-G-GENERAL-KG</v>
          </cell>
          <cell r="AZ161">
            <v>0</v>
          </cell>
          <cell r="BA161">
            <v>0</v>
          </cell>
          <cell r="BB161">
            <v>0</v>
          </cell>
        </row>
        <row r="162">
          <cell r="A162">
            <v>486513</v>
          </cell>
          <cell r="B162" t="str">
            <v>WL CREATION</v>
          </cell>
          <cell r="F162">
            <v>41306</v>
          </cell>
          <cell r="H162" t="str">
            <v>Passage sur un TS + 170% + TG MESS INTER +10% supp LOT</v>
          </cell>
          <cell r="I162">
            <v>0</v>
          </cell>
          <cell r="J162">
            <v>0</v>
          </cell>
          <cell r="K162" t="str">
            <v>Pas de contrat INES</v>
          </cell>
          <cell r="L162" t="str">
            <v>NON</v>
          </cell>
          <cell r="N162" t="str">
            <v>Non affecté</v>
          </cell>
          <cell r="O162" t="str">
            <v>KE</v>
          </cell>
          <cell r="P162" t="str">
            <v>Ok mon client</v>
          </cell>
          <cell r="Q162" t="str">
            <v>ROUEN / GRAND QUEVIL</v>
          </cell>
          <cell r="R162" t="str">
            <v>27</v>
          </cell>
          <cell r="S162" t="str">
            <v>20 ROUTE DE ROUEN</v>
          </cell>
          <cell r="T162">
            <v>27440</v>
          </cell>
          <cell r="U162" t="str">
            <v>ECOUIS</v>
          </cell>
          <cell r="X162" t="str">
            <v>27440</v>
          </cell>
          <cell r="Y162" t="str">
            <v>ECOUIS</v>
          </cell>
          <cell r="Z162">
            <v>1102.07</v>
          </cell>
          <cell r="AD162">
            <v>1102.07</v>
          </cell>
          <cell r="AM162">
            <v>0</v>
          </cell>
          <cell r="AN162">
            <v>-1</v>
          </cell>
          <cell r="AZ162">
            <v>0</v>
          </cell>
          <cell r="BA162">
            <v>0</v>
          </cell>
          <cell r="BB162">
            <v>0</v>
          </cell>
        </row>
        <row r="163">
          <cell r="A163">
            <v>49781</v>
          </cell>
          <cell r="B163" t="str">
            <v>GEVELOT EXTRUSION</v>
          </cell>
          <cell r="C163">
            <v>0.41529899999999997</v>
          </cell>
          <cell r="F163">
            <v>41306</v>
          </cell>
          <cell r="H163" t="str">
            <v>Passage sur un TS + 170% + TG MESS INTER +10% supp LOT</v>
          </cell>
          <cell r="I163" t="str">
            <v>A faire</v>
          </cell>
          <cell r="J163">
            <v>0</v>
          </cell>
          <cell r="L163" t="str">
            <v>OK</v>
          </cell>
          <cell r="N163" t="str">
            <v>Non affecté</v>
          </cell>
          <cell r="O163" t="str">
            <v>KE</v>
          </cell>
          <cell r="P163" t="str">
            <v>Ok mon client</v>
          </cell>
          <cell r="Q163" t="str">
            <v>ROUEN / GRAND QUEVIL</v>
          </cell>
          <cell r="R163" t="str">
            <v>76</v>
          </cell>
          <cell r="S163" t="str">
            <v>LE DOUX MESNIL  ZI</v>
          </cell>
          <cell r="T163">
            <v>76550</v>
          </cell>
          <cell r="U163" t="str">
            <v>OFFRANVILLE</v>
          </cell>
          <cell r="X163" t="str">
            <v>76550</v>
          </cell>
          <cell r="Y163" t="str">
            <v>OFFRANVILLE</v>
          </cell>
          <cell r="AM163">
            <v>0</v>
          </cell>
          <cell r="AO163" t="str">
            <v>022-G-76GEVELOTEXTRUSI</v>
          </cell>
          <cell r="AZ163">
            <v>0</v>
          </cell>
          <cell r="BA163">
            <v>0</v>
          </cell>
          <cell r="BB163">
            <v>0</v>
          </cell>
        </row>
        <row r="164">
          <cell r="A164">
            <v>504690</v>
          </cell>
          <cell r="B164" t="str">
            <v>MATURA</v>
          </cell>
          <cell r="F164">
            <v>41306</v>
          </cell>
          <cell r="H164" t="str">
            <v>Passage sur un TS + 170% + TG MESS INTER +10% supp LOT</v>
          </cell>
          <cell r="I164">
            <v>0</v>
          </cell>
          <cell r="J164">
            <v>0</v>
          </cell>
          <cell r="K164" t="str">
            <v>Pas de contrat INES</v>
          </cell>
          <cell r="L164" t="str">
            <v>NON</v>
          </cell>
          <cell r="N164" t="str">
            <v>Non affecté</v>
          </cell>
          <cell r="O164" t="str">
            <v>BQ</v>
          </cell>
          <cell r="P164" t="str">
            <v>Ok mon client</v>
          </cell>
          <cell r="Q164" t="str">
            <v>ROUEN / GRAND QUEVIL</v>
          </cell>
          <cell r="R164" t="str">
            <v>76</v>
          </cell>
          <cell r="S164" t="str">
            <v>3 RUE PHILIPPE LANOUX  BP 74</v>
          </cell>
          <cell r="T164">
            <v>76302</v>
          </cell>
          <cell r="U164" t="str">
            <v>SOTTEVILLE / ROUEN</v>
          </cell>
          <cell r="X164" t="str">
            <v>76302</v>
          </cell>
          <cell r="Y164" t="str">
            <v>SOTTEVILLE / ROUEN CEDEX</v>
          </cell>
          <cell r="AA164">
            <v>152.6</v>
          </cell>
          <cell r="AD164">
            <v>152.6</v>
          </cell>
          <cell r="AM164">
            <v>0</v>
          </cell>
          <cell r="AN164">
            <v>-1</v>
          </cell>
          <cell r="AO164" t="str">
            <v>022-G-76MATURA</v>
          </cell>
          <cell r="AZ164">
            <v>0</v>
          </cell>
          <cell r="BA164">
            <v>0</v>
          </cell>
          <cell r="BB164">
            <v>0</v>
          </cell>
        </row>
        <row r="165">
          <cell r="A165">
            <v>505444</v>
          </cell>
          <cell r="B165" t="str">
            <v>BOBET</v>
          </cell>
          <cell r="F165">
            <v>41306</v>
          </cell>
          <cell r="H165" t="str">
            <v>Passage sur un TS + 170% + TG MESS INTER +10% supp LOT</v>
          </cell>
          <cell r="I165">
            <v>0</v>
          </cell>
          <cell r="J165">
            <v>0</v>
          </cell>
          <cell r="K165" t="str">
            <v>Pas de contrat INES</v>
          </cell>
          <cell r="L165" t="str">
            <v>NON</v>
          </cell>
          <cell r="N165" t="str">
            <v>Non affecté</v>
          </cell>
          <cell r="O165" t="str">
            <v>BQ</v>
          </cell>
          <cell r="P165" t="str">
            <v>Ok mon client</v>
          </cell>
          <cell r="Q165" t="str">
            <v>ROUEN / GRAND QUEVIL</v>
          </cell>
          <cell r="R165" t="str">
            <v>76</v>
          </cell>
          <cell r="S165" t="str">
            <v>5 BLD PIERRE BROSSOLETTE</v>
          </cell>
          <cell r="T165">
            <v>76120</v>
          </cell>
          <cell r="U165" t="str">
            <v>LE GRAND QUEVILLY</v>
          </cell>
          <cell r="X165" t="str">
            <v>76120</v>
          </cell>
          <cell r="Y165" t="str">
            <v>LE GRAND QUEVILLY</v>
          </cell>
          <cell r="Z165">
            <v>1284</v>
          </cell>
          <cell r="AB165">
            <v>253.01</v>
          </cell>
          <cell r="AD165">
            <v>1537.01</v>
          </cell>
          <cell r="AM165">
            <v>0</v>
          </cell>
          <cell r="AN165">
            <v>-1</v>
          </cell>
          <cell r="AZ165">
            <v>0</v>
          </cell>
          <cell r="BA165">
            <v>0</v>
          </cell>
          <cell r="BB165">
            <v>0</v>
          </cell>
        </row>
        <row r="166">
          <cell r="A166">
            <v>529047</v>
          </cell>
          <cell r="B166" t="str">
            <v>TMN</v>
          </cell>
          <cell r="F166">
            <v>41306</v>
          </cell>
          <cell r="H166" t="str">
            <v>Passage sur un TS + 170% + TG MESS INTER +10% supp LOT</v>
          </cell>
          <cell r="I166">
            <v>0</v>
          </cell>
          <cell r="J166">
            <v>0</v>
          </cell>
          <cell r="K166" t="str">
            <v>Pas de contrat INES</v>
          </cell>
          <cell r="L166" t="str">
            <v>NON</v>
          </cell>
          <cell r="N166" t="str">
            <v>Non affecté</v>
          </cell>
          <cell r="O166" t="str">
            <v>BQ</v>
          </cell>
          <cell r="P166" t="str">
            <v>Ok mon client</v>
          </cell>
          <cell r="Q166" t="str">
            <v>ROUEN / GRAND QUEVIL</v>
          </cell>
          <cell r="R166" t="str">
            <v>76</v>
          </cell>
          <cell r="S166" t="str">
            <v>7 RUE GUSTAVE EIFFEL</v>
          </cell>
          <cell r="T166">
            <v>76330</v>
          </cell>
          <cell r="U166" t="str">
            <v>NOTRE DAME DE GRAVENCHON</v>
          </cell>
          <cell r="X166" t="str">
            <v>76330</v>
          </cell>
          <cell r="Y166" t="str">
            <v>NOTRE DAME DE GRAVENCHON</v>
          </cell>
          <cell r="AA166">
            <v>-19.93</v>
          </cell>
          <cell r="AD166">
            <v>-19.93</v>
          </cell>
          <cell r="AM166">
            <v>0</v>
          </cell>
          <cell r="AN166">
            <v>-1</v>
          </cell>
          <cell r="AZ166">
            <v>0</v>
          </cell>
          <cell r="BA166">
            <v>0</v>
          </cell>
          <cell r="BB166">
            <v>0</v>
          </cell>
        </row>
        <row r="167">
          <cell r="A167">
            <v>532954</v>
          </cell>
          <cell r="B167" t="str">
            <v>SETREM</v>
          </cell>
          <cell r="C167">
            <v>0.19803000000000001</v>
          </cell>
          <cell r="F167">
            <v>41306</v>
          </cell>
          <cell r="H167" t="str">
            <v>Passage sur un TS + 170% + TG MESS INTER +10% supp LOT</v>
          </cell>
          <cell r="I167" t="str">
            <v>A faire</v>
          </cell>
          <cell r="J167">
            <v>0</v>
          </cell>
          <cell r="L167" t="str">
            <v>OK</v>
          </cell>
          <cell r="N167" t="str">
            <v>Non affecté</v>
          </cell>
          <cell r="O167" t="str">
            <v>KE</v>
          </cell>
          <cell r="P167" t="str">
            <v>Ok mon client</v>
          </cell>
          <cell r="Q167" t="str">
            <v>ROUEN / GRAND QUEVIL</v>
          </cell>
          <cell r="R167" t="str">
            <v>27</v>
          </cell>
          <cell r="S167" t="str">
            <v>ZONE ARTISANALE DES PATIS</v>
          </cell>
          <cell r="T167">
            <v>27400</v>
          </cell>
          <cell r="U167" t="str">
            <v>ACQUIGNY</v>
          </cell>
          <cell r="X167" t="str">
            <v>27400</v>
          </cell>
          <cell r="Y167" t="str">
            <v>ACQUIGNY</v>
          </cell>
          <cell r="AA167">
            <v>40.86</v>
          </cell>
          <cell r="AB167">
            <v>2441.4600000000005</v>
          </cell>
          <cell r="AD167">
            <v>2482.3200000000006</v>
          </cell>
          <cell r="AM167">
            <v>0</v>
          </cell>
          <cell r="AN167">
            <v>-1</v>
          </cell>
          <cell r="AO167" t="str">
            <v>022-G-27SETREM</v>
          </cell>
          <cell r="AZ167">
            <v>0</v>
          </cell>
          <cell r="BA167">
            <v>0</v>
          </cell>
          <cell r="BB167">
            <v>0</v>
          </cell>
        </row>
        <row r="168">
          <cell r="A168">
            <v>535088</v>
          </cell>
          <cell r="B168" t="str">
            <v>INTERFAS SAS</v>
          </cell>
          <cell r="F168">
            <v>41306</v>
          </cell>
          <cell r="H168" t="str">
            <v>Passage sur un TS + 170% + TG MESS INTER +10% supp LOT</v>
          </cell>
          <cell r="I168">
            <v>0</v>
          </cell>
          <cell r="J168">
            <v>0</v>
          </cell>
          <cell r="K168" t="str">
            <v>Pas de contrat INES</v>
          </cell>
          <cell r="L168" t="str">
            <v>NON</v>
          </cell>
          <cell r="N168" t="str">
            <v>Non affecté</v>
          </cell>
          <cell r="O168" t="str">
            <v>KE</v>
          </cell>
          <cell r="P168" t="str">
            <v>Ok mon client</v>
          </cell>
          <cell r="Q168" t="str">
            <v>ROUEN / GRAND QUEVIL</v>
          </cell>
          <cell r="R168" t="str">
            <v>27</v>
          </cell>
          <cell r="S168" t="str">
            <v>RUE CHARLES CROS</v>
          </cell>
          <cell r="T168">
            <v>27406</v>
          </cell>
          <cell r="U168" t="str">
            <v>LOUVIERS CEDEX</v>
          </cell>
          <cell r="X168" t="str">
            <v>27406</v>
          </cell>
          <cell r="Y168" t="str">
            <v>LOUVIERS CEDEX</v>
          </cell>
          <cell r="AA168">
            <v>40.020000000000003</v>
          </cell>
          <cell r="AD168">
            <v>40.020000000000003</v>
          </cell>
          <cell r="AM168">
            <v>0</v>
          </cell>
          <cell r="AN168">
            <v>-1</v>
          </cell>
          <cell r="AZ168">
            <v>0</v>
          </cell>
          <cell r="BA168">
            <v>0</v>
          </cell>
          <cell r="BB168">
            <v>0</v>
          </cell>
        </row>
        <row r="169">
          <cell r="A169">
            <v>538854</v>
          </cell>
          <cell r="B169" t="str">
            <v>SIKA</v>
          </cell>
          <cell r="F169">
            <v>41306</v>
          </cell>
          <cell r="H169" t="str">
            <v>Passage sur un TS + 170% + TG MESS INTER +10% supp LOT</v>
          </cell>
          <cell r="I169">
            <v>0</v>
          </cell>
          <cell r="J169">
            <v>0</v>
          </cell>
          <cell r="K169" t="str">
            <v>Pas de contrat INES</v>
          </cell>
          <cell r="L169" t="str">
            <v>NON</v>
          </cell>
          <cell r="N169" t="str">
            <v>Non affecté</v>
          </cell>
          <cell r="O169" t="str">
            <v>KE</v>
          </cell>
          <cell r="P169" t="str">
            <v>Ok mon client</v>
          </cell>
          <cell r="Q169" t="str">
            <v>ROUEN / GRAND QUEVIL</v>
          </cell>
          <cell r="R169" t="str">
            <v>76</v>
          </cell>
          <cell r="S169" t="str">
            <v>Z I  B P 111</v>
          </cell>
          <cell r="T169">
            <v>76220</v>
          </cell>
          <cell r="U169" t="str">
            <v>GOURNAY EN BRAY</v>
          </cell>
          <cell r="X169" t="str">
            <v>76220</v>
          </cell>
          <cell r="Y169" t="str">
            <v>GOURNAY EN BRAY</v>
          </cell>
          <cell r="AM169">
            <v>0</v>
          </cell>
          <cell r="AZ169">
            <v>0</v>
          </cell>
          <cell r="BA169">
            <v>0</v>
          </cell>
          <cell r="BB169">
            <v>0</v>
          </cell>
        </row>
        <row r="170">
          <cell r="A170">
            <v>53978</v>
          </cell>
          <cell r="B170" t="str">
            <v>PAUMELLE</v>
          </cell>
          <cell r="C170">
            <v>0.19803000000000001</v>
          </cell>
          <cell r="F170">
            <v>41306</v>
          </cell>
          <cell r="H170" t="str">
            <v>Passage sur un TS + 170% + TG MESS INTER +10% supp LOT</v>
          </cell>
          <cell r="I170" t="str">
            <v>A faire</v>
          </cell>
          <cell r="J170">
            <v>0</v>
          </cell>
          <cell r="L170" t="str">
            <v>OK</v>
          </cell>
          <cell r="N170" t="str">
            <v>Non affecté</v>
          </cell>
          <cell r="O170" t="str">
            <v>BQ</v>
          </cell>
          <cell r="P170" t="str">
            <v>Ok mon client</v>
          </cell>
          <cell r="Q170" t="str">
            <v>ROUEN / GRAND QUEVIL</v>
          </cell>
          <cell r="R170" t="str">
            <v>76</v>
          </cell>
          <cell r="S170" t="str">
            <v>2 RUE DE L ABBAYE</v>
          </cell>
          <cell r="T170">
            <v>76210</v>
          </cell>
          <cell r="U170" t="str">
            <v>GRUCHET LE VALASSE</v>
          </cell>
          <cell r="X170" t="str">
            <v>76210</v>
          </cell>
          <cell r="Y170" t="str">
            <v>GRUCHET LE VALASSE</v>
          </cell>
          <cell r="Z170">
            <v>608.98</v>
          </cell>
          <cell r="AA170">
            <v>3944.0399999999995</v>
          </cell>
          <cell r="AC170">
            <v>578.91999999999996</v>
          </cell>
          <cell r="AD170">
            <v>5131.9399999999996</v>
          </cell>
          <cell r="AM170">
            <v>0</v>
          </cell>
          <cell r="AN170">
            <v>-1</v>
          </cell>
          <cell r="AO170" t="str">
            <v>022-G-76PAUMELLE</v>
          </cell>
          <cell r="AZ170">
            <v>0</v>
          </cell>
          <cell r="BA170">
            <v>0</v>
          </cell>
          <cell r="BB170">
            <v>0</v>
          </cell>
        </row>
        <row r="171">
          <cell r="A171">
            <v>542957</v>
          </cell>
          <cell r="B171" t="str">
            <v>NORMANDIE EQUIPEMENT</v>
          </cell>
          <cell r="F171">
            <v>41306</v>
          </cell>
          <cell r="H171" t="str">
            <v>Passage sur un TS + 170% + TG MESS INTER +10% supp LOT</v>
          </cell>
          <cell r="I171">
            <v>0</v>
          </cell>
          <cell r="J171">
            <v>0</v>
          </cell>
          <cell r="K171" t="str">
            <v>Pas de contrat INES</v>
          </cell>
          <cell r="L171" t="str">
            <v>NON</v>
          </cell>
          <cell r="N171" t="str">
            <v>Non affecté</v>
          </cell>
          <cell r="O171" t="str">
            <v>BQ</v>
          </cell>
          <cell r="P171" t="str">
            <v>Ok mon client</v>
          </cell>
          <cell r="Q171" t="str">
            <v>ROUEN / GRAND QUEVIL</v>
          </cell>
          <cell r="R171" t="str">
            <v>76</v>
          </cell>
          <cell r="S171" t="str">
            <v>15 BD LENINE</v>
          </cell>
          <cell r="T171">
            <v>76800</v>
          </cell>
          <cell r="U171" t="str">
            <v>ST ETIENNE DU ROUVRAY</v>
          </cell>
          <cell r="X171" t="str">
            <v>76800</v>
          </cell>
          <cell r="Y171" t="str">
            <v>ST ETIENNE DU ROUVRAY</v>
          </cell>
          <cell r="AA171">
            <v>91.12</v>
          </cell>
          <cell r="AD171">
            <v>91.12</v>
          </cell>
          <cell r="AM171">
            <v>0</v>
          </cell>
          <cell r="AN171">
            <v>-1</v>
          </cell>
          <cell r="AZ171">
            <v>0</v>
          </cell>
          <cell r="BA171">
            <v>0</v>
          </cell>
          <cell r="BB171">
            <v>0</v>
          </cell>
        </row>
        <row r="172">
          <cell r="A172">
            <v>553622</v>
          </cell>
          <cell r="B172" t="str">
            <v>HERCULE INDUSTRIE</v>
          </cell>
          <cell r="F172">
            <v>41306</v>
          </cell>
          <cell r="H172" t="str">
            <v>Passage sur un TS + 170% + TG MESS INTER +10% supp LOT</v>
          </cell>
          <cell r="I172">
            <v>0</v>
          </cell>
          <cell r="J172">
            <v>0</v>
          </cell>
          <cell r="K172" t="str">
            <v>Pas de contrat INES</v>
          </cell>
          <cell r="L172" t="str">
            <v>NON</v>
          </cell>
          <cell r="N172" t="str">
            <v>Non affecté</v>
          </cell>
          <cell r="O172" t="str">
            <v>BQ</v>
          </cell>
          <cell r="P172" t="str">
            <v>Ok mon client</v>
          </cell>
          <cell r="Q172" t="str">
            <v>ROUEN / GRAND QUEVIL</v>
          </cell>
          <cell r="R172" t="str">
            <v>76</v>
          </cell>
          <cell r="S172" t="str">
            <v>322 RUE DU MOULIN</v>
          </cell>
          <cell r="T172">
            <v>76480</v>
          </cell>
          <cell r="U172" t="str">
            <v>JUMIEGES</v>
          </cell>
          <cell r="X172" t="str">
            <v>76480</v>
          </cell>
          <cell r="Y172" t="str">
            <v>JUMIEGES</v>
          </cell>
          <cell r="Z172">
            <v>129.68</v>
          </cell>
          <cell r="AA172">
            <v>130.66</v>
          </cell>
          <cell r="AD172">
            <v>260.34000000000003</v>
          </cell>
          <cell r="AM172">
            <v>0</v>
          </cell>
          <cell r="AN172">
            <v>-1</v>
          </cell>
          <cell r="AZ172">
            <v>0</v>
          </cell>
          <cell r="BA172">
            <v>0</v>
          </cell>
          <cell r="BB172">
            <v>0</v>
          </cell>
        </row>
        <row r="173">
          <cell r="A173">
            <v>562978</v>
          </cell>
          <cell r="B173" t="str">
            <v>GENOIS</v>
          </cell>
          <cell r="F173">
            <v>41306</v>
          </cell>
          <cell r="H173" t="str">
            <v>Passage sur un TS + 170% + TG MESS INTER +10% supp LOT</v>
          </cell>
          <cell r="I173">
            <v>0</v>
          </cell>
          <cell r="J173">
            <v>0</v>
          </cell>
          <cell r="K173" t="str">
            <v>Pas de contrat INES</v>
          </cell>
          <cell r="L173" t="str">
            <v>NON</v>
          </cell>
          <cell r="N173" t="str">
            <v>Non affecté</v>
          </cell>
          <cell r="O173" t="str">
            <v>BQ</v>
          </cell>
          <cell r="P173" t="str">
            <v>Ok mon client</v>
          </cell>
          <cell r="Q173" t="str">
            <v>ROUEN / GRAND QUEVIL</v>
          </cell>
          <cell r="R173" t="str">
            <v>76</v>
          </cell>
          <cell r="S173" t="str">
            <v>86 RUE DE LA REPUBLIQUE</v>
          </cell>
          <cell r="T173">
            <v>76000</v>
          </cell>
          <cell r="U173" t="str">
            <v>ROUEN</v>
          </cell>
          <cell r="X173" t="str">
            <v>76000</v>
          </cell>
          <cell r="Y173" t="str">
            <v>ROUEN</v>
          </cell>
          <cell r="AB173">
            <v>80.25</v>
          </cell>
          <cell r="AD173">
            <v>80.25</v>
          </cell>
          <cell r="AM173">
            <v>0</v>
          </cell>
          <cell r="AN173">
            <v>-1</v>
          </cell>
          <cell r="AZ173">
            <v>0</v>
          </cell>
          <cell r="BA173">
            <v>0</v>
          </cell>
          <cell r="BB173">
            <v>0</v>
          </cell>
        </row>
        <row r="174">
          <cell r="A174">
            <v>56655</v>
          </cell>
          <cell r="B174" t="str">
            <v>LE BARBIER</v>
          </cell>
          <cell r="F174">
            <v>41306</v>
          </cell>
          <cell r="H174" t="str">
            <v>Passage sur un TS + 170% + TG MESS INTER +10% supp LOT</v>
          </cell>
          <cell r="I174">
            <v>0</v>
          </cell>
          <cell r="J174">
            <v>0</v>
          </cell>
          <cell r="K174" t="str">
            <v>Pas de contrat INES</v>
          </cell>
          <cell r="L174" t="str">
            <v>NON</v>
          </cell>
          <cell r="N174" t="str">
            <v>Non affecté</v>
          </cell>
          <cell r="O174" t="str">
            <v>BQ</v>
          </cell>
          <cell r="P174" t="str">
            <v>Ok mon client</v>
          </cell>
          <cell r="Q174" t="str">
            <v>ROUEN / GRAND QUEVIL</v>
          </cell>
          <cell r="R174" t="str">
            <v>76</v>
          </cell>
          <cell r="S174" t="str">
            <v>7 RUE ROSA BONHEUR</v>
          </cell>
          <cell r="T174">
            <v>76140</v>
          </cell>
          <cell r="U174" t="str">
            <v>LE PETIT QUEVILLY</v>
          </cell>
          <cell r="X174" t="str">
            <v>76140</v>
          </cell>
          <cell r="Y174" t="str">
            <v>LE PETIT QUEVILLY</v>
          </cell>
          <cell r="AA174">
            <v>32.299999999999997</v>
          </cell>
          <cell r="AD174">
            <v>32.299999999999997</v>
          </cell>
          <cell r="AM174">
            <v>0</v>
          </cell>
          <cell r="AN174">
            <v>-1</v>
          </cell>
          <cell r="AZ174">
            <v>0</v>
          </cell>
          <cell r="BA174">
            <v>0</v>
          </cell>
          <cell r="BB174">
            <v>0</v>
          </cell>
        </row>
        <row r="175">
          <cell r="A175">
            <v>568172</v>
          </cell>
          <cell r="B175" t="str">
            <v>MANCHE INDUSTRIE MARINE</v>
          </cell>
          <cell r="F175">
            <v>41306</v>
          </cell>
          <cell r="H175" t="str">
            <v>Passage sur un TS + 170% + TG MESS INTER +10% supp LOT</v>
          </cell>
          <cell r="I175">
            <v>0</v>
          </cell>
          <cell r="J175">
            <v>0</v>
          </cell>
          <cell r="K175" t="str">
            <v>Pas de contrat INES</v>
          </cell>
          <cell r="L175" t="str">
            <v>NON</v>
          </cell>
          <cell r="N175" t="str">
            <v>Non affecté</v>
          </cell>
          <cell r="O175" t="str">
            <v>KE</v>
          </cell>
          <cell r="P175" t="str">
            <v>Ok mon client</v>
          </cell>
          <cell r="Q175" t="str">
            <v>ROUEN / GRAND QUEVIL</v>
          </cell>
          <cell r="R175" t="str">
            <v>76</v>
          </cell>
          <cell r="S175" t="str">
            <v>19 RUE CHARLES BLOUD</v>
          </cell>
          <cell r="T175">
            <v>76376</v>
          </cell>
          <cell r="U175" t="str">
            <v>DIEPPE</v>
          </cell>
          <cell r="X175" t="str">
            <v>76376</v>
          </cell>
          <cell r="Y175" t="str">
            <v>DIEPPE CEDEX</v>
          </cell>
          <cell r="Z175">
            <v>134.06</v>
          </cell>
          <cell r="AD175">
            <v>134.06</v>
          </cell>
          <cell r="AM175">
            <v>0</v>
          </cell>
          <cell r="AN175">
            <v>-1</v>
          </cell>
          <cell r="AZ175">
            <v>0</v>
          </cell>
          <cell r="BA175">
            <v>0</v>
          </cell>
          <cell r="BB175">
            <v>0</v>
          </cell>
        </row>
        <row r="176">
          <cell r="A176">
            <v>569418</v>
          </cell>
          <cell r="B176" t="str">
            <v>AUDIS</v>
          </cell>
          <cell r="C176">
            <v>1.7735289999999999</v>
          </cell>
          <cell r="F176">
            <v>41306</v>
          </cell>
          <cell r="H176" t="str">
            <v>Passage sur un TS + 170% + TG MESS INTER +10% supp LOT</v>
          </cell>
          <cell r="I176" t="str">
            <v>A faire</v>
          </cell>
          <cell r="J176">
            <v>0</v>
          </cell>
          <cell r="L176" t="str">
            <v>OK</v>
          </cell>
          <cell r="N176" t="str">
            <v>Non affecté</v>
          </cell>
          <cell r="O176" t="str">
            <v>KE</v>
          </cell>
          <cell r="P176" t="str">
            <v>Ok mon client</v>
          </cell>
          <cell r="Q176" t="str">
            <v>ROUEN / GRAND QUEVIL</v>
          </cell>
          <cell r="R176" t="str">
            <v>76</v>
          </cell>
          <cell r="S176" t="str">
            <v>3 RUE JEAN REDELE</v>
          </cell>
          <cell r="T176">
            <v>76370</v>
          </cell>
          <cell r="U176" t="str">
            <v>MARTIN EGLISE</v>
          </cell>
          <cell r="X176" t="str">
            <v>76370</v>
          </cell>
          <cell r="Y176" t="str">
            <v>MARTIN EGLISE</v>
          </cell>
          <cell r="Z176">
            <v>139.51</v>
          </cell>
          <cell r="AA176">
            <v>14931.21</v>
          </cell>
          <cell r="AD176">
            <v>15070.72</v>
          </cell>
          <cell r="AM176">
            <v>0</v>
          </cell>
          <cell r="AN176">
            <v>-1</v>
          </cell>
          <cell r="AO176" t="str">
            <v>022-G-76AUDIS</v>
          </cell>
          <cell r="AZ176">
            <v>0</v>
          </cell>
          <cell r="BA176">
            <v>0</v>
          </cell>
          <cell r="BB176">
            <v>0</v>
          </cell>
        </row>
        <row r="177">
          <cell r="A177">
            <v>57128</v>
          </cell>
          <cell r="B177" t="str">
            <v>SOGEDIS</v>
          </cell>
          <cell r="F177">
            <v>41306</v>
          </cell>
          <cell r="H177" t="str">
            <v>Passage sur un TS + 170% + TG MESS INTER +10% supp LOT</v>
          </cell>
          <cell r="I177">
            <v>0</v>
          </cell>
          <cell r="J177">
            <v>0</v>
          </cell>
          <cell r="K177" t="str">
            <v>Pas de contrat INES</v>
          </cell>
          <cell r="L177" t="str">
            <v>NON</v>
          </cell>
          <cell r="N177" t="str">
            <v>Non affecté</v>
          </cell>
          <cell r="O177" t="str">
            <v>BQ</v>
          </cell>
          <cell r="P177" t="str">
            <v>Ok mon client</v>
          </cell>
          <cell r="Q177" t="str">
            <v>ROUEN / GRAND QUEVIL</v>
          </cell>
          <cell r="R177" t="str">
            <v>76</v>
          </cell>
          <cell r="S177" t="str">
            <v>3 RUE LAVOISIER  /  ZI</v>
          </cell>
          <cell r="T177">
            <v>76300</v>
          </cell>
          <cell r="U177" t="str">
            <v>SOTTEVILLE LES ROUEN</v>
          </cell>
          <cell r="X177" t="str">
            <v>76300</v>
          </cell>
          <cell r="Y177" t="str">
            <v>SOTTEVILLE LES ROUEN</v>
          </cell>
          <cell r="AB177">
            <v>106.14</v>
          </cell>
          <cell r="AD177">
            <v>106.14</v>
          </cell>
          <cell r="AM177">
            <v>0</v>
          </cell>
          <cell r="AN177">
            <v>-1</v>
          </cell>
          <cell r="AZ177">
            <v>0</v>
          </cell>
          <cell r="BA177">
            <v>0</v>
          </cell>
          <cell r="BB177">
            <v>0</v>
          </cell>
        </row>
        <row r="178">
          <cell r="A178">
            <v>576891</v>
          </cell>
          <cell r="B178" t="str">
            <v>A2MO</v>
          </cell>
          <cell r="F178">
            <v>41306</v>
          </cell>
          <cell r="H178" t="str">
            <v>Passage sur un TS + 170% + TG MESS INTER +10% supp LOT</v>
          </cell>
          <cell r="I178">
            <v>0</v>
          </cell>
          <cell r="J178">
            <v>0</v>
          </cell>
          <cell r="K178" t="str">
            <v>Pas de contrat INES</v>
          </cell>
          <cell r="L178" t="str">
            <v>NON</v>
          </cell>
          <cell r="N178" t="str">
            <v>Non affecté</v>
          </cell>
          <cell r="O178" t="str">
            <v>KE</v>
          </cell>
          <cell r="P178" t="str">
            <v>Ok mon client</v>
          </cell>
          <cell r="Q178" t="str">
            <v>GENNEVILLIERS</v>
          </cell>
          <cell r="R178" t="str">
            <v>61</v>
          </cell>
          <cell r="S178" t="str">
            <v>CARREFOUR CHAMPION</v>
          </cell>
          <cell r="T178">
            <v>61430</v>
          </cell>
          <cell r="U178" t="str">
            <v>ATHIS DE L'ORNE</v>
          </cell>
          <cell r="W178" t="str">
            <v>Directeur Logistique et Transports</v>
          </cell>
          <cell r="X178" t="str">
            <v>61430</v>
          </cell>
          <cell r="Y178" t="str">
            <v>ATHIS DE L'ORNE</v>
          </cell>
          <cell r="Z178">
            <v>-939.28</v>
          </cell>
          <cell r="AA178">
            <v>2085.9499999999998</v>
          </cell>
          <cell r="AB178">
            <v>7551.36</v>
          </cell>
          <cell r="AD178">
            <v>8698.0299999999988</v>
          </cell>
          <cell r="AM178">
            <v>0</v>
          </cell>
          <cell r="AN178">
            <v>-1</v>
          </cell>
          <cell r="AO178" t="str">
            <v>001-G-78AUTOMOBILEEUROP</v>
          </cell>
          <cell r="AP178" t="str">
            <v>001-L-78AUTOMOBILEEUROP</v>
          </cell>
          <cell r="AZ178">
            <v>0</v>
          </cell>
          <cell r="BA178">
            <v>0</v>
          </cell>
          <cell r="BB178">
            <v>0</v>
          </cell>
        </row>
        <row r="179">
          <cell r="A179">
            <v>577491</v>
          </cell>
          <cell r="B179" t="str">
            <v>ANTARES DESIGN</v>
          </cell>
          <cell r="F179">
            <v>41306</v>
          </cell>
          <cell r="H179" t="str">
            <v>Passage sur un TS + 170% + TG MESS INTER +10% supp LOT</v>
          </cell>
          <cell r="I179">
            <v>0</v>
          </cell>
          <cell r="J179">
            <v>0</v>
          </cell>
          <cell r="K179" t="str">
            <v>Pas de contrat INES</v>
          </cell>
          <cell r="L179" t="str">
            <v>NON</v>
          </cell>
          <cell r="N179" t="str">
            <v>Non affecté</v>
          </cell>
          <cell r="O179" t="str">
            <v>KE</v>
          </cell>
          <cell r="P179" t="str">
            <v>Ok mon client</v>
          </cell>
          <cell r="Q179" t="str">
            <v>ROUEN / GRAND QUEVIL</v>
          </cell>
          <cell r="R179" t="str">
            <v>76</v>
          </cell>
          <cell r="S179" t="str">
            <v>ROUTE DE NEUFCHATEL</v>
          </cell>
          <cell r="T179">
            <v>76870</v>
          </cell>
          <cell r="U179" t="str">
            <v>GAILLEFONTAINE</v>
          </cell>
          <cell r="X179" t="str">
            <v>76870</v>
          </cell>
          <cell r="Y179" t="str">
            <v>GAILLEFONTAINE</v>
          </cell>
          <cell r="AA179">
            <v>106.12</v>
          </cell>
          <cell r="AD179">
            <v>106.12</v>
          </cell>
          <cell r="AM179">
            <v>0</v>
          </cell>
          <cell r="AN179">
            <v>-1</v>
          </cell>
          <cell r="AZ179">
            <v>0</v>
          </cell>
          <cell r="BA179">
            <v>0</v>
          </cell>
          <cell r="BB179">
            <v>0</v>
          </cell>
        </row>
        <row r="180">
          <cell r="A180">
            <v>579870</v>
          </cell>
          <cell r="B180" t="str">
            <v>ACROBA</v>
          </cell>
          <cell r="F180">
            <v>41306</v>
          </cell>
          <cell r="H180" t="str">
            <v>Passage sur un TS + 170% + TG MESS INTER +10% supp LOT</v>
          </cell>
          <cell r="I180">
            <v>0</v>
          </cell>
          <cell r="J180">
            <v>0</v>
          </cell>
          <cell r="L180" t="str">
            <v>OK</v>
          </cell>
          <cell r="N180" t="str">
            <v>Non affecté</v>
          </cell>
          <cell r="O180" t="str">
            <v>BQ</v>
          </cell>
          <cell r="P180" t="str">
            <v>Ok mon client</v>
          </cell>
          <cell r="Q180" t="str">
            <v>ROUEN / GRAND QUEVIL</v>
          </cell>
          <cell r="R180" t="str">
            <v>14</v>
          </cell>
          <cell r="S180" t="str">
            <v>-</v>
          </cell>
          <cell r="T180">
            <v>14130</v>
          </cell>
          <cell r="U180" t="str">
            <v>REUX</v>
          </cell>
          <cell r="X180" t="str">
            <v>14130</v>
          </cell>
          <cell r="Y180" t="str">
            <v>REUX</v>
          </cell>
          <cell r="Z180">
            <v>2921.2999999999997</v>
          </cell>
          <cell r="AD180">
            <v>2921.2999999999997</v>
          </cell>
          <cell r="AM180">
            <v>0</v>
          </cell>
          <cell r="AN180">
            <v>-1</v>
          </cell>
          <cell r="AP180" t="str">
            <v>022-L1-14ACROBA</v>
          </cell>
          <cell r="AZ180">
            <v>0</v>
          </cell>
          <cell r="BA180">
            <v>0</v>
          </cell>
          <cell r="BB180">
            <v>0</v>
          </cell>
        </row>
        <row r="181">
          <cell r="A181">
            <v>582973</v>
          </cell>
          <cell r="B181" t="str">
            <v>NORMANDIE FERMETURES INDUSTRIELLES</v>
          </cell>
          <cell r="F181">
            <v>41306</v>
          </cell>
          <cell r="H181" t="str">
            <v>Passage sur un TS + 170% + TG MESS INTER +10% supp LOT</v>
          </cell>
          <cell r="I181">
            <v>0</v>
          </cell>
          <cell r="J181">
            <v>0</v>
          </cell>
          <cell r="K181" t="str">
            <v>Pas de contrat INES</v>
          </cell>
          <cell r="L181" t="str">
            <v>NON</v>
          </cell>
          <cell r="N181" t="str">
            <v>Non affecté</v>
          </cell>
          <cell r="O181" t="str">
            <v>KE</v>
          </cell>
          <cell r="P181" t="str">
            <v>Ok mon client</v>
          </cell>
          <cell r="Q181" t="str">
            <v>ROUEN / GRAND QUEVIL</v>
          </cell>
          <cell r="R181" t="str">
            <v>76</v>
          </cell>
          <cell r="S181" t="str">
            <v>5 ALLEE DE LA COTONNIERE</v>
          </cell>
          <cell r="T181">
            <v>76570</v>
          </cell>
          <cell r="U181" t="str">
            <v>PAVILLY</v>
          </cell>
          <cell r="X181" t="str">
            <v>76570</v>
          </cell>
          <cell r="Y181" t="str">
            <v>PAVILLY</v>
          </cell>
          <cell r="AA181">
            <v>90.25</v>
          </cell>
          <cell r="AD181">
            <v>90.25</v>
          </cell>
          <cell r="AM181">
            <v>0</v>
          </cell>
          <cell r="AN181">
            <v>-1</v>
          </cell>
          <cell r="AZ181">
            <v>0</v>
          </cell>
          <cell r="BA181">
            <v>0</v>
          </cell>
          <cell r="BB181">
            <v>0</v>
          </cell>
        </row>
        <row r="182">
          <cell r="A182">
            <v>589104</v>
          </cell>
          <cell r="B182" t="str">
            <v>CENTAURE</v>
          </cell>
          <cell r="F182">
            <v>41306</v>
          </cell>
          <cell r="H182" t="str">
            <v>Passage sur un TS + 170% + TG MESS INTER +10% supp LOT</v>
          </cell>
          <cell r="I182">
            <v>0</v>
          </cell>
          <cell r="J182">
            <v>0</v>
          </cell>
          <cell r="K182" t="str">
            <v>Pas de contrat INES</v>
          </cell>
          <cell r="L182" t="str">
            <v>NON</v>
          </cell>
          <cell r="N182" t="str">
            <v>Non affecté</v>
          </cell>
          <cell r="O182" t="str">
            <v>KE</v>
          </cell>
          <cell r="P182" t="str">
            <v>Ok mon client</v>
          </cell>
          <cell r="Q182" t="str">
            <v>ROUEN / GRAND QUEVIL</v>
          </cell>
          <cell r="R182" t="str">
            <v>27</v>
          </cell>
          <cell r="S182" t="str">
            <v>AVENUE DE LA GARE</v>
          </cell>
          <cell r="T182">
            <v>27610</v>
          </cell>
          <cell r="U182" t="str">
            <v>ROMILLY S/ ANDELLE</v>
          </cell>
          <cell r="X182" t="str">
            <v>27610</v>
          </cell>
          <cell r="Y182" t="str">
            <v>ROMILLY S/ ANDELLE</v>
          </cell>
          <cell r="Z182">
            <v>403.33</v>
          </cell>
          <cell r="AD182">
            <v>403.33</v>
          </cell>
          <cell r="AM182">
            <v>0</v>
          </cell>
          <cell r="AN182">
            <v>-1</v>
          </cell>
          <cell r="AZ182">
            <v>0</v>
          </cell>
          <cell r="BA182">
            <v>0</v>
          </cell>
          <cell r="BB182">
            <v>0</v>
          </cell>
        </row>
        <row r="183">
          <cell r="A183">
            <v>593282</v>
          </cell>
          <cell r="B183" t="str">
            <v>IMPRIMERIE FERRIC</v>
          </cell>
          <cell r="F183">
            <v>41306</v>
          </cell>
          <cell r="H183" t="str">
            <v>Passage sur un TS + 170% + TG MESS INTER +10% supp LOT</v>
          </cell>
          <cell r="I183">
            <v>0</v>
          </cell>
          <cell r="J183">
            <v>0</v>
          </cell>
          <cell r="K183" t="str">
            <v>Pas de contrat INES</v>
          </cell>
          <cell r="L183" t="str">
            <v>NON</v>
          </cell>
          <cell r="N183" t="str">
            <v>Non affecté</v>
          </cell>
          <cell r="O183" t="str">
            <v>BQ</v>
          </cell>
          <cell r="P183" t="str">
            <v>Ok mon client</v>
          </cell>
          <cell r="Q183" t="str">
            <v>ROUEN / GRAND QUEVIL</v>
          </cell>
          <cell r="R183" t="str">
            <v>76</v>
          </cell>
          <cell r="S183" t="str">
            <v>21 RUE DE LA REPUBLIQUE</v>
          </cell>
          <cell r="T183">
            <v>76210</v>
          </cell>
          <cell r="U183" t="str">
            <v>BOLBEC</v>
          </cell>
          <cell r="X183" t="str">
            <v>76210</v>
          </cell>
          <cell r="Y183" t="str">
            <v>BOLBEC</v>
          </cell>
          <cell r="AA183">
            <v>47.68</v>
          </cell>
          <cell r="AD183">
            <v>47.68</v>
          </cell>
          <cell r="AM183">
            <v>0</v>
          </cell>
          <cell r="AN183">
            <v>-1</v>
          </cell>
          <cell r="AZ183">
            <v>0</v>
          </cell>
          <cell r="BA183">
            <v>0</v>
          </cell>
          <cell r="BB183">
            <v>0</v>
          </cell>
        </row>
        <row r="184">
          <cell r="A184">
            <v>594943</v>
          </cell>
          <cell r="B184" t="str">
            <v>DENIOS</v>
          </cell>
          <cell r="F184">
            <v>41306</v>
          </cell>
          <cell r="H184" t="str">
            <v>Passage sur un TS + 170% + TG MESS INTER +10% supp LOT</v>
          </cell>
          <cell r="I184">
            <v>0</v>
          </cell>
          <cell r="J184">
            <v>0</v>
          </cell>
          <cell r="K184" t="str">
            <v>Pas de contrat INES</v>
          </cell>
          <cell r="L184" t="str">
            <v>NON</v>
          </cell>
          <cell r="N184" t="str">
            <v>Non affecté</v>
          </cell>
          <cell r="O184" t="str">
            <v>BQ</v>
          </cell>
          <cell r="P184" t="str">
            <v>Ok mon client</v>
          </cell>
          <cell r="Q184" t="str">
            <v>ROUEN / GRAND QUEVIL</v>
          </cell>
          <cell r="R184" t="str">
            <v>27</v>
          </cell>
          <cell r="S184" t="str">
            <v>HAMEAU DU VAL</v>
          </cell>
          <cell r="T184">
            <v>27550</v>
          </cell>
          <cell r="U184" t="str">
            <v>NASSANDRES</v>
          </cell>
          <cell r="X184" t="str">
            <v>27550</v>
          </cell>
          <cell r="Y184" t="str">
            <v>NASSANDRES</v>
          </cell>
          <cell r="Z184">
            <v>938.21</v>
          </cell>
          <cell r="AD184">
            <v>938.21</v>
          </cell>
          <cell r="AM184">
            <v>0</v>
          </cell>
          <cell r="AN184">
            <v>-1</v>
          </cell>
          <cell r="AZ184">
            <v>0</v>
          </cell>
          <cell r="BA184">
            <v>0</v>
          </cell>
          <cell r="BB184">
            <v>0</v>
          </cell>
        </row>
        <row r="185">
          <cell r="A185">
            <v>596081</v>
          </cell>
          <cell r="B185" t="str">
            <v>S O N I A SFIA</v>
          </cell>
          <cell r="F185">
            <v>41306</v>
          </cell>
          <cell r="H185" t="str">
            <v>Passage sur un TS + 170% + TG MESS INTER +10% supp LOT</v>
          </cell>
          <cell r="I185">
            <v>0</v>
          </cell>
          <cell r="J185">
            <v>0</v>
          </cell>
          <cell r="K185" t="str">
            <v>Pas de contrat INES</v>
          </cell>
          <cell r="L185" t="str">
            <v>NON</v>
          </cell>
          <cell r="N185" t="str">
            <v>Non affecté</v>
          </cell>
          <cell r="O185" t="str">
            <v>KE</v>
          </cell>
          <cell r="P185" t="str">
            <v>Ok mon client</v>
          </cell>
          <cell r="Q185" t="str">
            <v>ROUEN / GRAND QUEVIL</v>
          </cell>
          <cell r="R185" t="str">
            <v>27</v>
          </cell>
          <cell r="S185" t="str">
            <v>63 BOULEVARD GAMBETTA</v>
          </cell>
          <cell r="T185">
            <v>27000</v>
          </cell>
          <cell r="U185" t="str">
            <v>EVREUX</v>
          </cell>
          <cell r="X185" t="str">
            <v>27000</v>
          </cell>
          <cell r="Y185" t="str">
            <v>EVREUX</v>
          </cell>
          <cell r="Z185">
            <v>1208.22</v>
          </cell>
          <cell r="AA185">
            <v>113.35</v>
          </cell>
          <cell r="AD185">
            <v>1321.57</v>
          </cell>
          <cell r="AM185">
            <v>0</v>
          </cell>
          <cell r="AN185">
            <v>-1</v>
          </cell>
          <cell r="AZ185">
            <v>0</v>
          </cell>
          <cell r="BA185">
            <v>0</v>
          </cell>
          <cell r="BB185">
            <v>0</v>
          </cell>
        </row>
        <row r="186">
          <cell r="A186">
            <v>606179</v>
          </cell>
          <cell r="B186" t="str">
            <v>CIE GLE D EMBALLAGES CONTAINERS</v>
          </cell>
          <cell r="F186">
            <v>41306</v>
          </cell>
          <cell r="H186" t="str">
            <v>Passage sur un TS + 170% + TG MESS INTER +10% supp LOT</v>
          </cell>
          <cell r="I186">
            <v>0</v>
          </cell>
          <cell r="J186">
            <v>0</v>
          </cell>
          <cell r="K186" t="str">
            <v>Pas géré par 022</v>
          </cell>
          <cell r="L186" t="str">
            <v>NON</v>
          </cell>
          <cell r="N186" t="str">
            <v>Non affecté</v>
          </cell>
          <cell r="O186" t="str">
            <v>BQ</v>
          </cell>
          <cell r="P186" t="str">
            <v>Ok mon client</v>
          </cell>
          <cell r="Q186" t="str">
            <v>ROUEN / GRAND QUEVIL</v>
          </cell>
          <cell r="R186" t="str">
            <v>95</v>
          </cell>
          <cell r="S186" t="str">
            <v>ZAE RUE NADAR</v>
          </cell>
          <cell r="T186">
            <v>95320</v>
          </cell>
          <cell r="U186" t="str">
            <v>ST LEU LA FORET</v>
          </cell>
          <cell r="X186" t="str">
            <v>95320</v>
          </cell>
          <cell r="Y186" t="str">
            <v>ST LEU LA FORET</v>
          </cell>
          <cell r="AM186">
            <v>0</v>
          </cell>
          <cell r="AZ186">
            <v>0</v>
          </cell>
          <cell r="BA186">
            <v>0</v>
          </cell>
          <cell r="BB186">
            <v>0</v>
          </cell>
        </row>
        <row r="187">
          <cell r="A187">
            <v>607042</v>
          </cell>
          <cell r="B187" t="str">
            <v>SOCIETE NOUVELLE BOURGOIS</v>
          </cell>
          <cell r="F187">
            <v>41306</v>
          </cell>
          <cell r="H187" t="str">
            <v>Passage sur un TS + 170% + TG MESS INTER +10% supp LOT</v>
          </cell>
          <cell r="I187">
            <v>0</v>
          </cell>
          <cell r="J187">
            <v>0</v>
          </cell>
          <cell r="K187" t="str">
            <v>Voir TEMECA</v>
          </cell>
          <cell r="L187" t="str">
            <v>NON</v>
          </cell>
          <cell r="N187" t="str">
            <v>Non affecté</v>
          </cell>
          <cell r="O187" t="str">
            <v>KE</v>
          </cell>
          <cell r="P187" t="str">
            <v>Ok mon client</v>
          </cell>
          <cell r="Q187" t="str">
            <v>ROUEN / GRAND QUEVIL</v>
          </cell>
          <cell r="R187" t="str">
            <v>76</v>
          </cell>
          <cell r="S187" t="str">
            <v>RUE DES PRAIRIES</v>
          </cell>
          <cell r="T187">
            <v>76510</v>
          </cell>
          <cell r="U187" t="str">
            <v>MEULERS</v>
          </cell>
          <cell r="X187" t="str">
            <v>76510</v>
          </cell>
          <cell r="Y187" t="str">
            <v>MEULERS</v>
          </cell>
          <cell r="AA187">
            <v>4468.92</v>
          </cell>
          <cell r="AD187">
            <v>4468.92</v>
          </cell>
          <cell r="AM187">
            <v>0</v>
          </cell>
          <cell r="AN187">
            <v>-1</v>
          </cell>
          <cell r="AZ187">
            <v>0</v>
          </cell>
          <cell r="BA187">
            <v>0</v>
          </cell>
          <cell r="BB187">
            <v>0</v>
          </cell>
        </row>
        <row r="188">
          <cell r="A188">
            <v>609115</v>
          </cell>
          <cell r="B188" t="str">
            <v>RESEAU EXPRESS</v>
          </cell>
          <cell r="F188">
            <v>41306</v>
          </cell>
          <cell r="H188" t="str">
            <v>Passage sur un TS + 170% + TG MESS INTER +10% supp LOT</v>
          </cell>
          <cell r="I188">
            <v>0</v>
          </cell>
          <cell r="J188">
            <v>0</v>
          </cell>
          <cell r="K188" t="str">
            <v>Pas de contrat INES</v>
          </cell>
          <cell r="L188" t="str">
            <v>NON</v>
          </cell>
          <cell r="N188" t="str">
            <v>Non affecté</v>
          </cell>
          <cell r="O188" t="str">
            <v>BQ</v>
          </cell>
          <cell r="P188" t="str">
            <v>Ok mon client</v>
          </cell>
          <cell r="Q188" t="str">
            <v>ROUEN / GRAND QUEVIL</v>
          </cell>
          <cell r="R188" t="str">
            <v>14</v>
          </cell>
          <cell r="S188" t="str">
            <v>4 AV DE CAMBRIDGE</v>
          </cell>
          <cell r="T188">
            <v>14200</v>
          </cell>
          <cell r="U188" t="str">
            <v>HEROUVILLE</v>
          </cell>
          <cell r="X188" t="str">
            <v>14200</v>
          </cell>
          <cell r="Y188" t="str">
            <v>HEROUVILLE</v>
          </cell>
          <cell r="Z188">
            <v>656.05</v>
          </cell>
          <cell r="AA188">
            <v>3015.1</v>
          </cell>
          <cell r="AB188">
            <v>1584.83</v>
          </cell>
          <cell r="AD188">
            <v>5255.98</v>
          </cell>
          <cell r="AM188">
            <v>0</v>
          </cell>
          <cell r="AN188">
            <v>-1</v>
          </cell>
          <cell r="AZ188">
            <v>0</v>
          </cell>
          <cell r="BA188">
            <v>0</v>
          </cell>
          <cell r="BB188">
            <v>0</v>
          </cell>
        </row>
        <row r="189">
          <cell r="A189">
            <v>61126</v>
          </cell>
          <cell r="B189" t="str">
            <v>SILITEX</v>
          </cell>
          <cell r="F189">
            <v>41306</v>
          </cell>
          <cell r="H189" t="str">
            <v>Passage sur un TS + 170% + TG MESS INTER +10% supp LOT</v>
          </cell>
          <cell r="I189">
            <v>0</v>
          </cell>
          <cell r="J189">
            <v>0</v>
          </cell>
          <cell r="K189" t="str">
            <v>Pas de contrat INES</v>
          </cell>
          <cell r="L189" t="str">
            <v>NON</v>
          </cell>
          <cell r="N189" t="str">
            <v>Non affecté</v>
          </cell>
          <cell r="O189" t="str">
            <v>BQ</v>
          </cell>
          <cell r="P189" t="str">
            <v>Ok mon client</v>
          </cell>
          <cell r="Q189" t="str">
            <v>ROUEN / GRAND QUEVIL</v>
          </cell>
          <cell r="R189" t="str">
            <v>76</v>
          </cell>
          <cell r="S189" t="str">
            <v>RUE HENRI TERNON BP 133</v>
          </cell>
          <cell r="T189">
            <v>76133</v>
          </cell>
          <cell r="U189" t="str">
            <v>EPOUVILLE</v>
          </cell>
          <cell r="X189" t="str">
            <v>76133</v>
          </cell>
          <cell r="Y189" t="str">
            <v>EPOUVILLE</v>
          </cell>
          <cell r="AB189">
            <v>531.38</v>
          </cell>
          <cell r="AD189">
            <v>531.38</v>
          </cell>
          <cell r="AM189">
            <v>0</v>
          </cell>
          <cell r="AN189">
            <v>-1</v>
          </cell>
          <cell r="AZ189">
            <v>0</v>
          </cell>
          <cell r="BA189">
            <v>0</v>
          </cell>
          <cell r="BB189">
            <v>0</v>
          </cell>
        </row>
        <row r="190">
          <cell r="A190">
            <v>612966</v>
          </cell>
          <cell r="B190" t="str">
            <v>OUEST ISOL</v>
          </cell>
          <cell r="F190">
            <v>41306</v>
          </cell>
          <cell r="H190" t="str">
            <v>Passage sur un TS + 170% + TG MESS INTER +10% supp LOT</v>
          </cell>
          <cell r="I190">
            <v>0</v>
          </cell>
          <cell r="J190">
            <v>0</v>
          </cell>
          <cell r="K190" t="str">
            <v>Pas de contrat INES</v>
          </cell>
          <cell r="L190" t="str">
            <v>NON</v>
          </cell>
          <cell r="N190" t="str">
            <v>Non affecté</v>
          </cell>
          <cell r="O190" t="str">
            <v>KE</v>
          </cell>
          <cell r="P190" t="str">
            <v>Ok mon client</v>
          </cell>
          <cell r="Q190" t="str">
            <v>ROUEN / GRAND QUEVIL</v>
          </cell>
          <cell r="R190" t="str">
            <v>26</v>
          </cell>
          <cell r="X190" t="str">
            <v>26800</v>
          </cell>
          <cell r="Y190" t="str">
            <v>PORTES LES VALENCE</v>
          </cell>
          <cell r="Z190">
            <v>1945.02</v>
          </cell>
          <cell r="AD190">
            <v>1945.02</v>
          </cell>
          <cell r="AM190">
            <v>0</v>
          </cell>
          <cell r="AN190">
            <v>-1</v>
          </cell>
          <cell r="AP190" t="str">
            <v>022-L1-27OUESTISOL</v>
          </cell>
          <cell r="AZ190">
            <v>0</v>
          </cell>
          <cell r="BA190">
            <v>0</v>
          </cell>
          <cell r="BB190">
            <v>0</v>
          </cell>
        </row>
        <row r="191">
          <cell r="A191">
            <v>615514</v>
          </cell>
          <cell r="B191" t="str">
            <v>C C I LOGISTIQUE</v>
          </cell>
          <cell r="F191">
            <v>41306</v>
          </cell>
          <cell r="H191" t="str">
            <v>Passage sur un TS + 170% + TG MESS INTER +10% supp LOT</v>
          </cell>
          <cell r="I191">
            <v>0</v>
          </cell>
          <cell r="J191">
            <v>0</v>
          </cell>
          <cell r="K191" t="str">
            <v>Pas de contrat INES</v>
          </cell>
          <cell r="L191" t="str">
            <v>NON</v>
          </cell>
          <cell r="N191" t="str">
            <v>Non affecté</v>
          </cell>
          <cell r="O191" t="str">
            <v>KE</v>
          </cell>
          <cell r="P191" t="str">
            <v>Ok mon client</v>
          </cell>
          <cell r="Q191" t="str">
            <v>ROUEN / GRAND QUEVIL</v>
          </cell>
          <cell r="R191" t="str">
            <v>27</v>
          </cell>
          <cell r="S191" t="str">
            <v>ZA LES PATIS</v>
          </cell>
          <cell r="T191">
            <v>27400</v>
          </cell>
          <cell r="U191" t="str">
            <v>ACQUIGNY</v>
          </cell>
          <cell r="X191" t="str">
            <v>27400</v>
          </cell>
          <cell r="Y191" t="str">
            <v>ACQUIGNY</v>
          </cell>
          <cell r="Z191">
            <v>1376.8999999999999</v>
          </cell>
          <cell r="AA191">
            <v>707.49</v>
          </cell>
          <cell r="AD191">
            <v>2084.39</v>
          </cell>
          <cell r="AM191">
            <v>0</v>
          </cell>
          <cell r="AN191">
            <v>-1</v>
          </cell>
          <cell r="AZ191">
            <v>0</v>
          </cell>
          <cell r="BA191">
            <v>0</v>
          </cell>
          <cell r="BB191">
            <v>0</v>
          </cell>
        </row>
        <row r="192">
          <cell r="A192">
            <v>649205</v>
          </cell>
          <cell r="B192" t="str">
            <v>SOC COFFEA</v>
          </cell>
          <cell r="F192">
            <v>41306</v>
          </cell>
          <cell r="H192" t="str">
            <v>Passage sur un TS + 170% + TG MESS INTER +10% supp LOT</v>
          </cell>
          <cell r="I192">
            <v>0</v>
          </cell>
          <cell r="J192">
            <v>0</v>
          </cell>
          <cell r="K192" t="str">
            <v>Pas de contrat INES</v>
          </cell>
          <cell r="L192" t="str">
            <v>NON</v>
          </cell>
          <cell r="N192" t="str">
            <v>Non affecté</v>
          </cell>
          <cell r="O192" t="str">
            <v>BQ</v>
          </cell>
          <cell r="P192" t="str">
            <v>Ok mon client</v>
          </cell>
          <cell r="Q192" t="str">
            <v>ROUEN / GRAND QUEVIL</v>
          </cell>
          <cell r="R192" t="str">
            <v>76</v>
          </cell>
          <cell r="S192" t="str">
            <v>LES ALIZES III</v>
          </cell>
          <cell r="T192">
            <v>76430</v>
          </cell>
          <cell r="U192" t="str">
            <v>ST VIGOR D YMONVILLE</v>
          </cell>
          <cell r="X192" t="str">
            <v>76430</v>
          </cell>
          <cell r="Y192" t="str">
            <v>ST VIGOR D YMONVILLE</v>
          </cell>
          <cell r="Z192">
            <v>3607.2</v>
          </cell>
          <cell r="AD192">
            <v>3607.2</v>
          </cell>
          <cell r="AM192">
            <v>0</v>
          </cell>
          <cell r="AN192">
            <v>-1</v>
          </cell>
          <cell r="AZ192">
            <v>0</v>
          </cell>
          <cell r="BA192">
            <v>0</v>
          </cell>
          <cell r="BB192">
            <v>0</v>
          </cell>
        </row>
        <row r="193">
          <cell r="A193">
            <v>65773</v>
          </cell>
          <cell r="B193" t="str">
            <v>LINEX PANNEAUX</v>
          </cell>
          <cell r="F193">
            <v>41306</v>
          </cell>
          <cell r="H193" t="str">
            <v>Passage sur un TS + 170% + TG MESS INTER +10% supp LOT</v>
          </cell>
          <cell r="I193">
            <v>0</v>
          </cell>
          <cell r="J193">
            <v>0</v>
          </cell>
          <cell r="K193" t="str">
            <v>Pas de contrat INES</v>
          </cell>
          <cell r="L193" t="str">
            <v>NON</v>
          </cell>
          <cell r="N193" t="str">
            <v>Non affecté</v>
          </cell>
          <cell r="O193" t="str">
            <v>BQ</v>
          </cell>
          <cell r="P193" t="str">
            <v>Ok mon client</v>
          </cell>
          <cell r="Q193" t="str">
            <v>ROUEN / GRAND QUEVIL</v>
          </cell>
          <cell r="R193" t="str">
            <v>76</v>
          </cell>
          <cell r="S193" t="str">
            <v>BP 222</v>
          </cell>
          <cell r="T193">
            <v>76190</v>
          </cell>
          <cell r="U193" t="str">
            <v>YVETOT</v>
          </cell>
          <cell r="X193" t="str">
            <v>76190</v>
          </cell>
          <cell r="Y193" t="str">
            <v>YVETOT</v>
          </cell>
          <cell r="AB193">
            <v>116.26</v>
          </cell>
          <cell r="AD193">
            <v>116.26</v>
          </cell>
          <cell r="AM193">
            <v>0</v>
          </cell>
          <cell r="AN193">
            <v>-1</v>
          </cell>
          <cell r="AZ193">
            <v>0</v>
          </cell>
          <cell r="BA193">
            <v>0</v>
          </cell>
          <cell r="BB193">
            <v>0</v>
          </cell>
        </row>
        <row r="194">
          <cell r="A194">
            <v>674223</v>
          </cell>
          <cell r="B194" t="str">
            <v>MICHEL TAILLIS CREATION</v>
          </cell>
          <cell r="F194">
            <v>41306</v>
          </cell>
          <cell r="H194" t="str">
            <v>Passage sur un TS + 170% + TG MESS INTER +10% supp LOT</v>
          </cell>
          <cell r="I194">
            <v>0</v>
          </cell>
          <cell r="J194">
            <v>0</v>
          </cell>
          <cell r="K194" t="str">
            <v>Pas de contrat INES</v>
          </cell>
          <cell r="L194" t="str">
            <v>NON</v>
          </cell>
          <cell r="N194" t="str">
            <v>Non affecté</v>
          </cell>
          <cell r="O194" t="str">
            <v>KE - BQ</v>
          </cell>
          <cell r="P194" t="str">
            <v>Ok mon client</v>
          </cell>
          <cell r="Q194" t="str">
            <v>ROUEN / GRAND QUEVIL</v>
          </cell>
          <cell r="R194" t="str">
            <v>76</v>
          </cell>
          <cell r="X194" t="str">
            <v>76890</v>
          </cell>
          <cell r="Y194" t="str">
            <v>TOTES</v>
          </cell>
          <cell r="AB194">
            <v>107.4</v>
          </cell>
          <cell r="AD194">
            <v>107.4</v>
          </cell>
          <cell r="AM194">
            <v>0</v>
          </cell>
          <cell r="AN194">
            <v>-1</v>
          </cell>
          <cell r="AZ194">
            <v>0</v>
          </cell>
          <cell r="BA194">
            <v>0</v>
          </cell>
          <cell r="BB194">
            <v>0</v>
          </cell>
        </row>
        <row r="195">
          <cell r="A195">
            <v>674943</v>
          </cell>
          <cell r="B195" t="str">
            <v>DAIKIN AC SPAIN S.A.</v>
          </cell>
          <cell r="F195">
            <v>41306</v>
          </cell>
          <cell r="H195" t="str">
            <v>Passage sur un TS + 170% + TG MESS INTER +10% supp LOT</v>
          </cell>
          <cell r="I195">
            <v>0</v>
          </cell>
          <cell r="J195">
            <v>0</v>
          </cell>
          <cell r="K195" t="str">
            <v>Pas de contrat INES</v>
          </cell>
          <cell r="L195" t="str">
            <v>NON</v>
          </cell>
          <cell r="N195" t="str">
            <v>Non affecté</v>
          </cell>
          <cell r="O195" t="str">
            <v>KE - BQ</v>
          </cell>
          <cell r="P195" t="str">
            <v>Ok mon client</v>
          </cell>
          <cell r="Q195" t="str">
            <v>ROUEN / GRAND QUEVIL</v>
          </cell>
          <cell r="R195" t="str">
            <v>28</v>
          </cell>
          <cell r="X195" t="str">
            <v>28034</v>
          </cell>
          <cell r="Y195" t="str">
            <v>MADRID</v>
          </cell>
          <cell r="AB195">
            <v>45.22</v>
          </cell>
          <cell r="AD195">
            <v>45.22</v>
          </cell>
          <cell r="AM195">
            <v>0</v>
          </cell>
          <cell r="AN195">
            <v>-1</v>
          </cell>
          <cell r="AZ195">
            <v>0</v>
          </cell>
          <cell r="BA195">
            <v>0</v>
          </cell>
          <cell r="BB195">
            <v>0</v>
          </cell>
        </row>
        <row r="196">
          <cell r="A196">
            <v>677583</v>
          </cell>
          <cell r="B196" t="str">
            <v>SOCIETE D'AFFUTAGE VASSE</v>
          </cell>
          <cell r="F196">
            <v>41306</v>
          </cell>
          <cell r="H196" t="str">
            <v>Passage sur un TS + 170% + TG MESS INTER +10% supp LOT</v>
          </cell>
          <cell r="I196">
            <v>0</v>
          </cell>
          <cell r="J196">
            <v>0</v>
          </cell>
          <cell r="K196" t="str">
            <v>Pas de contrat INES</v>
          </cell>
          <cell r="L196" t="str">
            <v>NON</v>
          </cell>
          <cell r="N196" t="str">
            <v>Non affecté</v>
          </cell>
          <cell r="O196" t="str">
            <v>BQ</v>
          </cell>
          <cell r="P196" t="str">
            <v>Ok mon client</v>
          </cell>
          <cell r="Q196" t="str">
            <v>ROUEN / GRAND QUEVIL</v>
          </cell>
          <cell r="R196" t="str">
            <v>76</v>
          </cell>
          <cell r="X196" t="str">
            <v>76430</v>
          </cell>
          <cell r="Y196" t="str">
            <v>SAINT ROMAIN DE COLBOSC</v>
          </cell>
          <cell r="AA196">
            <v>46.17</v>
          </cell>
          <cell r="AB196">
            <v>95.449999999999989</v>
          </cell>
          <cell r="AD196">
            <v>141.62</v>
          </cell>
          <cell r="AM196">
            <v>0</v>
          </cell>
          <cell r="AN196">
            <v>-1</v>
          </cell>
          <cell r="AZ196">
            <v>0</v>
          </cell>
          <cell r="BA196">
            <v>0</v>
          </cell>
          <cell r="BB196">
            <v>0</v>
          </cell>
        </row>
        <row r="197">
          <cell r="A197">
            <v>685266</v>
          </cell>
          <cell r="B197" t="str">
            <v>BILLMAT</v>
          </cell>
          <cell r="F197">
            <v>41306</v>
          </cell>
          <cell r="H197" t="str">
            <v>Passage sur un TS + 170% + TG MESS INTER +10% supp LOT</v>
          </cell>
          <cell r="I197">
            <v>0</v>
          </cell>
          <cell r="J197">
            <v>0</v>
          </cell>
          <cell r="K197" t="str">
            <v>Pas de contrat INES</v>
          </cell>
          <cell r="L197" t="str">
            <v>NON</v>
          </cell>
          <cell r="N197" t="str">
            <v>Non affecté</v>
          </cell>
          <cell r="O197" t="str">
            <v>BQ</v>
          </cell>
          <cell r="P197" t="str">
            <v>Ok mon client</v>
          </cell>
          <cell r="Q197" t="str">
            <v>ROUEN / GRAND QUEVIL</v>
          </cell>
          <cell r="R197" t="str">
            <v>14</v>
          </cell>
          <cell r="S197" t="str">
            <v>RUE DE L ARTISANAT</v>
          </cell>
          <cell r="T197">
            <v>14500</v>
          </cell>
          <cell r="U197" t="str">
            <v>VIRE</v>
          </cell>
          <cell r="X197" t="str">
            <v>14500</v>
          </cell>
          <cell r="Y197" t="str">
            <v>VIRE</v>
          </cell>
          <cell r="AA197">
            <v>56.519999999999996</v>
          </cell>
          <cell r="AD197">
            <v>56.519999999999996</v>
          </cell>
          <cell r="AM197">
            <v>0</v>
          </cell>
          <cell r="AN197">
            <v>-1</v>
          </cell>
          <cell r="AZ197">
            <v>0</v>
          </cell>
          <cell r="BA197">
            <v>0</v>
          </cell>
          <cell r="BB197">
            <v>0</v>
          </cell>
        </row>
        <row r="198">
          <cell r="A198">
            <v>694507</v>
          </cell>
          <cell r="B198" t="str">
            <v>RADIOR FRANCE SAS</v>
          </cell>
          <cell r="F198">
            <v>41306</v>
          </cell>
          <cell r="H198" t="str">
            <v>Passage sur un TS + 170% + TG MESS INTER +10% supp LOT</v>
          </cell>
          <cell r="I198">
            <v>0</v>
          </cell>
          <cell r="J198">
            <v>0</v>
          </cell>
          <cell r="K198" t="str">
            <v>Pas de contrat INES</v>
          </cell>
          <cell r="L198" t="str">
            <v>NON</v>
          </cell>
          <cell r="N198" t="str">
            <v>Non affecté</v>
          </cell>
          <cell r="O198" t="str">
            <v>KE - BQ</v>
          </cell>
          <cell r="P198" t="str">
            <v>Ok mon client</v>
          </cell>
          <cell r="Q198" t="str">
            <v>ROUEN / GRAND QUEVIL</v>
          </cell>
          <cell r="R198" t="str">
            <v>27</v>
          </cell>
          <cell r="S198" t="str">
            <v>3 ALLEE DES MERISIERS</v>
          </cell>
          <cell r="T198">
            <v>27400</v>
          </cell>
          <cell r="U198" t="str">
            <v>HEUDEBOUVILLE</v>
          </cell>
          <cell r="X198" t="str">
            <v>27400</v>
          </cell>
          <cell r="Y198" t="str">
            <v>HEUDEBOUVILLE</v>
          </cell>
          <cell r="AB198">
            <v>7689.74</v>
          </cell>
          <cell r="AD198">
            <v>7689.74</v>
          </cell>
          <cell r="AM198">
            <v>0</v>
          </cell>
          <cell r="AN198">
            <v>-1</v>
          </cell>
          <cell r="AZ198">
            <v>0</v>
          </cell>
          <cell r="BA198">
            <v>0</v>
          </cell>
          <cell r="BB198">
            <v>0</v>
          </cell>
        </row>
        <row r="199">
          <cell r="A199">
            <v>77684</v>
          </cell>
          <cell r="B199" t="str">
            <v>FILTRAUTO</v>
          </cell>
          <cell r="F199">
            <v>41306</v>
          </cell>
          <cell r="H199" t="str">
            <v>Passage sur un TS + 170% + TG MESS INTER +10% supp LOT</v>
          </cell>
          <cell r="I199">
            <v>0</v>
          </cell>
          <cell r="J199">
            <v>0</v>
          </cell>
          <cell r="K199" t="str">
            <v>Pas de contrat INES</v>
          </cell>
          <cell r="L199" t="str">
            <v>NON</v>
          </cell>
          <cell r="N199" t="str">
            <v>Non affecté</v>
          </cell>
          <cell r="O199" t="str">
            <v>BQ</v>
          </cell>
          <cell r="P199" t="str">
            <v>Ok mon client</v>
          </cell>
          <cell r="Q199" t="str">
            <v>ROUEN / GRAND QUEVIL</v>
          </cell>
          <cell r="R199" t="str">
            <v>14</v>
          </cell>
          <cell r="S199" t="str">
            <v>1 RUE CHARLES TELLIER</v>
          </cell>
          <cell r="T199">
            <v>14500</v>
          </cell>
          <cell r="U199" t="str">
            <v>VIRE</v>
          </cell>
          <cell r="X199" t="str">
            <v>14500</v>
          </cell>
          <cell r="Y199" t="str">
            <v>VIRE</v>
          </cell>
          <cell r="AA199">
            <v>1307.31</v>
          </cell>
          <cell r="AD199">
            <v>1307.31</v>
          </cell>
          <cell r="AH199">
            <v>0.58316810986463286</v>
          </cell>
          <cell r="AM199">
            <v>0</v>
          </cell>
          <cell r="AN199">
            <v>-1</v>
          </cell>
          <cell r="AZ199">
            <v>0</v>
          </cell>
          <cell r="BA199">
            <v>0</v>
          </cell>
          <cell r="BB199">
            <v>0</v>
          </cell>
        </row>
        <row r="200">
          <cell r="A200">
            <v>81035</v>
          </cell>
          <cell r="B200" t="str">
            <v>ADM SEINE (SHRI)</v>
          </cell>
          <cell r="F200">
            <v>41306</v>
          </cell>
          <cell r="H200" t="str">
            <v>Passage sur un TS + 170% + TG MESS INTER +10% supp LOT</v>
          </cell>
          <cell r="I200">
            <v>0</v>
          </cell>
          <cell r="J200">
            <v>0</v>
          </cell>
          <cell r="K200" t="str">
            <v>Pas de contrat INES</v>
          </cell>
          <cell r="L200" t="str">
            <v>NON</v>
          </cell>
          <cell r="N200" t="str">
            <v>Non affecté</v>
          </cell>
          <cell r="O200" t="str">
            <v>BQ</v>
          </cell>
          <cell r="P200" t="str">
            <v>Ok mon client</v>
          </cell>
          <cell r="Q200" t="str">
            <v>ROUEN / GRAND QUEVIL</v>
          </cell>
          <cell r="R200" t="str">
            <v>76</v>
          </cell>
          <cell r="S200" t="str">
            <v>771 ROUTE DES ENTREPRISES</v>
          </cell>
          <cell r="T200">
            <v>76700</v>
          </cell>
          <cell r="U200" t="str">
            <v>HARFLEUR</v>
          </cell>
          <cell r="X200" t="str">
            <v>76700</v>
          </cell>
          <cell r="Y200" t="str">
            <v>HARFLEUR</v>
          </cell>
          <cell r="AM200">
            <v>0</v>
          </cell>
          <cell r="AO200" t="str">
            <v>022-G-76COMPTOIR</v>
          </cell>
          <cell r="AZ200">
            <v>0</v>
          </cell>
          <cell r="BA200">
            <v>0</v>
          </cell>
          <cell r="BB200">
            <v>0</v>
          </cell>
        </row>
        <row r="201">
          <cell r="A201">
            <v>811666</v>
          </cell>
          <cell r="B201" t="str">
            <v>ETA SPA</v>
          </cell>
          <cell r="C201">
            <v>0.37313400000000002</v>
          </cell>
          <cell r="F201">
            <v>41306</v>
          </cell>
          <cell r="H201" t="str">
            <v>Passage sur un TS + 170% + TG MESS INTER +10% supp LOT</v>
          </cell>
          <cell r="I201" t="str">
            <v>A faire</v>
          </cell>
          <cell r="J201">
            <v>0</v>
          </cell>
          <cell r="L201" t="str">
            <v>OK</v>
          </cell>
          <cell r="N201" t="str">
            <v>Non affecté</v>
          </cell>
          <cell r="O201" t="str">
            <v>BQ</v>
          </cell>
          <cell r="P201" t="str">
            <v>Ok mon client</v>
          </cell>
          <cell r="Q201" t="str">
            <v>ROUEN / GRAND QUEVIL</v>
          </cell>
          <cell r="R201" t="str">
            <v>76</v>
          </cell>
          <cell r="X201" t="str">
            <v>76800</v>
          </cell>
          <cell r="Y201" t="str">
            <v>ST ETIENNE DU ROUVRAY</v>
          </cell>
          <cell r="Z201">
            <v>14385.119999999999</v>
          </cell>
          <cell r="AA201">
            <v>76.849999999999994</v>
          </cell>
          <cell r="AD201">
            <v>14461.97</v>
          </cell>
          <cell r="AM201">
            <v>0</v>
          </cell>
          <cell r="AN201">
            <v>-1</v>
          </cell>
          <cell r="AO201" t="str">
            <v>022-G-76ETA</v>
          </cell>
          <cell r="AP201" t="str">
            <v>022-L1-76ETA</v>
          </cell>
          <cell r="AZ201">
            <v>0</v>
          </cell>
          <cell r="BA201">
            <v>0</v>
          </cell>
          <cell r="BB201">
            <v>0</v>
          </cell>
        </row>
        <row r="202">
          <cell r="A202">
            <v>829842</v>
          </cell>
          <cell r="B202" t="str">
            <v>AIRFLUX</v>
          </cell>
          <cell r="F202">
            <v>41306</v>
          </cell>
          <cell r="H202" t="str">
            <v>Passage sur un TS + 170% + TG MESS INTER +10% supp LOT</v>
          </cell>
          <cell r="I202">
            <v>0</v>
          </cell>
          <cell r="J202">
            <v>0</v>
          </cell>
          <cell r="K202" t="str">
            <v>Pas de contrat INES</v>
          </cell>
          <cell r="L202" t="str">
            <v>NON</v>
          </cell>
          <cell r="N202" t="str">
            <v>Non affecté</v>
          </cell>
          <cell r="O202" t="str">
            <v>BQ</v>
          </cell>
          <cell r="P202" t="str">
            <v>Ok mon client</v>
          </cell>
          <cell r="Q202" t="str">
            <v>ROUEN / GRAND QUEVIL</v>
          </cell>
          <cell r="R202" t="str">
            <v>59</v>
          </cell>
          <cell r="X202" t="str">
            <v>59000</v>
          </cell>
          <cell r="Y202" t="str">
            <v>lille</v>
          </cell>
          <cell r="AB202">
            <v>101.15</v>
          </cell>
          <cell r="AD202">
            <v>101.15</v>
          </cell>
          <cell r="AM202">
            <v>0</v>
          </cell>
          <cell r="AN202">
            <v>-1</v>
          </cell>
          <cell r="AZ202">
            <v>0</v>
          </cell>
          <cell r="BA202">
            <v>0</v>
          </cell>
          <cell r="BB202">
            <v>0</v>
          </cell>
        </row>
        <row r="203">
          <cell r="A203">
            <v>840586</v>
          </cell>
          <cell r="B203" t="str">
            <v>SEINODIS</v>
          </cell>
          <cell r="F203">
            <v>41306</v>
          </cell>
          <cell r="H203" t="str">
            <v>Passage sur un TS + 170% + TG MESS INTER +10% supp LOT</v>
          </cell>
          <cell r="I203">
            <v>0</v>
          </cell>
          <cell r="J203">
            <v>0</v>
          </cell>
          <cell r="K203" t="str">
            <v>Pas de contrat INES</v>
          </cell>
          <cell r="L203" t="str">
            <v>NON</v>
          </cell>
          <cell r="N203" t="str">
            <v>Non affecté</v>
          </cell>
          <cell r="O203" t="str">
            <v>BQ</v>
          </cell>
          <cell r="P203" t="str">
            <v>Ok mon client</v>
          </cell>
          <cell r="Q203" t="str">
            <v>GENNEVILLIERS</v>
          </cell>
          <cell r="R203" t="str">
            <v>76</v>
          </cell>
          <cell r="X203" t="str">
            <v>76300</v>
          </cell>
          <cell r="Y203" t="str">
            <v>SOTTEVILLE LES ROUEN</v>
          </cell>
          <cell r="AM203">
            <v>0</v>
          </cell>
          <cell r="AZ203">
            <v>0</v>
          </cell>
          <cell r="BA203">
            <v>0</v>
          </cell>
          <cell r="BB203">
            <v>0</v>
          </cell>
        </row>
        <row r="204">
          <cell r="A204">
            <v>840616</v>
          </cell>
          <cell r="B204" t="str">
            <v>AIR CONFORT</v>
          </cell>
          <cell r="F204">
            <v>41306</v>
          </cell>
          <cell r="H204" t="str">
            <v>Passage sur un TS + 170% + TG MESS INTER +10% supp LOT</v>
          </cell>
          <cell r="I204">
            <v>0</v>
          </cell>
          <cell r="J204">
            <v>0</v>
          </cell>
          <cell r="K204" t="str">
            <v>Pas de contrat INES</v>
          </cell>
          <cell r="L204" t="str">
            <v>NON</v>
          </cell>
          <cell r="N204" t="str">
            <v>Non affecté</v>
          </cell>
          <cell r="O204" t="str">
            <v>KE - BQ</v>
          </cell>
          <cell r="P204" t="str">
            <v>Ok mon client</v>
          </cell>
          <cell r="Q204" t="str">
            <v>ROUEN / GRAND QUEVIL</v>
          </cell>
          <cell r="R204" t="str">
            <v>76</v>
          </cell>
          <cell r="X204" t="str">
            <v>76730</v>
          </cell>
          <cell r="Y204" t="str">
            <v>BACQUEVILLE EN CAUX</v>
          </cell>
          <cell r="Z204">
            <v>284.66000000000003</v>
          </cell>
          <cell r="AB204">
            <v>3928.6499999999992</v>
          </cell>
          <cell r="AD204">
            <v>4213.3099999999995</v>
          </cell>
          <cell r="AM204">
            <v>0</v>
          </cell>
          <cell r="AN204">
            <v>-1</v>
          </cell>
          <cell r="AZ204">
            <v>0</v>
          </cell>
          <cell r="BA204">
            <v>0</v>
          </cell>
          <cell r="BB204">
            <v>0</v>
          </cell>
        </row>
        <row r="205">
          <cell r="A205">
            <v>842662</v>
          </cell>
          <cell r="B205" t="str">
            <v>LINEA POLMARG</v>
          </cell>
          <cell r="F205">
            <v>41306</v>
          </cell>
          <cell r="H205" t="str">
            <v>Passage sur un TS + 170% + TG MESS INTER +10% supp LOT</v>
          </cell>
          <cell r="I205">
            <v>0</v>
          </cell>
          <cell r="J205">
            <v>0</v>
          </cell>
          <cell r="K205" t="str">
            <v>Pas de contrat INES</v>
          </cell>
          <cell r="L205" t="str">
            <v>NON</v>
          </cell>
          <cell r="N205" t="str">
            <v>Non affecté</v>
          </cell>
          <cell r="O205" t="str">
            <v>KE - BQ</v>
          </cell>
          <cell r="P205" t="str">
            <v>Ok mon client</v>
          </cell>
          <cell r="Q205" t="str">
            <v>ROUEN / GRAND QUEVIL</v>
          </cell>
          <cell r="R205" t="str">
            <v>27</v>
          </cell>
          <cell r="X205" t="str">
            <v>27400</v>
          </cell>
          <cell r="Y205" t="str">
            <v>HEUDEBOUVILLE</v>
          </cell>
          <cell r="Z205">
            <v>2672.64</v>
          </cell>
          <cell r="AD205">
            <v>2672.64</v>
          </cell>
          <cell r="AM205">
            <v>0</v>
          </cell>
          <cell r="AN205">
            <v>-1</v>
          </cell>
          <cell r="AP205" t="str">
            <v>022-L1-27LINEA</v>
          </cell>
          <cell r="AZ205">
            <v>0</v>
          </cell>
          <cell r="BA205">
            <v>0</v>
          </cell>
          <cell r="BB205">
            <v>0</v>
          </cell>
        </row>
        <row r="206">
          <cell r="A206">
            <v>842893</v>
          </cell>
          <cell r="B206" t="str">
            <v>BBL LOGISTICS SAS</v>
          </cell>
          <cell r="F206">
            <v>41306</v>
          </cell>
          <cell r="H206" t="str">
            <v>Passage sur un TS + 170% + TG MESS INTER +10% supp LOT</v>
          </cell>
          <cell r="I206">
            <v>0</v>
          </cell>
          <cell r="J206">
            <v>0</v>
          </cell>
          <cell r="K206" t="str">
            <v>Pas de contrat INES</v>
          </cell>
          <cell r="L206" t="str">
            <v>NON</v>
          </cell>
          <cell r="N206" t="str">
            <v>Non affecté</v>
          </cell>
          <cell r="O206" t="str">
            <v>BQ</v>
          </cell>
          <cell r="P206" t="str">
            <v>Ok mon client</v>
          </cell>
          <cell r="Q206" t="str">
            <v>ROUEN / GRAND QUEVIL</v>
          </cell>
          <cell r="R206" t="str">
            <v>76</v>
          </cell>
          <cell r="S206" t="str">
            <v>BOULEVARD L'ILE AUX OISEAUX</v>
          </cell>
          <cell r="T206">
            <v>76530</v>
          </cell>
          <cell r="U206" t="str">
            <v>GRAND COURONNE</v>
          </cell>
          <cell r="X206" t="str">
            <v>76530</v>
          </cell>
          <cell r="Y206" t="str">
            <v>GRAND COURONNE</v>
          </cell>
          <cell r="Z206">
            <v>2373.5500000000002</v>
          </cell>
          <cell r="AB206">
            <v>227.72</v>
          </cell>
          <cell r="AD206">
            <v>2601.27</v>
          </cell>
          <cell r="AM206">
            <v>0</v>
          </cell>
          <cell r="AN206">
            <v>-1</v>
          </cell>
          <cell r="AZ206">
            <v>0</v>
          </cell>
          <cell r="BA206">
            <v>0</v>
          </cell>
          <cell r="BB206">
            <v>0</v>
          </cell>
        </row>
        <row r="207">
          <cell r="A207">
            <v>843432</v>
          </cell>
          <cell r="B207" t="str">
            <v>PREMIUM LOGISTIQUE PACKAGING</v>
          </cell>
          <cell r="F207">
            <v>41306</v>
          </cell>
          <cell r="H207" t="str">
            <v>Passage sur un TS + 170% + TG MESS INTER +10% supp LOT</v>
          </cell>
          <cell r="I207">
            <v>0</v>
          </cell>
          <cell r="J207">
            <v>0</v>
          </cell>
          <cell r="K207" t="str">
            <v>Pas de contrat INES</v>
          </cell>
          <cell r="L207" t="str">
            <v>NON</v>
          </cell>
          <cell r="N207" t="str">
            <v>Non affecté</v>
          </cell>
          <cell r="O207" t="str">
            <v>KE - BQ</v>
          </cell>
          <cell r="P207" t="str">
            <v>Ok mon client</v>
          </cell>
          <cell r="Q207" t="str">
            <v>ROUEN / GRAND QUEVIL</v>
          </cell>
          <cell r="R207" t="str">
            <v>27</v>
          </cell>
          <cell r="X207" t="str">
            <v>27000</v>
          </cell>
          <cell r="Y207" t="str">
            <v>EVREUX</v>
          </cell>
          <cell r="Z207">
            <v>1613.9299999999998</v>
          </cell>
          <cell r="AA207">
            <v>23.01</v>
          </cell>
          <cell r="AD207">
            <v>1636.9399999999998</v>
          </cell>
          <cell r="AM207">
            <v>0</v>
          </cell>
          <cell r="AN207">
            <v>-1</v>
          </cell>
          <cell r="AO207" t="str">
            <v>022-G-27PLP</v>
          </cell>
          <cell r="AP207" t="str">
            <v>022-L1-27PLP</v>
          </cell>
          <cell r="AZ207">
            <v>0</v>
          </cell>
          <cell r="BA207">
            <v>0</v>
          </cell>
          <cell r="BB207">
            <v>0</v>
          </cell>
        </row>
        <row r="208">
          <cell r="A208">
            <v>864613</v>
          </cell>
          <cell r="B208" t="str">
            <v>NORDFILM</v>
          </cell>
          <cell r="F208">
            <v>41306</v>
          </cell>
          <cell r="H208" t="str">
            <v>Passage sur un TS + 170% + TG MESS INTER +10% supp LOT</v>
          </cell>
          <cell r="I208">
            <v>0</v>
          </cell>
          <cell r="J208">
            <v>0</v>
          </cell>
          <cell r="K208" t="str">
            <v>Pas de contrat INES</v>
          </cell>
          <cell r="L208" t="str">
            <v>NON</v>
          </cell>
          <cell r="N208" t="str">
            <v>Non affecté</v>
          </cell>
          <cell r="O208" t="str">
            <v>BQ</v>
          </cell>
          <cell r="P208" t="str">
            <v>Ok mon client</v>
          </cell>
          <cell r="Q208" t="str">
            <v>ROUEN / GRAND QUEVIL</v>
          </cell>
          <cell r="R208" t="str">
            <v>27</v>
          </cell>
          <cell r="S208" t="str">
            <v>13 RUE DE LA BRASSERIE</v>
          </cell>
          <cell r="T208">
            <v>27500</v>
          </cell>
          <cell r="U208" t="str">
            <v>PONT AUDEMER</v>
          </cell>
          <cell r="X208" t="str">
            <v>27500</v>
          </cell>
          <cell r="Y208" t="str">
            <v>PONT AUDEMER</v>
          </cell>
          <cell r="Z208">
            <v>227.83</v>
          </cell>
          <cell r="AD208">
            <v>227.83</v>
          </cell>
          <cell r="AM208">
            <v>0</v>
          </cell>
          <cell r="AN208">
            <v>-1</v>
          </cell>
          <cell r="AP208" t="str">
            <v>022-L1-27NORDFILM</v>
          </cell>
          <cell r="AZ208">
            <v>0</v>
          </cell>
          <cell r="BA208">
            <v>0</v>
          </cell>
          <cell r="BB208">
            <v>0</v>
          </cell>
        </row>
        <row r="209">
          <cell r="A209">
            <v>86760</v>
          </cell>
          <cell r="B209" t="str">
            <v>VIGREUX</v>
          </cell>
          <cell r="F209">
            <v>41306</v>
          </cell>
          <cell r="H209" t="str">
            <v>Passage sur un TS + 170% + TG MESS INTER +10% supp LOT</v>
          </cell>
          <cell r="I209">
            <v>0</v>
          </cell>
          <cell r="J209">
            <v>0</v>
          </cell>
          <cell r="K209" t="str">
            <v>Pas de contrat INES</v>
          </cell>
          <cell r="L209" t="str">
            <v>NON</v>
          </cell>
          <cell r="N209" t="str">
            <v>Non affecté</v>
          </cell>
          <cell r="O209" t="str">
            <v>BQ</v>
          </cell>
          <cell r="P209" t="str">
            <v>Ok mon client</v>
          </cell>
          <cell r="Q209" t="str">
            <v>ROUEN / GRAND QUEVIL</v>
          </cell>
          <cell r="R209" t="str">
            <v>76</v>
          </cell>
          <cell r="S209" t="str">
            <v>115 BD DU 11 NOVEMBRE</v>
          </cell>
          <cell r="T209">
            <v>76140</v>
          </cell>
          <cell r="U209" t="str">
            <v>LE PETIT QUEVILLY</v>
          </cell>
          <cell r="X209" t="str">
            <v>76140</v>
          </cell>
          <cell r="Y209" t="str">
            <v>LE PETIT QUEVILLY</v>
          </cell>
          <cell r="AA209">
            <v>49.61</v>
          </cell>
          <cell r="AD209">
            <v>49.61</v>
          </cell>
          <cell r="AM209">
            <v>0</v>
          </cell>
          <cell r="AN209">
            <v>-1</v>
          </cell>
          <cell r="AZ209">
            <v>0</v>
          </cell>
          <cell r="BA209">
            <v>0</v>
          </cell>
          <cell r="BB209">
            <v>0</v>
          </cell>
        </row>
        <row r="210">
          <cell r="A210">
            <v>9129</v>
          </cell>
          <cell r="B210" t="str">
            <v>MANUHAVRE SARL</v>
          </cell>
          <cell r="C210">
            <v>0.37313400000000002</v>
          </cell>
          <cell r="F210">
            <v>41306</v>
          </cell>
          <cell r="H210" t="str">
            <v>Passage sur un TS + 170% + TG MESS INTER +10% supp LOT</v>
          </cell>
          <cell r="I210" t="str">
            <v>A faire</v>
          </cell>
          <cell r="J210">
            <v>0</v>
          </cell>
          <cell r="L210" t="str">
            <v>OK</v>
          </cell>
          <cell r="N210" t="str">
            <v>Non affecté</v>
          </cell>
          <cell r="O210" t="str">
            <v>BQ</v>
          </cell>
          <cell r="P210" t="str">
            <v>Ok mon client</v>
          </cell>
          <cell r="Q210" t="str">
            <v>ROUEN / GRAND QUEVIL</v>
          </cell>
          <cell r="R210" t="str">
            <v>76</v>
          </cell>
          <cell r="S210" t="str">
            <v>ZAC DE ROGERVILLE OUDALLE</v>
          </cell>
          <cell r="T210">
            <v>76700</v>
          </cell>
          <cell r="U210" t="str">
            <v>HARFLEUR</v>
          </cell>
          <cell r="X210" t="str">
            <v>76700</v>
          </cell>
          <cell r="Y210" t="str">
            <v>HARFLEUR</v>
          </cell>
          <cell r="AA210">
            <v>202.42000000000002</v>
          </cell>
          <cell r="AB210">
            <v>71.52</v>
          </cell>
          <cell r="AD210">
            <v>273.94</v>
          </cell>
          <cell r="AM210">
            <v>0</v>
          </cell>
          <cell r="AN210">
            <v>-1</v>
          </cell>
          <cell r="AO210" t="str">
            <v>022-G-76MANUHAVRE</v>
          </cell>
          <cell r="AZ210">
            <v>0</v>
          </cell>
          <cell r="BA210">
            <v>0</v>
          </cell>
          <cell r="BB210">
            <v>0</v>
          </cell>
        </row>
        <row r="211">
          <cell r="A211">
            <v>808499</v>
          </cell>
          <cell r="B211" t="str">
            <v>SARL BRUNONE R</v>
          </cell>
          <cell r="F211">
            <v>41306</v>
          </cell>
          <cell r="H211" t="str">
            <v>Passage sur un TS + 170% + TG MESS INTER +10% supp LOT</v>
          </cell>
          <cell r="I211">
            <v>0</v>
          </cell>
          <cell r="J211">
            <v>0</v>
          </cell>
          <cell r="K211" t="str">
            <v>Pas de contrat INES</v>
          </cell>
          <cell r="L211" t="str">
            <v>NON</v>
          </cell>
          <cell r="N211" t="str">
            <v>Non affecté</v>
          </cell>
          <cell r="O211" t="str">
            <v>KE - BQ</v>
          </cell>
          <cell r="P211" t="str">
            <v>Ok mon client</v>
          </cell>
          <cell r="Q211" t="str">
            <v>ROUEN / GRAND QUEVIL</v>
          </cell>
          <cell r="R211" t="str">
            <v>27</v>
          </cell>
          <cell r="S211" t="str">
            <v>1 RUE DE LA CRESSONNIERE</v>
          </cell>
          <cell r="T211">
            <v>27950</v>
          </cell>
          <cell r="U211" t="str">
            <v>SAINT MARCEL</v>
          </cell>
          <cell r="X211" t="str">
            <v>27950</v>
          </cell>
          <cell r="Y211" t="str">
            <v>SAINT MARCEL</v>
          </cell>
          <cell r="Z211">
            <v>823.62</v>
          </cell>
          <cell r="AD211">
            <v>823.62</v>
          </cell>
          <cell r="AE211">
            <v>-248.70999999999998</v>
          </cell>
          <cell r="AL211">
            <v>-248.70999999999998</v>
          </cell>
          <cell r="AM211">
            <v>-348.19399999999996</v>
          </cell>
          <cell r="AN211">
            <v>-1.4227604963454019</v>
          </cell>
          <cell r="AZ211">
            <v>0</v>
          </cell>
          <cell r="BA211">
            <v>0</v>
          </cell>
          <cell r="BB211">
            <v>-248.70999999999998</v>
          </cell>
        </row>
        <row r="212">
          <cell r="A212">
            <v>71899</v>
          </cell>
          <cell r="B212" t="str">
            <v>RECTICEL SAS</v>
          </cell>
          <cell r="F212">
            <v>41306</v>
          </cell>
          <cell r="H212" t="str">
            <v>Passage sur un TS + 170% + TG MESS INTER +10% supp LOT</v>
          </cell>
          <cell r="I212">
            <v>0</v>
          </cell>
          <cell r="J212">
            <v>0</v>
          </cell>
          <cell r="K212" t="str">
            <v>PAS GERE PAR 022</v>
          </cell>
          <cell r="L212" t="str">
            <v>NON</v>
          </cell>
          <cell r="N212" t="str">
            <v>Non affecté</v>
          </cell>
          <cell r="O212" t="str">
            <v>BQ</v>
          </cell>
          <cell r="P212" t="str">
            <v>Ok mon client</v>
          </cell>
          <cell r="Q212" t="str">
            <v>ROUEN / GRAND QUEVIL</v>
          </cell>
          <cell r="R212" t="str">
            <v>92</v>
          </cell>
          <cell r="S212" t="str">
            <v>7 RUE DU FOSSE BLANC 
BATIMENT C2</v>
          </cell>
          <cell r="T212" t="str">
            <v>92230</v>
          </cell>
          <cell r="U212" t="str">
            <v>GENNEVILLIERS</v>
          </cell>
          <cell r="X212" t="str">
            <v>92622</v>
          </cell>
          <cell r="Y212" t="str">
            <v>GENNEVILLIERS</v>
          </cell>
          <cell r="Z212">
            <v>2219.1799999999998</v>
          </cell>
          <cell r="AA212">
            <v>135.29000000000002</v>
          </cell>
          <cell r="AB212">
            <v>46.33</v>
          </cell>
          <cell r="AC212">
            <v>1394.52</v>
          </cell>
          <cell r="AD212">
            <v>3795.3199999999997</v>
          </cell>
          <cell r="AE212">
            <v>-2219.1800000000003</v>
          </cell>
          <cell r="AG212">
            <v>334.34999999999997</v>
          </cell>
          <cell r="AL212">
            <v>-1884.8300000000004</v>
          </cell>
          <cell r="AM212">
            <v>-2638.7620000000002</v>
          </cell>
          <cell r="AN212">
            <v>-1.6952673292370606</v>
          </cell>
          <cell r="AO212" t="str">
            <v>024-G-77RECTICEL</v>
          </cell>
          <cell r="AZ212">
            <v>334.34999999999997</v>
          </cell>
          <cell r="BA212">
            <v>0</v>
          </cell>
          <cell r="BB212">
            <v>-2219.1800000000003</v>
          </cell>
        </row>
        <row r="220">
          <cell r="I220">
            <v>0</v>
          </cell>
          <cell r="J220">
            <v>0</v>
          </cell>
        </row>
        <row r="221">
          <cell r="I221">
            <v>0</v>
          </cell>
          <cell r="J221">
            <v>0</v>
          </cell>
        </row>
        <row r="222">
          <cell r="I222">
            <v>0</v>
          </cell>
          <cell r="J222">
            <v>0</v>
          </cell>
        </row>
        <row r="223">
          <cell r="I223">
            <v>0</v>
          </cell>
          <cell r="J223">
            <v>0</v>
          </cell>
        </row>
        <row r="224">
          <cell r="I224">
            <v>0</v>
          </cell>
          <cell r="J224">
            <v>0</v>
          </cell>
        </row>
        <row r="225">
          <cell r="I225">
            <v>0</v>
          </cell>
          <cell r="J225">
            <v>0</v>
          </cell>
        </row>
        <row r="226">
          <cell r="I226">
            <v>0</v>
          </cell>
          <cell r="J226">
            <v>0</v>
          </cell>
        </row>
        <row r="227">
          <cell r="I227">
            <v>0</v>
          </cell>
          <cell r="J227">
            <v>0</v>
          </cell>
        </row>
        <row r="228">
          <cell r="I228">
            <v>0</v>
          </cell>
          <cell r="J228">
            <v>0</v>
          </cell>
        </row>
        <row r="229">
          <cell r="I229">
            <v>0</v>
          </cell>
          <cell r="J229">
            <v>0</v>
          </cell>
        </row>
        <row r="230">
          <cell r="I230">
            <v>0</v>
          </cell>
          <cell r="J230">
            <v>0</v>
          </cell>
        </row>
        <row r="231">
          <cell r="I231">
            <v>0</v>
          </cell>
          <cell r="J231">
            <v>0</v>
          </cell>
        </row>
        <row r="232">
          <cell r="I232">
            <v>0</v>
          </cell>
          <cell r="J232">
            <v>0</v>
          </cell>
        </row>
        <row r="233">
          <cell r="I233">
            <v>0</v>
          </cell>
          <cell r="J233">
            <v>0</v>
          </cell>
        </row>
        <row r="234">
          <cell r="I234">
            <v>0</v>
          </cell>
          <cell r="J234">
            <v>0</v>
          </cell>
        </row>
        <row r="235">
          <cell r="I235">
            <v>0</v>
          </cell>
          <cell r="J235">
            <v>0</v>
          </cell>
        </row>
        <row r="236">
          <cell r="I236">
            <v>0</v>
          </cell>
          <cell r="J236">
            <v>0</v>
          </cell>
        </row>
        <row r="237">
          <cell r="I237">
            <v>0</v>
          </cell>
          <cell r="J237">
            <v>0</v>
          </cell>
        </row>
        <row r="238">
          <cell r="I238">
            <v>0</v>
          </cell>
          <cell r="J238">
            <v>0</v>
          </cell>
        </row>
        <row r="239">
          <cell r="I239">
            <v>0</v>
          </cell>
          <cell r="J239">
            <v>0</v>
          </cell>
        </row>
        <row r="240">
          <cell r="I240">
            <v>0</v>
          </cell>
          <cell r="J240">
            <v>0</v>
          </cell>
        </row>
        <row r="241">
          <cell r="I241">
            <v>0</v>
          </cell>
          <cell r="J241">
            <v>0</v>
          </cell>
        </row>
        <row r="242">
          <cell r="I242">
            <v>0</v>
          </cell>
          <cell r="J242">
            <v>0</v>
          </cell>
        </row>
        <row r="243">
          <cell r="I243">
            <v>0</v>
          </cell>
          <cell r="J243">
            <v>0</v>
          </cell>
        </row>
        <row r="244">
          <cell r="I244">
            <v>0</v>
          </cell>
          <cell r="J244">
            <v>0</v>
          </cell>
        </row>
        <row r="245">
          <cell r="I245">
            <v>0</v>
          </cell>
          <cell r="J245">
            <v>0</v>
          </cell>
        </row>
        <row r="246">
          <cell r="I246">
            <v>0</v>
          </cell>
          <cell r="J246">
            <v>0</v>
          </cell>
        </row>
        <row r="247">
          <cell r="I247">
            <v>0</v>
          </cell>
          <cell r="J247">
            <v>0</v>
          </cell>
        </row>
        <row r="248">
          <cell r="I248">
            <v>0</v>
          </cell>
          <cell r="J248">
            <v>0</v>
          </cell>
        </row>
        <row r="249">
          <cell r="I249">
            <v>0</v>
          </cell>
          <cell r="J249">
            <v>0</v>
          </cell>
        </row>
        <row r="250">
          <cell r="I250">
            <v>0</v>
          </cell>
          <cell r="J250">
            <v>0</v>
          </cell>
        </row>
        <row r="251">
          <cell r="I251">
            <v>0</v>
          </cell>
          <cell r="J251">
            <v>0</v>
          </cell>
        </row>
        <row r="252">
          <cell r="I252">
            <v>0</v>
          </cell>
          <cell r="J252">
            <v>0</v>
          </cell>
        </row>
        <row r="253">
          <cell r="I253">
            <v>0</v>
          </cell>
          <cell r="J253">
            <v>0</v>
          </cell>
        </row>
        <row r="254">
          <cell r="I254">
            <v>0</v>
          </cell>
          <cell r="J254">
            <v>0</v>
          </cell>
        </row>
        <row r="255">
          <cell r="I255">
            <v>0</v>
          </cell>
          <cell r="J255">
            <v>0</v>
          </cell>
        </row>
        <row r="256">
          <cell r="I256">
            <v>0</v>
          </cell>
          <cell r="J256">
            <v>0</v>
          </cell>
        </row>
        <row r="257">
          <cell r="I257">
            <v>0</v>
          </cell>
          <cell r="J257">
            <v>0</v>
          </cell>
        </row>
        <row r="258">
          <cell r="I258">
            <v>0</v>
          </cell>
          <cell r="J258">
            <v>0</v>
          </cell>
        </row>
        <row r="259">
          <cell r="I259">
            <v>0</v>
          </cell>
          <cell r="J259">
            <v>0</v>
          </cell>
        </row>
        <row r="260">
          <cell r="I260">
            <v>0</v>
          </cell>
          <cell r="J260">
            <v>0</v>
          </cell>
        </row>
        <row r="261">
          <cell r="I261">
            <v>0</v>
          </cell>
          <cell r="J261">
            <v>0</v>
          </cell>
        </row>
        <row r="262">
          <cell r="I262">
            <v>0</v>
          </cell>
          <cell r="J262">
            <v>0</v>
          </cell>
        </row>
        <row r="263">
          <cell r="I263">
            <v>0</v>
          </cell>
          <cell r="J263">
            <v>0</v>
          </cell>
        </row>
        <row r="264">
          <cell r="I264">
            <v>0</v>
          </cell>
          <cell r="J264">
            <v>0</v>
          </cell>
        </row>
        <row r="265">
          <cell r="I265">
            <v>0</v>
          </cell>
          <cell r="J265">
            <v>0</v>
          </cell>
        </row>
        <row r="266">
          <cell r="I266">
            <v>0</v>
          </cell>
          <cell r="J266">
            <v>0</v>
          </cell>
        </row>
        <row r="267">
          <cell r="I267">
            <v>0</v>
          </cell>
          <cell r="J267">
            <v>0</v>
          </cell>
        </row>
        <row r="268">
          <cell r="I268">
            <v>0</v>
          </cell>
          <cell r="J268">
            <v>0</v>
          </cell>
        </row>
        <row r="269">
          <cell r="I269">
            <v>0</v>
          </cell>
          <cell r="J269">
            <v>0</v>
          </cell>
        </row>
        <row r="270">
          <cell r="I270">
            <v>0</v>
          </cell>
          <cell r="J270">
            <v>0</v>
          </cell>
        </row>
        <row r="271">
          <cell r="I271">
            <v>0</v>
          </cell>
          <cell r="J271">
            <v>0</v>
          </cell>
        </row>
        <row r="272">
          <cell r="I272">
            <v>0</v>
          </cell>
          <cell r="J272">
            <v>0</v>
          </cell>
        </row>
        <row r="273">
          <cell r="I273">
            <v>0</v>
          </cell>
          <cell r="J273">
            <v>0</v>
          </cell>
        </row>
        <row r="274">
          <cell r="I274">
            <v>0</v>
          </cell>
          <cell r="J274">
            <v>0</v>
          </cell>
        </row>
        <row r="275">
          <cell r="I275">
            <v>0</v>
          </cell>
          <cell r="J275">
            <v>0</v>
          </cell>
        </row>
        <row r="276">
          <cell r="I276">
            <v>0</v>
          </cell>
          <cell r="J276">
            <v>0</v>
          </cell>
        </row>
        <row r="277">
          <cell r="I277">
            <v>0</v>
          </cell>
          <cell r="J277">
            <v>0</v>
          </cell>
        </row>
        <row r="278">
          <cell r="I278">
            <v>0</v>
          </cell>
          <cell r="J278">
            <v>0</v>
          </cell>
        </row>
        <row r="279">
          <cell r="I279">
            <v>0</v>
          </cell>
          <cell r="J279">
            <v>0</v>
          </cell>
        </row>
        <row r="280">
          <cell r="I280">
            <v>0</v>
          </cell>
          <cell r="J280">
            <v>0</v>
          </cell>
        </row>
        <row r="281">
          <cell r="I281">
            <v>0</v>
          </cell>
          <cell r="J281">
            <v>0</v>
          </cell>
        </row>
        <row r="282">
          <cell r="I282">
            <v>0</v>
          </cell>
          <cell r="J282">
            <v>0</v>
          </cell>
        </row>
        <row r="283">
          <cell r="I283">
            <v>0</v>
          </cell>
          <cell r="J283">
            <v>0</v>
          </cell>
        </row>
        <row r="284">
          <cell r="I284">
            <v>0</v>
          </cell>
          <cell r="J284">
            <v>0</v>
          </cell>
        </row>
        <row r="285">
          <cell r="I285">
            <v>0</v>
          </cell>
          <cell r="J285">
            <v>0</v>
          </cell>
        </row>
        <row r="286">
          <cell r="I286">
            <v>0</v>
          </cell>
          <cell r="J286">
            <v>0</v>
          </cell>
        </row>
        <row r="287">
          <cell r="I287">
            <v>0</v>
          </cell>
          <cell r="J287">
            <v>0</v>
          </cell>
        </row>
        <row r="288">
          <cell r="I288">
            <v>0</v>
          </cell>
          <cell r="J288">
            <v>0</v>
          </cell>
        </row>
        <row r="289">
          <cell r="I289">
            <v>0</v>
          </cell>
          <cell r="J289">
            <v>0</v>
          </cell>
        </row>
        <row r="290">
          <cell r="I290">
            <v>0</v>
          </cell>
          <cell r="J290">
            <v>0</v>
          </cell>
        </row>
        <row r="291">
          <cell r="I291">
            <v>0</v>
          </cell>
          <cell r="J291">
            <v>0</v>
          </cell>
        </row>
        <row r="292">
          <cell r="I292">
            <v>0</v>
          </cell>
          <cell r="J292">
            <v>0</v>
          </cell>
        </row>
        <row r="293">
          <cell r="I293">
            <v>0</v>
          </cell>
          <cell r="J293">
            <v>0</v>
          </cell>
        </row>
        <row r="294">
          <cell r="I294">
            <v>0</v>
          </cell>
          <cell r="J294">
            <v>0</v>
          </cell>
        </row>
        <row r="295">
          <cell r="I295">
            <v>0</v>
          </cell>
          <cell r="J295">
            <v>0</v>
          </cell>
        </row>
        <row r="296">
          <cell r="I296">
            <v>0</v>
          </cell>
          <cell r="J296">
            <v>0</v>
          </cell>
        </row>
        <row r="297">
          <cell r="I297">
            <v>0</v>
          </cell>
          <cell r="J297">
            <v>0</v>
          </cell>
        </row>
        <row r="298">
          <cell r="I298">
            <v>0</v>
          </cell>
          <cell r="J298">
            <v>0</v>
          </cell>
        </row>
        <row r="299">
          <cell r="I299">
            <v>0</v>
          </cell>
          <cell r="J299">
            <v>0</v>
          </cell>
        </row>
        <row r="300">
          <cell r="I300">
            <v>0</v>
          </cell>
          <cell r="J300">
            <v>0</v>
          </cell>
        </row>
        <row r="301">
          <cell r="I301">
            <v>0</v>
          </cell>
          <cell r="J301">
            <v>0</v>
          </cell>
        </row>
        <row r="302">
          <cell r="I302">
            <v>0</v>
          </cell>
          <cell r="J302">
            <v>0</v>
          </cell>
        </row>
        <row r="303">
          <cell r="I303">
            <v>0</v>
          </cell>
          <cell r="J303">
            <v>0</v>
          </cell>
        </row>
        <row r="304">
          <cell r="I304">
            <v>0</v>
          </cell>
          <cell r="J304">
            <v>0</v>
          </cell>
        </row>
        <row r="305">
          <cell r="I305">
            <v>0</v>
          </cell>
          <cell r="J305">
            <v>0</v>
          </cell>
        </row>
        <row r="306">
          <cell r="I306">
            <v>0</v>
          </cell>
          <cell r="J306">
            <v>0</v>
          </cell>
        </row>
        <row r="307">
          <cell r="I307">
            <v>0</v>
          </cell>
          <cell r="J307">
            <v>0</v>
          </cell>
        </row>
        <row r="308">
          <cell r="I308">
            <v>0</v>
          </cell>
          <cell r="J308">
            <v>0</v>
          </cell>
        </row>
        <row r="309">
          <cell r="I309">
            <v>0</v>
          </cell>
          <cell r="J309">
            <v>0</v>
          </cell>
        </row>
        <row r="310">
          <cell r="I310">
            <v>0</v>
          </cell>
          <cell r="J310">
            <v>0</v>
          </cell>
        </row>
        <row r="311">
          <cell r="I311">
            <v>0</v>
          </cell>
          <cell r="J311">
            <v>0</v>
          </cell>
        </row>
        <row r="312">
          <cell r="I312">
            <v>0</v>
          </cell>
          <cell r="J312">
            <v>0</v>
          </cell>
        </row>
        <row r="313">
          <cell r="I313">
            <v>0</v>
          </cell>
          <cell r="J313">
            <v>0</v>
          </cell>
        </row>
        <row r="314">
          <cell r="I314">
            <v>0</v>
          </cell>
          <cell r="J314">
            <v>0</v>
          </cell>
        </row>
        <row r="315">
          <cell r="I315">
            <v>0</v>
          </cell>
          <cell r="J315">
            <v>0</v>
          </cell>
        </row>
        <row r="316">
          <cell r="I316">
            <v>0</v>
          </cell>
          <cell r="J316">
            <v>0</v>
          </cell>
        </row>
        <row r="317">
          <cell r="I317">
            <v>0</v>
          </cell>
          <cell r="J317">
            <v>0</v>
          </cell>
        </row>
        <row r="318">
          <cell r="I318">
            <v>0</v>
          </cell>
          <cell r="J318">
            <v>0</v>
          </cell>
        </row>
        <row r="319">
          <cell r="I319">
            <v>0</v>
          </cell>
          <cell r="J319">
            <v>0</v>
          </cell>
        </row>
        <row r="320">
          <cell r="I320">
            <v>0</v>
          </cell>
          <cell r="J320">
            <v>0</v>
          </cell>
        </row>
        <row r="321">
          <cell r="I321">
            <v>0</v>
          </cell>
          <cell r="J321">
            <v>0</v>
          </cell>
        </row>
        <row r="322">
          <cell r="I322">
            <v>0</v>
          </cell>
          <cell r="J322">
            <v>0</v>
          </cell>
        </row>
        <row r="323">
          <cell r="I323">
            <v>0</v>
          </cell>
          <cell r="J323">
            <v>0</v>
          </cell>
        </row>
        <row r="324">
          <cell r="I324">
            <v>0</v>
          </cell>
          <cell r="J324">
            <v>0</v>
          </cell>
        </row>
        <row r="325">
          <cell r="I325">
            <v>0</v>
          </cell>
          <cell r="J325">
            <v>0</v>
          </cell>
        </row>
        <row r="326">
          <cell r="I326">
            <v>0</v>
          </cell>
          <cell r="J326">
            <v>0</v>
          </cell>
        </row>
        <row r="327">
          <cell r="I327">
            <v>0</v>
          </cell>
          <cell r="J327">
            <v>0</v>
          </cell>
        </row>
        <row r="328">
          <cell r="I328">
            <v>0</v>
          </cell>
          <cell r="J328">
            <v>0</v>
          </cell>
        </row>
        <row r="329">
          <cell r="I329">
            <v>0</v>
          </cell>
          <cell r="J329">
            <v>0</v>
          </cell>
        </row>
        <row r="330">
          <cell r="I330">
            <v>0</v>
          </cell>
          <cell r="J330">
            <v>0</v>
          </cell>
        </row>
        <row r="331">
          <cell r="I331">
            <v>0</v>
          </cell>
          <cell r="J331">
            <v>0</v>
          </cell>
        </row>
        <row r="332">
          <cell r="I332">
            <v>0</v>
          </cell>
          <cell r="J332">
            <v>0</v>
          </cell>
        </row>
        <row r="333">
          <cell r="I333">
            <v>0</v>
          </cell>
          <cell r="J333">
            <v>0</v>
          </cell>
        </row>
        <row r="334">
          <cell r="I334">
            <v>0</v>
          </cell>
          <cell r="J334">
            <v>0</v>
          </cell>
        </row>
        <row r="335">
          <cell r="I335">
            <v>0</v>
          </cell>
          <cell r="J335">
            <v>0</v>
          </cell>
        </row>
        <row r="336">
          <cell r="I336">
            <v>0</v>
          </cell>
          <cell r="J336">
            <v>0</v>
          </cell>
        </row>
        <row r="337">
          <cell r="I337">
            <v>0</v>
          </cell>
          <cell r="J337">
            <v>0</v>
          </cell>
        </row>
        <row r="338">
          <cell r="I338">
            <v>0</v>
          </cell>
          <cell r="J338">
            <v>0</v>
          </cell>
        </row>
        <row r="339">
          <cell r="I339">
            <v>0</v>
          </cell>
          <cell r="J339">
            <v>0</v>
          </cell>
        </row>
        <row r="340">
          <cell r="I340">
            <v>0</v>
          </cell>
          <cell r="J340">
            <v>0</v>
          </cell>
        </row>
        <row r="341">
          <cell r="I341">
            <v>0</v>
          </cell>
          <cell r="J341">
            <v>0</v>
          </cell>
        </row>
        <row r="342">
          <cell r="I342">
            <v>0</v>
          </cell>
          <cell r="J342">
            <v>0</v>
          </cell>
        </row>
        <row r="343">
          <cell r="I343">
            <v>0</v>
          </cell>
          <cell r="J343">
            <v>0</v>
          </cell>
        </row>
        <row r="344">
          <cell r="I344">
            <v>0</v>
          </cell>
          <cell r="J344">
            <v>0</v>
          </cell>
        </row>
        <row r="345">
          <cell r="I345">
            <v>0</v>
          </cell>
          <cell r="J345">
            <v>0</v>
          </cell>
        </row>
        <row r="346">
          <cell r="I346">
            <v>0</v>
          </cell>
          <cell r="J346">
            <v>0</v>
          </cell>
        </row>
        <row r="347">
          <cell r="I347">
            <v>0</v>
          </cell>
          <cell r="J347">
            <v>0</v>
          </cell>
        </row>
        <row r="348">
          <cell r="I348">
            <v>0</v>
          </cell>
          <cell r="J348">
            <v>0</v>
          </cell>
        </row>
        <row r="349">
          <cell r="I349">
            <v>0</v>
          </cell>
          <cell r="J349">
            <v>0</v>
          </cell>
        </row>
        <row r="350">
          <cell r="I350">
            <v>0</v>
          </cell>
          <cell r="J350">
            <v>0</v>
          </cell>
        </row>
        <row r="351">
          <cell r="I351">
            <v>0</v>
          </cell>
          <cell r="J351">
            <v>0</v>
          </cell>
        </row>
        <row r="352">
          <cell r="I352">
            <v>0</v>
          </cell>
          <cell r="J352">
            <v>0</v>
          </cell>
        </row>
        <row r="353">
          <cell r="I353">
            <v>0</v>
          </cell>
          <cell r="J353">
            <v>0</v>
          </cell>
        </row>
        <row r="354">
          <cell r="I354">
            <v>0</v>
          </cell>
          <cell r="J354">
            <v>0</v>
          </cell>
        </row>
        <row r="355">
          <cell r="I355">
            <v>0</v>
          </cell>
          <cell r="J355">
            <v>0</v>
          </cell>
        </row>
        <row r="356">
          <cell r="I356">
            <v>0</v>
          </cell>
          <cell r="J356">
            <v>0</v>
          </cell>
        </row>
        <row r="357">
          <cell r="I357">
            <v>0</v>
          </cell>
          <cell r="J357">
            <v>0</v>
          </cell>
        </row>
        <row r="358">
          <cell r="I358">
            <v>0</v>
          </cell>
          <cell r="J358">
            <v>0</v>
          </cell>
        </row>
        <row r="359">
          <cell r="I359">
            <v>0</v>
          </cell>
          <cell r="J359">
            <v>0</v>
          </cell>
        </row>
        <row r="360">
          <cell r="I360">
            <v>0</v>
          </cell>
          <cell r="J360">
            <v>0</v>
          </cell>
        </row>
        <row r="361">
          <cell r="I361">
            <v>0</v>
          </cell>
          <cell r="J361">
            <v>0</v>
          </cell>
        </row>
        <row r="362">
          <cell r="I362">
            <v>0</v>
          </cell>
          <cell r="J362">
            <v>0</v>
          </cell>
        </row>
        <row r="363">
          <cell r="I363">
            <v>0</v>
          </cell>
          <cell r="J363">
            <v>0</v>
          </cell>
        </row>
        <row r="364">
          <cell r="I364">
            <v>0</v>
          </cell>
          <cell r="J364">
            <v>0</v>
          </cell>
        </row>
        <row r="365">
          <cell r="I365">
            <v>0</v>
          </cell>
          <cell r="J365">
            <v>0</v>
          </cell>
        </row>
        <row r="366">
          <cell r="I366">
            <v>0</v>
          </cell>
          <cell r="J366">
            <v>0</v>
          </cell>
        </row>
        <row r="367">
          <cell r="I367">
            <v>0</v>
          </cell>
          <cell r="J367">
            <v>0</v>
          </cell>
        </row>
        <row r="368">
          <cell r="I368">
            <v>0</v>
          </cell>
          <cell r="J368">
            <v>0</v>
          </cell>
        </row>
        <row r="369">
          <cell r="I369">
            <v>0</v>
          </cell>
          <cell r="J369">
            <v>0</v>
          </cell>
        </row>
        <row r="370">
          <cell r="I370">
            <v>0</v>
          </cell>
          <cell r="J370">
            <v>0</v>
          </cell>
        </row>
        <row r="371">
          <cell r="I371">
            <v>0</v>
          </cell>
          <cell r="J371">
            <v>0</v>
          </cell>
        </row>
        <row r="372">
          <cell r="I372">
            <v>0</v>
          </cell>
          <cell r="J372">
            <v>0</v>
          </cell>
        </row>
        <row r="373">
          <cell r="I373">
            <v>0</v>
          </cell>
          <cell r="J373">
            <v>0</v>
          </cell>
        </row>
        <row r="374">
          <cell r="I374">
            <v>0</v>
          </cell>
          <cell r="J374">
            <v>0</v>
          </cell>
        </row>
        <row r="375">
          <cell r="I375">
            <v>0</v>
          </cell>
          <cell r="J375">
            <v>0</v>
          </cell>
        </row>
        <row r="376">
          <cell r="I376">
            <v>0</v>
          </cell>
          <cell r="J376">
            <v>0</v>
          </cell>
        </row>
        <row r="377">
          <cell r="I377">
            <v>0</v>
          </cell>
          <cell r="J377">
            <v>0</v>
          </cell>
        </row>
        <row r="378">
          <cell r="I378">
            <v>0</v>
          </cell>
          <cell r="J378">
            <v>0</v>
          </cell>
        </row>
        <row r="379">
          <cell r="I379">
            <v>0</v>
          </cell>
          <cell r="J379">
            <v>0</v>
          </cell>
        </row>
        <row r="380">
          <cell r="I380">
            <v>0</v>
          </cell>
          <cell r="J380">
            <v>0</v>
          </cell>
        </row>
        <row r="381">
          <cell r="I381">
            <v>0</v>
          </cell>
          <cell r="J381">
            <v>0</v>
          </cell>
        </row>
        <row r="382">
          <cell r="I382">
            <v>0</v>
          </cell>
          <cell r="J382">
            <v>0</v>
          </cell>
        </row>
        <row r="383">
          <cell r="I383">
            <v>0</v>
          </cell>
          <cell r="J383">
            <v>0</v>
          </cell>
        </row>
        <row r="384">
          <cell r="I384">
            <v>0</v>
          </cell>
          <cell r="J384">
            <v>0</v>
          </cell>
        </row>
        <row r="385">
          <cell r="I385">
            <v>0</v>
          </cell>
          <cell r="J385">
            <v>0</v>
          </cell>
        </row>
        <row r="386">
          <cell r="I386">
            <v>0</v>
          </cell>
          <cell r="J386">
            <v>0</v>
          </cell>
        </row>
        <row r="387">
          <cell r="I387">
            <v>0</v>
          </cell>
          <cell r="J387">
            <v>0</v>
          </cell>
        </row>
        <row r="388">
          <cell r="I388">
            <v>0</v>
          </cell>
          <cell r="J388">
            <v>0</v>
          </cell>
        </row>
        <row r="389">
          <cell r="I389">
            <v>0</v>
          </cell>
          <cell r="J389">
            <v>0</v>
          </cell>
        </row>
        <row r="390">
          <cell r="I390">
            <v>0</v>
          </cell>
          <cell r="J390">
            <v>0</v>
          </cell>
        </row>
        <row r="391">
          <cell r="I391">
            <v>0</v>
          </cell>
          <cell r="J391">
            <v>0</v>
          </cell>
        </row>
        <row r="392">
          <cell r="I392">
            <v>0</v>
          </cell>
          <cell r="J392">
            <v>0</v>
          </cell>
        </row>
        <row r="393">
          <cell r="I393">
            <v>0</v>
          </cell>
          <cell r="J393">
            <v>0</v>
          </cell>
        </row>
        <row r="394">
          <cell r="I394">
            <v>0</v>
          </cell>
          <cell r="J394">
            <v>0</v>
          </cell>
        </row>
        <row r="395">
          <cell r="I395">
            <v>0</v>
          </cell>
          <cell r="J395">
            <v>0</v>
          </cell>
        </row>
        <row r="396">
          <cell r="I396">
            <v>0</v>
          </cell>
          <cell r="J396">
            <v>0</v>
          </cell>
        </row>
        <row r="397">
          <cell r="I397">
            <v>0</v>
          </cell>
          <cell r="J397">
            <v>0</v>
          </cell>
        </row>
        <row r="398">
          <cell r="I398">
            <v>0</v>
          </cell>
          <cell r="J398">
            <v>0</v>
          </cell>
        </row>
        <row r="399">
          <cell r="I399">
            <v>0</v>
          </cell>
          <cell r="J399">
            <v>0</v>
          </cell>
        </row>
        <row r="400">
          <cell r="I400">
            <v>0</v>
          </cell>
          <cell r="J400">
            <v>0</v>
          </cell>
        </row>
        <row r="401">
          <cell r="I401">
            <v>0</v>
          </cell>
          <cell r="J401">
            <v>0</v>
          </cell>
        </row>
        <row r="402">
          <cell r="I402">
            <v>0</v>
          </cell>
          <cell r="J402">
            <v>0</v>
          </cell>
        </row>
        <row r="403">
          <cell r="I403">
            <v>0</v>
          </cell>
          <cell r="J403">
            <v>0</v>
          </cell>
        </row>
        <row r="404">
          <cell r="I404">
            <v>0</v>
          </cell>
          <cell r="J404">
            <v>0</v>
          </cell>
        </row>
        <row r="405">
          <cell r="I405">
            <v>0</v>
          </cell>
          <cell r="J405">
            <v>0</v>
          </cell>
        </row>
        <row r="406">
          <cell r="I406">
            <v>0</v>
          </cell>
          <cell r="J406">
            <v>0</v>
          </cell>
        </row>
        <row r="407">
          <cell r="I407">
            <v>0</v>
          </cell>
          <cell r="J407">
            <v>0</v>
          </cell>
        </row>
        <row r="408">
          <cell r="I408">
            <v>0</v>
          </cell>
          <cell r="J408">
            <v>0</v>
          </cell>
        </row>
        <row r="409">
          <cell r="I409">
            <v>0</v>
          </cell>
          <cell r="J409">
            <v>0</v>
          </cell>
        </row>
        <row r="410">
          <cell r="I410">
            <v>0</v>
          </cell>
          <cell r="J410">
            <v>0</v>
          </cell>
        </row>
        <row r="411">
          <cell r="I411">
            <v>0</v>
          </cell>
          <cell r="J411">
            <v>0</v>
          </cell>
        </row>
        <row r="412">
          <cell r="I412">
            <v>0</v>
          </cell>
          <cell r="J412">
            <v>0</v>
          </cell>
        </row>
        <row r="413">
          <cell r="I413">
            <v>0</v>
          </cell>
          <cell r="J413">
            <v>0</v>
          </cell>
        </row>
        <row r="414">
          <cell r="I414">
            <v>0</v>
          </cell>
          <cell r="J414">
            <v>0</v>
          </cell>
        </row>
        <row r="415">
          <cell r="I415">
            <v>0</v>
          </cell>
          <cell r="J415">
            <v>0</v>
          </cell>
        </row>
        <row r="416">
          <cell r="I416">
            <v>0</v>
          </cell>
          <cell r="J416">
            <v>0</v>
          </cell>
        </row>
        <row r="417">
          <cell r="I417">
            <v>0</v>
          </cell>
          <cell r="J417">
            <v>0</v>
          </cell>
        </row>
        <row r="418">
          <cell r="I418">
            <v>0</v>
          </cell>
          <cell r="J418">
            <v>0</v>
          </cell>
        </row>
        <row r="419">
          <cell r="I419">
            <v>0</v>
          </cell>
          <cell r="J419">
            <v>0</v>
          </cell>
        </row>
        <row r="420">
          <cell r="I420">
            <v>0</v>
          </cell>
          <cell r="J420">
            <v>0</v>
          </cell>
        </row>
      </sheetData>
      <sheetData sheetId="4">
        <row r="1">
          <cell r="A1">
            <v>41585</v>
          </cell>
          <cell r="C1" t="str">
            <v>VALIDE</v>
          </cell>
          <cell r="I1" t="str">
            <v>Suivi</v>
          </cell>
          <cell r="L1" t="str">
            <v>ATMA</v>
          </cell>
          <cell r="O1" t="str">
            <v>Doublon</v>
          </cell>
          <cell r="AB1" t="str">
            <v>2011 Janv à Dec</v>
          </cell>
          <cell r="AG1" t="str">
            <v>2012 Janv-Août</v>
          </cell>
          <cell r="AQ1">
            <v>11.2</v>
          </cell>
        </row>
        <row r="2">
          <cell r="A2" t="str">
            <v>Client payeur</v>
          </cell>
          <cell r="B2" t="str">
            <v>Libellé Client payeur</v>
          </cell>
          <cell r="C2" t="str">
            <v>Taux groupage National</v>
          </cell>
          <cell r="D2" t="str">
            <v>Taux groupage International</v>
          </cell>
          <cell r="E2" t="str">
            <v>Taux lot</v>
          </cell>
          <cell r="F2" t="str">
            <v>Date d'application</v>
          </cell>
          <cell r="G2" t="str">
            <v>Envoi des tarifs par courrier</v>
          </cell>
          <cell r="H2" t="str">
            <v>Commentaire</v>
          </cell>
          <cell r="I2" t="str">
            <v>Tarif à envoyer</v>
          </cell>
          <cell r="J2" t="str">
            <v>Ciculaire à envoyer</v>
          </cell>
          <cell r="K2" t="str">
            <v>A rensigner dans INES</v>
          </cell>
          <cell r="L2" t="str">
            <v>ENVOI OK</v>
          </cell>
          <cell r="M2" t="str">
            <v>INES OK</v>
          </cell>
          <cell r="N2" t="str">
            <v>ENVOI CIRCULAIRE</v>
          </cell>
          <cell r="O2" t="str">
            <v>INFO</v>
          </cell>
          <cell r="P2" t="str">
            <v>Direction</v>
          </cell>
          <cell r="Q2" t="str">
            <v>Commerciaux</v>
          </cell>
          <cell r="R2" t="str">
            <v>Commentaire</v>
          </cell>
          <cell r="S2" t="str">
            <v>Agence</v>
          </cell>
          <cell r="T2" t="str">
            <v>CP</v>
          </cell>
          <cell r="U2" t="str">
            <v>Adresse</v>
          </cell>
          <cell r="V2" t="str">
            <v>Code CP</v>
          </cell>
          <cell r="W2" t="str">
            <v>Ville</v>
          </cell>
          <cell r="X2" t="str">
            <v>Civilité</v>
          </cell>
          <cell r="Y2" t="str">
            <v>Nom</v>
          </cell>
          <cell r="Z2" t="str">
            <v>Code postal</v>
          </cell>
          <cell r="AA2" t="str">
            <v>Localité</v>
          </cell>
          <cell r="AB2" t="str">
            <v>501</v>
          </cell>
          <cell r="AC2" t="str">
            <v>551</v>
          </cell>
          <cell r="AD2" t="str">
            <v>553</v>
          </cell>
          <cell r="AE2" t="str">
            <v>Autre prestation</v>
          </cell>
          <cell r="AF2" t="str">
            <v>Total 2011</v>
          </cell>
          <cell r="AG2" t="str">
            <v>501</v>
          </cell>
          <cell r="AH2" t="str">
            <v>501 Renta</v>
          </cell>
          <cell r="AI2" t="str">
            <v>551</v>
          </cell>
          <cell r="AJ2" t="str">
            <v>551 Renta</v>
          </cell>
          <cell r="AK2" t="str">
            <v>553</v>
          </cell>
          <cell r="AL2" t="str">
            <v>553 Renta</v>
          </cell>
          <cell r="AM2" t="str">
            <v>Autre prestation</v>
          </cell>
          <cell r="AN2" t="str">
            <v>Total cumulé Août 2012</v>
          </cell>
          <cell r="AO2" t="str">
            <v>Prévision fin 2012</v>
          </cell>
          <cell r="AP2" t="str">
            <v>Taux d'évoluation 2012/2011</v>
          </cell>
          <cell r="AQ2" t="str">
            <v>Contrat INES G</v>
          </cell>
          <cell r="AR2" t="str">
            <v>Contrat INES LOT</v>
          </cell>
          <cell r="AS2" t="str">
            <v>Date d'ouverture de compte dans INES</v>
          </cell>
          <cell r="AZ2" t="str">
            <v>Taux groupage National</v>
          </cell>
          <cell r="BA2" t="str">
            <v>Taux groupage International</v>
          </cell>
          <cell r="BB2" t="str">
            <v>Taux lot</v>
          </cell>
        </row>
        <row r="3">
          <cell r="A3">
            <v>72662</v>
          </cell>
          <cell r="B3" t="str">
            <v>INDESIT COMPANY FRANCE SA</v>
          </cell>
          <cell r="E3">
            <v>1.7500000000000002E-2</v>
          </cell>
          <cell r="F3">
            <v>41275</v>
          </cell>
          <cell r="H3" t="str">
            <v>ok tarif envoyé au client par sergio</v>
          </cell>
          <cell r="I3">
            <v>0</v>
          </cell>
          <cell r="K3">
            <v>0</v>
          </cell>
          <cell r="L3" t="str">
            <v>OK</v>
          </cell>
          <cell r="M3" t="str">
            <v>OK</v>
          </cell>
          <cell r="P3" t="str">
            <v>DCM</v>
          </cell>
          <cell r="S3" t="str">
            <v>MOISSY CRAMAYEL</v>
          </cell>
          <cell r="T3" t="str">
            <v>77</v>
          </cell>
          <cell r="Z3" t="str">
            <v>77435</v>
          </cell>
          <cell r="AA3" t="str">
            <v>MARNE LA VALLEE CEDEX 2</v>
          </cell>
          <cell r="AB3">
            <v>63002.74</v>
          </cell>
          <cell r="AF3">
            <v>63002.74</v>
          </cell>
          <cell r="AG3">
            <v>541447.96</v>
          </cell>
          <cell r="AN3">
            <v>541447.96</v>
          </cell>
          <cell r="AO3">
            <v>758027.14399999985</v>
          </cell>
          <cell r="AP3">
            <v>11.031653607446277</v>
          </cell>
          <cell r="AR3" t="str">
            <v>024-L-77INDESIT</v>
          </cell>
          <cell r="AZ3">
            <v>0</v>
          </cell>
          <cell r="BA3">
            <v>0</v>
          </cell>
          <cell r="BB3">
            <v>550923.29929999996</v>
          </cell>
        </row>
        <row r="4">
          <cell r="A4">
            <v>23740</v>
          </cell>
          <cell r="B4" t="str">
            <v>OCE FRANCE S.A</v>
          </cell>
          <cell r="H4" t="str">
            <v>hausse prevu au contrat Avril 2013</v>
          </cell>
          <cell r="I4">
            <v>0</v>
          </cell>
          <cell r="K4">
            <v>0</v>
          </cell>
          <cell r="O4" t="str">
            <v>Porte Feuille</v>
          </cell>
          <cell r="P4" t="str">
            <v>DCM</v>
          </cell>
          <cell r="Q4" t="str">
            <v>SM</v>
          </cell>
          <cell r="R4" t="str">
            <v>Ok mon client</v>
          </cell>
          <cell r="S4" t="str">
            <v>MOISSY CRAMAYEL</v>
          </cell>
          <cell r="T4" t="str">
            <v>77</v>
          </cell>
          <cell r="U4" t="str">
            <v>32 AVENUE DU PAVE NEUF</v>
          </cell>
          <cell r="V4" t="str">
            <v>93882</v>
          </cell>
          <cell r="W4" t="str">
            <v>NOISY LE GRAND</v>
          </cell>
          <cell r="Y4" t="str">
            <v>Directeur Logistique et Transports</v>
          </cell>
          <cell r="Z4" t="str">
            <v>77144</v>
          </cell>
          <cell r="AA4" t="str">
            <v>MONTEVRAIN</v>
          </cell>
          <cell r="AB4">
            <v>28404.829999999998</v>
          </cell>
          <cell r="AC4">
            <v>719163.99</v>
          </cell>
          <cell r="AD4">
            <v>174.92</v>
          </cell>
          <cell r="AF4">
            <v>747743.74</v>
          </cell>
          <cell r="AG4">
            <v>29410.27</v>
          </cell>
          <cell r="AH4">
            <v>0.13842878279383639</v>
          </cell>
          <cell r="AI4">
            <v>357482.03</v>
          </cell>
          <cell r="AJ4">
            <v>0.43903106740083137</v>
          </cell>
          <cell r="AK4">
            <v>251.43</v>
          </cell>
          <cell r="AL4">
            <v>0.69613982615197689</v>
          </cell>
          <cell r="AN4">
            <v>387143.73000000004</v>
          </cell>
          <cell r="AO4">
            <v>542001.22200000007</v>
          </cell>
          <cell r="AP4">
            <v>-0.27515110724965741</v>
          </cell>
          <cell r="AQ4" t="str">
            <v>259-G-93OCEFRANCE</v>
          </cell>
          <cell r="AR4" t="str">
            <v>024-L-77OCEDISTRIB</v>
          </cell>
          <cell r="AZ4">
            <v>357482.03</v>
          </cell>
          <cell r="BA4">
            <v>251.43</v>
          </cell>
          <cell r="BB4">
            <v>29410.27</v>
          </cell>
        </row>
        <row r="5">
          <cell r="A5">
            <v>816249</v>
          </cell>
          <cell r="B5" t="str">
            <v>NOVEO</v>
          </cell>
          <cell r="C5">
            <v>1.4999999999999999E-2</v>
          </cell>
          <cell r="D5">
            <v>1.4999999999999999E-2</v>
          </cell>
          <cell r="F5">
            <v>41275</v>
          </cell>
          <cell r="I5">
            <v>0</v>
          </cell>
          <cell r="K5">
            <v>0</v>
          </cell>
          <cell r="L5" t="str">
            <v>OK</v>
          </cell>
          <cell r="M5" t="str">
            <v>OK</v>
          </cell>
          <cell r="O5" t="str">
            <v>Porte Feuille</v>
          </cell>
          <cell r="P5" t="str">
            <v>Non affecté</v>
          </cell>
          <cell r="Q5" t="str">
            <v>SM</v>
          </cell>
          <cell r="R5" t="str">
            <v>Rajouté</v>
          </cell>
          <cell r="S5" t="str">
            <v>MOISSY CRAMAYEL</v>
          </cell>
          <cell r="T5" t="str">
            <v>91</v>
          </cell>
          <cell r="U5" t="str">
            <v>1 RUE DE LA CHAPELLE</v>
          </cell>
          <cell r="V5" t="str">
            <v>91580</v>
          </cell>
          <cell r="W5" t="str">
            <v>VILLENEUVE SUR AUVERS</v>
          </cell>
          <cell r="X5" t="str">
            <v>M.</v>
          </cell>
          <cell r="Y5" t="str">
            <v>Patrick PILOSSIAN</v>
          </cell>
          <cell r="Z5" t="str">
            <v>91580</v>
          </cell>
          <cell r="AA5" t="str">
            <v>VILLENEUVE SUR AUVERS</v>
          </cell>
          <cell r="AB5">
            <v>22205.38</v>
          </cell>
          <cell r="AC5">
            <v>167124.19000000003</v>
          </cell>
          <cell r="AD5">
            <v>9524.32</v>
          </cell>
          <cell r="AF5">
            <v>198853.89000000004</v>
          </cell>
          <cell r="AG5">
            <v>16304.699999999999</v>
          </cell>
          <cell r="AH5">
            <v>0.19186897523933558</v>
          </cell>
          <cell r="AI5">
            <v>291140.72000000003</v>
          </cell>
          <cell r="AJ5">
            <v>0.22694862924247464</v>
          </cell>
          <cell r="AK5">
            <v>5455.03</v>
          </cell>
          <cell r="AL5">
            <v>0.61258148757133202</v>
          </cell>
          <cell r="AN5">
            <v>312900.45000000007</v>
          </cell>
          <cell r="AO5">
            <v>438060.63000000006</v>
          </cell>
          <cell r="AP5">
            <v>1.2029271340882493</v>
          </cell>
          <cell r="AQ5" t="str">
            <v>024-G-91NOVEO</v>
          </cell>
          <cell r="AS5">
            <v>40114</v>
          </cell>
          <cell r="AZ5">
            <v>295507.8308</v>
          </cell>
          <cell r="BA5">
            <v>5536.8554499999991</v>
          </cell>
          <cell r="BB5">
            <v>16304.699999999999</v>
          </cell>
        </row>
        <row r="6">
          <cell r="A6">
            <v>77864</v>
          </cell>
          <cell r="B6" t="str">
            <v>THOMAS BROSSERIE</v>
          </cell>
          <cell r="C6">
            <v>1.4999999999999999E-2</v>
          </cell>
          <cell r="D6">
            <v>1.4999999999999999E-2</v>
          </cell>
          <cell r="E6">
            <v>0</v>
          </cell>
          <cell r="F6">
            <v>41275</v>
          </cell>
          <cell r="I6">
            <v>0</v>
          </cell>
          <cell r="K6">
            <v>0</v>
          </cell>
          <cell r="L6" t="str">
            <v>OK</v>
          </cell>
          <cell r="M6" t="str">
            <v>OK</v>
          </cell>
          <cell r="O6" t="str">
            <v>Porte Feuille</v>
          </cell>
          <cell r="P6" t="str">
            <v>Non affecté</v>
          </cell>
          <cell r="Q6" t="str">
            <v>SM</v>
          </cell>
          <cell r="R6" t="str">
            <v>Ok mon client</v>
          </cell>
          <cell r="S6" t="str">
            <v>MOISSY CRAMAYEL</v>
          </cell>
          <cell r="T6" t="str">
            <v>77</v>
          </cell>
          <cell r="U6" t="str">
            <v>ROUTE DE FEROLLES BP 14</v>
          </cell>
          <cell r="V6" t="str">
            <v>77173</v>
          </cell>
          <cell r="W6" t="str">
            <v>CHEVRY COSSIGNY</v>
          </cell>
          <cell r="X6" t="str">
            <v>Mme</v>
          </cell>
          <cell r="Y6" t="str">
            <v xml:space="preserve">Candis </v>
          </cell>
          <cell r="Z6" t="str">
            <v>77173</v>
          </cell>
          <cell r="AA6" t="str">
            <v>CHEVRY COSSIGNY</v>
          </cell>
          <cell r="AB6">
            <v>16167.7</v>
          </cell>
          <cell r="AC6">
            <v>338171.38999999996</v>
          </cell>
          <cell r="AD6">
            <v>8966.91</v>
          </cell>
          <cell r="AF6">
            <v>363305.99999999994</v>
          </cell>
          <cell r="AG6">
            <v>59594.49</v>
          </cell>
          <cell r="AH6">
            <v>0.17816615414931336</v>
          </cell>
          <cell r="AI6">
            <v>218523.02</v>
          </cell>
          <cell r="AJ6">
            <v>0.42079711858003555</v>
          </cell>
          <cell r="AK6">
            <v>3887.23</v>
          </cell>
          <cell r="AL6">
            <v>0.624782609843057</v>
          </cell>
          <cell r="AN6">
            <v>282004.74</v>
          </cell>
          <cell r="AO6">
            <v>394806.63599999994</v>
          </cell>
          <cell r="AP6">
            <v>8.6705520965797422E-2</v>
          </cell>
          <cell r="AQ6" t="str">
            <v>024-G-77THOMASBROSSERIE</v>
          </cell>
          <cell r="AR6" t="str">
            <v>024-77THOMASBROSSERIE</v>
          </cell>
          <cell r="AZ6">
            <v>221800.86529999998</v>
          </cell>
          <cell r="BA6">
            <v>3945.5384499999996</v>
          </cell>
          <cell r="BB6">
            <v>59594.49</v>
          </cell>
        </row>
        <row r="7">
          <cell r="A7">
            <v>489466</v>
          </cell>
          <cell r="B7" t="str">
            <v>EUROP COSMETICS</v>
          </cell>
          <cell r="H7" t="str">
            <v>DEVELOPPEMENT DU DOSSIER EN 2012 ET 25% EN 2013 PAS DE HAUSSE</v>
          </cell>
          <cell r="I7">
            <v>0</v>
          </cell>
          <cell r="K7">
            <v>0</v>
          </cell>
          <cell r="M7" t="str">
            <v>NON</v>
          </cell>
          <cell r="O7" t="str">
            <v>Porte Feuille</v>
          </cell>
          <cell r="P7" t="str">
            <v>Non affecté</v>
          </cell>
          <cell r="Q7" t="str">
            <v>FR</v>
          </cell>
          <cell r="R7" t="str">
            <v>Ok mon client</v>
          </cell>
          <cell r="S7" t="str">
            <v>MOISSY CRAMAYEL</v>
          </cell>
          <cell r="T7" t="str">
            <v>77</v>
          </cell>
          <cell r="U7" t="str">
            <v>3 RUE DES EPINETTES</v>
          </cell>
          <cell r="V7" t="str">
            <v>77200</v>
          </cell>
          <cell r="W7" t="str">
            <v>TORCY</v>
          </cell>
          <cell r="X7" t="str">
            <v>Mme</v>
          </cell>
          <cell r="Y7" t="str">
            <v>Nadia Chenouff</v>
          </cell>
          <cell r="Z7" t="str">
            <v>77200</v>
          </cell>
          <cell r="AA7" t="str">
            <v>TORCY</v>
          </cell>
          <cell r="AB7">
            <v>13908.550000000003</v>
          </cell>
          <cell r="AC7">
            <v>201761.44000000003</v>
          </cell>
          <cell r="AD7">
            <v>43069.27</v>
          </cell>
          <cell r="AF7">
            <v>258739.26000000004</v>
          </cell>
          <cell r="AG7">
            <v>9701.26</v>
          </cell>
          <cell r="AH7">
            <v>0.24191144496136974</v>
          </cell>
          <cell r="AI7">
            <v>205421.08</v>
          </cell>
          <cell r="AJ7">
            <v>0.32693660691404974</v>
          </cell>
          <cell r="AK7">
            <v>39416.409999999996</v>
          </cell>
          <cell r="AL7">
            <v>0.58287596114883911</v>
          </cell>
          <cell r="AN7">
            <v>254538.75</v>
          </cell>
          <cell r="AO7">
            <v>356354.25</v>
          </cell>
          <cell r="AP7">
            <v>0.3772716595077219</v>
          </cell>
          <cell r="AQ7" t="str">
            <v>024-G-77EUROP</v>
          </cell>
          <cell r="AR7" t="str">
            <v>024-L-77EUROP</v>
          </cell>
          <cell r="AZ7">
            <v>205421.08</v>
          </cell>
          <cell r="BA7">
            <v>39416.409999999996</v>
          </cell>
          <cell r="BB7">
            <v>9701.26</v>
          </cell>
        </row>
        <row r="8">
          <cell r="A8">
            <v>78606</v>
          </cell>
          <cell r="B8" t="str">
            <v>BEISSIER</v>
          </cell>
          <cell r="H8" t="str">
            <v>DEMARRAGE 2012</v>
          </cell>
          <cell r="I8">
            <v>0</v>
          </cell>
          <cell r="K8">
            <v>0</v>
          </cell>
          <cell r="M8" t="str">
            <v>NON</v>
          </cell>
          <cell r="P8" t="str">
            <v>Non affecté</v>
          </cell>
          <cell r="Q8" t="str">
            <v>FR</v>
          </cell>
          <cell r="R8" t="str">
            <v>Rajouté</v>
          </cell>
          <cell r="S8" t="str">
            <v>MOISSY CRAMAYEL</v>
          </cell>
          <cell r="T8" t="str">
            <v>77</v>
          </cell>
          <cell r="U8" t="str">
            <v>QUARTIER DE LA GARE</v>
          </cell>
          <cell r="V8">
            <v>75</v>
          </cell>
          <cell r="W8" t="str">
            <v>LA CHAPELLE LA REINE</v>
          </cell>
          <cell r="X8" t="str">
            <v>M.</v>
          </cell>
          <cell r="Y8" t="str">
            <v>ANDRE</v>
          </cell>
          <cell r="Z8" t="str">
            <v>77760</v>
          </cell>
          <cell r="AA8" t="str">
            <v>LA CHAPELLE LA REINE</v>
          </cell>
          <cell r="AF8">
            <v>0</v>
          </cell>
          <cell r="AG8">
            <v>206068.73000000004</v>
          </cell>
          <cell r="AH8">
            <v>9.8184362407663262E-2</v>
          </cell>
          <cell r="AI8">
            <v>219</v>
          </cell>
          <cell r="AJ8">
            <v>-0.48611872146118712</v>
          </cell>
          <cell r="AK8">
            <v>303.5</v>
          </cell>
          <cell r="AL8">
            <v>0.57304808923020656</v>
          </cell>
          <cell r="AN8">
            <v>206591.23000000004</v>
          </cell>
          <cell r="AO8">
            <v>289227.72200000001</v>
          </cell>
          <cell r="AR8" t="str">
            <v>024-L-77BEISSIER</v>
          </cell>
          <cell r="AS8">
            <v>40913</v>
          </cell>
          <cell r="AV8" t="str">
            <v>AVANCEMENT</v>
          </cell>
          <cell r="AZ8">
            <v>219</v>
          </cell>
          <cell r="BA8">
            <v>303.5</v>
          </cell>
          <cell r="BB8">
            <v>206068.73000000004</v>
          </cell>
        </row>
        <row r="9">
          <cell r="A9">
            <v>550197</v>
          </cell>
          <cell r="B9" t="str">
            <v>BRITA FRANCE</v>
          </cell>
          <cell r="H9" t="str">
            <v>DEVELOPPEMENT DE 200 k€ demarre en oct 2012</v>
          </cell>
          <cell r="I9">
            <v>0</v>
          </cell>
          <cell r="K9">
            <v>0</v>
          </cell>
          <cell r="M9" t="str">
            <v>NON</v>
          </cell>
          <cell r="O9" t="str">
            <v>Porte Feuille</v>
          </cell>
          <cell r="P9" t="str">
            <v>Non affecté</v>
          </cell>
          <cell r="Q9" t="str">
            <v>SM</v>
          </cell>
          <cell r="R9" t="str">
            <v>Rajouté</v>
          </cell>
          <cell r="S9" t="str">
            <v>MOISSY CRAMAYEL</v>
          </cell>
          <cell r="T9" t="str">
            <v>91</v>
          </cell>
          <cell r="U9" t="str">
            <v>16 RUE DU BOIS CHALAND
ZI DU BOIS CHALAND</v>
          </cell>
          <cell r="V9" t="str">
            <v>9190</v>
          </cell>
          <cell r="W9" t="str">
            <v>LISSES</v>
          </cell>
          <cell r="X9" t="str">
            <v>M.</v>
          </cell>
          <cell r="Y9" t="str">
            <v>ROCHE</v>
          </cell>
          <cell r="Z9" t="str">
            <v>91090</v>
          </cell>
          <cell r="AA9" t="str">
            <v>LISSES</v>
          </cell>
          <cell r="AB9">
            <v>2260</v>
          </cell>
          <cell r="AC9">
            <v>185201.64</v>
          </cell>
          <cell r="AD9">
            <v>1800.44</v>
          </cell>
          <cell r="AF9">
            <v>189262.08000000002</v>
          </cell>
          <cell r="AG9">
            <v>435</v>
          </cell>
          <cell r="AH9">
            <v>0.2413793103448276</v>
          </cell>
          <cell r="AI9">
            <v>135747.46</v>
          </cell>
          <cell r="AJ9">
            <v>0.47122683015319822</v>
          </cell>
          <cell r="AK9">
            <v>903.62000000000012</v>
          </cell>
          <cell r="AL9">
            <v>0.61482336885202882</v>
          </cell>
          <cell r="AN9">
            <v>137086.07999999999</v>
          </cell>
          <cell r="AO9">
            <v>191920.51199999996</v>
          </cell>
          <cell r="AP9">
            <v>1.40463002414426E-2</v>
          </cell>
          <cell r="AQ9" t="str">
            <v>024-G-77BRITA</v>
          </cell>
          <cell r="AR9" t="str">
            <v>024-L-77BRITA</v>
          </cell>
          <cell r="AS9">
            <v>41134</v>
          </cell>
          <cell r="AV9" t="str">
            <v>Nombre de OK</v>
          </cell>
          <cell r="AW9">
            <v>181</v>
          </cell>
          <cell r="AZ9">
            <v>135747.46</v>
          </cell>
          <cell r="BA9">
            <v>903.62000000000012</v>
          </cell>
          <cell r="BB9">
            <v>435</v>
          </cell>
        </row>
        <row r="10">
          <cell r="A10">
            <v>623389</v>
          </cell>
          <cell r="B10" t="str">
            <v>FISHER &amp; PAYKEL HEALTHCARE</v>
          </cell>
          <cell r="H10" t="str">
            <v>PAS DE HAUSSE RISQUE DE PERTE</v>
          </cell>
          <cell r="I10">
            <v>0</v>
          </cell>
          <cell r="K10">
            <v>0</v>
          </cell>
          <cell r="M10" t="str">
            <v>NON</v>
          </cell>
          <cell r="O10" t="str">
            <v>Porte Feuille</v>
          </cell>
          <cell r="P10" t="str">
            <v>Non affecté</v>
          </cell>
          <cell r="Q10" t="str">
            <v>FP</v>
          </cell>
          <cell r="R10" t="str">
            <v>Rajouté</v>
          </cell>
          <cell r="S10" t="str">
            <v>MOISSY CRAMAYEL</v>
          </cell>
          <cell r="T10" t="str">
            <v>91</v>
          </cell>
          <cell r="U10" t="str">
            <v>10 AVENUE DU QUEBEC  BAT 5 SILIC 5</v>
          </cell>
          <cell r="V10" t="str">
            <v>91946</v>
          </cell>
          <cell r="W10" t="str">
            <v>COURTABOEUF</v>
          </cell>
          <cell r="X10" t="str">
            <v xml:space="preserve">Mme </v>
          </cell>
          <cell r="Y10" t="str">
            <v>BOSMAN</v>
          </cell>
          <cell r="Z10" t="str">
            <v>91946</v>
          </cell>
          <cell r="AA10" t="str">
            <v>COURTABOEUF</v>
          </cell>
          <cell r="AB10">
            <v>32344.65</v>
          </cell>
          <cell r="AC10">
            <v>15595.060000000001</v>
          </cell>
          <cell r="AD10">
            <v>89317.75</v>
          </cell>
          <cell r="AF10">
            <v>137257.46000000002</v>
          </cell>
          <cell r="AG10">
            <v>23282.080000000002</v>
          </cell>
          <cell r="AH10">
            <v>0.19483923358978672</v>
          </cell>
          <cell r="AI10">
            <v>16799.13</v>
          </cell>
          <cell r="AJ10">
            <v>0.5127874372700989</v>
          </cell>
          <cell r="AK10">
            <v>72925.560000000012</v>
          </cell>
          <cell r="AL10">
            <v>0.4890723876788291</v>
          </cell>
          <cell r="AN10">
            <v>113006.77000000002</v>
          </cell>
          <cell r="AO10">
            <v>158209.478</v>
          </cell>
          <cell r="AP10">
            <v>0.15264757194253753</v>
          </cell>
          <cell r="AQ10" t="str">
            <v>024-G-91FISHER</v>
          </cell>
          <cell r="AR10" t="str">
            <v>024-T3-91FISHER</v>
          </cell>
          <cell r="AS10">
            <v>39070</v>
          </cell>
          <cell r="AV10" t="str">
            <v>Nombre de En attente</v>
          </cell>
          <cell r="AW10">
            <v>0</v>
          </cell>
          <cell r="AZ10">
            <v>16799.13</v>
          </cell>
          <cell r="BA10">
            <v>72925.560000000012</v>
          </cell>
          <cell r="BB10">
            <v>23282.080000000002</v>
          </cell>
        </row>
        <row r="11">
          <cell r="A11">
            <v>582887</v>
          </cell>
          <cell r="B11" t="str">
            <v>CENPAC SA</v>
          </cell>
          <cell r="H11" t="str">
            <v>NEGOCIATION DE DEVELOPPEMENT EN COURS</v>
          </cell>
          <cell r="I11">
            <v>0</v>
          </cell>
          <cell r="K11">
            <v>0</v>
          </cell>
          <cell r="M11" t="str">
            <v>NON</v>
          </cell>
          <cell r="O11" t="str">
            <v>Porte Feuille</v>
          </cell>
          <cell r="P11" t="str">
            <v>Non affecté</v>
          </cell>
          <cell r="Q11" t="str">
            <v>SM</v>
          </cell>
          <cell r="R11" t="str">
            <v>Ok mon client</v>
          </cell>
          <cell r="S11" t="str">
            <v>MOISSY CRAMAYEL</v>
          </cell>
          <cell r="T11" t="str">
            <v>77</v>
          </cell>
          <cell r="U11" t="str">
            <v>ZI DE L'ALOUETTE</v>
          </cell>
          <cell r="V11" t="str">
            <v>77610</v>
          </cell>
          <cell r="W11" t="str">
            <v>LA HOUSSAYE EN BRIE</v>
          </cell>
          <cell r="X11" t="str">
            <v>M.</v>
          </cell>
          <cell r="Y11" t="str">
            <v xml:space="preserve">Steve Gourdet </v>
          </cell>
          <cell r="Z11" t="str">
            <v>77610</v>
          </cell>
          <cell r="AA11" t="str">
            <v>LA HOUSSAYE EN BRIE</v>
          </cell>
          <cell r="AB11">
            <v>439523.1</v>
          </cell>
          <cell r="AD11">
            <v>922.5</v>
          </cell>
          <cell r="AF11">
            <v>440445.6</v>
          </cell>
          <cell r="AG11">
            <v>108175</v>
          </cell>
          <cell r="AH11">
            <v>5.4703511105736381E-2</v>
          </cell>
          <cell r="AK11">
            <v>213.99</v>
          </cell>
          <cell r="AL11">
            <v>0.50904071773636994</v>
          </cell>
          <cell r="AN11">
            <v>108388.99</v>
          </cell>
          <cell r="AO11">
            <v>151744.58600000001</v>
          </cell>
          <cell r="AP11">
            <v>-0.65547485092370095</v>
          </cell>
          <cell r="AQ11" t="str">
            <v>024-G-77CENPAC</v>
          </cell>
          <cell r="AR11" t="str">
            <v>024-L-77CENPAC</v>
          </cell>
          <cell r="AV11" t="str">
            <v>Nombre de non</v>
          </cell>
          <cell r="AW11">
            <v>93</v>
          </cell>
          <cell r="AZ11">
            <v>0</v>
          </cell>
          <cell r="BA11">
            <v>213.99</v>
          </cell>
          <cell r="BB11">
            <v>108175</v>
          </cell>
        </row>
        <row r="12">
          <cell r="A12">
            <v>394810</v>
          </cell>
          <cell r="B12" t="str">
            <v>VOKES AIR</v>
          </cell>
          <cell r="H12" t="str">
            <v>RISQUE DE PERTE ATTAQUE CONCURRENCE PAS DE HAUSSE</v>
          </cell>
          <cell r="I12">
            <v>0</v>
          </cell>
          <cell r="K12">
            <v>0</v>
          </cell>
          <cell r="M12" t="str">
            <v>NON</v>
          </cell>
          <cell r="O12" t="str">
            <v>Porte Feuille</v>
          </cell>
          <cell r="P12" t="str">
            <v>Non affecté</v>
          </cell>
          <cell r="Q12" t="str">
            <v>FR</v>
          </cell>
          <cell r="R12" t="str">
            <v>Ok mon client</v>
          </cell>
          <cell r="S12" t="str">
            <v>MOISSY CRAMAYEL</v>
          </cell>
          <cell r="T12" t="str">
            <v>77</v>
          </cell>
          <cell r="U12" t="str">
            <v>12 RUE DE JAMARD</v>
          </cell>
          <cell r="V12">
            <v>77390</v>
          </cell>
          <cell r="W12" t="str">
            <v>OZOUER LE VOULGIS</v>
          </cell>
          <cell r="X12" t="str">
            <v>Mme</v>
          </cell>
          <cell r="Y12" t="str">
            <v>Sandrine Bouvier</v>
          </cell>
          <cell r="Z12" t="str">
            <v>77390</v>
          </cell>
          <cell r="AA12" t="str">
            <v>OZOUER LE VOULGIS</v>
          </cell>
          <cell r="AB12">
            <v>23666.609999999997</v>
          </cell>
          <cell r="AC12">
            <v>142268.53000000003</v>
          </cell>
          <cell r="AD12">
            <v>1235.48</v>
          </cell>
          <cell r="AF12">
            <v>167170.62000000002</v>
          </cell>
          <cell r="AG12">
            <v>7155.5500000000011</v>
          </cell>
          <cell r="AH12">
            <v>0.19300232479376456</v>
          </cell>
          <cell r="AI12">
            <v>95541.18</v>
          </cell>
          <cell r="AJ12">
            <v>0.63418556077495103</v>
          </cell>
          <cell r="AK12">
            <v>1091.4000000000001</v>
          </cell>
          <cell r="AL12">
            <v>0.58405082003236175</v>
          </cell>
          <cell r="AN12">
            <v>103788.12999999999</v>
          </cell>
          <cell r="AO12">
            <v>145303.38199999998</v>
          </cell>
          <cell r="AP12">
            <v>-0.13080790153197996</v>
          </cell>
          <cell r="AQ12" t="str">
            <v>024-G-77VOKESAIR</v>
          </cell>
          <cell r="AR12" t="str">
            <v>024-L-77VOKESAIR</v>
          </cell>
          <cell r="AS12">
            <v>40514</v>
          </cell>
          <cell r="AV12" t="str">
            <v>Nombre de données rensignées</v>
          </cell>
          <cell r="AW12">
            <v>181</v>
          </cell>
          <cell r="AX12">
            <v>1.5138121546961325</v>
          </cell>
          <cell r="AZ12">
            <v>95541.18</v>
          </cell>
          <cell r="BA12">
            <v>1091.4000000000001</v>
          </cell>
          <cell r="BB12">
            <v>7155.5500000000011</v>
          </cell>
        </row>
        <row r="13">
          <cell r="A13">
            <v>46172</v>
          </cell>
          <cell r="B13" t="str">
            <v>ELIS</v>
          </cell>
          <cell r="E13">
            <v>1.4999999999999999E-2</v>
          </cell>
          <cell r="F13">
            <v>41275</v>
          </cell>
          <cell r="G13" t="str">
            <v>par courrier le 7 décembre 2012</v>
          </cell>
          <cell r="I13">
            <v>0</v>
          </cell>
          <cell r="K13">
            <v>0</v>
          </cell>
          <cell r="L13" t="str">
            <v>OK</v>
          </cell>
          <cell r="M13" t="str">
            <v>OK</v>
          </cell>
          <cell r="P13" t="str">
            <v>Non affecté</v>
          </cell>
          <cell r="Q13" t="str">
            <v>SM</v>
          </cell>
          <cell r="R13" t="str">
            <v>Ok mon client</v>
          </cell>
          <cell r="S13" t="str">
            <v>MOISSY CRAMAYEL</v>
          </cell>
          <cell r="T13">
            <v>91</v>
          </cell>
          <cell r="U13" t="str">
            <v>73 RUE JEAN RONGIERE - ZI DE LA MOINERIE</v>
          </cell>
          <cell r="V13">
            <v>91220</v>
          </cell>
          <cell r="W13" t="str">
            <v>BRETIGNY SUR ORGE</v>
          </cell>
          <cell r="X13" t="str">
            <v>m,</v>
          </cell>
          <cell r="Y13" t="str">
            <v>dalmaso</v>
          </cell>
          <cell r="Z13" t="str">
            <v>92803</v>
          </cell>
          <cell r="AA13" t="str">
            <v>PUTEAUX</v>
          </cell>
          <cell r="AG13">
            <v>98589.04</v>
          </cell>
          <cell r="AH13">
            <v>0.17270735663537273</v>
          </cell>
          <cell r="AN13">
            <v>98589.04</v>
          </cell>
          <cell r="AO13">
            <v>138024.65599999999</v>
          </cell>
          <cell r="AR13" t="str">
            <v>024-L-91ELIS</v>
          </cell>
          <cell r="AV13" t="str">
            <v>Nombre traité :</v>
          </cell>
          <cell r="AW13">
            <v>274</v>
          </cell>
          <cell r="AX13">
            <v>0.96819787985865724</v>
          </cell>
          <cell r="AZ13">
            <v>0</v>
          </cell>
          <cell r="BA13">
            <v>0</v>
          </cell>
          <cell r="BB13">
            <v>100067.87559999998</v>
          </cell>
        </row>
        <row r="14">
          <cell r="A14">
            <v>695367</v>
          </cell>
          <cell r="B14" t="str">
            <v>EUPEN CABLES FRANCE</v>
          </cell>
          <cell r="H14" t="str">
            <v>PERTE</v>
          </cell>
          <cell r="I14">
            <v>0</v>
          </cell>
          <cell r="K14">
            <v>0</v>
          </cell>
          <cell r="M14" t="str">
            <v>NON</v>
          </cell>
          <cell r="O14" t="str">
            <v>Porte Feuille</v>
          </cell>
          <cell r="P14" t="str">
            <v>Non affecté</v>
          </cell>
          <cell r="Q14" t="str">
            <v>SM</v>
          </cell>
          <cell r="R14" t="str">
            <v>Ok mon client</v>
          </cell>
          <cell r="S14" t="str">
            <v>MOISSY CRAMAYEL</v>
          </cell>
          <cell r="T14" t="str">
            <v>94</v>
          </cell>
          <cell r="U14" t="str">
            <v>24 RUE DU 8 MAI 1945</v>
          </cell>
          <cell r="V14">
            <v>94470</v>
          </cell>
          <cell r="W14" t="str">
            <v>BOISSY ST LEGER</v>
          </cell>
          <cell r="X14" t="str">
            <v>MME</v>
          </cell>
          <cell r="Y14" t="str">
            <v>BURIEZ NATHALIE</v>
          </cell>
          <cell r="Z14" t="str">
            <v>94470</v>
          </cell>
          <cell r="AA14" t="str">
            <v>BOISSY ST LEGER</v>
          </cell>
          <cell r="AB14">
            <v>4370.6499999999996</v>
          </cell>
          <cell r="AC14">
            <v>257565.92000000004</v>
          </cell>
          <cell r="AF14">
            <v>261936.57000000004</v>
          </cell>
          <cell r="AG14">
            <v>1087.95</v>
          </cell>
          <cell r="AH14">
            <v>-0.24551860551366053</v>
          </cell>
          <cell r="AI14">
            <v>97188.84</v>
          </cell>
          <cell r="AJ14">
            <v>0.3031106345911459</v>
          </cell>
          <cell r="AN14">
            <v>98276.79</v>
          </cell>
          <cell r="AO14">
            <v>137587.50599999999</v>
          </cell>
          <cell r="AP14">
            <v>-0.47472967978468994</v>
          </cell>
          <cell r="AQ14" t="str">
            <v>024-G-94EUPENCABLES</v>
          </cell>
          <cell r="AR14" t="str">
            <v>024-L-94EUPENCABLES</v>
          </cell>
          <cell r="AV14" t="str">
            <v>Nombre total :</v>
          </cell>
          <cell r="AW14">
            <v>283</v>
          </cell>
          <cell r="AZ14">
            <v>97188.84</v>
          </cell>
          <cell r="BA14">
            <v>0</v>
          </cell>
          <cell r="BB14">
            <v>1087.95</v>
          </cell>
        </row>
        <row r="15">
          <cell r="A15">
            <v>810872</v>
          </cell>
          <cell r="B15" t="str">
            <v>ENGEL SYSTEMS SARL</v>
          </cell>
          <cell r="C15">
            <v>0.02</v>
          </cell>
          <cell r="D15">
            <v>0.02</v>
          </cell>
          <cell r="E15">
            <v>0</v>
          </cell>
          <cell r="F15">
            <v>41456</v>
          </cell>
          <cell r="I15">
            <v>0</v>
          </cell>
          <cell r="K15">
            <v>0</v>
          </cell>
          <cell r="L15" t="str">
            <v>OK</v>
          </cell>
          <cell r="M15" t="str">
            <v>OK</v>
          </cell>
          <cell r="O15" t="str">
            <v>Porte Feuille</v>
          </cell>
          <cell r="P15" t="str">
            <v>Non affecté</v>
          </cell>
          <cell r="Q15" t="str">
            <v>FR</v>
          </cell>
          <cell r="R15" t="str">
            <v>Ok mon client</v>
          </cell>
          <cell r="S15" t="str">
            <v>MOISSY CRAMAYEL</v>
          </cell>
          <cell r="T15" t="str">
            <v>77</v>
          </cell>
          <cell r="U15" t="str">
            <v>10 RUE DU PLATINE   PARC D'ACTIVITE  SECTEUR 6</v>
          </cell>
          <cell r="V15" t="str">
            <v>77176</v>
          </cell>
          <cell r="W15" t="str">
            <v>SAVIGNY LE TEMPLE</v>
          </cell>
          <cell r="X15" t="str">
            <v>M.</v>
          </cell>
          <cell r="Y15" t="str">
            <v>DEVILLER</v>
          </cell>
          <cell r="Z15" t="str">
            <v>77176</v>
          </cell>
          <cell r="AA15" t="str">
            <v>SAVIGNY LE TEMPLE</v>
          </cell>
          <cell r="AC15">
            <v>161706.16</v>
          </cell>
          <cell r="AD15">
            <v>1095.83</v>
          </cell>
          <cell r="AF15">
            <v>162801.99</v>
          </cell>
          <cell r="AI15">
            <v>95509.41</v>
          </cell>
          <cell r="AJ15">
            <v>0.31543180789111946</v>
          </cell>
          <cell r="AK15">
            <v>642.98</v>
          </cell>
          <cell r="AL15">
            <v>0.76315789473684215</v>
          </cell>
          <cell r="AN15">
            <v>96152.39</v>
          </cell>
          <cell r="AO15">
            <v>134613.34599999999</v>
          </cell>
          <cell r="AP15">
            <v>-0.17314680244387681</v>
          </cell>
          <cell r="AQ15" t="str">
            <v>024-G-77ENGEL</v>
          </cell>
          <cell r="AR15" t="str">
            <v>024-T3-77ENGEL</v>
          </cell>
          <cell r="AS15">
            <v>39995</v>
          </cell>
          <cell r="AZ15">
            <v>97419.598200000008</v>
          </cell>
          <cell r="BA15">
            <v>655.83960000000002</v>
          </cell>
          <cell r="BB15">
            <v>0</v>
          </cell>
        </row>
        <row r="16">
          <cell r="A16">
            <v>848283</v>
          </cell>
          <cell r="B16" t="str">
            <v>SYLVAIN GIRARD SYSTEMES</v>
          </cell>
          <cell r="C16">
            <v>2.5000000000000001E-2</v>
          </cell>
          <cell r="D16">
            <v>0</v>
          </cell>
          <cell r="E16">
            <v>0</v>
          </cell>
          <cell r="F16" t="str">
            <v>01/01/2013 et 01/07/2013</v>
          </cell>
          <cell r="H16" t="str">
            <v>1,5% AU 01/01/2013 / 1% SUPPLEMENTAIRE AU 01/07/2013</v>
          </cell>
          <cell r="I16">
            <v>0</v>
          </cell>
          <cell r="K16">
            <v>0</v>
          </cell>
          <cell r="L16" t="str">
            <v>OK</v>
          </cell>
          <cell r="M16" t="str">
            <v>OK</v>
          </cell>
          <cell r="O16" t="str">
            <v>Porte Feuille</v>
          </cell>
          <cell r="P16" t="str">
            <v>Non affecté</v>
          </cell>
          <cell r="Q16" t="str">
            <v>FR</v>
          </cell>
          <cell r="R16" t="str">
            <v>Ok mon client</v>
          </cell>
          <cell r="S16" t="str">
            <v>MOISSY CRAMAYEL</v>
          </cell>
          <cell r="T16" t="str">
            <v>77</v>
          </cell>
          <cell r="U16" t="str">
            <v>27 RUE GRANDE</v>
          </cell>
          <cell r="V16">
            <v>77390</v>
          </cell>
          <cell r="W16" t="str">
            <v xml:space="preserve">CRESENOY </v>
          </cell>
          <cell r="X16" t="str">
            <v>M.</v>
          </cell>
          <cell r="Y16" t="str">
            <v xml:space="preserve">Sylvain Girard </v>
          </cell>
          <cell r="Z16" t="str">
            <v>77390</v>
          </cell>
          <cell r="AA16" t="str">
            <v>GUIGNES</v>
          </cell>
          <cell r="AB16">
            <v>9034.5199999999986</v>
          </cell>
          <cell r="AC16">
            <v>48446.89</v>
          </cell>
          <cell r="AD16">
            <v>1225.8400000000001</v>
          </cell>
          <cell r="AF16">
            <v>58707.25</v>
          </cell>
          <cell r="AG16">
            <v>8791.369999999999</v>
          </cell>
          <cell r="AH16">
            <v>0.16729472013781285</v>
          </cell>
          <cell r="AI16">
            <v>68138.22</v>
          </cell>
          <cell r="AJ16">
            <v>0.35489229319481325</v>
          </cell>
          <cell r="AK16">
            <v>4007.1000000000004</v>
          </cell>
          <cell r="AL16">
            <v>0.54413759300416731</v>
          </cell>
          <cell r="AN16">
            <v>80936.69</v>
          </cell>
          <cell r="AO16">
            <v>113311.36599999999</v>
          </cell>
          <cell r="AP16">
            <v>0.93010856410409271</v>
          </cell>
          <cell r="AQ16" t="str">
            <v>024-G-77SGS</v>
          </cell>
          <cell r="AR16" t="str">
            <v>024-L1-77SGS</v>
          </cell>
          <cell r="AS16">
            <v>40710</v>
          </cell>
          <cell r="AZ16">
            <v>69841.675499999998</v>
          </cell>
          <cell r="BA16">
            <v>4007.1000000000004</v>
          </cell>
          <cell r="BB16">
            <v>8791.369999999999</v>
          </cell>
        </row>
        <row r="17">
          <cell r="A17">
            <v>558699</v>
          </cell>
          <cell r="B17" t="str">
            <v>CABLE EQUIPEMENTS</v>
          </cell>
          <cell r="G17" t="str">
            <v>par mail le 1er septembre 2012</v>
          </cell>
          <cell r="H17" t="str">
            <v>pas de hausse compte ferme</v>
          </cell>
          <cell r="I17">
            <v>0</v>
          </cell>
          <cell r="K17">
            <v>0</v>
          </cell>
          <cell r="M17" t="str">
            <v>NON</v>
          </cell>
          <cell r="O17" t="str">
            <v>Porte Feuille</v>
          </cell>
          <cell r="P17" t="str">
            <v>Non affecté</v>
          </cell>
          <cell r="Q17" t="str">
            <v>FP</v>
          </cell>
          <cell r="R17" t="str">
            <v>Rajouté</v>
          </cell>
          <cell r="S17" t="str">
            <v>MOISSY CRAMAYEL</v>
          </cell>
          <cell r="T17" t="str">
            <v>94</v>
          </cell>
          <cell r="U17" t="str">
            <v>ZAC de la pépinière</v>
          </cell>
          <cell r="V17" t="str">
            <v>94880</v>
          </cell>
          <cell r="W17" t="str">
            <v>NOISEAU</v>
          </cell>
          <cell r="X17" t="str">
            <v>Mme</v>
          </cell>
          <cell r="Y17" t="str">
            <v>SCHMIEDER</v>
          </cell>
          <cell r="Z17" t="str">
            <v>94880</v>
          </cell>
          <cell r="AA17" t="str">
            <v>NOISEAU</v>
          </cell>
          <cell r="AB17">
            <v>8197.130000000001</v>
          </cell>
          <cell r="AC17">
            <v>81529.840000000011</v>
          </cell>
          <cell r="AD17">
            <v>2622.03</v>
          </cell>
          <cell r="AF17">
            <v>92349</v>
          </cell>
          <cell r="AG17">
            <v>673.13</v>
          </cell>
          <cell r="AH17">
            <v>0.49071159068515535</v>
          </cell>
          <cell r="AI17">
            <v>64633.869999999995</v>
          </cell>
          <cell r="AJ17">
            <v>0.62224255635995251</v>
          </cell>
          <cell r="AK17">
            <v>1307.57</v>
          </cell>
          <cell r="AL17">
            <v>0.54118046474197767</v>
          </cell>
          <cell r="AN17">
            <v>66614.569999999992</v>
          </cell>
          <cell r="AO17">
            <v>93260.397999999986</v>
          </cell>
          <cell r="AP17">
            <v>9.8690619281203151E-3</v>
          </cell>
          <cell r="AQ17" t="str">
            <v>024-G-94CABLEEQUIPEMEN</v>
          </cell>
          <cell r="AR17" t="str">
            <v>024-L-94CABLEEQUIPEMEN</v>
          </cell>
          <cell r="AZ17">
            <v>64633.869999999995</v>
          </cell>
          <cell r="BA17">
            <v>1307.57</v>
          </cell>
          <cell r="BB17">
            <v>673.13</v>
          </cell>
        </row>
        <row r="18">
          <cell r="A18">
            <v>570361</v>
          </cell>
          <cell r="B18" t="str">
            <v>UNITOL S.A</v>
          </cell>
          <cell r="H18" t="str">
            <v>EN COURS</v>
          </cell>
          <cell r="I18">
            <v>0</v>
          </cell>
          <cell r="K18">
            <v>0</v>
          </cell>
          <cell r="O18" t="str">
            <v>Porte Feuille</v>
          </cell>
          <cell r="P18" t="str">
            <v>Non affecté</v>
          </cell>
          <cell r="Q18" t="str">
            <v>FP</v>
          </cell>
          <cell r="R18" t="str">
            <v>Rajouté</v>
          </cell>
          <cell r="S18" t="str">
            <v>MOISSY CRAMAYEL</v>
          </cell>
          <cell r="T18" t="str">
            <v>91</v>
          </cell>
          <cell r="U18" t="str">
            <v>1 RUE FERDINAND RAYMOND</v>
          </cell>
          <cell r="V18" t="str">
            <v>91814</v>
          </cell>
          <cell r="W18" t="str">
            <v>CORBEIL ESSONNES</v>
          </cell>
          <cell r="X18" t="str">
            <v xml:space="preserve">Mme </v>
          </cell>
          <cell r="Y18" t="str">
            <v>MERLEN</v>
          </cell>
          <cell r="Z18" t="str">
            <v>91814</v>
          </cell>
          <cell r="AA18" t="str">
            <v>CORBEIL ESSONNES</v>
          </cell>
          <cell r="AB18">
            <v>52423.29</v>
          </cell>
          <cell r="AF18">
            <v>52423.29</v>
          </cell>
          <cell r="AG18">
            <v>65474</v>
          </cell>
          <cell r="AH18">
            <v>0.10006638158605678</v>
          </cell>
          <cell r="AI18">
            <v>74.190000000000012</v>
          </cell>
          <cell r="AJ18">
            <v>0.86628925731230622</v>
          </cell>
          <cell r="AN18">
            <v>65548.19</v>
          </cell>
          <cell r="AO18">
            <v>91767.466</v>
          </cell>
          <cell r="AP18">
            <v>0.75050947775311316</v>
          </cell>
          <cell r="AQ18" t="str">
            <v>024-G-91UNITOLBRUNOY</v>
          </cell>
          <cell r="AR18" t="str">
            <v>024-L-91UNITOLBRUNOY</v>
          </cell>
          <cell r="AZ18">
            <v>74.190000000000012</v>
          </cell>
          <cell r="BA18">
            <v>0</v>
          </cell>
          <cell r="BB18">
            <v>65474</v>
          </cell>
        </row>
        <row r="19">
          <cell r="A19">
            <v>549735</v>
          </cell>
          <cell r="B19" t="str">
            <v>COLLOT ELASTOMERES</v>
          </cell>
          <cell r="C19">
            <v>0.02</v>
          </cell>
          <cell r="D19">
            <v>0</v>
          </cell>
          <cell r="E19">
            <v>0</v>
          </cell>
          <cell r="F19">
            <v>41306</v>
          </cell>
          <cell r="I19">
            <v>0</v>
          </cell>
          <cell r="K19">
            <v>0</v>
          </cell>
          <cell r="L19" t="str">
            <v>OK</v>
          </cell>
          <cell r="M19" t="str">
            <v>OK</v>
          </cell>
          <cell r="O19" t="str">
            <v>Porte Feuille</v>
          </cell>
          <cell r="P19" t="str">
            <v>Non affecté</v>
          </cell>
          <cell r="Q19" t="str">
            <v>FR</v>
          </cell>
          <cell r="R19" t="str">
            <v>Ok mon client</v>
          </cell>
          <cell r="S19" t="str">
            <v>MOISSY CRAMAYEL</v>
          </cell>
          <cell r="T19" t="str">
            <v>77</v>
          </cell>
          <cell r="U19" t="str">
            <v>361 RUE PIERRE ET MARIE CURIE</v>
          </cell>
          <cell r="V19" t="str">
            <v>77000</v>
          </cell>
          <cell r="W19" t="str">
            <v>VAUX LE PENIL</v>
          </cell>
          <cell r="X19" t="str">
            <v>M.</v>
          </cell>
          <cell r="Y19" t="str">
            <v xml:space="preserve">Thierry DACHEZ </v>
          </cell>
          <cell r="Z19" t="str">
            <v>77000</v>
          </cell>
          <cell r="AA19" t="str">
            <v>VAUX LE PENIL</v>
          </cell>
          <cell r="AB19">
            <v>12922.449999999999</v>
          </cell>
          <cell r="AC19">
            <v>77459.42</v>
          </cell>
          <cell r="AD19">
            <v>8135.6299999999992</v>
          </cell>
          <cell r="AF19">
            <v>98517.5</v>
          </cell>
          <cell r="AG19">
            <v>9837.2999999999993</v>
          </cell>
          <cell r="AH19">
            <v>3.8522262538157877E-3</v>
          </cell>
          <cell r="AI19">
            <v>47991.78</v>
          </cell>
          <cell r="AJ19">
            <v>0.65923064927853647</v>
          </cell>
          <cell r="AK19">
            <v>3594.4400000000005</v>
          </cell>
          <cell r="AL19">
            <v>0.52617597074721023</v>
          </cell>
          <cell r="AN19">
            <v>61423.520000000004</v>
          </cell>
          <cell r="AO19">
            <v>85992.928</v>
          </cell>
          <cell r="AP19">
            <v>-0.1271304286040551</v>
          </cell>
          <cell r="AQ19" t="str">
            <v>024-G-77COLLOT</v>
          </cell>
          <cell r="AR19" t="str">
            <v>024-L-77COLLOT</v>
          </cell>
          <cell r="AZ19">
            <v>48951.615599999997</v>
          </cell>
          <cell r="BA19">
            <v>3594.4400000000005</v>
          </cell>
          <cell r="BB19">
            <v>9837.2999999999993</v>
          </cell>
        </row>
        <row r="20">
          <cell r="A20">
            <v>853452</v>
          </cell>
          <cell r="B20" t="str">
            <v>SONY DADC FRANCE SAS</v>
          </cell>
          <cell r="E20">
            <v>1.4999999999999999E-2</v>
          </cell>
          <cell r="F20">
            <v>41275</v>
          </cell>
          <cell r="H20" t="str">
            <v>A LA COTATION</v>
          </cell>
          <cell r="I20" t="str">
            <v>A faire</v>
          </cell>
          <cell r="K20">
            <v>0</v>
          </cell>
          <cell r="M20" t="str">
            <v>OK</v>
          </cell>
          <cell r="O20" t="str">
            <v>Porte Feuille</v>
          </cell>
          <cell r="P20" t="str">
            <v>DCM</v>
          </cell>
          <cell r="Q20" t="str">
            <v>FR</v>
          </cell>
          <cell r="R20" t="str">
            <v>Ok mon client</v>
          </cell>
          <cell r="S20" t="str">
            <v>MOISSY CRAMAYEL</v>
          </cell>
          <cell r="T20" t="str">
            <v>77</v>
          </cell>
          <cell r="U20" t="str">
            <v>LE PARC PROLOGIS CHANTELOUP</v>
          </cell>
          <cell r="V20">
            <v>77550</v>
          </cell>
          <cell r="W20" t="str">
            <v>MOISSY-CRAMAYEL</v>
          </cell>
          <cell r="Y20" t="str">
            <v>Directeur Logistique et Transports</v>
          </cell>
          <cell r="Z20" t="str">
            <v>77550</v>
          </cell>
          <cell r="AA20" t="str">
            <v>MOISSY-CRAMAYEL</v>
          </cell>
          <cell r="AB20">
            <v>60360.49</v>
          </cell>
          <cell r="AF20">
            <v>60360.49</v>
          </cell>
          <cell r="AG20">
            <v>57192</v>
          </cell>
          <cell r="AH20">
            <v>4.1318213001268089E-2</v>
          </cell>
          <cell r="AN20">
            <v>57192</v>
          </cell>
          <cell r="AO20">
            <v>80068.799999999988</v>
          </cell>
          <cell r="AP20">
            <v>0.32651010619695087</v>
          </cell>
          <cell r="AS20">
            <v>40779</v>
          </cell>
          <cell r="AZ20">
            <v>0</v>
          </cell>
          <cell r="BA20">
            <v>0</v>
          </cell>
          <cell r="BB20">
            <v>58049.88</v>
          </cell>
        </row>
        <row r="21">
          <cell r="A21">
            <v>70215</v>
          </cell>
          <cell r="B21" t="str">
            <v>BEIERSDORF</v>
          </cell>
          <cell r="H21" t="str">
            <v>DEMARRAGE 2012 DATE ANNIVERSAIRE 1ER JUILLET</v>
          </cell>
          <cell r="I21">
            <v>0</v>
          </cell>
          <cell r="K21">
            <v>0</v>
          </cell>
          <cell r="P21" t="str">
            <v>DCM</v>
          </cell>
          <cell r="S21" t="str">
            <v>MOISSY CRAMAYEL</v>
          </cell>
          <cell r="T21" t="str">
            <v>75</v>
          </cell>
          <cell r="U21" t="str">
            <v>118 AVENUE DE FRANCE</v>
          </cell>
          <cell r="V21">
            <v>75214</v>
          </cell>
          <cell r="W21" t="str">
            <v>PARIS 13</v>
          </cell>
          <cell r="X21" t="str">
            <v>Mr</v>
          </cell>
          <cell r="Y21" t="str">
            <v>DUMONT</v>
          </cell>
          <cell r="Z21" t="str">
            <v>75214</v>
          </cell>
          <cell r="AA21" t="str">
            <v>PARIS 13</v>
          </cell>
          <cell r="AG21">
            <v>28913.02</v>
          </cell>
          <cell r="AI21">
            <v>22880.829999999998</v>
          </cell>
          <cell r="AN21">
            <v>51793.85</v>
          </cell>
          <cell r="AO21">
            <v>72511.39</v>
          </cell>
          <cell r="AQ21" t="str">
            <v>024-G-77BEIERSDORFNIVEA</v>
          </cell>
          <cell r="AR21" t="str">
            <v>024-L-77BEIERSDORFNIVEA</v>
          </cell>
          <cell r="AZ21">
            <v>22880.829999999998</v>
          </cell>
          <cell r="BA21">
            <v>0</v>
          </cell>
          <cell r="BB21">
            <v>28913.02</v>
          </cell>
        </row>
        <row r="22">
          <cell r="A22">
            <v>543960</v>
          </cell>
          <cell r="B22" t="str">
            <v>JARDINS ANIMES</v>
          </cell>
          <cell r="C22">
            <v>2.5000000000000001E-2</v>
          </cell>
          <cell r="D22">
            <v>2.5000000000000001E-2</v>
          </cell>
          <cell r="E22">
            <v>0</v>
          </cell>
          <cell r="F22">
            <v>41348</v>
          </cell>
          <cell r="H22" t="str">
            <v>vu avec sergio supprimer les TGM en inter et mettre tg2-20% BEL</v>
          </cell>
          <cell r="I22">
            <v>0</v>
          </cell>
          <cell r="K22">
            <v>0</v>
          </cell>
          <cell r="L22" t="str">
            <v>OK</v>
          </cell>
          <cell r="M22" t="str">
            <v>OK</v>
          </cell>
          <cell r="P22" t="str">
            <v>Non affecté</v>
          </cell>
          <cell r="Q22" t="str">
            <v>SM</v>
          </cell>
          <cell r="R22" t="str">
            <v>Ok mon client</v>
          </cell>
          <cell r="S22" t="str">
            <v>MOISSY CRAMAYEL</v>
          </cell>
          <cell r="T22" t="str">
            <v>75</v>
          </cell>
          <cell r="U22" t="str">
            <v>4 RUE ST CLAUDE</v>
          </cell>
          <cell r="V22" t="str">
            <v>77340</v>
          </cell>
          <cell r="W22" t="str">
            <v>PONTAULT COMBAULT</v>
          </cell>
          <cell r="X22" t="str">
            <v>M.</v>
          </cell>
          <cell r="Y22" t="str">
            <v xml:space="preserve">GIRAUD </v>
          </cell>
          <cell r="Z22" t="str">
            <v>75008</v>
          </cell>
          <cell r="AA22" t="str">
            <v>PARIS</v>
          </cell>
          <cell r="AB22">
            <v>5256</v>
          </cell>
          <cell r="AC22">
            <v>159368.00999999998</v>
          </cell>
          <cell r="AD22">
            <v>9674.1</v>
          </cell>
          <cell r="AF22">
            <v>174298.11</v>
          </cell>
          <cell r="AG22">
            <v>931.6400000000001</v>
          </cell>
          <cell r="AH22">
            <v>0.11671067330151304</v>
          </cell>
          <cell r="AI22">
            <v>45783.22</v>
          </cell>
          <cell r="AJ22">
            <v>0.38371991167540992</v>
          </cell>
          <cell r="AK22">
            <v>3231.33</v>
          </cell>
          <cell r="AL22">
            <v>0.61914046013130275</v>
          </cell>
          <cell r="AN22">
            <v>49946.19</v>
          </cell>
          <cell r="AO22">
            <v>69924.665999999997</v>
          </cell>
          <cell r="AP22">
            <v>-0.59882143300349044</v>
          </cell>
          <cell r="AQ22" t="str">
            <v>024-G-77JARDINSANIMES</v>
          </cell>
          <cell r="AR22" t="str">
            <v>024_TM_MPL</v>
          </cell>
          <cell r="AZ22">
            <v>46927.800499999998</v>
          </cell>
          <cell r="BA22">
            <v>3312.1132499999994</v>
          </cell>
          <cell r="BB22">
            <v>931.6400000000001</v>
          </cell>
        </row>
        <row r="23">
          <cell r="A23">
            <v>50180</v>
          </cell>
          <cell r="B23" t="str">
            <v>KNAUF PLATRES ET CIE</v>
          </cell>
          <cell r="E23">
            <v>2.5000000000000001E-2</v>
          </cell>
          <cell r="F23">
            <v>41275</v>
          </cell>
          <cell r="I23">
            <v>0</v>
          </cell>
          <cell r="K23">
            <v>0</v>
          </cell>
          <cell r="L23" t="str">
            <v>OK</v>
          </cell>
          <cell r="M23" t="str">
            <v>OK</v>
          </cell>
          <cell r="O23" t="str">
            <v>Porte Feuille</v>
          </cell>
          <cell r="P23" t="str">
            <v>Non affecté</v>
          </cell>
          <cell r="Q23" t="str">
            <v>FR</v>
          </cell>
          <cell r="R23" t="str">
            <v>Ok mon client</v>
          </cell>
          <cell r="S23" t="str">
            <v>MOISSY CRAMAYEL</v>
          </cell>
          <cell r="T23" t="str">
            <v>77</v>
          </cell>
          <cell r="U23" t="str">
            <v>ZI DU SAUVOY</v>
          </cell>
          <cell r="V23" t="str">
            <v>77165</v>
          </cell>
          <cell r="W23" t="str">
            <v>ST SOUPPLETS</v>
          </cell>
          <cell r="X23" t="str">
            <v>M.</v>
          </cell>
          <cell r="Y23" t="str">
            <v xml:space="preserve">Philippe Richez </v>
          </cell>
          <cell r="Z23" t="str">
            <v>77165</v>
          </cell>
          <cell r="AA23" t="str">
            <v>SAINT SOUPPLETS</v>
          </cell>
          <cell r="AB23">
            <v>79584.11</v>
          </cell>
          <cell r="AF23">
            <v>79584.11</v>
          </cell>
          <cell r="AG23">
            <v>45751.170000000006</v>
          </cell>
          <cell r="AH23">
            <v>0.38833899888271073</v>
          </cell>
          <cell r="AN23">
            <v>45751.170000000006</v>
          </cell>
          <cell r="AO23">
            <v>64051.638000000006</v>
          </cell>
          <cell r="AP23">
            <v>-0.19517051833588384</v>
          </cell>
          <cell r="AR23" t="str">
            <v>024-L-77KNAUFPLATRES</v>
          </cell>
          <cell r="AS23">
            <v>40437</v>
          </cell>
          <cell r="AZ23">
            <v>0</v>
          </cell>
          <cell r="BA23">
            <v>0</v>
          </cell>
          <cell r="BB23">
            <v>46894.949250000005</v>
          </cell>
        </row>
        <row r="24">
          <cell r="A24">
            <v>590906</v>
          </cell>
          <cell r="B24" t="str">
            <v>AUDIOPOLE</v>
          </cell>
          <cell r="C24">
            <v>0.02</v>
          </cell>
          <cell r="F24">
            <v>41275</v>
          </cell>
          <cell r="I24">
            <v>0</v>
          </cell>
          <cell r="K24">
            <v>0</v>
          </cell>
          <cell r="L24" t="str">
            <v>OK</v>
          </cell>
          <cell r="M24" t="str">
            <v>OK</v>
          </cell>
          <cell r="P24" t="str">
            <v>Non affecté</v>
          </cell>
          <cell r="Q24" t="str">
            <v>FR</v>
          </cell>
          <cell r="R24" t="str">
            <v>Ok mon client</v>
          </cell>
          <cell r="S24" t="str">
            <v>MOISSY CRAMAYEL</v>
          </cell>
          <cell r="T24" t="str">
            <v>77</v>
          </cell>
          <cell r="U24" t="str">
            <v>AVENUE EDOUARD BUFFARD</v>
          </cell>
          <cell r="V24" t="str">
            <v>77144</v>
          </cell>
          <cell r="W24" t="str">
            <v>MONTEVRAIN</v>
          </cell>
          <cell r="Y24" t="str">
            <v xml:space="preserve"> Anne Marie Perez </v>
          </cell>
          <cell r="Z24" t="str">
            <v>77771</v>
          </cell>
          <cell r="AA24" t="str">
            <v>MARNE LA VALLEE CEDEX4</v>
          </cell>
          <cell r="AB24">
            <v>867.62</v>
          </cell>
          <cell r="AC24">
            <v>75147.85000000002</v>
          </cell>
          <cell r="AF24">
            <v>76015.470000000016</v>
          </cell>
          <cell r="AG24">
            <v>370.82</v>
          </cell>
          <cell r="AI24">
            <v>44783.64</v>
          </cell>
          <cell r="AJ24">
            <v>0.35372193282160402</v>
          </cell>
          <cell r="AN24">
            <v>45154.46</v>
          </cell>
          <cell r="AO24">
            <v>63216.243999999992</v>
          </cell>
          <cell r="AP24">
            <v>-0.16837659492206025</v>
          </cell>
          <cell r="AQ24" t="str">
            <v>024-G-94AUDIOPOLE</v>
          </cell>
          <cell r="AR24" t="str">
            <v>024-L-94AUDIOPOLE</v>
          </cell>
          <cell r="AS24">
            <v>39241</v>
          </cell>
          <cell r="AZ24">
            <v>45679.3128</v>
          </cell>
          <cell r="BA24">
            <v>0</v>
          </cell>
          <cell r="BB24">
            <v>370.82</v>
          </cell>
        </row>
        <row r="25">
          <cell r="A25">
            <v>624848</v>
          </cell>
          <cell r="B25" t="str">
            <v>GROUP DIFFUS GUY JEUNEMAITRE</v>
          </cell>
          <cell r="C25">
            <v>3.5000000000000003E-2</v>
          </cell>
          <cell r="D25">
            <v>3.5000000000000003E-2</v>
          </cell>
          <cell r="E25">
            <v>3.5000000000000003E-2</v>
          </cell>
          <cell r="F25">
            <v>41275</v>
          </cell>
          <cell r="I25">
            <v>0</v>
          </cell>
          <cell r="K25">
            <v>0</v>
          </cell>
          <cell r="L25" t="str">
            <v>OK</v>
          </cell>
          <cell r="M25" t="str">
            <v>OK</v>
          </cell>
          <cell r="O25" t="str">
            <v>Porte Feuille</v>
          </cell>
          <cell r="P25" t="str">
            <v>Non affecté</v>
          </cell>
          <cell r="Q25" t="str">
            <v>FR</v>
          </cell>
          <cell r="R25" t="str">
            <v>Ok mon client</v>
          </cell>
          <cell r="S25" t="str">
            <v>MOISSY CRAMAYEL</v>
          </cell>
          <cell r="T25" t="str">
            <v>77</v>
          </cell>
          <cell r="U25" t="str">
            <v>LE PORTMONTAIN</v>
          </cell>
          <cell r="V25" t="str">
            <v>77114</v>
          </cell>
          <cell r="W25" t="str">
            <v>NOYEN SUR SEINE</v>
          </cell>
          <cell r="Y25" t="str">
            <v>Directeur Logistique et Transports</v>
          </cell>
          <cell r="Z25" t="str">
            <v>77114</v>
          </cell>
          <cell r="AA25" t="str">
            <v>NOYEN SUR SEINE</v>
          </cell>
          <cell r="AC25">
            <v>47320.799999999996</v>
          </cell>
          <cell r="AD25">
            <v>182.38</v>
          </cell>
          <cell r="AF25">
            <v>47503.179999999993</v>
          </cell>
          <cell r="AI25">
            <v>44702.52</v>
          </cell>
          <cell r="AJ25">
            <v>0.56187497547937304</v>
          </cell>
          <cell r="AK25">
            <v>264.90999999999997</v>
          </cell>
          <cell r="AN25">
            <v>44967.43</v>
          </cell>
          <cell r="AO25">
            <v>62954.401999999995</v>
          </cell>
          <cell r="AP25">
            <v>0.32526710843358275</v>
          </cell>
          <cell r="AQ25" t="str">
            <v>024-G-77JEUNEMAITRE024</v>
          </cell>
          <cell r="AS25">
            <v>40084</v>
          </cell>
          <cell r="AZ25">
            <v>46267.108199999995</v>
          </cell>
          <cell r="BA25">
            <v>274.18184999999994</v>
          </cell>
          <cell r="BB25">
            <v>0</v>
          </cell>
        </row>
        <row r="26">
          <cell r="A26">
            <v>380138</v>
          </cell>
          <cell r="B26" t="str">
            <v>VERRERIE DE LA MARNE</v>
          </cell>
          <cell r="C26">
            <v>1.6E-2</v>
          </cell>
          <cell r="D26">
            <v>1.6E-2</v>
          </cell>
          <cell r="E26">
            <v>0.01</v>
          </cell>
          <cell r="F26">
            <v>41334</v>
          </cell>
          <cell r="I26">
            <v>0</v>
          </cell>
          <cell r="K26">
            <v>0</v>
          </cell>
          <cell r="L26" t="str">
            <v>Ok</v>
          </cell>
          <cell r="M26" t="str">
            <v>OK</v>
          </cell>
          <cell r="O26" t="str">
            <v>Porte Feuille</v>
          </cell>
          <cell r="P26" t="str">
            <v>Non affecté</v>
          </cell>
          <cell r="Q26" t="str">
            <v>SM</v>
          </cell>
          <cell r="R26" t="str">
            <v>Rajouté</v>
          </cell>
          <cell r="S26" t="str">
            <v>MOISSY CRAMAYEL</v>
          </cell>
          <cell r="T26" t="str">
            <v>51</v>
          </cell>
          <cell r="U26" t="str">
            <v>20 BOULEVARD LUNDY</v>
          </cell>
          <cell r="V26">
            <v>51063</v>
          </cell>
          <cell r="W26" t="str">
            <v>REIMS</v>
          </cell>
          <cell r="X26" t="str">
            <v>MME</v>
          </cell>
          <cell r="Y26" t="str">
            <v>LUX</v>
          </cell>
          <cell r="Z26" t="str">
            <v>51100</v>
          </cell>
          <cell r="AA26" t="str">
            <v>REIMS</v>
          </cell>
          <cell r="AB26">
            <v>1289.1799999999998</v>
          </cell>
          <cell r="AC26">
            <v>85470.26</v>
          </cell>
          <cell r="AD26">
            <v>1491.17</v>
          </cell>
          <cell r="AF26">
            <v>88250.609999999986</v>
          </cell>
          <cell r="AG26">
            <v>325</v>
          </cell>
          <cell r="AH26">
            <v>0.23076923076923078</v>
          </cell>
          <cell r="AI26">
            <v>42453.989999999991</v>
          </cell>
          <cell r="AJ26">
            <v>0.3388494847532319</v>
          </cell>
          <cell r="AK26">
            <v>633.71</v>
          </cell>
          <cell r="AL26">
            <v>0.79359082152853899</v>
          </cell>
          <cell r="AN26">
            <v>43412.69999999999</v>
          </cell>
          <cell r="AO26">
            <v>60777.779999999984</v>
          </cell>
          <cell r="AP26">
            <v>-0.31130470372952668</v>
          </cell>
          <cell r="AQ26" t="str">
            <v>024-G-77VERRERIEMARNE</v>
          </cell>
          <cell r="AR26" t="str">
            <v>024-L-77VERRERIEMARNE</v>
          </cell>
          <cell r="AS26">
            <v>39134</v>
          </cell>
          <cell r="AZ26">
            <v>43133.25383999999</v>
          </cell>
          <cell r="BA26">
            <v>643.84936000000005</v>
          </cell>
          <cell r="BB26">
            <v>328.25</v>
          </cell>
        </row>
        <row r="27">
          <cell r="A27">
            <v>582405</v>
          </cell>
          <cell r="B27" t="str">
            <v>LIGNE VAUZELLE</v>
          </cell>
          <cell r="H27" t="str">
            <v>RISQUE DE PERTE EN OVERLAND CAR LITIGE OVERSEAS EN 2012</v>
          </cell>
          <cell r="I27">
            <v>0</v>
          </cell>
          <cell r="K27">
            <v>0</v>
          </cell>
          <cell r="M27" t="str">
            <v>NON</v>
          </cell>
          <cell r="O27" t="str">
            <v>Porte Feuille</v>
          </cell>
          <cell r="P27" t="str">
            <v>Non affecté</v>
          </cell>
          <cell r="Q27" t="str">
            <v>SM</v>
          </cell>
          <cell r="R27" t="str">
            <v>Rajouté</v>
          </cell>
          <cell r="S27" t="str">
            <v>MOISSY CRAMAYEL</v>
          </cell>
          <cell r="T27" t="str">
            <v>77</v>
          </cell>
          <cell r="U27" t="str">
            <v>26 RUE DES FRERES LUMIERE</v>
          </cell>
          <cell r="V27" t="str">
            <v>77100</v>
          </cell>
          <cell r="W27" t="str">
            <v>MEAUX</v>
          </cell>
          <cell r="X27" t="str">
            <v>M.</v>
          </cell>
          <cell r="Y27" t="str">
            <v xml:space="preserve">Jean Michel Testard </v>
          </cell>
          <cell r="Z27" t="str">
            <v>77100</v>
          </cell>
          <cell r="AA27" t="str">
            <v>MEAUX</v>
          </cell>
          <cell r="AB27">
            <v>64479.130000000005</v>
          </cell>
          <cell r="AD27">
            <v>114.85</v>
          </cell>
          <cell r="AF27">
            <v>64593.98</v>
          </cell>
          <cell r="AG27">
            <v>43216.37</v>
          </cell>
          <cell r="AH27">
            <v>-4.9129347926745639E-3</v>
          </cell>
          <cell r="AN27">
            <v>43216.37</v>
          </cell>
          <cell r="AO27">
            <v>60502.917999999998</v>
          </cell>
          <cell r="AP27">
            <v>-6.3335035246318672E-2</v>
          </cell>
          <cell r="AQ27" t="str">
            <v>024-G-77VAUZELLE</v>
          </cell>
          <cell r="AR27" t="str">
            <v>024-L-77VAUZELLE</v>
          </cell>
          <cell r="AS27">
            <v>39582</v>
          </cell>
          <cell r="AZ27">
            <v>0</v>
          </cell>
          <cell r="BA27">
            <v>0</v>
          </cell>
          <cell r="BB27">
            <v>43216.37</v>
          </cell>
        </row>
        <row r="28">
          <cell r="A28">
            <v>536822</v>
          </cell>
          <cell r="B28" t="str">
            <v>COMPOSITE INDUSTRIE</v>
          </cell>
          <cell r="C28">
            <v>0.03</v>
          </cell>
          <cell r="D28">
            <v>0.03</v>
          </cell>
          <cell r="E28">
            <v>0.02</v>
          </cell>
          <cell r="F28">
            <v>41306</v>
          </cell>
          <cell r="I28">
            <v>0</v>
          </cell>
          <cell r="K28">
            <v>0</v>
          </cell>
          <cell r="L28" t="str">
            <v>OK</v>
          </cell>
          <cell r="M28" t="str">
            <v>OK</v>
          </cell>
          <cell r="O28" t="str">
            <v>Porte Feuille</v>
          </cell>
          <cell r="P28" t="str">
            <v>Non affecté</v>
          </cell>
          <cell r="Q28" t="str">
            <v>FP</v>
          </cell>
          <cell r="R28" t="str">
            <v>Rajouté</v>
          </cell>
          <cell r="S28" t="str">
            <v>MOISSY CRAMAYEL</v>
          </cell>
          <cell r="T28" t="str">
            <v>91</v>
          </cell>
          <cell r="U28" t="str">
            <v>32 Rue Gutenberg</v>
          </cell>
          <cell r="V28" t="str">
            <v>91919</v>
          </cell>
          <cell r="W28" t="str">
            <v>BONDOUFLE</v>
          </cell>
          <cell r="X28" t="str">
            <v>M.</v>
          </cell>
          <cell r="Y28" t="str">
            <v>MAURICE</v>
          </cell>
          <cell r="Z28" t="str">
            <v>91919</v>
          </cell>
          <cell r="AA28" t="str">
            <v>BONDOUFLE</v>
          </cell>
          <cell r="AB28">
            <v>8603.7199999999993</v>
          </cell>
          <cell r="AC28">
            <v>31149.489999999998</v>
          </cell>
          <cell r="AD28">
            <v>1479.28</v>
          </cell>
          <cell r="AF28">
            <v>41232.49</v>
          </cell>
          <cell r="AG28">
            <v>6719.8200000000006</v>
          </cell>
          <cell r="AH28">
            <v>0.19723781878607202</v>
          </cell>
          <cell r="AI28">
            <v>31055.170000000002</v>
          </cell>
          <cell r="AJ28">
            <v>0.60894560938790587</v>
          </cell>
          <cell r="AK28">
            <v>4639.6500000000005</v>
          </cell>
          <cell r="AL28">
            <v>0.65480704802998313</v>
          </cell>
          <cell r="AN28">
            <v>42414.640000000007</v>
          </cell>
          <cell r="AO28">
            <v>59380.496000000006</v>
          </cell>
          <cell r="AP28">
            <v>0.44013849272745853</v>
          </cell>
          <cell r="AQ28" t="str">
            <v>024-G-91COMPOSITEINDUST</v>
          </cell>
          <cell r="AZ28">
            <v>31986.825100000002</v>
          </cell>
          <cell r="BA28">
            <v>4778.839500000001</v>
          </cell>
          <cell r="BB28">
            <v>6854.2164000000012</v>
          </cell>
        </row>
        <row r="29">
          <cell r="A29">
            <v>519860</v>
          </cell>
          <cell r="B29" t="str">
            <v>UNILUX SA</v>
          </cell>
          <cell r="C29">
            <v>2.5000000000000001E-2</v>
          </cell>
          <cell r="D29">
            <v>2.5000000000000001E-2</v>
          </cell>
          <cell r="E29">
            <v>0.02</v>
          </cell>
          <cell r="F29">
            <v>41298</v>
          </cell>
          <cell r="H29" t="str">
            <v>voir avec sergio pour confirmation de la hausse</v>
          </cell>
          <cell r="I29">
            <v>0</v>
          </cell>
          <cell r="K29">
            <v>0</v>
          </cell>
          <cell r="L29" t="str">
            <v>OK</v>
          </cell>
          <cell r="M29" t="str">
            <v>OK</v>
          </cell>
          <cell r="P29" t="str">
            <v>Non affecté</v>
          </cell>
          <cell r="Q29" t="str">
            <v>FP</v>
          </cell>
          <cell r="R29" t="str">
            <v>Ok mon client</v>
          </cell>
          <cell r="S29" t="str">
            <v>MOISSY CRAMAYEL</v>
          </cell>
          <cell r="T29" t="str">
            <v>91</v>
          </cell>
          <cell r="U29" t="str">
            <v>12 AVENUE GARIGLIANO 
ZAC DES GATINES</v>
          </cell>
          <cell r="V29" t="str">
            <v>91601</v>
          </cell>
          <cell r="W29" t="str">
            <v>SAVIGNY S ORGE</v>
          </cell>
          <cell r="X29" t="str">
            <v>M.</v>
          </cell>
          <cell r="Y29" t="str">
            <v>MEDINA</v>
          </cell>
          <cell r="Z29" t="str">
            <v>91601</v>
          </cell>
          <cell r="AA29" t="str">
            <v>SAVIGNY SUR ORGE CEDEX</v>
          </cell>
          <cell r="AB29">
            <v>51224.74</v>
          </cell>
          <cell r="AC29">
            <v>74290.850000000006</v>
          </cell>
          <cell r="AD29">
            <v>90926.97</v>
          </cell>
          <cell r="AF29">
            <v>216442.56</v>
          </cell>
          <cell r="AG29">
            <v>5666.6399999999994</v>
          </cell>
          <cell r="AH29">
            <v>0.19767923907691184</v>
          </cell>
          <cell r="AI29">
            <v>30183.100000000002</v>
          </cell>
          <cell r="AJ29">
            <v>0.17997256935140435</v>
          </cell>
          <cell r="AK29">
            <v>6395.36</v>
          </cell>
          <cell r="AL29">
            <v>0.19150367919732642</v>
          </cell>
          <cell r="AN29">
            <v>42245.100000000006</v>
          </cell>
          <cell r="AO29">
            <v>59143.140000000007</v>
          </cell>
          <cell r="AP29">
            <v>-0.72674902754800164</v>
          </cell>
          <cell r="AQ29" t="str">
            <v>024-G-91UNILUX</v>
          </cell>
          <cell r="AR29" t="str">
            <v>024-L-91UNILUX</v>
          </cell>
          <cell r="AZ29">
            <v>30937.677499999998</v>
          </cell>
          <cell r="BA29">
            <v>6555.2439999999988</v>
          </cell>
          <cell r="BB29">
            <v>5779.9727999999996</v>
          </cell>
        </row>
        <row r="30">
          <cell r="A30">
            <v>587526</v>
          </cell>
          <cell r="B30" t="str">
            <v>SAUERMANN</v>
          </cell>
          <cell r="H30" t="str">
            <v>BLOQUER LA HAUSSE SUITE MAIL DE SM LE 19/12/2012/ EN DEVELOPPEMENT 200K€</v>
          </cell>
          <cell r="I30">
            <v>0</v>
          </cell>
          <cell r="K30">
            <v>0</v>
          </cell>
          <cell r="O30" t="str">
            <v>Porte Feuille</v>
          </cell>
          <cell r="P30" t="str">
            <v>Non affecté</v>
          </cell>
          <cell r="Q30" t="str">
            <v>FR</v>
          </cell>
          <cell r="R30" t="str">
            <v>Ok mon client</v>
          </cell>
          <cell r="S30" t="str">
            <v>MOISSY CRAMAYEL</v>
          </cell>
          <cell r="T30" t="str">
            <v>77</v>
          </cell>
          <cell r="U30" t="str">
            <v>PA de l’Orée de Chevry</v>
          </cell>
          <cell r="V30" t="str">
            <v>77173</v>
          </cell>
          <cell r="W30" t="str">
            <v>CHEVRY COSSIGNY</v>
          </cell>
          <cell r="X30" t="str">
            <v>Mme</v>
          </cell>
          <cell r="Y30" t="str">
            <v xml:space="preserve">Nabila Bentolba </v>
          </cell>
          <cell r="Z30" t="str">
            <v>77173</v>
          </cell>
          <cell r="AA30" t="str">
            <v>CHEVRY COSSIGNY</v>
          </cell>
          <cell r="AB30">
            <v>8917.8000000000011</v>
          </cell>
          <cell r="AC30">
            <v>45929.27</v>
          </cell>
          <cell r="AF30">
            <v>54847.07</v>
          </cell>
          <cell r="AG30">
            <v>5902.9500000000007</v>
          </cell>
          <cell r="AH30">
            <v>0.46555169276756125</v>
          </cell>
          <cell r="AI30">
            <v>36339.120000000003</v>
          </cell>
          <cell r="AJ30">
            <v>0.70471138634598274</v>
          </cell>
          <cell r="AN30">
            <v>42242.070000000007</v>
          </cell>
          <cell r="AO30">
            <v>59138.898000000008</v>
          </cell>
          <cell r="AP30">
            <v>7.8250816315256433E-2</v>
          </cell>
          <cell r="AQ30" t="str">
            <v>024-G-77SAUERMANN</v>
          </cell>
          <cell r="AZ30">
            <v>36339.120000000003</v>
          </cell>
          <cell r="BA30">
            <v>0</v>
          </cell>
          <cell r="BB30">
            <v>5902.9500000000007</v>
          </cell>
        </row>
        <row r="31">
          <cell r="A31">
            <v>612130</v>
          </cell>
          <cell r="B31" t="str">
            <v>COMESTEROGROUP FRANCE</v>
          </cell>
          <cell r="C31">
            <v>2.5000000000000001E-2</v>
          </cell>
          <cell r="F31">
            <v>41275</v>
          </cell>
          <cell r="I31">
            <v>0</v>
          </cell>
          <cell r="K31">
            <v>0</v>
          </cell>
          <cell r="L31" t="str">
            <v>OK</v>
          </cell>
          <cell r="M31" t="str">
            <v>OK</v>
          </cell>
          <cell r="O31" t="str">
            <v>Porte Feuille</v>
          </cell>
          <cell r="P31" t="str">
            <v>Non affecté</v>
          </cell>
          <cell r="Q31" t="str">
            <v>FR</v>
          </cell>
          <cell r="R31" t="str">
            <v>Ok mon client</v>
          </cell>
          <cell r="S31" t="str">
            <v>MOISSY CRAMAYEL</v>
          </cell>
          <cell r="T31" t="str">
            <v>77</v>
          </cell>
          <cell r="U31" t="str">
            <v>27 Rue du Maréchal Joffre</v>
          </cell>
          <cell r="V31" t="str">
            <v>77260</v>
          </cell>
          <cell r="W31" t="str">
            <v>SEPT SORTS</v>
          </cell>
          <cell r="X31" t="str">
            <v>Mme</v>
          </cell>
          <cell r="Y31" t="str">
            <v>Stephanie MILLESCAMPS</v>
          </cell>
          <cell r="Z31" t="str">
            <v>77260</v>
          </cell>
          <cell r="AA31" t="str">
            <v>SEPT SORTS</v>
          </cell>
          <cell r="AB31">
            <v>798.67</v>
          </cell>
          <cell r="AC31">
            <v>41940.42</v>
          </cell>
          <cell r="AD31">
            <v>8956.08</v>
          </cell>
          <cell r="AF31">
            <v>51695.17</v>
          </cell>
          <cell r="AG31">
            <v>765</v>
          </cell>
          <cell r="AH31">
            <v>0.79084967320261434</v>
          </cell>
          <cell r="AI31">
            <v>33651.360000000001</v>
          </cell>
          <cell r="AJ31">
            <v>0.61729359884288215</v>
          </cell>
          <cell r="AK31">
            <v>6561.48</v>
          </cell>
          <cell r="AL31">
            <v>0.61077712060333089</v>
          </cell>
          <cell r="AN31">
            <v>40977.839999999997</v>
          </cell>
          <cell r="AO31">
            <v>57368.975999999995</v>
          </cell>
          <cell r="AP31">
            <v>0.10975505061691448</v>
          </cell>
          <cell r="AQ31" t="str">
            <v>024-G-77COMESTERO</v>
          </cell>
          <cell r="AZ31">
            <v>34492.644</v>
          </cell>
          <cell r="BA31">
            <v>6561.48</v>
          </cell>
          <cell r="BB31">
            <v>765</v>
          </cell>
        </row>
        <row r="32">
          <cell r="A32">
            <v>302933</v>
          </cell>
          <cell r="B32" t="str">
            <v>GRAVIS SPV ORLY</v>
          </cell>
          <cell r="C32">
            <v>2.1999999999999999E-2</v>
          </cell>
          <cell r="D32">
            <v>2.1999999999999999E-2</v>
          </cell>
          <cell r="E32">
            <v>1.4999999999999999E-2</v>
          </cell>
          <cell r="F32">
            <v>41334</v>
          </cell>
          <cell r="I32">
            <v>0</v>
          </cell>
          <cell r="K32">
            <v>0</v>
          </cell>
          <cell r="L32" t="str">
            <v>OK</v>
          </cell>
          <cell r="M32" t="str">
            <v>OK</v>
          </cell>
          <cell r="O32" t="str">
            <v>Porte Feuille</v>
          </cell>
          <cell r="P32" t="str">
            <v>Non affecté</v>
          </cell>
          <cell r="Q32" t="str">
            <v>FP</v>
          </cell>
          <cell r="R32" t="str">
            <v>Rajouté</v>
          </cell>
          <cell r="S32" t="str">
            <v>MOISSY CRAMAYEL</v>
          </cell>
          <cell r="T32" t="str">
            <v>94</v>
          </cell>
          <cell r="U32" t="str">
            <v>15 RUE DU MOULIN A CAILLOUX</v>
          </cell>
          <cell r="V32" t="str">
            <v>94310</v>
          </cell>
          <cell r="W32" t="str">
            <v>ORLY</v>
          </cell>
          <cell r="X32" t="str">
            <v>Mme</v>
          </cell>
          <cell r="Y32" t="str">
            <v>POIRIER</v>
          </cell>
          <cell r="Z32" t="str">
            <v>94310</v>
          </cell>
          <cell r="AA32" t="str">
            <v>ORLY</v>
          </cell>
          <cell r="AB32">
            <v>26401.420000000006</v>
          </cell>
          <cell r="AC32">
            <v>29674.360000000004</v>
          </cell>
          <cell r="AD32">
            <v>971.9000000000002</v>
          </cell>
          <cell r="AF32">
            <v>57047.680000000015</v>
          </cell>
          <cell r="AG32">
            <v>17174.949999999997</v>
          </cell>
          <cell r="AH32">
            <v>0.16915339876354901</v>
          </cell>
          <cell r="AI32">
            <v>19439.46</v>
          </cell>
          <cell r="AJ32">
            <v>0.27045362215739288</v>
          </cell>
          <cell r="AK32">
            <v>411.78999999999996</v>
          </cell>
          <cell r="AL32">
            <v>0.35996088481251676</v>
          </cell>
          <cell r="AN32">
            <v>37026.199999999997</v>
          </cell>
          <cell r="AO32">
            <v>51836.679999999993</v>
          </cell>
          <cell r="AP32">
            <v>-9.1344643638444523E-2</v>
          </cell>
          <cell r="AQ32" t="str">
            <v>259-G-94PARISIENNE</v>
          </cell>
          <cell r="AR32" t="str">
            <v>024-L-94VERRERIE</v>
          </cell>
          <cell r="AZ32">
            <v>19867.128120000001</v>
          </cell>
          <cell r="BA32">
            <v>420.84938</v>
          </cell>
          <cell r="BB32">
            <v>17432.574249999994</v>
          </cell>
        </row>
        <row r="33">
          <cell r="A33">
            <v>522136</v>
          </cell>
          <cell r="B33" t="str">
            <v>PARTENAIR SA</v>
          </cell>
          <cell r="C33">
            <v>2.5000000000000001E-2</v>
          </cell>
          <cell r="D33">
            <v>2.5000000000000001E-2</v>
          </cell>
          <cell r="E33">
            <v>0.01</v>
          </cell>
          <cell r="F33">
            <v>41275</v>
          </cell>
          <cell r="I33">
            <v>0</v>
          </cell>
          <cell r="K33">
            <v>0</v>
          </cell>
          <cell r="L33" t="str">
            <v>OK</v>
          </cell>
          <cell r="M33" t="str">
            <v>OK</v>
          </cell>
          <cell r="O33" t="str">
            <v>Porte Feuille</v>
          </cell>
          <cell r="P33" t="str">
            <v>Non affecté</v>
          </cell>
          <cell r="Q33" t="str">
            <v>FP</v>
          </cell>
          <cell r="R33" t="str">
            <v>Rajouté</v>
          </cell>
          <cell r="S33" t="str">
            <v>MOISSY CRAMAYEL</v>
          </cell>
          <cell r="T33" t="str">
            <v>91</v>
          </cell>
          <cell r="U33" t="str">
            <v>15 RUE DU BUISSON AUX FRAISES</v>
          </cell>
          <cell r="V33" t="str">
            <v>91300</v>
          </cell>
          <cell r="W33" t="str">
            <v>MASSY</v>
          </cell>
          <cell r="X33" t="str">
            <v>M.</v>
          </cell>
          <cell r="Y33" t="str">
            <v>DELNEUF</v>
          </cell>
          <cell r="Z33" t="str">
            <v>91300</v>
          </cell>
          <cell r="AA33" t="str">
            <v>MASSY</v>
          </cell>
          <cell r="AB33">
            <v>7902.59</v>
          </cell>
          <cell r="AD33">
            <v>32452.769999999997</v>
          </cell>
          <cell r="AF33">
            <v>40355.360000000001</v>
          </cell>
          <cell r="AG33">
            <v>11661.74</v>
          </cell>
          <cell r="AH33">
            <v>0.1398870997698097</v>
          </cell>
          <cell r="AK33">
            <v>22574.36</v>
          </cell>
          <cell r="AL33">
            <v>0.54022570570007966</v>
          </cell>
          <cell r="AN33">
            <v>34236.1</v>
          </cell>
          <cell r="AO33">
            <v>47930.539999999994</v>
          </cell>
          <cell r="AP33">
            <v>0.18771186776675997</v>
          </cell>
          <cell r="AQ33" t="str">
            <v>024-G-91PARTENAIR</v>
          </cell>
          <cell r="AZ33">
            <v>0</v>
          </cell>
          <cell r="BA33">
            <v>23138.718999999997</v>
          </cell>
          <cell r="BB33">
            <v>11778.357400000001</v>
          </cell>
        </row>
        <row r="34">
          <cell r="A34">
            <v>11621</v>
          </cell>
          <cell r="B34" t="str">
            <v>SMR AUTOMOTIVE SYSTEMS FRANCE SA</v>
          </cell>
          <cell r="C34">
            <v>0.03</v>
          </cell>
          <cell r="D34">
            <v>0.03</v>
          </cell>
          <cell r="E34">
            <v>0.03</v>
          </cell>
          <cell r="F34">
            <v>41275</v>
          </cell>
          <cell r="H34" t="str">
            <v>hausse 3 agences GNV/MOISSYET TROYES</v>
          </cell>
          <cell r="I34">
            <v>0</v>
          </cell>
          <cell r="K34">
            <v>0</v>
          </cell>
          <cell r="L34" t="str">
            <v>OK</v>
          </cell>
          <cell r="M34" t="str">
            <v>OK</v>
          </cell>
          <cell r="O34" t="str">
            <v>Porte Feuille</v>
          </cell>
          <cell r="P34" t="str">
            <v>Non affecté</v>
          </cell>
          <cell r="Q34" t="str">
            <v>FR</v>
          </cell>
          <cell r="R34" t="str">
            <v>Ok mon client</v>
          </cell>
          <cell r="S34" t="str">
            <v>MOISSY CRAMAYEL</v>
          </cell>
          <cell r="T34" t="str">
            <v>77</v>
          </cell>
          <cell r="U34" t="str">
            <v>154 AV DU LYS</v>
          </cell>
          <cell r="V34" t="str">
            <v>77191</v>
          </cell>
          <cell r="W34" t="str">
            <v>DAMMARIE LES LYS</v>
          </cell>
          <cell r="X34" t="str">
            <v xml:space="preserve">Mme </v>
          </cell>
          <cell r="Y34" t="str">
            <v xml:space="preserve">Corinne Texier </v>
          </cell>
          <cell r="Z34" t="str">
            <v>77190</v>
          </cell>
          <cell r="AA34" t="str">
            <v>DAMMARIE LES LYS</v>
          </cell>
          <cell r="AB34">
            <v>36272.339999999997</v>
          </cell>
          <cell r="AC34">
            <v>8560.69</v>
          </cell>
          <cell r="AD34">
            <v>8690.15</v>
          </cell>
          <cell r="AF34">
            <v>53523.179999999993</v>
          </cell>
          <cell r="AG34">
            <v>21480.81</v>
          </cell>
          <cell r="AH34">
            <v>0.26879949910020434</v>
          </cell>
          <cell r="AI34">
            <v>6114.87</v>
          </cell>
          <cell r="AJ34">
            <v>0.52638101983002827</v>
          </cell>
          <cell r="AK34">
            <v>5869.23</v>
          </cell>
          <cell r="AL34">
            <v>0.71976320582877962</v>
          </cell>
          <cell r="AN34">
            <v>33464.910000000003</v>
          </cell>
          <cell r="AO34">
            <v>46850.874000000003</v>
          </cell>
          <cell r="AP34">
            <v>-0.12466198757248714</v>
          </cell>
          <cell r="AQ34" t="str">
            <v>001-G-77SCHEFENACKERVIS</v>
          </cell>
          <cell r="AR34" t="str">
            <v>001-L-77SCHEFENACKERVIS</v>
          </cell>
          <cell r="AZ34">
            <v>6298.3161</v>
          </cell>
          <cell r="BA34">
            <v>6045.3068999999996</v>
          </cell>
          <cell r="BB34">
            <v>22125.234300000004</v>
          </cell>
        </row>
        <row r="35">
          <cell r="A35">
            <v>626680</v>
          </cell>
          <cell r="B35" t="str">
            <v>KEMP</v>
          </cell>
          <cell r="C35">
            <v>1.4999999999999999E-2</v>
          </cell>
          <cell r="F35">
            <v>41289</v>
          </cell>
          <cell r="I35">
            <v>0</v>
          </cell>
          <cell r="K35">
            <v>0</v>
          </cell>
          <cell r="L35" t="str">
            <v>OK</v>
          </cell>
          <cell r="M35" t="str">
            <v>OK</v>
          </cell>
          <cell r="O35" t="str">
            <v>Porte Feuille</v>
          </cell>
          <cell r="P35" t="str">
            <v>Non affecté</v>
          </cell>
          <cell r="Q35" t="str">
            <v>FR</v>
          </cell>
          <cell r="R35" t="str">
            <v>Ok mon client</v>
          </cell>
          <cell r="S35" t="str">
            <v>MOISSY CRAMAYEL</v>
          </cell>
          <cell r="T35" t="str">
            <v>77</v>
          </cell>
          <cell r="U35" t="str">
            <v>Rue Henri Moissan</v>
          </cell>
          <cell r="V35" t="str">
            <v>77507</v>
          </cell>
          <cell r="W35" t="str">
            <v>CHELLES</v>
          </cell>
          <cell r="X35" t="str">
            <v>M.</v>
          </cell>
          <cell r="Y35" t="str">
            <v>LAPORTE</v>
          </cell>
          <cell r="Z35" t="str">
            <v>77507</v>
          </cell>
          <cell r="AA35" t="str">
            <v>CHELLES</v>
          </cell>
          <cell r="AB35">
            <v>204.61</v>
          </cell>
          <cell r="AC35">
            <v>27673.43</v>
          </cell>
          <cell r="AD35">
            <v>717.14</v>
          </cell>
          <cell r="AF35">
            <v>28595.18</v>
          </cell>
          <cell r="AI35">
            <v>32479.1</v>
          </cell>
          <cell r="AJ35">
            <v>0.34445631262994797</v>
          </cell>
          <cell r="AK35">
            <v>240.41</v>
          </cell>
          <cell r="AL35">
            <v>0.75515932837760569</v>
          </cell>
          <cell r="AN35">
            <v>32719.51</v>
          </cell>
          <cell r="AO35">
            <v>45807.313999999998</v>
          </cell>
          <cell r="AP35">
            <v>0.60192431032083027</v>
          </cell>
          <cell r="AQ35" t="str">
            <v>024-G-77KEMP</v>
          </cell>
          <cell r="AR35" t="str">
            <v>024-L-77KEMP</v>
          </cell>
          <cell r="AS35">
            <v>39106</v>
          </cell>
          <cell r="AZ35">
            <v>32966.286499999995</v>
          </cell>
          <cell r="BA35">
            <v>240.41</v>
          </cell>
          <cell r="BB35">
            <v>0</v>
          </cell>
        </row>
        <row r="36">
          <cell r="A36">
            <v>588305</v>
          </cell>
          <cell r="B36" t="str">
            <v>MADREPERLA</v>
          </cell>
          <cell r="E36">
            <v>1.4999999999999999E-2</v>
          </cell>
          <cell r="F36">
            <v>41275</v>
          </cell>
          <cell r="H36" t="str">
            <v xml:space="preserve">A LA COTATION </v>
          </cell>
          <cell r="I36" t="str">
            <v>A faire</v>
          </cell>
          <cell r="K36">
            <v>0</v>
          </cell>
          <cell r="M36" t="str">
            <v>OK</v>
          </cell>
          <cell r="P36" t="str">
            <v>Non affecté</v>
          </cell>
          <cell r="Q36" t="str">
            <v>FP</v>
          </cell>
          <cell r="R36" t="str">
            <v>Ok mon client</v>
          </cell>
          <cell r="S36" t="str">
            <v>MOISSY CRAMAYEL</v>
          </cell>
          <cell r="T36" t="str">
            <v>91</v>
          </cell>
          <cell r="U36" t="str">
            <v>24 Rue Louis Braille</v>
          </cell>
          <cell r="V36" t="str">
            <v>91420</v>
          </cell>
          <cell r="W36" t="str">
            <v>MORANGIS</v>
          </cell>
          <cell r="Y36" t="str">
            <v>Jeannette</v>
          </cell>
          <cell r="Z36" t="str">
            <v>91420</v>
          </cell>
          <cell r="AA36" t="str">
            <v>MORANGIS</v>
          </cell>
          <cell r="AB36">
            <v>39975.94</v>
          </cell>
          <cell r="AD36">
            <v>409.64</v>
          </cell>
          <cell r="AF36">
            <v>40385.58</v>
          </cell>
          <cell r="AG36">
            <v>30857</v>
          </cell>
          <cell r="AH36">
            <v>0.18401019171612343</v>
          </cell>
          <cell r="AN36">
            <v>30857</v>
          </cell>
          <cell r="AO36">
            <v>43199.799999999996</v>
          </cell>
          <cell r="AP36">
            <v>6.9683783172112213E-2</v>
          </cell>
          <cell r="AQ36" t="str">
            <v>024-G-91MADREPERLA</v>
          </cell>
          <cell r="AZ36">
            <v>0</v>
          </cell>
          <cell r="BA36">
            <v>0</v>
          </cell>
          <cell r="BB36">
            <v>31319.854999999996</v>
          </cell>
        </row>
        <row r="37">
          <cell r="A37">
            <v>909417</v>
          </cell>
          <cell r="B37" t="str">
            <v>PANHARD GENERAL DEFENSE</v>
          </cell>
          <cell r="C37">
            <v>2.5000000000000001E-2</v>
          </cell>
          <cell r="D37">
            <v>2.5000000000000001E-2</v>
          </cell>
          <cell r="E37">
            <v>1.7999999999999999E-2</v>
          </cell>
          <cell r="F37">
            <v>41275</v>
          </cell>
          <cell r="I37">
            <v>0</v>
          </cell>
          <cell r="K37">
            <v>0</v>
          </cell>
          <cell r="L37" t="str">
            <v>OK</v>
          </cell>
          <cell r="M37" t="str">
            <v>OK</v>
          </cell>
          <cell r="O37" t="str">
            <v>Porte Feuille</v>
          </cell>
          <cell r="P37" t="str">
            <v>Non affecté</v>
          </cell>
          <cell r="Q37" t="str">
            <v>FP</v>
          </cell>
          <cell r="R37" t="str">
            <v>Rajouté</v>
          </cell>
          <cell r="S37" t="str">
            <v>MOISSY CRAMAYEL</v>
          </cell>
          <cell r="T37" t="str">
            <v>91</v>
          </cell>
          <cell r="U37" t="str">
            <v>2 RUE PANHARD ET LEVASSOR</v>
          </cell>
          <cell r="V37" t="str">
            <v>91630</v>
          </cell>
          <cell r="W37" t="str">
            <v>MAROLLES EN HUREPOIX</v>
          </cell>
          <cell r="X37" t="str">
            <v>Mme</v>
          </cell>
          <cell r="Y37" t="str">
            <v>WEBER</v>
          </cell>
          <cell r="Z37" t="str">
            <v>91613</v>
          </cell>
          <cell r="AA37" t="str">
            <v>MAROLLES EN HUREPOIX</v>
          </cell>
          <cell r="AB37">
            <v>14835.480000000001</v>
          </cell>
          <cell r="AC37">
            <v>4600.3600000000006</v>
          </cell>
          <cell r="AD37">
            <v>3563.9400000000005</v>
          </cell>
          <cell r="AE37">
            <v>167.27</v>
          </cell>
          <cell r="AF37">
            <v>23167.050000000007</v>
          </cell>
          <cell r="AG37">
            <v>19641.77</v>
          </cell>
          <cell r="AH37">
            <v>0.15021849052898964</v>
          </cell>
          <cell r="AI37">
            <v>6291.880000000001</v>
          </cell>
          <cell r="AJ37">
            <v>0.71499676884152463</v>
          </cell>
          <cell r="AK37">
            <v>4814.82</v>
          </cell>
          <cell r="AL37">
            <v>0.42729229851486761</v>
          </cell>
          <cell r="AN37">
            <v>30748.47</v>
          </cell>
          <cell r="AO37">
            <v>43047.858</v>
          </cell>
          <cell r="AP37">
            <v>0.85815017449351516</v>
          </cell>
          <cell r="AQ37" t="str">
            <v>024-G-91PANHARD024</v>
          </cell>
          <cell r="AR37" t="str">
            <v>024-L-91PANHARD024</v>
          </cell>
          <cell r="AZ37">
            <v>6449.1770000000006</v>
          </cell>
          <cell r="BA37">
            <v>4935.1904999999997</v>
          </cell>
          <cell r="BB37">
            <v>19995.32186</v>
          </cell>
        </row>
        <row r="38">
          <cell r="A38">
            <v>857067</v>
          </cell>
          <cell r="B38" t="str">
            <v>FABRIC'EXPO</v>
          </cell>
          <cell r="E38">
            <v>1.4999999999999999E-2</v>
          </cell>
          <cell r="F38">
            <v>41275</v>
          </cell>
          <cell r="H38" t="str">
            <v>A LA COTATION</v>
          </cell>
          <cell r="I38" t="str">
            <v>A faire</v>
          </cell>
          <cell r="K38">
            <v>0</v>
          </cell>
          <cell r="M38" t="str">
            <v>OK</v>
          </cell>
          <cell r="P38" t="str">
            <v>Non affecté</v>
          </cell>
          <cell r="Q38" t="str">
            <v>FR</v>
          </cell>
          <cell r="R38" t="str">
            <v>Ok mon client</v>
          </cell>
          <cell r="S38" t="str">
            <v>MOISSY CRAMAYEL</v>
          </cell>
          <cell r="T38" t="str">
            <v>77</v>
          </cell>
          <cell r="U38" t="str">
            <v>18-20 RUE DU 8 MAI 1945</v>
          </cell>
          <cell r="V38">
            <v>77290</v>
          </cell>
          <cell r="W38" t="str">
            <v>MITRY MORY</v>
          </cell>
          <cell r="X38" t="str">
            <v>M.</v>
          </cell>
          <cell r="Y38" t="str">
            <v xml:space="preserve">Sylvain PIEL </v>
          </cell>
          <cell r="Z38" t="str">
            <v>77290</v>
          </cell>
          <cell r="AA38" t="str">
            <v>MITRY MORY</v>
          </cell>
          <cell r="AB38">
            <v>2453.48</v>
          </cell>
          <cell r="AF38">
            <v>2453.48</v>
          </cell>
          <cell r="AG38">
            <v>27981.499999999996</v>
          </cell>
          <cell r="AH38">
            <v>0.22505885181428165</v>
          </cell>
          <cell r="AN38">
            <v>27981.499999999996</v>
          </cell>
          <cell r="AO38">
            <v>39174.099999999991</v>
          </cell>
          <cell r="AP38">
            <v>14.966749270424048</v>
          </cell>
          <cell r="AR38" t="str">
            <v>024-L-77FABRICEXPO</v>
          </cell>
          <cell r="AS38">
            <v>40812</v>
          </cell>
          <cell r="AZ38">
            <v>0</v>
          </cell>
          <cell r="BA38">
            <v>0</v>
          </cell>
          <cell r="BB38">
            <v>28401.222499999993</v>
          </cell>
        </row>
        <row r="39">
          <cell r="A39">
            <v>53505</v>
          </cell>
          <cell r="B39" t="str">
            <v>DYNACAST FRANCE</v>
          </cell>
          <cell r="C39">
            <v>2.5000000000000001E-2</v>
          </cell>
          <cell r="F39">
            <v>41334</v>
          </cell>
          <cell r="I39">
            <v>0</v>
          </cell>
          <cell r="K39">
            <v>0</v>
          </cell>
          <cell r="L39" t="str">
            <v>OK</v>
          </cell>
          <cell r="M39" t="str">
            <v>OK</v>
          </cell>
          <cell r="O39" t="str">
            <v>Porte Feuille</v>
          </cell>
          <cell r="P39" t="str">
            <v>Non affecté</v>
          </cell>
          <cell r="Q39" t="str">
            <v>FR</v>
          </cell>
          <cell r="R39" t="str">
            <v>Ok mon client</v>
          </cell>
          <cell r="S39" t="str">
            <v>MOISSY CRAMAYEL</v>
          </cell>
          <cell r="T39" t="str">
            <v>77</v>
          </cell>
          <cell r="U39" t="str">
            <v>506 Av St Just</v>
          </cell>
          <cell r="V39" t="str">
            <v>77015</v>
          </cell>
          <cell r="W39" t="str">
            <v>MELUN CEDEX</v>
          </cell>
          <cell r="X39" t="str">
            <v>Mme</v>
          </cell>
          <cell r="Y39" t="str">
            <v>BESNARD</v>
          </cell>
          <cell r="Z39" t="str">
            <v>77015</v>
          </cell>
          <cell r="AA39" t="str">
            <v>MELUN CEDEX</v>
          </cell>
          <cell r="AB39">
            <v>281.86</v>
          </cell>
          <cell r="AC39">
            <v>47418.6</v>
          </cell>
          <cell r="AD39">
            <v>219.69</v>
          </cell>
          <cell r="AF39">
            <v>47920.15</v>
          </cell>
          <cell r="AI39">
            <v>27819.81</v>
          </cell>
          <cell r="AJ39">
            <v>0.39002831452292075</v>
          </cell>
          <cell r="AN39">
            <v>27819.81</v>
          </cell>
          <cell r="AO39">
            <v>38947.733999999997</v>
          </cell>
          <cell r="AP39">
            <v>-0.18723680956758282</v>
          </cell>
          <cell r="AQ39" t="str">
            <v>001-G-G-L-KG</v>
          </cell>
          <cell r="AR39" t="str">
            <v>001-L-GENERAL-KG</v>
          </cell>
          <cell r="AZ39">
            <v>28515.305249999998</v>
          </cell>
          <cell r="BA39">
            <v>0</v>
          </cell>
          <cell r="BB39">
            <v>0</v>
          </cell>
        </row>
        <row r="40">
          <cell r="A40">
            <v>446813</v>
          </cell>
          <cell r="B40" t="str">
            <v>OSBORN METALS SA</v>
          </cell>
          <cell r="E40">
            <v>1.4999999999999999E-2</v>
          </cell>
          <cell r="F40" t="str">
            <v>01/012013</v>
          </cell>
          <cell r="H40" t="str">
            <v>A LA COTATION</v>
          </cell>
          <cell r="I40" t="str">
            <v>A faire</v>
          </cell>
          <cell r="K40">
            <v>0</v>
          </cell>
          <cell r="M40" t="str">
            <v>OK</v>
          </cell>
          <cell r="P40" t="str">
            <v>Non affecté</v>
          </cell>
          <cell r="Q40" t="str">
            <v>FR</v>
          </cell>
          <cell r="R40" t="str">
            <v>Ok mon client</v>
          </cell>
          <cell r="S40" t="str">
            <v>MOISSY CRAMAYEL</v>
          </cell>
          <cell r="T40" t="str">
            <v>77</v>
          </cell>
          <cell r="U40" t="str">
            <v>10 RUE AMPERE</v>
          </cell>
          <cell r="V40">
            <v>77100</v>
          </cell>
          <cell r="W40" t="str">
            <v>MEAUX</v>
          </cell>
          <cell r="X40" t="str">
            <v xml:space="preserve">MME </v>
          </cell>
          <cell r="Y40" t="str">
            <v>QUEMET</v>
          </cell>
          <cell r="Z40" t="str">
            <v>77100</v>
          </cell>
          <cell r="AA40" t="str">
            <v>MEAUX</v>
          </cell>
          <cell r="AB40">
            <v>5554</v>
          </cell>
          <cell r="AF40">
            <v>5554</v>
          </cell>
          <cell r="AG40">
            <v>27386</v>
          </cell>
          <cell r="AH40">
            <v>0.16084135188866799</v>
          </cell>
          <cell r="AN40">
            <v>27386</v>
          </cell>
          <cell r="AO40">
            <v>38340.399999999994</v>
          </cell>
          <cell r="AP40">
            <v>5.9032048973712632</v>
          </cell>
          <cell r="AS40">
            <v>40847</v>
          </cell>
          <cell r="AZ40">
            <v>0</v>
          </cell>
          <cell r="BA40">
            <v>0</v>
          </cell>
          <cell r="BB40">
            <v>27796.789999999997</v>
          </cell>
        </row>
        <row r="41">
          <cell r="A41">
            <v>802905</v>
          </cell>
          <cell r="B41" t="str">
            <v>SOC INDUSTRIELLE ET CIAL DE COMPOSA</v>
          </cell>
          <cell r="H41" t="str">
            <v>EN COURS</v>
          </cell>
          <cell r="I41">
            <v>0</v>
          </cell>
          <cell r="K41">
            <v>0</v>
          </cell>
          <cell r="O41" t="str">
            <v>Porte Feuille</v>
          </cell>
          <cell r="P41" t="str">
            <v>Non affecté</v>
          </cell>
          <cell r="Q41" t="str">
            <v>FP</v>
          </cell>
          <cell r="R41" t="str">
            <v>Rajouté</v>
          </cell>
          <cell r="S41" t="str">
            <v>MOISSY CRAMAYEL</v>
          </cell>
          <cell r="T41" t="str">
            <v>91</v>
          </cell>
          <cell r="U41" t="str">
            <v>2 RUE GUSTAVE MADIOT</v>
          </cell>
          <cell r="V41" t="str">
            <v>91070</v>
          </cell>
          <cell r="W41" t="str">
            <v>BONDOUFLE</v>
          </cell>
          <cell r="X41" t="str">
            <v>M.</v>
          </cell>
          <cell r="Y41" t="str">
            <v>QUERE</v>
          </cell>
          <cell r="Z41" t="str">
            <v>91070</v>
          </cell>
          <cell r="AA41" t="str">
            <v>BONDOUFLE</v>
          </cell>
          <cell r="AB41">
            <v>254</v>
          </cell>
          <cell r="AC41">
            <v>40820.879999999997</v>
          </cell>
          <cell r="AD41">
            <v>1593.77</v>
          </cell>
          <cell r="AF41">
            <v>42668.649999999994</v>
          </cell>
          <cell r="AI41">
            <v>26011.449999999997</v>
          </cell>
          <cell r="AJ41">
            <v>0.44550016411953341</v>
          </cell>
          <cell r="AK41">
            <v>969.73</v>
          </cell>
          <cell r="AL41">
            <v>0.62715373404704511</v>
          </cell>
          <cell r="AN41">
            <v>26981.179999999997</v>
          </cell>
          <cell r="AO41">
            <v>37773.651999999995</v>
          </cell>
          <cell r="AP41">
            <v>-0.11472118288251443</v>
          </cell>
          <cell r="AQ41" t="str">
            <v>024-G-91SICCOM</v>
          </cell>
          <cell r="AS41">
            <v>39870</v>
          </cell>
          <cell r="AZ41">
            <v>26011.449999999997</v>
          </cell>
          <cell r="BA41">
            <v>969.73</v>
          </cell>
          <cell r="BB41">
            <v>0</v>
          </cell>
        </row>
        <row r="42">
          <cell r="A42">
            <v>836406</v>
          </cell>
          <cell r="B42" t="str">
            <v>ATELIER ARTISTIQUE DU BETON</v>
          </cell>
          <cell r="E42">
            <v>1.4999999999999999E-2</v>
          </cell>
          <cell r="F42">
            <v>41275</v>
          </cell>
          <cell r="H42" t="str">
            <v>A LA COTATION AFFRETEMENT</v>
          </cell>
          <cell r="I42" t="str">
            <v>A faire</v>
          </cell>
          <cell r="K42">
            <v>0</v>
          </cell>
          <cell r="M42" t="str">
            <v>OK</v>
          </cell>
          <cell r="O42" t="str">
            <v>Porte Feuille</v>
          </cell>
          <cell r="P42" t="str">
            <v>Non affecté</v>
          </cell>
          <cell r="Q42" t="str">
            <v>FR</v>
          </cell>
          <cell r="R42" t="str">
            <v>Ok mon client</v>
          </cell>
          <cell r="S42" t="str">
            <v>MOISSY CRAMAYEL</v>
          </cell>
          <cell r="T42" t="str">
            <v>77</v>
          </cell>
          <cell r="U42" t="str">
            <v>1 RUE BLAISE PASCAL</v>
          </cell>
          <cell r="V42">
            <v>77720</v>
          </cell>
          <cell r="W42" t="str">
            <v>MORMANT</v>
          </cell>
          <cell r="X42" t="str">
            <v>M.</v>
          </cell>
          <cell r="Y42" t="str">
            <v>Reuzi Michael</v>
          </cell>
          <cell r="Z42" t="str">
            <v>77720</v>
          </cell>
          <cell r="AA42" t="str">
            <v>MORMANT</v>
          </cell>
          <cell r="AB42">
            <v>33810</v>
          </cell>
          <cell r="AF42">
            <v>33810</v>
          </cell>
          <cell r="AG42">
            <v>24455</v>
          </cell>
          <cell r="AH42">
            <v>0.17545232724091891</v>
          </cell>
          <cell r="AN42">
            <v>24455</v>
          </cell>
          <cell r="AO42">
            <v>34237</v>
          </cell>
          <cell r="AP42">
            <v>1.2629399585921242E-2</v>
          </cell>
          <cell r="AR42" t="str">
            <v>024-L-77AAB</v>
          </cell>
          <cell r="AZ42">
            <v>0</v>
          </cell>
          <cell r="BA42">
            <v>0</v>
          </cell>
          <cell r="BB42">
            <v>24821.824999999997</v>
          </cell>
        </row>
        <row r="43">
          <cell r="A43">
            <v>843865</v>
          </cell>
          <cell r="B43" t="str">
            <v>SOMODEM</v>
          </cell>
          <cell r="H43" t="str">
            <v>EN COURS</v>
          </cell>
          <cell r="I43">
            <v>0</v>
          </cell>
          <cell r="K43">
            <v>0</v>
          </cell>
          <cell r="O43" t="str">
            <v>Porte Feuille</v>
          </cell>
          <cell r="P43" t="str">
            <v>Non affecté</v>
          </cell>
          <cell r="Q43" t="str">
            <v>FP</v>
          </cell>
          <cell r="R43" t="str">
            <v>Rajouté</v>
          </cell>
          <cell r="S43" t="str">
            <v>MOISSY CRAMAYEL</v>
          </cell>
          <cell r="T43" t="str">
            <v>91</v>
          </cell>
          <cell r="U43" t="str">
            <v>50 AVENUE DE PARIS</v>
          </cell>
          <cell r="V43">
            <v>91670</v>
          </cell>
          <cell r="W43" t="str">
            <v>ANGERVILLE</v>
          </cell>
          <cell r="X43" t="str">
            <v>M.</v>
          </cell>
          <cell r="Y43" t="str">
            <v>VERRONS</v>
          </cell>
          <cell r="Z43" t="str">
            <v>91670</v>
          </cell>
          <cell r="AA43" t="str">
            <v>ANGERVILLE</v>
          </cell>
          <cell r="AB43">
            <v>30708.54</v>
          </cell>
          <cell r="AF43">
            <v>30708.54</v>
          </cell>
          <cell r="AG43">
            <v>23746.02</v>
          </cell>
          <cell r="AH43">
            <v>8.8522416602667131E-2</v>
          </cell>
          <cell r="AN43">
            <v>23746.02</v>
          </cell>
          <cell r="AO43">
            <v>33244.428</v>
          </cell>
          <cell r="AP43">
            <v>8.2579243428700932E-2</v>
          </cell>
          <cell r="AR43" t="str">
            <v>024-L-91SOMODEM</v>
          </cell>
          <cell r="AS43">
            <v>40633</v>
          </cell>
          <cell r="AZ43">
            <v>0</v>
          </cell>
          <cell r="BA43">
            <v>0</v>
          </cell>
          <cell r="BB43">
            <v>23746.02</v>
          </cell>
        </row>
        <row r="44">
          <cell r="A44">
            <v>497202</v>
          </cell>
          <cell r="B44" t="str">
            <v>AIR TRADE CENTRE</v>
          </cell>
          <cell r="C44">
            <v>2.5000000000000001E-2</v>
          </cell>
          <cell r="D44">
            <v>2.5000000000000001E-2</v>
          </cell>
          <cell r="E44">
            <v>2.5000000000000001E-2</v>
          </cell>
          <cell r="F44">
            <v>41275</v>
          </cell>
          <cell r="H44" t="str">
            <v>MEME COMPTE QUE OUEST ISOL 515786</v>
          </cell>
          <cell r="I44">
            <v>0</v>
          </cell>
          <cell r="K44">
            <v>0</v>
          </cell>
          <cell r="L44" t="str">
            <v>OK</v>
          </cell>
          <cell r="M44" t="str">
            <v>OK</v>
          </cell>
          <cell r="O44" t="str">
            <v>Porte Feuille</v>
          </cell>
          <cell r="P44" t="str">
            <v>Non affecté</v>
          </cell>
          <cell r="Q44" t="str">
            <v>FP</v>
          </cell>
          <cell r="R44" t="str">
            <v>Rajouté</v>
          </cell>
          <cell r="S44" t="str">
            <v>MOISSY CRAMAYEL</v>
          </cell>
          <cell r="T44" t="str">
            <v>94</v>
          </cell>
          <cell r="U44" t="str">
            <v>22 RUE PIERRE GRANGE</v>
          </cell>
          <cell r="V44" t="str">
            <v>94120</v>
          </cell>
          <cell r="W44" t="str">
            <v>FONTENAY SOUS BOIS</v>
          </cell>
          <cell r="X44" t="str">
            <v>M.</v>
          </cell>
          <cell r="Y44" t="str">
            <v>MALLET</v>
          </cell>
          <cell r="Z44" t="str">
            <v>94120</v>
          </cell>
          <cell r="AA44" t="str">
            <v>FONTENAY SOUS BOIS</v>
          </cell>
          <cell r="AC44">
            <v>56741.439999999995</v>
          </cell>
          <cell r="AD44">
            <v>1375.14</v>
          </cell>
          <cell r="AF44">
            <v>58116.579999999994</v>
          </cell>
          <cell r="AI44">
            <v>23197.37</v>
          </cell>
          <cell r="AJ44">
            <v>0.59204723971934814</v>
          </cell>
          <cell r="AK44">
            <v>213.06</v>
          </cell>
          <cell r="AL44">
            <v>0.60547865787375899</v>
          </cell>
          <cell r="AN44">
            <v>23410.43</v>
          </cell>
          <cell r="AO44">
            <v>32774.601999999999</v>
          </cell>
          <cell r="AP44">
            <v>-0.43605418625803516</v>
          </cell>
          <cell r="AQ44" t="str">
            <v>024-G-94AIRTRADE</v>
          </cell>
          <cell r="AR44" t="str">
            <v>024-L-94AIRTRADE</v>
          </cell>
          <cell r="AZ44">
            <v>23777.304249999997</v>
          </cell>
          <cell r="BA44">
            <v>218.38649999999998</v>
          </cell>
          <cell r="BB44">
            <v>0</v>
          </cell>
        </row>
        <row r="45">
          <cell r="A45">
            <v>674444</v>
          </cell>
          <cell r="B45" t="str">
            <v>KHYKS</v>
          </cell>
          <cell r="C45">
            <v>3.5000000000000003E-2</v>
          </cell>
          <cell r="D45">
            <v>3.5000000000000003E-2</v>
          </cell>
          <cell r="F45">
            <v>41275</v>
          </cell>
          <cell r="I45">
            <v>0</v>
          </cell>
          <cell r="K45">
            <v>0</v>
          </cell>
          <cell r="L45" t="str">
            <v>OK</v>
          </cell>
          <cell r="M45" t="str">
            <v>OK</v>
          </cell>
          <cell r="O45" t="str">
            <v>Porte Feuille</v>
          </cell>
          <cell r="P45" t="str">
            <v>Non affecté</v>
          </cell>
          <cell r="Q45" t="str">
            <v>FR</v>
          </cell>
          <cell r="R45" t="str">
            <v>Ok mon client</v>
          </cell>
          <cell r="S45" t="str">
            <v>MOISSY CRAMAYEL</v>
          </cell>
          <cell r="T45" t="str">
            <v>77</v>
          </cell>
          <cell r="U45" t="str">
            <v>27 RUE CARNOT</v>
          </cell>
          <cell r="V45" t="str">
            <v>77400</v>
          </cell>
          <cell r="W45" t="str">
            <v>LAGNY SUR MARNE</v>
          </cell>
          <cell r="X45" t="str">
            <v>M.</v>
          </cell>
          <cell r="Y45" t="str">
            <v>Maxime Lardinois</v>
          </cell>
          <cell r="Z45" t="str">
            <v>77400</v>
          </cell>
          <cell r="AA45" t="str">
            <v>LAGNY SUR MARNE</v>
          </cell>
          <cell r="AC45">
            <v>20764.650000000001</v>
          </cell>
          <cell r="AD45">
            <v>31172.5</v>
          </cell>
          <cell r="AF45">
            <v>51937.149999999994</v>
          </cell>
          <cell r="AI45">
            <v>12525.7</v>
          </cell>
          <cell r="AJ45">
            <v>0.56157523116251196</v>
          </cell>
          <cell r="AK45">
            <v>10842.69</v>
          </cell>
          <cell r="AL45">
            <v>0.48056478623785642</v>
          </cell>
          <cell r="AN45">
            <v>23368.39</v>
          </cell>
          <cell r="AO45">
            <v>32715.745999999996</v>
          </cell>
          <cell r="AP45">
            <v>-0.37008969494860622</v>
          </cell>
          <cell r="AS45">
            <v>39402</v>
          </cell>
          <cell r="AZ45">
            <v>12964.0995</v>
          </cell>
          <cell r="BA45">
            <v>11222.184149999999</v>
          </cell>
          <cell r="BB45">
            <v>0</v>
          </cell>
        </row>
        <row r="46">
          <cell r="A46">
            <v>608857</v>
          </cell>
          <cell r="B46" t="str">
            <v>AFIMES MCT</v>
          </cell>
          <cell r="C46">
            <v>3.5000000000000003E-2</v>
          </cell>
          <cell r="D46">
            <v>3.5000000000000003E-2</v>
          </cell>
          <cell r="E46">
            <v>0.02</v>
          </cell>
          <cell r="F46">
            <v>41275</v>
          </cell>
          <cell r="I46">
            <v>0</v>
          </cell>
          <cell r="K46">
            <v>0</v>
          </cell>
          <cell r="L46" t="str">
            <v>OK</v>
          </cell>
          <cell r="M46" t="str">
            <v>OK</v>
          </cell>
          <cell r="O46" t="str">
            <v>Porte Feuille</v>
          </cell>
          <cell r="P46" t="str">
            <v>Non affecté</v>
          </cell>
          <cell r="Q46" t="str">
            <v>FP</v>
          </cell>
          <cell r="R46" t="str">
            <v>Rajouté</v>
          </cell>
          <cell r="S46" t="str">
            <v>MOISSY CRAMAYEL</v>
          </cell>
          <cell r="T46" t="str">
            <v>91</v>
          </cell>
          <cell r="U46" t="str">
            <v xml:space="preserve">ZA Les Godets - 12 bis rue des Petits Ruisseaux </v>
          </cell>
          <cell r="V46" t="str">
            <v>91370</v>
          </cell>
          <cell r="W46" t="str">
            <v>VERRIERES LE BUISSON</v>
          </cell>
          <cell r="X46" t="str">
            <v>Mme</v>
          </cell>
          <cell r="Y46" t="str">
            <v>MARTINET</v>
          </cell>
          <cell r="Z46" t="str">
            <v>91370</v>
          </cell>
          <cell r="AA46" t="str">
            <v>VERRIERES LE BUISSON</v>
          </cell>
          <cell r="AB46">
            <v>6333.37</v>
          </cell>
          <cell r="AC46">
            <v>38898.870000000003</v>
          </cell>
          <cell r="AD46">
            <v>3526.31</v>
          </cell>
          <cell r="AF46">
            <v>48758.55</v>
          </cell>
          <cell r="AG46">
            <v>3363.6400000000003</v>
          </cell>
          <cell r="AH46">
            <v>0.35135716040284942</v>
          </cell>
          <cell r="AI46">
            <v>17906.420000000002</v>
          </cell>
          <cell r="AJ46">
            <v>0.56443537919525311</v>
          </cell>
          <cell r="AK46">
            <v>1860.54</v>
          </cell>
          <cell r="AL46">
            <v>0.62081379047750929</v>
          </cell>
          <cell r="AN46">
            <v>23130.600000000002</v>
          </cell>
          <cell r="AO46">
            <v>32382.84</v>
          </cell>
          <cell r="AP46">
            <v>-0.33585309653383877</v>
          </cell>
          <cell r="AQ46" t="str">
            <v>024-G-28AFIMES</v>
          </cell>
          <cell r="AZ46">
            <v>18533.144700000001</v>
          </cell>
          <cell r="BA46">
            <v>1925.6588999999999</v>
          </cell>
          <cell r="BB46">
            <v>3430.9128000000005</v>
          </cell>
        </row>
        <row r="47">
          <cell r="A47">
            <v>552533</v>
          </cell>
          <cell r="B47" t="str">
            <v>CIMCOOL EUROPE B V</v>
          </cell>
          <cell r="E47">
            <v>0.02</v>
          </cell>
          <cell r="F47">
            <v>41275</v>
          </cell>
          <cell r="I47">
            <v>0</v>
          </cell>
          <cell r="K47">
            <v>0</v>
          </cell>
          <cell r="L47" t="str">
            <v>OK</v>
          </cell>
          <cell r="M47" t="str">
            <v>OK</v>
          </cell>
          <cell r="O47" t="str">
            <v>Porte Feuille</v>
          </cell>
          <cell r="P47" t="str">
            <v>Non affecté</v>
          </cell>
          <cell r="Q47" t="str">
            <v>FP</v>
          </cell>
          <cell r="R47" t="str">
            <v>Rajouté</v>
          </cell>
          <cell r="S47" t="str">
            <v>GENNEVILLIERS</v>
          </cell>
          <cell r="T47" t="str">
            <v>91</v>
          </cell>
          <cell r="U47" t="str">
            <v>1 RUE DU MACONNAIS</v>
          </cell>
          <cell r="V47" t="str">
            <v>91047</v>
          </cell>
          <cell r="W47" t="str">
            <v>EVRY CEDEX</v>
          </cell>
          <cell r="X47" t="str">
            <v>M.</v>
          </cell>
          <cell r="Y47" t="str">
            <v>BRAHIMI</v>
          </cell>
          <cell r="Z47" t="str">
            <v>91047</v>
          </cell>
          <cell r="AA47" t="str">
            <v>EVRY CEDEX</v>
          </cell>
          <cell r="AB47">
            <v>35597.57</v>
          </cell>
          <cell r="AD47">
            <v>428.63</v>
          </cell>
          <cell r="AF47">
            <v>36026.200000000004</v>
          </cell>
          <cell r="AG47">
            <v>22597.52</v>
          </cell>
          <cell r="AH47">
            <v>0.19404301709011551</v>
          </cell>
          <cell r="AN47">
            <v>22597.52</v>
          </cell>
          <cell r="AO47">
            <v>31636.527999999998</v>
          </cell>
          <cell r="AP47">
            <v>-0.12184665604476752</v>
          </cell>
          <cell r="AQ47" t="str">
            <v>001-G-91CIMCOOLEUROPEBV</v>
          </cell>
          <cell r="AR47" t="str">
            <v>001-L-GENERAL-KG</v>
          </cell>
          <cell r="AZ47">
            <v>0</v>
          </cell>
          <cell r="BA47">
            <v>0</v>
          </cell>
          <cell r="BB47">
            <v>23049.470400000002</v>
          </cell>
        </row>
        <row r="48">
          <cell r="A48">
            <v>867754</v>
          </cell>
          <cell r="B48" t="str">
            <v>BOMAG FRANCE</v>
          </cell>
          <cell r="C48">
            <v>0.02</v>
          </cell>
          <cell r="F48">
            <v>41275</v>
          </cell>
          <cell r="I48">
            <v>0</v>
          </cell>
          <cell r="K48">
            <v>0</v>
          </cell>
          <cell r="L48" t="str">
            <v>OK</v>
          </cell>
          <cell r="M48" t="str">
            <v>OK</v>
          </cell>
          <cell r="P48" t="str">
            <v>Non affecté</v>
          </cell>
          <cell r="Q48" t="str">
            <v>FP</v>
          </cell>
          <cell r="R48" t="str">
            <v>Ok mon client</v>
          </cell>
          <cell r="S48" t="str">
            <v>MOISSY CRAMAYEL</v>
          </cell>
          <cell r="T48" t="str">
            <v>91</v>
          </cell>
          <cell r="U48" t="str">
            <v>2 AVENUE DU GENERAL DE GAULLE</v>
          </cell>
          <cell r="V48">
            <v>91170</v>
          </cell>
          <cell r="W48" t="str">
            <v>VIRY CHATILLON</v>
          </cell>
          <cell r="Z48" t="str">
            <v>91170</v>
          </cell>
          <cell r="AA48" t="str">
            <v>VIRY CHATILLON</v>
          </cell>
          <cell r="AI48">
            <v>22246.12</v>
          </cell>
          <cell r="AJ48">
            <v>0.2929294962210866</v>
          </cell>
          <cell r="AK48">
            <v>75.38</v>
          </cell>
          <cell r="AL48">
            <v>0.641549482621385</v>
          </cell>
          <cell r="AN48">
            <v>22321.5</v>
          </cell>
          <cell r="AO48">
            <v>31250.1</v>
          </cell>
          <cell r="AQ48" t="str">
            <v>024-G-91BOMAGFRANCE</v>
          </cell>
          <cell r="AZ48">
            <v>22691.042399999998</v>
          </cell>
          <cell r="BA48">
            <v>75.38</v>
          </cell>
          <cell r="BB48">
            <v>0</v>
          </cell>
        </row>
        <row r="49">
          <cell r="A49">
            <v>872036</v>
          </cell>
          <cell r="B49" t="str">
            <v>TOULEMONDE BOCHART</v>
          </cell>
          <cell r="D49">
            <v>2.5000000000000001E-2</v>
          </cell>
          <cell r="F49">
            <v>41275</v>
          </cell>
          <cell r="I49">
            <v>0</v>
          </cell>
          <cell r="K49">
            <v>0</v>
          </cell>
          <cell r="L49" t="str">
            <v>OK</v>
          </cell>
          <cell r="M49" t="str">
            <v>OK</v>
          </cell>
          <cell r="O49" t="str">
            <v>Porte Feuille</v>
          </cell>
          <cell r="P49" t="str">
            <v>Non affecté</v>
          </cell>
          <cell r="Q49" t="str">
            <v>SM</v>
          </cell>
          <cell r="R49" t="str">
            <v>Rajouté</v>
          </cell>
          <cell r="S49" t="str">
            <v>MOISSY CRAMAYEL</v>
          </cell>
          <cell r="T49" t="str">
            <v>91</v>
          </cell>
          <cell r="U49" t="str">
            <v>ZI DE VILLEMILAN</v>
          </cell>
          <cell r="V49">
            <v>91321</v>
          </cell>
          <cell r="W49" t="str">
            <v>WISSOUS</v>
          </cell>
          <cell r="Z49" t="str">
            <v>91321</v>
          </cell>
          <cell r="AA49" t="str">
            <v>WISSOUS</v>
          </cell>
          <cell r="AG49">
            <v>4584</v>
          </cell>
          <cell r="AH49">
            <v>0.16012216404886562</v>
          </cell>
          <cell r="AK49">
            <v>17274.57</v>
          </cell>
          <cell r="AL49">
            <v>0.4661035156204868</v>
          </cell>
          <cell r="AN49">
            <v>21858.57</v>
          </cell>
          <cell r="AO49">
            <v>30601.997999999996</v>
          </cell>
          <cell r="AQ49" t="str">
            <v>024-G-91TOULEMONDE</v>
          </cell>
          <cell r="AZ49">
            <v>0</v>
          </cell>
          <cell r="BA49">
            <v>17706.434249999998</v>
          </cell>
          <cell r="BB49">
            <v>4584</v>
          </cell>
        </row>
        <row r="50">
          <cell r="A50">
            <v>871470</v>
          </cell>
          <cell r="B50" t="str">
            <v>KIP EUROPE</v>
          </cell>
          <cell r="H50" t="str">
            <v>DEMARRAGE EN COURS</v>
          </cell>
          <cell r="I50">
            <v>0</v>
          </cell>
          <cell r="K50">
            <v>0</v>
          </cell>
          <cell r="P50" t="str">
            <v>Non affecté</v>
          </cell>
          <cell r="Q50" t="str">
            <v>FP</v>
          </cell>
          <cell r="R50" t="str">
            <v>Ok mon client</v>
          </cell>
          <cell r="S50" t="str">
            <v>MOISSY CRAMAYEL</v>
          </cell>
          <cell r="T50" t="str">
            <v>91</v>
          </cell>
          <cell r="U50" t="str">
            <v>1 AVENUE DE L'ATLANTIQUE</v>
          </cell>
          <cell r="V50">
            <v>91940</v>
          </cell>
          <cell r="W50" t="str">
            <v>LES ULIS</v>
          </cell>
          <cell r="X50" t="str">
            <v>Mme</v>
          </cell>
          <cell r="Y50" t="str">
            <v>GUYOT</v>
          </cell>
          <cell r="Z50" t="str">
            <v>91940</v>
          </cell>
          <cell r="AA50" t="str">
            <v>LES ULIS</v>
          </cell>
          <cell r="AI50">
            <v>21199.3</v>
          </cell>
          <cell r="AJ50">
            <v>0.5028928919668314</v>
          </cell>
          <cell r="AK50">
            <v>287.16000000000003</v>
          </cell>
          <cell r="AL50">
            <v>0.34036773923944841</v>
          </cell>
          <cell r="AN50">
            <v>21486.46</v>
          </cell>
          <cell r="AO50">
            <v>30081.043999999998</v>
          </cell>
          <cell r="AQ50" t="str">
            <v>024-G-91KIP</v>
          </cell>
          <cell r="AR50" t="str">
            <v>024-L-91KIP</v>
          </cell>
          <cell r="AZ50">
            <v>21199.3</v>
          </cell>
          <cell r="BA50">
            <v>287.16000000000003</v>
          </cell>
          <cell r="BB50">
            <v>0</v>
          </cell>
        </row>
        <row r="51">
          <cell r="A51">
            <v>510094</v>
          </cell>
          <cell r="B51" t="str">
            <v>SEPHAT</v>
          </cell>
          <cell r="C51">
            <v>3.5000000000000003E-2</v>
          </cell>
          <cell r="D51">
            <v>3.5000000000000003E-2</v>
          </cell>
          <cell r="E51">
            <v>0.02</v>
          </cell>
          <cell r="F51">
            <v>41275</v>
          </cell>
          <cell r="I51">
            <v>0</v>
          </cell>
          <cell r="K51">
            <v>0</v>
          </cell>
          <cell r="L51" t="str">
            <v>OK</v>
          </cell>
          <cell r="M51" t="str">
            <v>OK</v>
          </cell>
          <cell r="O51" t="str">
            <v>Porte Feuille</v>
          </cell>
          <cell r="P51" t="str">
            <v>Non affecté</v>
          </cell>
          <cell r="Q51" t="str">
            <v>FP</v>
          </cell>
          <cell r="R51" t="str">
            <v>Rajouté</v>
          </cell>
          <cell r="S51" t="str">
            <v>MOISSY CRAMAYEL</v>
          </cell>
          <cell r="T51" t="str">
            <v>91</v>
          </cell>
          <cell r="U51" t="str">
            <v>BUROSPACE ANTELIA 8</v>
          </cell>
          <cell r="V51" t="str">
            <v>91571</v>
          </cell>
          <cell r="W51" t="str">
            <v>BIEVRES</v>
          </cell>
          <cell r="X51" t="str">
            <v>Mme</v>
          </cell>
          <cell r="Y51" t="str">
            <v>DEWILDE</v>
          </cell>
          <cell r="Z51" t="str">
            <v>91571</v>
          </cell>
          <cell r="AA51" t="str">
            <v>BIEVRES</v>
          </cell>
          <cell r="AC51">
            <v>10955.699999999999</v>
          </cell>
          <cell r="AD51">
            <v>18431.560000000001</v>
          </cell>
          <cell r="AF51">
            <v>29387.260000000002</v>
          </cell>
          <cell r="AI51">
            <v>9202.7899999999991</v>
          </cell>
          <cell r="AJ51">
            <v>0.57667718147992575</v>
          </cell>
          <cell r="AK51">
            <v>10898.44</v>
          </cell>
          <cell r="AL51">
            <v>0.45256005714130743</v>
          </cell>
          <cell r="AN51">
            <v>20101.23</v>
          </cell>
          <cell r="AO51">
            <v>28141.721999999998</v>
          </cell>
          <cell r="AP51">
            <v>-4.2383604323778523E-2</v>
          </cell>
          <cell r="AQ51" t="str">
            <v>024-G-91SEPHAT</v>
          </cell>
          <cell r="AZ51">
            <v>9524.8876499999988</v>
          </cell>
          <cell r="BA51">
            <v>11279.885399999999</v>
          </cell>
          <cell r="BB51">
            <v>0</v>
          </cell>
        </row>
        <row r="52">
          <cell r="A52">
            <v>35826</v>
          </cell>
          <cell r="B52" t="str">
            <v>ATELIER CAOUTCHOUC INDUSTRIEL</v>
          </cell>
          <cell r="C52">
            <v>0.03</v>
          </cell>
          <cell r="D52">
            <v>0.03</v>
          </cell>
          <cell r="F52">
            <v>41275</v>
          </cell>
          <cell r="I52">
            <v>0</v>
          </cell>
          <cell r="K52">
            <v>0</v>
          </cell>
          <cell r="L52" t="str">
            <v>OK</v>
          </cell>
          <cell r="M52" t="str">
            <v>OK</v>
          </cell>
          <cell r="O52" t="str">
            <v>Porte Feuille</v>
          </cell>
          <cell r="P52" t="str">
            <v>Non affecté</v>
          </cell>
          <cell r="Q52" t="str">
            <v>FR</v>
          </cell>
          <cell r="R52" t="str">
            <v>Ok mon client</v>
          </cell>
          <cell r="S52" t="str">
            <v>MOISSY CRAMAYEL</v>
          </cell>
          <cell r="T52" t="str">
            <v>77</v>
          </cell>
          <cell r="U52" t="str">
            <v>1 RUE EMILE  ZOLA</v>
          </cell>
          <cell r="V52" t="str">
            <v>77450</v>
          </cell>
          <cell r="W52" t="str">
            <v>MONTRY</v>
          </cell>
          <cell r="X52" t="str">
            <v>Mme</v>
          </cell>
          <cell r="Y52" t="str">
            <v xml:space="preserve">Virginie Brechemier </v>
          </cell>
          <cell r="Z52" t="str">
            <v>77450</v>
          </cell>
          <cell r="AA52" t="str">
            <v>MONTRY</v>
          </cell>
          <cell r="AC52">
            <v>28140.53</v>
          </cell>
          <cell r="AD52">
            <v>2358.1000000000004</v>
          </cell>
          <cell r="AF52">
            <v>30498.629999999997</v>
          </cell>
          <cell r="AG52">
            <v>275</v>
          </cell>
          <cell r="AH52">
            <v>5.4545454545454543E-2</v>
          </cell>
          <cell r="AI52">
            <v>17938.939999999999</v>
          </cell>
          <cell r="AJ52">
            <v>0.5538966697497274</v>
          </cell>
          <cell r="AK52">
            <v>1792.9399999999998</v>
          </cell>
          <cell r="AL52">
            <v>0.63302482120319747</v>
          </cell>
          <cell r="AN52">
            <v>20006.879999999997</v>
          </cell>
          <cell r="AO52">
            <v>28009.631999999994</v>
          </cell>
          <cell r="AP52">
            <v>-8.1610157571012309E-2</v>
          </cell>
          <cell r="AQ52" t="str">
            <v>024-G-77ACI</v>
          </cell>
          <cell r="AS52">
            <v>40221</v>
          </cell>
          <cell r="AZ52">
            <v>18477.108199999999</v>
          </cell>
          <cell r="BA52">
            <v>1846.7281999999998</v>
          </cell>
          <cell r="BB52">
            <v>275</v>
          </cell>
        </row>
        <row r="53">
          <cell r="A53">
            <v>843450</v>
          </cell>
          <cell r="B53" t="str">
            <v>OPALIUM</v>
          </cell>
          <cell r="C53">
            <v>3.5000000000000003E-2</v>
          </cell>
          <cell r="D53">
            <v>3.5000000000000003E-2</v>
          </cell>
          <cell r="E53">
            <v>0.02</v>
          </cell>
          <cell r="F53">
            <v>41275</v>
          </cell>
          <cell r="I53">
            <v>0</v>
          </cell>
          <cell r="K53">
            <v>0</v>
          </cell>
          <cell r="L53" t="str">
            <v>OK</v>
          </cell>
          <cell r="M53" t="str">
            <v>OK</v>
          </cell>
          <cell r="P53" t="str">
            <v>Non affecté</v>
          </cell>
          <cell r="Q53" t="str">
            <v>FP</v>
          </cell>
          <cell r="R53" t="str">
            <v>Ok mon client</v>
          </cell>
          <cell r="S53" t="str">
            <v>MOISSY CRAMAYEL</v>
          </cell>
          <cell r="T53" t="str">
            <v>94</v>
          </cell>
          <cell r="U53" t="str">
            <v>178 AV DU MARECHAL DE LATTRE DE TA</v>
          </cell>
          <cell r="V53">
            <v>94120</v>
          </cell>
          <cell r="W53" t="str">
            <v>FONTENAY SOUS BOIS</v>
          </cell>
          <cell r="X53" t="str">
            <v>M.</v>
          </cell>
          <cell r="Y53" t="str">
            <v>LAMOTHE</v>
          </cell>
          <cell r="Z53" t="str">
            <v>94120</v>
          </cell>
          <cell r="AA53" t="str">
            <v>FONTENAY SOUS BOIS</v>
          </cell>
          <cell r="AB53">
            <v>1373.77</v>
          </cell>
          <cell r="AC53">
            <v>2551.2800000000002</v>
          </cell>
          <cell r="AD53">
            <v>500.44</v>
          </cell>
          <cell r="AF53">
            <v>4425.49</v>
          </cell>
          <cell r="AG53">
            <v>14073.78</v>
          </cell>
          <cell r="AH53">
            <v>0.29012283140366585</v>
          </cell>
          <cell r="AI53">
            <v>5582.2699999999995</v>
          </cell>
          <cell r="AJ53">
            <v>0.62935515365660866</v>
          </cell>
          <cell r="AK53">
            <v>344.84000000000003</v>
          </cell>
          <cell r="AL53">
            <v>0.63249553457514673</v>
          </cell>
          <cell r="AN53">
            <v>20000.89</v>
          </cell>
          <cell r="AO53">
            <v>28001.245999999999</v>
          </cell>
          <cell r="AP53">
            <v>5.3272645514959924</v>
          </cell>
          <cell r="AQ53" t="str">
            <v>024-G-94OPALIUM</v>
          </cell>
          <cell r="AR53" t="str">
            <v>024-L-94OPALIUM</v>
          </cell>
          <cell r="AS53">
            <v>40626</v>
          </cell>
          <cell r="AZ53">
            <v>5777.649449999999</v>
          </cell>
          <cell r="BA53">
            <v>356.90940000000001</v>
          </cell>
          <cell r="BB53">
            <v>14355.2556</v>
          </cell>
        </row>
        <row r="54">
          <cell r="A54">
            <v>565509</v>
          </cell>
          <cell r="B54" t="str">
            <v>PAYEN ET CIE</v>
          </cell>
          <cell r="H54" t="str">
            <v>RISQUE DE PERTE /PAS DE HAUSSE</v>
          </cell>
          <cell r="I54">
            <v>0</v>
          </cell>
          <cell r="K54">
            <v>0</v>
          </cell>
          <cell r="M54" t="str">
            <v>NON</v>
          </cell>
          <cell r="O54" t="str">
            <v>Porte Feuille</v>
          </cell>
          <cell r="P54" t="str">
            <v>Non affecté</v>
          </cell>
          <cell r="Q54" t="str">
            <v>FR</v>
          </cell>
          <cell r="R54" t="str">
            <v>Ok mon client</v>
          </cell>
          <cell r="S54" t="str">
            <v>MOISSY CRAMAYEL</v>
          </cell>
          <cell r="T54" t="str">
            <v>77</v>
          </cell>
          <cell r="U54" t="str">
            <v>RN 4</v>
          </cell>
          <cell r="V54" t="str">
            <v>77540</v>
          </cell>
          <cell r="W54" t="str">
            <v>ROZAY EN BRIE</v>
          </cell>
          <cell r="X54" t="str">
            <v>M.</v>
          </cell>
          <cell r="Y54" t="str">
            <v xml:space="preserve">Vincent Mirbel </v>
          </cell>
          <cell r="Z54" t="str">
            <v>77540</v>
          </cell>
          <cell r="AA54" t="str">
            <v>ROZAY EN BRIE</v>
          </cell>
          <cell r="AB54">
            <v>346</v>
          </cell>
          <cell r="AC54">
            <v>44592.979999999996</v>
          </cell>
          <cell r="AD54">
            <v>1047.6600000000001</v>
          </cell>
          <cell r="AF54">
            <v>45986.64</v>
          </cell>
          <cell r="AI54">
            <v>18587.070000000003</v>
          </cell>
          <cell r="AJ54">
            <v>0.37592835299257182</v>
          </cell>
          <cell r="AK54">
            <v>57.36</v>
          </cell>
          <cell r="AL54">
            <v>0.49215481171548114</v>
          </cell>
          <cell r="AN54">
            <v>18644.430000000004</v>
          </cell>
          <cell r="AO54">
            <v>26102.202000000005</v>
          </cell>
          <cell r="AP54">
            <v>-0.43239597413509656</v>
          </cell>
          <cell r="AQ54" t="str">
            <v>024-G-77PAYEN</v>
          </cell>
          <cell r="AS54">
            <v>40014</v>
          </cell>
          <cell r="AZ54">
            <v>18587.070000000003</v>
          </cell>
          <cell r="BA54">
            <v>57.36</v>
          </cell>
          <cell r="BB54">
            <v>0</v>
          </cell>
        </row>
        <row r="55">
          <cell r="A55">
            <v>466749</v>
          </cell>
          <cell r="B55" t="str">
            <v>PPC SOLUTIONS LIMITED</v>
          </cell>
          <cell r="C55">
            <v>3.5000000000000003E-2</v>
          </cell>
          <cell r="D55">
            <v>3.5000000000000003E-2</v>
          </cell>
          <cell r="E55">
            <v>0.02</v>
          </cell>
          <cell r="F55">
            <v>41275</v>
          </cell>
          <cell r="I55">
            <v>0</v>
          </cell>
          <cell r="K55">
            <v>0</v>
          </cell>
          <cell r="L55" t="str">
            <v>OK</v>
          </cell>
          <cell r="M55" t="str">
            <v>OK</v>
          </cell>
          <cell r="O55" t="str">
            <v>Porte Feuille</v>
          </cell>
          <cell r="P55" t="str">
            <v>Non affecté</v>
          </cell>
          <cell r="Q55" t="str">
            <v>FP</v>
          </cell>
          <cell r="R55" t="str">
            <v>Rajouté</v>
          </cell>
          <cell r="S55" t="str">
            <v>MOISSY CRAMAYEL</v>
          </cell>
          <cell r="T55" t="str">
            <v>91</v>
          </cell>
          <cell r="U55" t="str">
            <v>3 RUE VITRUVE 
ZONE D'ACTIVITE DE LA PRAIRIE</v>
          </cell>
          <cell r="V55" t="str">
            <v>91140</v>
          </cell>
          <cell r="W55" t="str">
            <v>VILLEBON SUR YVETTE</v>
          </cell>
          <cell r="X55" t="str">
            <v>M.</v>
          </cell>
          <cell r="Y55" t="str">
            <v>ROULLE</v>
          </cell>
          <cell r="Z55" t="str">
            <v>91140</v>
          </cell>
          <cell r="AA55" t="str">
            <v>VILLEBON SUR YVETTE</v>
          </cell>
          <cell r="AB55">
            <v>926</v>
          </cell>
          <cell r="AC55">
            <v>1376.9099999999999</v>
          </cell>
          <cell r="AD55">
            <v>19046.570000000003</v>
          </cell>
          <cell r="AF55">
            <v>21349.480000000003</v>
          </cell>
          <cell r="AG55">
            <v>8477</v>
          </cell>
          <cell r="AH55">
            <v>-0.13693225394120159</v>
          </cell>
          <cell r="AI55">
            <v>678.21</v>
          </cell>
          <cell r="AJ55">
            <v>0.38361561902062208</v>
          </cell>
          <cell r="AK55">
            <v>9279.5299999999988</v>
          </cell>
          <cell r="AL55">
            <v>0.49021449994023913</v>
          </cell>
          <cell r="AN55">
            <v>18434.739999999998</v>
          </cell>
          <cell r="AO55">
            <v>25808.635999999995</v>
          </cell>
          <cell r="AP55">
            <v>0.20886485291444989</v>
          </cell>
          <cell r="AQ55" t="str">
            <v>024-G-91PPC</v>
          </cell>
          <cell r="AZ55">
            <v>701.94735000000003</v>
          </cell>
          <cell r="BA55">
            <v>9604.3135499999989</v>
          </cell>
          <cell r="BB55">
            <v>8646.5400000000009</v>
          </cell>
        </row>
        <row r="56">
          <cell r="A56">
            <v>623921</v>
          </cell>
          <cell r="B56" t="str">
            <v>RENAUD DISTRIBUTION</v>
          </cell>
          <cell r="C56">
            <v>0.03</v>
          </cell>
          <cell r="F56">
            <v>41275</v>
          </cell>
          <cell r="I56">
            <v>0</v>
          </cell>
          <cell r="K56">
            <v>0</v>
          </cell>
          <cell r="L56" t="str">
            <v>OK</v>
          </cell>
          <cell r="M56" t="str">
            <v>OK</v>
          </cell>
          <cell r="O56" t="str">
            <v>Porte Feuille</v>
          </cell>
          <cell r="P56" t="str">
            <v>Non affecté</v>
          </cell>
          <cell r="Q56" t="str">
            <v>FP</v>
          </cell>
          <cell r="R56" t="str">
            <v>Rajouté</v>
          </cell>
          <cell r="S56" t="str">
            <v>MOISSY CRAMAYEL</v>
          </cell>
          <cell r="T56" t="str">
            <v>69</v>
          </cell>
          <cell r="U56" t="str">
            <v>225 A 239 AVENUE COTE D AZUR  FLEURS 113</v>
          </cell>
          <cell r="V56" t="str">
            <v>94631</v>
          </cell>
          <cell r="W56" t="str">
            <v>RUNGIS</v>
          </cell>
          <cell r="Y56" t="str">
            <v>Marielle</v>
          </cell>
          <cell r="Z56" t="str">
            <v>69003</v>
          </cell>
          <cell r="AA56" t="str">
            <v>LYON CEDEX 3</v>
          </cell>
          <cell r="AB56">
            <v>898.23</v>
          </cell>
          <cell r="AC56">
            <v>26195.02</v>
          </cell>
          <cell r="AD56">
            <v>449.54</v>
          </cell>
          <cell r="AF56">
            <v>27542.79</v>
          </cell>
          <cell r="AI56">
            <v>18342.48</v>
          </cell>
          <cell r="AJ56">
            <v>0.37970444084123695</v>
          </cell>
          <cell r="AN56">
            <v>18342.48</v>
          </cell>
          <cell r="AO56">
            <v>25679.471999999998</v>
          </cell>
          <cell r="AP56">
            <v>-6.7651752055619796E-2</v>
          </cell>
          <cell r="AQ56" t="str">
            <v>024-G-94RENAUDDISTRIBUT</v>
          </cell>
          <cell r="AS56">
            <v>40352</v>
          </cell>
          <cell r="AZ56">
            <v>18892.754400000002</v>
          </cell>
          <cell r="BA56">
            <v>0</v>
          </cell>
          <cell r="BB56">
            <v>0</v>
          </cell>
        </row>
        <row r="57">
          <cell r="A57">
            <v>543444</v>
          </cell>
          <cell r="B57" t="str">
            <v>TOULEMONDE BOCHART</v>
          </cell>
          <cell r="H57" t="str">
            <v>fermé</v>
          </cell>
          <cell r="I57">
            <v>0</v>
          </cell>
          <cell r="K57">
            <v>0</v>
          </cell>
          <cell r="M57" t="str">
            <v>NON</v>
          </cell>
          <cell r="N57" t="str">
            <v>non</v>
          </cell>
          <cell r="O57" t="str">
            <v>Porte Feuille</v>
          </cell>
          <cell r="P57" t="str">
            <v>Non affecté</v>
          </cell>
          <cell r="Q57" t="str">
            <v>SM</v>
          </cell>
          <cell r="R57" t="str">
            <v>Rajouté</v>
          </cell>
          <cell r="S57" t="str">
            <v>MOISSY CRAMAYEL</v>
          </cell>
          <cell r="T57" t="str">
            <v>91</v>
          </cell>
          <cell r="U57" t="str">
            <v>7 IMPASSE BRANLY</v>
          </cell>
          <cell r="V57">
            <v>91321</v>
          </cell>
          <cell r="W57" t="str">
            <v>WISSOUS</v>
          </cell>
          <cell r="Z57" t="str">
            <v>91321</v>
          </cell>
          <cell r="AA57" t="str">
            <v>WISSOUS</v>
          </cell>
          <cell r="AG57">
            <v>3385.1</v>
          </cell>
          <cell r="AK57">
            <v>14886.81</v>
          </cell>
          <cell r="AN57">
            <v>18271.91</v>
          </cell>
          <cell r="AO57">
            <v>25580.673999999999</v>
          </cell>
          <cell r="AZ57">
            <v>0</v>
          </cell>
          <cell r="BA57">
            <v>14886.81</v>
          </cell>
          <cell r="BB57">
            <v>3385.1</v>
          </cell>
        </row>
        <row r="58">
          <cell r="A58">
            <v>67748</v>
          </cell>
          <cell r="B58" t="str">
            <v>JOULIN AERO</v>
          </cell>
          <cell r="C58">
            <v>3.5000000000000003E-2</v>
          </cell>
          <cell r="D58">
            <v>3.5000000000000003E-2</v>
          </cell>
          <cell r="E58">
            <v>0.02</v>
          </cell>
          <cell r="F58">
            <v>41275</v>
          </cell>
          <cell r="I58">
            <v>0</v>
          </cell>
          <cell r="K58">
            <v>0</v>
          </cell>
          <cell r="L58" t="str">
            <v>OK</v>
          </cell>
          <cell r="M58" t="str">
            <v>OK</v>
          </cell>
          <cell r="O58" t="str">
            <v>Porte Feuille</v>
          </cell>
          <cell r="P58" t="str">
            <v>Non affecté</v>
          </cell>
          <cell r="Q58" t="str">
            <v>FP</v>
          </cell>
          <cell r="R58" t="str">
            <v>Rajouté</v>
          </cell>
          <cell r="S58" t="str">
            <v>MOISSY CRAMAYEL</v>
          </cell>
          <cell r="T58" t="str">
            <v>91</v>
          </cell>
          <cell r="U58" t="str">
            <v>AVENUE DES GRENOTS</v>
          </cell>
          <cell r="V58" t="str">
            <v>91150</v>
          </cell>
          <cell r="W58" t="str">
            <v>ETAMPES</v>
          </cell>
          <cell r="X58" t="str">
            <v>Mme</v>
          </cell>
          <cell r="Y58" t="str">
            <v>TOUPET</v>
          </cell>
          <cell r="Z58" t="str">
            <v>91150</v>
          </cell>
          <cell r="AA58" t="str">
            <v>ETAMPES</v>
          </cell>
          <cell r="AB58">
            <v>9554.8499999999985</v>
          </cell>
          <cell r="AC58">
            <v>5146.91</v>
          </cell>
          <cell r="AD58">
            <v>22895.399999999998</v>
          </cell>
          <cell r="AF58">
            <v>37597.159999999996</v>
          </cell>
          <cell r="AG58">
            <v>1339</v>
          </cell>
          <cell r="AH58">
            <v>0.18947933440687065</v>
          </cell>
          <cell r="AI58">
            <v>3134.7</v>
          </cell>
          <cell r="AJ58">
            <v>0.79202466761793366</v>
          </cell>
          <cell r="AK58">
            <v>13748.179999999998</v>
          </cell>
          <cell r="AL58">
            <v>0.59073216507404847</v>
          </cell>
          <cell r="AN58">
            <v>18221.879999999997</v>
          </cell>
          <cell r="AO58">
            <v>25510.631999999994</v>
          </cell>
          <cell r="AP58">
            <v>-0.32147449435010522</v>
          </cell>
          <cell r="AQ58" t="str">
            <v>024-G-91JOULINAE</v>
          </cell>
          <cell r="AS58">
            <v>39947</v>
          </cell>
          <cell r="AZ58">
            <v>3244.4144999999994</v>
          </cell>
          <cell r="BA58">
            <v>14229.366299999998</v>
          </cell>
          <cell r="BB58">
            <v>1365.78</v>
          </cell>
        </row>
        <row r="59">
          <cell r="A59">
            <v>528467</v>
          </cell>
          <cell r="B59" t="str">
            <v>SOC ATELIERS DU GRAND MORIN</v>
          </cell>
          <cell r="C59">
            <v>3.5000000000000003E-2</v>
          </cell>
          <cell r="D59">
            <v>3.5000000000000003E-2</v>
          </cell>
          <cell r="E59">
            <v>3.5000000000000003E-2</v>
          </cell>
          <cell r="F59">
            <v>41275</v>
          </cell>
          <cell r="I59">
            <v>0</v>
          </cell>
          <cell r="K59">
            <v>0</v>
          </cell>
          <cell r="L59" t="str">
            <v>OK</v>
          </cell>
          <cell r="M59" t="str">
            <v>OK</v>
          </cell>
          <cell r="O59" t="str">
            <v>Porte Feuille</v>
          </cell>
          <cell r="P59" t="str">
            <v>Non affecté</v>
          </cell>
          <cell r="Q59" t="str">
            <v>FR</v>
          </cell>
          <cell r="R59" t="str">
            <v>Ok mon client</v>
          </cell>
          <cell r="S59" t="str">
            <v>MOISSY CRAMAYEL</v>
          </cell>
          <cell r="T59" t="str">
            <v>77</v>
          </cell>
          <cell r="U59" t="str">
            <v>528 RUE DU LIETON</v>
          </cell>
          <cell r="V59" t="str">
            <v>77120</v>
          </cell>
          <cell r="W59" t="str">
            <v>MOUROUX</v>
          </cell>
          <cell r="X59" t="str">
            <v>M.</v>
          </cell>
          <cell r="Y59" t="str">
            <v>YVON</v>
          </cell>
          <cell r="Z59" t="str">
            <v>77120</v>
          </cell>
          <cell r="AA59" t="str">
            <v>MOUROUX</v>
          </cell>
          <cell r="AB59">
            <v>1532.6</v>
          </cell>
          <cell r="AC59">
            <v>20811.099999999999</v>
          </cell>
          <cell r="AD59">
            <v>452.49</v>
          </cell>
          <cell r="AF59">
            <v>22796.19</v>
          </cell>
          <cell r="AG59">
            <v>807.58999999999992</v>
          </cell>
          <cell r="AH59">
            <v>0.31877759381898446</v>
          </cell>
          <cell r="AI59">
            <v>16395.52</v>
          </cell>
          <cell r="AJ59">
            <v>0.76872297781636856</v>
          </cell>
          <cell r="AK59">
            <v>359.15999999999997</v>
          </cell>
          <cell r="AL59">
            <v>0.91538083538083548</v>
          </cell>
          <cell r="AN59">
            <v>17562.27</v>
          </cell>
          <cell r="AO59">
            <v>24587.178</v>
          </cell>
          <cell r="AP59">
            <v>7.8565233927248457E-2</v>
          </cell>
          <cell r="AQ59" t="str">
            <v>024-G-77ATELIERSMORIN</v>
          </cell>
          <cell r="AR59" t="str">
            <v>024-L-77ATELIERSMORIN</v>
          </cell>
          <cell r="AZ59">
            <v>16969.3632</v>
          </cell>
          <cell r="BA59">
            <v>371.73059999999992</v>
          </cell>
          <cell r="BB59">
            <v>835.85564999999986</v>
          </cell>
        </row>
        <row r="60">
          <cell r="A60">
            <v>851553</v>
          </cell>
          <cell r="B60" t="str">
            <v>PAINS JACQUET</v>
          </cell>
          <cell r="H60" t="str">
            <v>DEVELOPPEMENT EN COURS DE NEGOCIATION</v>
          </cell>
          <cell r="I60">
            <v>0</v>
          </cell>
          <cell r="K60">
            <v>0</v>
          </cell>
          <cell r="P60" t="str">
            <v>Non affecté</v>
          </cell>
          <cell r="Q60" t="str">
            <v>FP</v>
          </cell>
          <cell r="R60" t="str">
            <v>Ok mon client</v>
          </cell>
          <cell r="S60" t="str">
            <v>MOISSY CRAMAYEL</v>
          </cell>
          <cell r="T60" t="str">
            <v>91</v>
          </cell>
          <cell r="U60" t="str">
            <v>5 RUE PAULING - TECHNIPARC</v>
          </cell>
          <cell r="V60">
            <v>91240</v>
          </cell>
          <cell r="W60" t="str">
            <v>SAINT MICHEL SUR ORGE</v>
          </cell>
          <cell r="X60" t="str">
            <v>M.</v>
          </cell>
          <cell r="Y60" t="str">
            <v>SELLAMI</v>
          </cell>
          <cell r="Z60" t="str">
            <v>91240</v>
          </cell>
          <cell r="AA60" t="str">
            <v>SAINT MICHEL SUR ORGE</v>
          </cell>
          <cell r="AB60">
            <v>7511.49</v>
          </cell>
          <cell r="AF60">
            <v>7511.49</v>
          </cell>
          <cell r="AG60">
            <v>17183.129999999997</v>
          </cell>
          <cell r="AH60">
            <v>5.0264990658507223E-2</v>
          </cell>
          <cell r="AN60">
            <v>17183.129999999997</v>
          </cell>
          <cell r="AO60">
            <v>24056.381999999994</v>
          </cell>
          <cell r="AP60">
            <v>2.2026111996421474</v>
          </cell>
          <cell r="AR60" t="str">
            <v>024-91PAINSJACQUET</v>
          </cell>
          <cell r="AS60">
            <v>40753</v>
          </cell>
          <cell r="AZ60">
            <v>0</v>
          </cell>
          <cell r="BA60">
            <v>0</v>
          </cell>
          <cell r="BB60">
            <v>17183.129999999997</v>
          </cell>
        </row>
        <row r="61">
          <cell r="A61">
            <v>65013</v>
          </cell>
          <cell r="B61" t="str">
            <v>ST GOBAIN QUARTZ SAS</v>
          </cell>
          <cell r="H61" t="str">
            <v>CIRCULAIRE ET ATTENDRE  // MAIL DE FR PAS DE HAUSSE PERTE DU CLIENT</v>
          </cell>
          <cell r="I61">
            <v>0</v>
          </cell>
          <cell r="J61" t="str">
            <v>OUI</v>
          </cell>
          <cell r="M61" t="str">
            <v>NON</v>
          </cell>
          <cell r="O61" t="str">
            <v>Porte Feuille</v>
          </cell>
          <cell r="P61" t="str">
            <v>DCM</v>
          </cell>
          <cell r="Q61" t="str">
            <v>FR</v>
          </cell>
          <cell r="R61" t="str">
            <v>Client ORL</v>
          </cell>
          <cell r="S61" t="str">
            <v>MOISSY CRAMAYEL</v>
          </cell>
          <cell r="T61" t="str">
            <v>77</v>
          </cell>
          <cell r="U61" t="str">
            <v>108 AVENUE CARNOT- BP 95</v>
          </cell>
          <cell r="V61" t="str">
            <v>77793</v>
          </cell>
          <cell r="W61" t="str">
            <v>NEMOURS CEDEX</v>
          </cell>
          <cell r="X61" t="str">
            <v>M.</v>
          </cell>
          <cell r="Y61" t="str">
            <v>MINVIELLE</v>
          </cell>
          <cell r="Z61" t="str">
            <v>77793</v>
          </cell>
          <cell r="AA61" t="str">
            <v>NEMOURS CEDEX</v>
          </cell>
          <cell r="AB61">
            <v>30083.51</v>
          </cell>
          <cell r="AC61">
            <v>7901.61</v>
          </cell>
          <cell r="AD61">
            <v>60.61</v>
          </cell>
          <cell r="AF61">
            <v>38045.729999999996</v>
          </cell>
          <cell r="AG61">
            <v>10196.74</v>
          </cell>
          <cell r="AH61">
            <v>0.53597570695316732</v>
          </cell>
          <cell r="AI61">
            <v>6548.07</v>
          </cell>
          <cell r="AJ61">
            <v>0.64635276031298672</v>
          </cell>
          <cell r="AK61">
            <v>209.84</v>
          </cell>
          <cell r="AL61">
            <v>0.43692355791777387</v>
          </cell>
          <cell r="AN61">
            <v>16954.649999999998</v>
          </cell>
          <cell r="AO61">
            <v>23736.509999999995</v>
          </cell>
          <cell r="AP61">
            <v>-0.37610580740598232</v>
          </cell>
          <cell r="AQ61" t="str">
            <v>024-G-77STGOBAINQUARTZ</v>
          </cell>
          <cell r="AR61" t="str">
            <v>024-L-77STGOBAINQUARTZ</v>
          </cell>
          <cell r="AZ61">
            <v>6548.07</v>
          </cell>
          <cell r="BA61">
            <v>209.84</v>
          </cell>
          <cell r="BB61">
            <v>10196.74</v>
          </cell>
        </row>
        <row r="62">
          <cell r="A62">
            <v>84030</v>
          </cell>
          <cell r="B62" t="str">
            <v>DELATEX SA</v>
          </cell>
          <cell r="E62">
            <v>1.4999999999999999E-2</v>
          </cell>
          <cell r="F62">
            <v>41275</v>
          </cell>
          <cell r="I62">
            <v>0</v>
          </cell>
          <cell r="K62">
            <v>0</v>
          </cell>
          <cell r="L62" t="str">
            <v>OK</v>
          </cell>
          <cell r="M62" t="str">
            <v>OK</v>
          </cell>
          <cell r="O62" t="str">
            <v>Porte Feuille</v>
          </cell>
          <cell r="P62" t="str">
            <v>Non affecté</v>
          </cell>
          <cell r="Q62" t="str">
            <v>FP</v>
          </cell>
          <cell r="R62" t="str">
            <v>Rajouté</v>
          </cell>
          <cell r="S62" t="str">
            <v>MOISSY CRAMAYEL</v>
          </cell>
          <cell r="T62" t="str">
            <v>94</v>
          </cell>
          <cell r="U62" t="str">
            <v>ZAC du Plateau 17, rue des Marronniers</v>
          </cell>
          <cell r="V62">
            <v>94240</v>
          </cell>
          <cell r="W62" t="str">
            <v>L'HAY LES ROSES</v>
          </cell>
          <cell r="X62" t="str">
            <v>Mme</v>
          </cell>
          <cell r="Y62" t="str">
            <v>CHOUCHANA</v>
          </cell>
          <cell r="Z62" t="str">
            <v>94240</v>
          </cell>
          <cell r="AA62" t="str">
            <v>L'HAY LES ROSES</v>
          </cell>
          <cell r="AB62">
            <v>803.27</v>
          </cell>
          <cell r="AC62">
            <v>22723.279999999999</v>
          </cell>
          <cell r="AD62">
            <v>12403.899999999998</v>
          </cell>
          <cell r="AF62">
            <v>35930.449999999997</v>
          </cell>
          <cell r="AG62">
            <v>2253.81</v>
          </cell>
          <cell r="AH62">
            <v>4.6793760831888978E-2</v>
          </cell>
          <cell r="AI62">
            <v>9278.83</v>
          </cell>
          <cell r="AJ62">
            <v>0.57319362381631977</v>
          </cell>
          <cell r="AK62">
            <v>5264.97</v>
          </cell>
          <cell r="AL62">
            <v>0.40928973257755452</v>
          </cell>
          <cell r="AN62">
            <v>16797.609999999997</v>
          </cell>
          <cell r="AO62">
            <v>23516.653999999995</v>
          </cell>
          <cell r="AP62">
            <v>-0.34549514409087567</v>
          </cell>
          <cell r="AQ62" t="str">
            <v>024-G-94DELATEX</v>
          </cell>
          <cell r="AR62" t="str">
            <v>024-L-94DELATEX</v>
          </cell>
          <cell r="AZ62">
            <v>9278.83</v>
          </cell>
          <cell r="BA62">
            <v>5264.97</v>
          </cell>
          <cell r="BB62">
            <v>2287.6171499999996</v>
          </cell>
        </row>
        <row r="63">
          <cell r="A63">
            <v>436209</v>
          </cell>
          <cell r="B63" t="str">
            <v>JM BRUNEAU GMBH</v>
          </cell>
          <cell r="E63">
            <v>1.4999999999999999E-2</v>
          </cell>
          <cell r="F63">
            <v>41275</v>
          </cell>
          <cell r="I63">
            <v>0</v>
          </cell>
          <cell r="K63">
            <v>0</v>
          </cell>
          <cell r="L63" t="str">
            <v>OK</v>
          </cell>
          <cell r="M63" t="str">
            <v>OK</v>
          </cell>
          <cell r="O63" t="str">
            <v>Porte Feuille</v>
          </cell>
          <cell r="P63" t="str">
            <v>Non affecté</v>
          </cell>
          <cell r="Q63" t="str">
            <v>FP</v>
          </cell>
          <cell r="R63" t="str">
            <v>Rajouté</v>
          </cell>
          <cell r="S63" t="str">
            <v>MOISSY CRAMAYEL</v>
          </cell>
          <cell r="T63">
            <v>22</v>
          </cell>
          <cell r="U63" t="str">
            <v xml:space="preserve">ZA de Courtaboeuf 1 - 19 avenue de la Baltique </v>
          </cell>
          <cell r="V63">
            <v>91948</v>
          </cell>
          <cell r="W63" t="str">
            <v>LES ULIS</v>
          </cell>
          <cell r="X63" t="str">
            <v>Mme</v>
          </cell>
          <cell r="Y63" t="str">
            <v>DAL PONT</v>
          </cell>
          <cell r="Z63" t="str">
            <v>22177</v>
          </cell>
          <cell r="AA63" t="str">
            <v>HAMBURG</v>
          </cell>
          <cell r="AB63">
            <v>62312</v>
          </cell>
          <cell r="AF63">
            <v>62312</v>
          </cell>
          <cell r="AG63">
            <v>16000</v>
          </cell>
          <cell r="AH63">
            <v>7.0695030258573266E-2</v>
          </cell>
          <cell r="AN63">
            <v>16000</v>
          </cell>
          <cell r="AO63">
            <v>22400</v>
          </cell>
          <cell r="AP63">
            <v>-0.64051868019001157</v>
          </cell>
          <cell r="AR63" t="str">
            <v>024-L-91JMBRUNEAUALL</v>
          </cell>
          <cell r="AS63">
            <v>38755</v>
          </cell>
          <cell r="AZ63">
            <v>0</v>
          </cell>
          <cell r="BA63">
            <v>0</v>
          </cell>
          <cell r="BB63">
            <v>16239.999999999998</v>
          </cell>
        </row>
        <row r="64">
          <cell r="A64">
            <v>538548</v>
          </cell>
          <cell r="B64" t="str">
            <v>SEEPEX FRANCE</v>
          </cell>
          <cell r="C64">
            <v>3.5000000000000003E-2</v>
          </cell>
          <cell r="D64">
            <v>3.5000000000000003E-2</v>
          </cell>
          <cell r="F64">
            <v>41334</v>
          </cell>
          <cell r="H64" t="str">
            <v>relancer fabienne le 25/02 pour confirmation de hausse</v>
          </cell>
          <cell r="I64">
            <v>0</v>
          </cell>
          <cell r="J64" t="str">
            <v>OUI</v>
          </cell>
          <cell r="L64" t="str">
            <v>OK</v>
          </cell>
          <cell r="M64" t="str">
            <v>OK</v>
          </cell>
          <cell r="O64" t="str">
            <v>Porte Feuille</v>
          </cell>
          <cell r="P64" t="str">
            <v>Non affecté</v>
          </cell>
          <cell r="Q64" t="str">
            <v>FR</v>
          </cell>
          <cell r="R64" t="str">
            <v>Ok mon client</v>
          </cell>
          <cell r="S64" t="str">
            <v>MOISSY CRAMAYEL</v>
          </cell>
          <cell r="T64" t="str">
            <v>77</v>
          </cell>
          <cell r="U64" t="str">
            <v>1 Rue Pelloutier</v>
          </cell>
          <cell r="V64" t="str">
            <v>77183</v>
          </cell>
          <cell r="W64" t="str">
            <v>CROISSY BEAUBOURG</v>
          </cell>
          <cell r="X64" t="str">
            <v>Mme</v>
          </cell>
          <cell r="Y64" t="str">
            <v>GAULT</v>
          </cell>
          <cell r="Z64" t="str">
            <v>77183</v>
          </cell>
          <cell r="AA64" t="str">
            <v>CROISSY BEAUBOURG</v>
          </cell>
          <cell r="AB64">
            <v>7096.08</v>
          </cell>
          <cell r="AC64">
            <v>11353.54</v>
          </cell>
          <cell r="AD64">
            <v>2149.35</v>
          </cell>
          <cell r="AF64">
            <v>20598.97</v>
          </cell>
          <cell r="AG64">
            <v>6090.1900000000005</v>
          </cell>
          <cell r="AH64">
            <v>0.28662466918868024</v>
          </cell>
          <cell r="AI64">
            <v>8493.44</v>
          </cell>
          <cell r="AJ64">
            <v>0.33974479254987738</v>
          </cell>
          <cell r="AK64">
            <v>693.02</v>
          </cell>
          <cell r="AL64">
            <v>0.52300767462193565</v>
          </cell>
          <cell r="AN64">
            <v>15276.650000000001</v>
          </cell>
          <cell r="AO64">
            <v>21387.31</v>
          </cell>
          <cell r="AP64">
            <v>3.8270845581114044E-2</v>
          </cell>
          <cell r="AQ64" t="str">
            <v>024-G-77SEEPEX</v>
          </cell>
          <cell r="AZ64">
            <v>8790.7103999999999</v>
          </cell>
          <cell r="BA64">
            <v>717.27569999999992</v>
          </cell>
          <cell r="BB64">
            <v>6090.1900000000005</v>
          </cell>
        </row>
        <row r="65">
          <cell r="A65">
            <v>531948</v>
          </cell>
          <cell r="B65" t="str">
            <v>MGTI SNEV</v>
          </cell>
          <cell r="C65">
            <v>3.5000000000000003E-2</v>
          </cell>
          <cell r="D65">
            <v>3.5000000000000003E-2</v>
          </cell>
          <cell r="E65">
            <v>0.02</v>
          </cell>
          <cell r="F65">
            <v>41275</v>
          </cell>
          <cell r="I65">
            <v>0</v>
          </cell>
          <cell r="K65">
            <v>0</v>
          </cell>
          <cell r="L65" t="str">
            <v>OK</v>
          </cell>
          <cell r="M65" t="str">
            <v>OK</v>
          </cell>
          <cell r="P65" t="str">
            <v>Non affecté</v>
          </cell>
          <cell r="Q65" t="str">
            <v>FP</v>
          </cell>
          <cell r="R65" t="str">
            <v>Ok mon client</v>
          </cell>
          <cell r="S65" t="str">
            <v>MOISSY CRAMAYEL</v>
          </cell>
          <cell r="T65" t="str">
            <v>94</v>
          </cell>
          <cell r="U65" t="str">
            <v>1 RUE MICHELET</v>
          </cell>
          <cell r="V65" t="str">
            <v>94200</v>
          </cell>
          <cell r="W65" t="str">
            <v>IVRY SUR SEINE</v>
          </cell>
          <cell r="X65" t="str">
            <v>M.</v>
          </cell>
          <cell r="Y65" t="str">
            <v>JASSLIN</v>
          </cell>
          <cell r="Z65" t="str">
            <v>94200</v>
          </cell>
          <cell r="AA65" t="str">
            <v>IVRY SUR SEINE</v>
          </cell>
          <cell r="AD65">
            <v>10777.72</v>
          </cell>
          <cell r="AF65">
            <v>10777.72</v>
          </cell>
          <cell r="AG65">
            <v>530</v>
          </cell>
          <cell r="AH65">
            <v>0.15094339622641509</v>
          </cell>
          <cell r="AK65">
            <v>14415.130000000001</v>
          </cell>
          <cell r="AL65">
            <v>0.63418740578848964</v>
          </cell>
          <cell r="AN65">
            <v>14945.130000000001</v>
          </cell>
          <cell r="AO65">
            <v>20923.182000000001</v>
          </cell>
          <cell r="AP65">
            <v>0.94133657211358268</v>
          </cell>
          <cell r="AQ65" t="str">
            <v>024-G-94MGTI</v>
          </cell>
          <cell r="AR65" t="str">
            <v>024-L-94MGTI</v>
          </cell>
          <cell r="AS65">
            <v>38905</v>
          </cell>
          <cell r="AZ65">
            <v>0</v>
          </cell>
          <cell r="BA65">
            <v>14919.65955</v>
          </cell>
          <cell r="BB65">
            <v>540.6</v>
          </cell>
        </row>
        <row r="66">
          <cell r="A66">
            <v>849679</v>
          </cell>
          <cell r="B66" t="str">
            <v>HOME PRATIK</v>
          </cell>
          <cell r="E66">
            <v>2.5000000000000001E-2</v>
          </cell>
          <cell r="F66">
            <v>41275</v>
          </cell>
          <cell r="I66">
            <v>0</v>
          </cell>
          <cell r="K66">
            <v>0</v>
          </cell>
          <cell r="L66" t="str">
            <v>OK</v>
          </cell>
          <cell r="M66" t="str">
            <v>OK</v>
          </cell>
          <cell r="P66" t="str">
            <v>Non affecté</v>
          </cell>
          <cell r="Q66" t="str">
            <v>FR</v>
          </cell>
          <cell r="R66" t="str">
            <v>Ok mon client</v>
          </cell>
          <cell r="S66" t="str">
            <v>MOISSY CRAMAYEL</v>
          </cell>
          <cell r="T66" t="str">
            <v>77</v>
          </cell>
          <cell r="U66" t="str">
            <v>ZI DU SAUVOY</v>
          </cell>
          <cell r="V66">
            <v>77165</v>
          </cell>
          <cell r="W66" t="str">
            <v>SAINT SOUPPLETS</v>
          </cell>
          <cell r="X66" t="str">
            <v>M.</v>
          </cell>
          <cell r="Y66" t="str">
            <v>FAUVEAU</v>
          </cell>
          <cell r="Z66" t="str">
            <v>77165</v>
          </cell>
          <cell r="AA66" t="str">
            <v>SAINT SOUPPLETS</v>
          </cell>
          <cell r="AB66">
            <v>6237.74</v>
          </cell>
          <cell r="AF66">
            <v>6237.74</v>
          </cell>
          <cell r="AG66">
            <v>14522.72</v>
          </cell>
          <cell r="AH66">
            <v>0.45624743517864091</v>
          </cell>
          <cell r="AN66">
            <v>14522.72</v>
          </cell>
          <cell r="AO66">
            <v>20331.807999999997</v>
          </cell>
          <cell r="AP66">
            <v>2.2594830820136775</v>
          </cell>
          <cell r="AS66">
            <v>40737</v>
          </cell>
          <cell r="AZ66">
            <v>0</v>
          </cell>
          <cell r="BA66">
            <v>0</v>
          </cell>
          <cell r="BB66">
            <v>14885.787999999999</v>
          </cell>
        </row>
        <row r="67">
          <cell r="A67">
            <v>529991</v>
          </cell>
          <cell r="B67" t="str">
            <v>TILWEL</v>
          </cell>
          <cell r="H67" t="str">
            <v>PAS DE HAUSSE / DEVEL AFFRETEMENT 30K€</v>
          </cell>
          <cell r="I67">
            <v>0</v>
          </cell>
          <cell r="K67">
            <v>0</v>
          </cell>
          <cell r="M67" t="str">
            <v>NON</v>
          </cell>
          <cell r="O67" t="str">
            <v>Porte Feuille</v>
          </cell>
          <cell r="P67" t="str">
            <v>Non affecté</v>
          </cell>
          <cell r="Q67" t="str">
            <v>FR</v>
          </cell>
          <cell r="R67" t="str">
            <v>Ok mon client</v>
          </cell>
          <cell r="S67" t="str">
            <v>MOISSY CRAMAYEL</v>
          </cell>
          <cell r="T67" t="str">
            <v>77</v>
          </cell>
          <cell r="U67" t="str">
            <v>ZA du Tuboeuf</v>
          </cell>
          <cell r="V67" t="str">
            <v>77251</v>
          </cell>
          <cell r="W67" t="str">
            <v>BRIE COMTE ROBERT CEDEX</v>
          </cell>
          <cell r="X67" t="str">
            <v>Mme</v>
          </cell>
          <cell r="Y67" t="str">
            <v>TILLOCHER</v>
          </cell>
          <cell r="Z67" t="str">
            <v>77251</v>
          </cell>
          <cell r="AA67" t="str">
            <v>BRIE COMTE ROBERT CEDEX</v>
          </cell>
          <cell r="AB67">
            <v>188.44000000000005</v>
          </cell>
          <cell r="AC67">
            <v>18605.760000000002</v>
          </cell>
          <cell r="AD67">
            <v>7212.5199999999995</v>
          </cell>
          <cell r="AF67">
            <v>26006.720000000001</v>
          </cell>
          <cell r="AG67">
            <v>402</v>
          </cell>
          <cell r="AH67">
            <v>0.15422885572139303</v>
          </cell>
          <cell r="AI67">
            <v>12344.99</v>
          </cell>
          <cell r="AJ67">
            <v>0.68283279771711736</v>
          </cell>
          <cell r="AK67">
            <v>1654.21</v>
          </cell>
          <cell r="AL67">
            <v>0.71754092397235358</v>
          </cell>
          <cell r="AN67">
            <v>14401.2</v>
          </cell>
          <cell r="AO67">
            <v>20161.68</v>
          </cell>
          <cell r="AP67">
            <v>-0.22475114124349405</v>
          </cell>
          <cell r="AQ67" t="str">
            <v>024-G-77TILWEL</v>
          </cell>
          <cell r="AZ67">
            <v>12344.99</v>
          </cell>
          <cell r="BA67">
            <v>1654.21</v>
          </cell>
          <cell r="BB67">
            <v>402</v>
          </cell>
        </row>
        <row r="68">
          <cell r="A68">
            <v>832391</v>
          </cell>
          <cell r="B68" t="str">
            <v>STLB PHM GROUP</v>
          </cell>
          <cell r="H68" t="str">
            <v>pas client moissy</v>
          </cell>
          <cell r="I68">
            <v>0</v>
          </cell>
          <cell r="K68">
            <v>0</v>
          </cell>
          <cell r="M68" t="str">
            <v>NON</v>
          </cell>
          <cell r="P68" t="str">
            <v>Non affecté</v>
          </cell>
          <cell r="Q68" t="str">
            <v>SM</v>
          </cell>
          <cell r="R68" t="str">
            <v>Ok mon client</v>
          </cell>
          <cell r="S68" t="str">
            <v>MOISSY CRAMAYEL</v>
          </cell>
          <cell r="T68" t="str">
            <v>41</v>
          </cell>
          <cell r="Z68" t="str">
            <v>41700</v>
          </cell>
          <cell r="AA68" t="str">
            <v>CONTRES</v>
          </cell>
          <cell r="AC68">
            <v>16831.89</v>
          </cell>
          <cell r="AD68">
            <v>6895.2499999999991</v>
          </cell>
          <cell r="AF68">
            <v>23727.14</v>
          </cell>
          <cell r="AI68">
            <v>9507.68</v>
          </cell>
          <cell r="AJ68">
            <v>-8.6501044810771643E-2</v>
          </cell>
          <cell r="AK68">
            <v>4631.1399999999994</v>
          </cell>
          <cell r="AN68">
            <v>14138.82</v>
          </cell>
          <cell r="AO68">
            <v>19794.347999999998</v>
          </cell>
          <cell r="AP68">
            <v>-0.16575078159441048</v>
          </cell>
          <cell r="AZ68">
            <v>9507.68</v>
          </cell>
          <cell r="BA68">
            <v>4631.1399999999994</v>
          </cell>
          <cell r="BB68">
            <v>0</v>
          </cell>
        </row>
        <row r="69">
          <cell r="A69">
            <v>508913</v>
          </cell>
          <cell r="B69" t="str">
            <v>LE GUIPAGE MODERNE</v>
          </cell>
          <cell r="H69" t="str">
            <v>attention pas de hausse en mess inter roumanie suite mail du 26/11/2012 // DATE ANNIVERSAIRE 15/03</v>
          </cell>
          <cell r="I69">
            <v>0</v>
          </cell>
          <cell r="K69">
            <v>0</v>
          </cell>
          <cell r="P69" t="str">
            <v>Non affecté</v>
          </cell>
          <cell r="Q69" t="str">
            <v>FP</v>
          </cell>
          <cell r="R69" t="str">
            <v>Ok mon client</v>
          </cell>
          <cell r="S69" t="str">
            <v>MOISSY CRAMAYEL</v>
          </cell>
          <cell r="T69" t="str">
            <v>94</v>
          </cell>
          <cell r="U69" t="str">
            <v>5 RUE DE BICETRE</v>
          </cell>
          <cell r="V69">
            <v>94247</v>
          </cell>
          <cell r="W69" t="str">
            <v>L' HAY LES ROSES</v>
          </cell>
          <cell r="Z69" t="str">
            <v>94247</v>
          </cell>
          <cell r="AA69" t="str">
            <v>L' HAY LES ROSES</v>
          </cell>
          <cell r="AG69">
            <v>2116.91</v>
          </cell>
          <cell r="AH69">
            <v>-0.10098604032794162</v>
          </cell>
          <cell r="AI69">
            <v>7814.52</v>
          </cell>
          <cell r="AJ69">
            <v>-9.6326945847733644E-2</v>
          </cell>
          <cell r="AK69">
            <v>3468.88</v>
          </cell>
          <cell r="AL69">
            <v>4.6737962824469501E-2</v>
          </cell>
          <cell r="AN69">
            <v>13400.310000000001</v>
          </cell>
          <cell r="AO69">
            <v>18760.434000000001</v>
          </cell>
          <cell r="AQ69" t="str">
            <v>024-G-94GUIPAGEMODERNE</v>
          </cell>
          <cell r="AR69" t="str">
            <v>024-L-94GUIPAGEMODERNE</v>
          </cell>
          <cell r="AZ69">
            <v>7814.52</v>
          </cell>
          <cell r="BA69">
            <v>3468.88</v>
          </cell>
          <cell r="BB69">
            <v>2116.91</v>
          </cell>
        </row>
        <row r="70">
          <cell r="A70">
            <v>482047</v>
          </cell>
          <cell r="B70" t="str">
            <v>GREEN TECH INDUSTRIES</v>
          </cell>
          <cell r="C70">
            <v>0.03</v>
          </cell>
          <cell r="F70">
            <v>41289</v>
          </cell>
          <cell r="I70">
            <v>0</v>
          </cell>
          <cell r="K70">
            <v>0</v>
          </cell>
          <cell r="L70" t="str">
            <v>OK</v>
          </cell>
          <cell r="M70" t="str">
            <v>OK</v>
          </cell>
          <cell r="O70" t="str">
            <v>Porte Feuille</v>
          </cell>
          <cell r="P70" t="str">
            <v>DCM</v>
          </cell>
          <cell r="Q70" t="str">
            <v>FR</v>
          </cell>
          <cell r="R70" t="str">
            <v>Ok mon client</v>
          </cell>
          <cell r="S70" t="str">
            <v>MOISSY CRAMAYEL</v>
          </cell>
          <cell r="T70" t="str">
            <v>77</v>
          </cell>
          <cell r="U70" t="str">
            <v xml:space="preserve">254 RUE FOCHE - ZI </v>
          </cell>
          <cell r="V70" t="str">
            <v>77000</v>
          </cell>
          <cell r="W70" t="str">
            <v>VAUX LE PENIL</v>
          </cell>
          <cell r="X70" t="str">
            <v>M.</v>
          </cell>
          <cell r="Y70" t="str">
            <v>MICHAUD</v>
          </cell>
          <cell r="Z70" t="str">
            <v>77000</v>
          </cell>
          <cell r="AA70" t="str">
            <v>VAUX LE PENIL</v>
          </cell>
          <cell r="AC70">
            <v>32499.690000000002</v>
          </cell>
          <cell r="AD70">
            <v>78.73</v>
          </cell>
          <cell r="AF70">
            <v>32578.420000000002</v>
          </cell>
          <cell r="AI70">
            <v>12998.439999999999</v>
          </cell>
          <cell r="AJ70">
            <v>0.4587172959393126</v>
          </cell>
          <cell r="AK70">
            <v>144.86000000000001</v>
          </cell>
          <cell r="AL70">
            <v>0.6867968909797505</v>
          </cell>
          <cell r="AN70">
            <v>13143.3</v>
          </cell>
          <cell r="AO70">
            <v>18400.62</v>
          </cell>
          <cell r="AP70">
            <v>-0.43518992019870828</v>
          </cell>
          <cell r="AQ70" t="str">
            <v>024-G-77GREENTECH</v>
          </cell>
          <cell r="AZ70">
            <v>13388.393199999999</v>
          </cell>
          <cell r="BA70">
            <v>144.86000000000001</v>
          </cell>
          <cell r="BB70">
            <v>0</v>
          </cell>
        </row>
        <row r="71">
          <cell r="A71">
            <v>564431</v>
          </cell>
          <cell r="B71" t="str">
            <v>OSIATIS FRANCE</v>
          </cell>
          <cell r="C71">
            <v>3.5000000000000003E-2</v>
          </cell>
          <cell r="D71">
            <v>3.5000000000000003E-2</v>
          </cell>
          <cell r="E71">
            <v>0.02</v>
          </cell>
          <cell r="F71">
            <v>41275</v>
          </cell>
          <cell r="I71">
            <v>0</v>
          </cell>
          <cell r="K71">
            <v>0</v>
          </cell>
          <cell r="L71" t="str">
            <v>OK</v>
          </cell>
          <cell r="M71" t="str">
            <v>OK</v>
          </cell>
          <cell r="O71" t="str">
            <v>Porte Feuille</v>
          </cell>
          <cell r="P71" t="str">
            <v>Non affecté</v>
          </cell>
          <cell r="Q71" t="str">
            <v>FP</v>
          </cell>
          <cell r="R71" t="str">
            <v>Rajouté</v>
          </cell>
          <cell r="S71" t="str">
            <v>MOISSY CRAMAYEL</v>
          </cell>
          <cell r="T71" t="str">
            <v>78</v>
          </cell>
          <cell r="U71" t="str">
            <v>1 rue du Petit Clamart</v>
          </cell>
          <cell r="V71" t="str">
            <v>78140</v>
          </cell>
          <cell r="W71" t="str">
            <v>VELIZY</v>
          </cell>
          <cell r="X71" t="str">
            <v>M.</v>
          </cell>
          <cell r="Y71" t="str">
            <v>DESBUISSONS</v>
          </cell>
          <cell r="Z71" t="str">
            <v>78140</v>
          </cell>
          <cell r="AA71" t="str">
            <v>VELIZY</v>
          </cell>
          <cell r="AC71">
            <v>23352.799999999996</v>
          </cell>
          <cell r="AD71">
            <v>413.2</v>
          </cell>
          <cell r="AF71">
            <v>23765.999999999996</v>
          </cell>
          <cell r="AI71">
            <v>12197.419999999998</v>
          </cell>
          <cell r="AJ71">
            <v>0.41462748805308419</v>
          </cell>
          <cell r="AN71">
            <v>12197.419999999998</v>
          </cell>
          <cell r="AO71">
            <v>17076.387999999995</v>
          </cell>
          <cell r="AP71">
            <v>-0.2814782462341161</v>
          </cell>
          <cell r="AQ71" t="str">
            <v>024-G-76OSIATIS</v>
          </cell>
          <cell r="AR71" t="str">
            <v>024-L-91OSIATIS</v>
          </cell>
          <cell r="AS71">
            <v>39444</v>
          </cell>
          <cell r="AZ71">
            <v>12624.329699999997</v>
          </cell>
          <cell r="BA71">
            <v>0</v>
          </cell>
          <cell r="BB71">
            <v>0</v>
          </cell>
        </row>
        <row r="72">
          <cell r="A72">
            <v>626392</v>
          </cell>
          <cell r="B72" t="str">
            <v>SARYA PARIS INSTITUT DU KARITE</v>
          </cell>
          <cell r="C72">
            <v>3.5000000000000003E-2</v>
          </cell>
          <cell r="D72">
            <v>3.5000000000000003E-2</v>
          </cell>
          <cell r="E72">
            <v>0.02</v>
          </cell>
          <cell r="F72">
            <v>41275</v>
          </cell>
          <cell r="I72">
            <v>0</v>
          </cell>
          <cell r="K72">
            <v>0</v>
          </cell>
          <cell r="L72" t="str">
            <v>OK</v>
          </cell>
          <cell r="M72" t="str">
            <v>OK</v>
          </cell>
          <cell r="O72" t="str">
            <v>Porte Feuille</v>
          </cell>
          <cell r="P72" t="str">
            <v>Non affecté</v>
          </cell>
          <cell r="Q72" t="str">
            <v>FP</v>
          </cell>
          <cell r="R72" t="str">
            <v>Rajouté</v>
          </cell>
          <cell r="S72" t="str">
            <v>MOISSY CRAMAYEL</v>
          </cell>
          <cell r="T72" t="str">
            <v>75</v>
          </cell>
          <cell r="U72" t="str">
            <v>10 RUE CHRISTOPHE COLOMB - ENTREE DU BATIMENT POUR LE TUNNEL</v>
          </cell>
          <cell r="V72">
            <v>94370</v>
          </cell>
          <cell r="W72" t="str">
            <v xml:space="preserve">SUCY EN BRIE </v>
          </cell>
          <cell r="Y72" t="str">
            <v>Directeur Logistique et Transports</v>
          </cell>
          <cell r="Z72" t="str">
            <v>75008</v>
          </cell>
          <cell r="AA72" t="str">
            <v>PARIS</v>
          </cell>
          <cell r="AB72">
            <v>13122.46</v>
          </cell>
          <cell r="AC72">
            <v>5378.52</v>
          </cell>
          <cell r="AD72">
            <v>742.32999999999993</v>
          </cell>
          <cell r="AF72">
            <v>19243.309999999998</v>
          </cell>
          <cell r="AG72">
            <v>8297.85</v>
          </cell>
          <cell r="AH72">
            <v>0.49624576826507844</v>
          </cell>
          <cell r="AI72">
            <v>3338.37</v>
          </cell>
          <cell r="AJ72">
            <v>0.45276790671848977</v>
          </cell>
          <cell r="AK72">
            <v>315.66999999999996</v>
          </cell>
          <cell r="AL72">
            <v>0.61624481262077491</v>
          </cell>
          <cell r="AN72">
            <v>11951.890000000001</v>
          </cell>
          <cell r="AO72">
            <v>16732.646000000001</v>
          </cell>
          <cell r="AP72">
            <v>-0.13046944626470169</v>
          </cell>
          <cell r="AQ72" t="str">
            <v>024-G-94SARYA</v>
          </cell>
          <cell r="AZ72">
            <v>3455.2129499999996</v>
          </cell>
          <cell r="BA72">
            <v>326.7184499999999</v>
          </cell>
          <cell r="BB72">
            <v>8463.8070000000007</v>
          </cell>
        </row>
        <row r="73">
          <cell r="A73">
            <v>25035</v>
          </cell>
          <cell r="B73" t="str">
            <v>PELLORCE ET JULLIEN</v>
          </cell>
          <cell r="E73">
            <v>1.4999999999999999E-2</v>
          </cell>
          <cell r="F73">
            <v>41275</v>
          </cell>
          <cell r="I73">
            <v>0</v>
          </cell>
          <cell r="K73">
            <v>0</v>
          </cell>
          <cell r="L73" t="str">
            <v>OK</v>
          </cell>
          <cell r="M73" t="str">
            <v>OK</v>
          </cell>
          <cell r="O73" t="str">
            <v>Porte Feuille</v>
          </cell>
          <cell r="P73" t="str">
            <v>Non affecté</v>
          </cell>
          <cell r="Q73" t="str">
            <v>FP</v>
          </cell>
          <cell r="R73" t="str">
            <v>Rajouté</v>
          </cell>
          <cell r="S73" t="str">
            <v>MOISSY CRAMAYEL</v>
          </cell>
          <cell r="T73" t="str">
            <v>91</v>
          </cell>
          <cell r="U73" t="str">
            <v>61 ROUTE DE LA BONDE</v>
          </cell>
          <cell r="V73" t="str">
            <v>91300</v>
          </cell>
          <cell r="W73" t="str">
            <v>MASSY</v>
          </cell>
          <cell r="X73" t="str">
            <v>Mme</v>
          </cell>
          <cell r="Y73" t="str">
            <v>SANDRA</v>
          </cell>
          <cell r="Z73" t="str">
            <v>91300</v>
          </cell>
          <cell r="AA73" t="str">
            <v>MASSY</v>
          </cell>
          <cell r="AB73">
            <v>16214.9</v>
          </cell>
          <cell r="AF73">
            <v>16214.9</v>
          </cell>
          <cell r="AG73">
            <v>11692.63</v>
          </cell>
          <cell r="AH73">
            <v>0.2733896582972532</v>
          </cell>
          <cell r="AN73">
            <v>11692.63</v>
          </cell>
          <cell r="AO73">
            <v>16369.681999999997</v>
          </cell>
          <cell r="AP73">
            <v>9.5456647897920188E-3</v>
          </cell>
          <cell r="AQ73" t="str">
            <v>024-G-91PELLORCE</v>
          </cell>
          <cell r="AR73" t="str">
            <v>024-L-GENERAL-KG</v>
          </cell>
          <cell r="AZ73">
            <v>0</v>
          </cell>
          <cell r="BA73">
            <v>0</v>
          </cell>
          <cell r="BB73">
            <v>11868.019449999998</v>
          </cell>
        </row>
        <row r="74">
          <cell r="A74">
            <v>565330</v>
          </cell>
          <cell r="B74" t="str">
            <v>ABRALIS</v>
          </cell>
          <cell r="C74">
            <v>0.02</v>
          </cell>
          <cell r="F74">
            <v>41306</v>
          </cell>
          <cell r="I74">
            <v>0</v>
          </cell>
          <cell r="K74">
            <v>0</v>
          </cell>
          <cell r="L74" t="str">
            <v>OK</v>
          </cell>
          <cell r="M74" t="str">
            <v>OK</v>
          </cell>
          <cell r="P74" t="str">
            <v>Non affecté</v>
          </cell>
          <cell r="Q74" t="str">
            <v>FR</v>
          </cell>
          <cell r="R74" t="str">
            <v>Ok mon client</v>
          </cell>
          <cell r="S74" t="str">
            <v>MOISSY CRAMAYEL</v>
          </cell>
          <cell r="T74" t="str">
            <v>77</v>
          </cell>
          <cell r="U74" t="str">
            <v>15 RUE ELSA TRIOLET</v>
          </cell>
          <cell r="V74">
            <v>77176</v>
          </cell>
          <cell r="W74" t="str">
            <v>SAVIGNY LE TEMPLE</v>
          </cell>
          <cell r="X74" t="str">
            <v>M.</v>
          </cell>
          <cell r="Y74" t="str">
            <v>Roussange Noel</v>
          </cell>
          <cell r="Z74" t="str">
            <v>77176</v>
          </cell>
          <cell r="AA74" t="str">
            <v>SAVIGNY LE TEMPLE</v>
          </cell>
          <cell r="AC74">
            <v>10381.039999999999</v>
          </cell>
          <cell r="AF74">
            <v>10381.039999999999</v>
          </cell>
          <cell r="AI74">
            <v>11131.46</v>
          </cell>
          <cell r="AJ74">
            <v>0.34144603139330409</v>
          </cell>
          <cell r="AK74">
            <v>231.37</v>
          </cell>
          <cell r="AN74">
            <v>11362.83</v>
          </cell>
          <cell r="AO74">
            <v>15907.962</v>
          </cell>
          <cell r="AP74">
            <v>0.53240542373403832</v>
          </cell>
          <cell r="AQ74" t="str">
            <v>024-G-77ABRALIS</v>
          </cell>
          <cell r="AS74">
            <v>40660</v>
          </cell>
          <cell r="AZ74">
            <v>11354.089199999999</v>
          </cell>
          <cell r="BA74">
            <v>231.37</v>
          </cell>
          <cell r="BB74">
            <v>0</v>
          </cell>
        </row>
        <row r="75">
          <cell r="A75">
            <v>49338</v>
          </cell>
          <cell r="B75" t="str">
            <v>ENERIA</v>
          </cell>
          <cell r="E75">
            <v>0.02</v>
          </cell>
          <cell r="F75">
            <v>41275</v>
          </cell>
          <cell r="I75">
            <v>0</v>
          </cell>
          <cell r="K75">
            <v>0</v>
          </cell>
          <cell r="L75" t="str">
            <v>OK</v>
          </cell>
          <cell r="M75" t="str">
            <v>OK</v>
          </cell>
          <cell r="O75" t="str">
            <v>Porte Feuille</v>
          </cell>
          <cell r="P75" t="str">
            <v>Non affecté</v>
          </cell>
          <cell r="Q75" t="str">
            <v>FP</v>
          </cell>
          <cell r="R75" t="str">
            <v>Rajouté</v>
          </cell>
          <cell r="S75" t="str">
            <v>MOISSY CRAMAYEL</v>
          </cell>
          <cell r="T75" t="str">
            <v>91</v>
          </cell>
          <cell r="U75" t="str">
            <v>RUE DE LONGPONT</v>
          </cell>
          <cell r="V75">
            <v>91311</v>
          </cell>
          <cell r="W75" t="str">
            <v>MONTLHERY CEDEX</v>
          </cell>
          <cell r="X75" t="str">
            <v xml:space="preserve">Mme </v>
          </cell>
          <cell r="Y75" t="str">
            <v>NGUYEN</v>
          </cell>
          <cell r="Z75" t="str">
            <v>91311</v>
          </cell>
          <cell r="AA75" t="str">
            <v>MONTLHERY CEDEX</v>
          </cell>
          <cell r="AB75">
            <v>17165.3</v>
          </cell>
          <cell r="AF75">
            <v>17165.3</v>
          </cell>
          <cell r="AG75">
            <v>10946.490000000002</v>
          </cell>
          <cell r="AH75">
            <v>0.13913875598086134</v>
          </cell>
          <cell r="AN75">
            <v>10946.490000000002</v>
          </cell>
          <cell r="AO75">
            <v>15325.086000000001</v>
          </cell>
          <cell r="AP75">
            <v>-0.10720546684299126</v>
          </cell>
          <cell r="AQ75" t="str">
            <v>024-G-GENERAL-KG</v>
          </cell>
          <cell r="AR75" t="str">
            <v>024-L-91ENERIA%</v>
          </cell>
          <cell r="AS75">
            <v>40613</v>
          </cell>
          <cell r="AZ75">
            <v>0</v>
          </cell>
          <cell r="BA75">
            <v>0</v>
          </cell>
          <cell r="BB75">
            <v>11165.419800000001</v>
          </cell>
        </row>
        <row r="76">
          <cell r="A76">
            <v>567186</v>
          </cell>
          <cell r="B76" t="str">
            <v>AERECO</v>
          </cell>
          <cell r="H76" t="str">
            <v>PERDU</v>
          </cell>
          <cell r="I76">
            <v>0</v>
          </cell>
          <cell r="K76">
            <v>0</v>
          </cell>
          <cell r="M76" t="str">
            <v>NON</v>
          </cell>
          <cell r="O76" t="str">
            <v>Porte Feuille</v>
          </cell>
          <cell r="P76" t="str">
            <v>Non affecté</v>
          </cell>
          <cell r="Q76" t="str">
            <v>FR</v>
          </cell>
          <cell r="R76" t="str">
            <v>Ok mon client</v>
          </cell>
          <cell r="S76" t="str">
            <v>MOISSY CRAMAYEL</v>
          </cell>
          <cell r="T76" t="str">
            <v>77</v>
          </cell>
          <cell r="U76" t="str">
            <v>9 Allée du Clos des Charmes</v>
          </cell>
          <cell r="V76" t="str">
            <v>77615</v>
          </cell>
          <cell r="W76" t="str">
            <v>MARNE LA VALLEE</v>
          </cell>
          <cell r="X76" t="str">
            <v>M.</v>
          </cell>
          <cell r="Y76" t="str">
            <v>VEILLARD</v>
          </cell>
          <cell r="Z76" t="str">
            <v>77615</v>
          </cell>
          <cell r="AA76" t="str">
            <v>MARNE LA VALLEE</v>
          </cell>
          <cell r="AB76">
            <v>12023.999999999998</v>
          </cell>
          <cell r="AC76">
            <v>10316.41</v>
          </cell>
          <cell r="AF76">
            <v>22340.409999999996</v>
          </cell>
          <cell r="AG76">
            <v>555.23</v>
          </cell>
          <cell r="AH76">
            <v>0.24355672424040489</v>
          </cell>
          <cell r="AI76">
            <v>10175.43</v>
          </cell>
          <cell r="AJ76">
            <v>0.81399130049257651</v>
          </cell>
          <cell r="AN76">
            <v>10730.66</v>
          </cell>
          <cell r="AO76">
            <v>15022.923999999999</v>
          </cell>
          <cell r="AP76">
            <v>-0.32754483915022148</v>
          </cell>
          <cell r="AQ76" t="str">
            <v>024-G-77AERECO</v>
          </cell>
          <cell r="AR76" t="str">
            <v>024-L1-77AERECO</v>
          </cell>
          <cell r="AZ76">
            <v>10175.43</v>
          </cell>
          <cell r="BA76">
            <v>0</v>
          </cell>
          <cell r="BB76">
            <v>555.23</v>
          </cell>
        </row>
        <row r="77">
          <cell r="A77">
            <v>629323</v>
          </cell>
          <cell r="B77" t="str">
            <v>PLASTIQUE FORME INTERNATIONAL</v>
          </cell>
          <cell r="C77">
            <v>0.1</v>
          </cell>
          <cell r="D77">
            <v>0.1</v>
          </cell>
          <cell r="E77">
            <v>0.02</v>
          </cell>
          <cell r="F77">
            <v>41275</v>
          </cell>
          <cell r="H77">
            <v>0.75</v>
          </cell>
          <cell r="I77">
            <v>0</v>
          </cell>
          <cell r="K77">
            <v>0</v>
          </cell>
          <cell r="L77" t="str">
            <v>OK</v>
          </cell>
          <cell r="M77" t="str">
            <v>OK</v>
          </cell>
          <cell r="P77" t="str">
            <v>Non affecté</v>
          </cell>
          <cell r="Q77" t="str">
            <v>FR</v>
          </cell>
          <cell r="R77" t="str">
            <v>Ok mon client</v>
          </cell>
          <cell r="S77" t="str">
            <v>MOISSY CRAMAYEL</v>
          </cell>
          <cell r="T77">
            <v>77</v>
          </cell>
          <cell r="U77" t="str">
            <v>8 RUE DES CAMPANULES</v>
          </cell>
          <cell r="V77" t="str">
            <v>77185</v>
          </cell>
          <cell r="W77" t="str">
            <v>LOGNES</v>
          </cell>
          <cell r="Z77" t="str">
            <v>77185</v>
          </cell>
          <cell r="AA77" t="str">
            <v>LOGNES</v>
          </cell>
          <cell r="AC77">
            <v>2858.1200000000003</v>
          </cell>
          <cell r="AD77">
            <v>6748.06</v>
          </cell>
          <cell r="AF77">
            <v>9606.18</v>
          </cell>
          <cell r="AG77">
            <v>838.56</v>
          </cell>
          <cell r="AH77">
            <v>0.16523564205304325</v>
          </cell>
          <cell r="AI77">
            <v>2280.1400000000003</v>
          </cell>
          <cell r="AJ77">
            <v>0.83696919233971689</v>
          </cell>
          <cell r="AK77">
            <v>7531.14</v>
          </cell>
          <cell r="AL77">
            <v>1.675306641981023</v>
          </cell>
          <cell r="AN77">
            <v>10649.84</v>
          </cell>
          <cell r="AO77">
            <v>14909.776</v>
          </cell>
          <cell r="AP77">
            <v>0.55210250068185274</v>
          </cell>
          <cell r="AQ77" t="str">
            <v>001-G-94PLASTIQUEFORMEI</v>
          </cell>
          <cell r="AR77" t="str">
            <v>001-L-GENERAL-KG</v>
          </cell>
          <cell r="AZ77">
            <v>2508.1540000000005</v>
          </cell>
          <cell r="BA77">
            <v>8284.2540000000008</v>
          </cell>
          <cell r="BB77">
            <v>855.33119999999997</v>
          </cell>
        </row>
        <row r="78">
          <cell r="A78">
            <v>445522</v>
          </cell>
          <cell r="B78" t="str">
            <v>LISEGA</v>
          </cell>
          <cell r="H78" t="str">
            <v>nouveaux tarifs faient en novembre pour developpement</v>
          </cell>
          <cell r="I78">
            <v>0</v>
          </cell>
          <cell r="K78">
            <v>0</v>
          </cell>
          <cell r="M78" t="str">
            <v>NON</v>
          </cell>
          <cell r="P78" t="str">
            <v>Non affecté</v>
          </cell>
          <cell r="Q78" t="str">
            <v>FP</v>
          </cell>
          <cell r="R78" t="str">
            <v>Ok mon client</v>
          </cell>
          <cell r="S78" t="str">
            <v>MOISSY CRAMAYEL</v>
          </cell>
          <cell r="T78" t="str">
            <v>91</v>
          </cell>
          <cell r="U78" t="str">
            <v>21 RUE DE GUTEMBERG</v>
          </cell>
          <cell r="V78" t="str">
            <v>91919</v>
          </cell>
          <cell r="W78" t="str">
            <v>BONDOUFLE</v>
          </cell>
          <cell r="X78" t="str">
            <v>Mme</v>
          </cell>
          <cell r="Y78" t="str">
            <v>BOURILLON</v>
          </cell>
          <cell r="Z78" t="str">
            <v>91919</v>
          </cell>
          <cell r="AA78" t="str">
            <v>BONDOUFLE</v>
          </cell>
          <cell r="AB78">
            <v>12162.56</v>
          </cell>
          <cell r="AD78">
            <v>1063.4100000000001</v>
          </cell>
          <cell r="AF78">
            <v>13225.97</v>
          </cell>
          <cell r="AG78">
            <v>9217.3499999999985</v>
          </cell>
          <cell r="AH78">
            <v>0.18014960481207826</v>
          </cell>
          <cell r="AK78">
            <v>1380.13</v>
          </cell>
          <cell r="AL78">
            <v>0.8100468796417728</v>
          </cell>
          <cell r="AN78">
            <v>10597.48</v>
          </cell>
          <cell r="AO78">
            <v>14836.471999999998</v>
          </cell>
          <cell r="AP78">
            <v>0.12176815764741633</v>
          </cell>
          <cell r="AQ78" t="str">
            <v>024-G-91LISEGA</v>
          </cell>
          <cell r="AR78" t="str">
            <v>024-L-91LIESGA</v>
          </cell>
          <cell r="AZ78">
            <v>0</v>
          </cell>
          <cell r="BA78">
            <v>1380.13</v>
          </cell>
          <cell r="BB78">
            <v>9217.3499999999985</v>
          </cell>
        </row>
        <row r="79">
          <cell r="A79">
            <v>556518</v>
          </cell>
          <cell r="B79" t="str">
            <v>VISO</v>
          </cell>
          <cell r="C79">
            <v>0.1</v>
          </cell>
          <cell r="D79">
            <v>0.1</v>
          </cell>
          <cell r="E79">
            <v>0.02</v>
          </cell>
          <cell r="F79">
            <v>41275</v>
          </cell>
          <cell r="H79" t="str">
            <v>TS+75 / 35%</v>
          </cell>
          <cell r="I79">
            <v>0</v>
          </cell>
          <cell r="K79">
            <v>0</v>
          </cell>
          <cell r="L79" t="str">
            <v>OK</v>
          </cell>
          <cell r="M79" t="str">
            <v>OK</v>
          </cell>
          <cell r="P79" t="str">
            <v>Non affecté</v>
          </cell>
          <cell r="Q79" t="str">
            <v>FP</v>
          </cell>
          <cell r="R79" t="str">
            <v>Ok mon client</v>
          </cell>
          <cell r="S79" t="str">
            <v>MOISSY CRAMAYEL</v>
          </cell>
          <cell r="T79" t="str">
            <v>91</v>
          </cell>
          <cell r="U79" t="str">
            <v>3/5 RUE DES GARDES</v>
          </cell>
          <cell r="V79" t="str">
            <v>91370</v>
          </cell>
          <cell r="W79" t="str">
            <v>VERRIERE LE BUISSON</v>
          </cell>
          <cell r="X79" t="str">
            <v xml:space="preserve">Mme </v>
          </cell>
          <cell r="Y79" t="str">
            <v>FRANCOIS</v>
          </cell>
          <cell r="Z79" t="str">
            <v>91370</v>
          </cell>
          <cell r="AA79" t="str">
            <v>VERRIERE LE BUISSON</v>
          </cell>
          <cell r="AB79">
            <v>4459</v>
          </cell>
          <cell r="AF79">
            <v>4459</v>
          </cell>
          <cell r="AG79">
            <v>10354</v>
          </cell>
          <cell r="AH79">
            <v>6.5723052558645953E-2</v>
          </cell>
          <cell r="AN79">
            <v>10354</v>
          </cell>
          <cell r="AO79">
            <v>14495.599999999999</v>
          </cell>
          <cell r="AP79">
            <v>2.2508634222919932</v>
          </cell>
          <cell r="AQ79" t="str">
            <v>024-G-91CPN</v>
          </cell>
          <cell r="AR79" t="str">
            <v>024-L-91CPN</v>
          </cell>
          <cell r="AZ79">
            <v>0</v>
          </cell>
          <cell r="BA79">
            <v>0</v>
          </cell>
          <cell r="BB79">
            <v>10561.08</v>
          </cell>
        </row>
        <row r="80">
          <cell r="A80">
            <v>607029</v>
          </cell>
          <cell r="B80" t="str">
            <v>BRITISH CAR CENTRE SARL</v>
          </cell>
          <cell r="C80">
            <v>0.1</v>
          </cell>
          <cell r="D80">
            <v>0.1</v>
          </cell>
          <cell r="E80">
            <v>0.02</v>
          </cell>
          <cell r="F80">
            <v>41275</v>
          </cell>
          <cell r="H80" t="str">
            <v>TS+75 / 110%</v>
          </cell>
          <cell r="I80">
            <v>0</v>
          </cell>
          <cell r="K80">
            <v>0</v>
          </cell>
          <cell r="L80" t="str">
            <v>OK</v>
          </cell>
          <cell r="M80" t="str">
            <v>OK</v>
          </cell>
          <cell r="O80" t="str">
            <v>Porte Feuille</v>
          </cell>
          <cell r="P80" t="str">
            <v>Non affecté</v>
          </cell>
          <cell r="Q80" t="str">
            <v>FP</v>
          </cell>
          <cell r="R80" t="str">
            <v>Rajouté</v>
          </cell>
          <cell r="S80" t="str">
            <v>MOISSY CRAMAYEL</v>
          </cell>
          <cell r="T80" t="str">
            <v>91</v>
          </cell>
          <cell r="U80" t="str">
            <v>3/5 RUE AMBROISE CROIZAT</v>
          </cell>
          <cell r="V80">
            <v>91700</v>
          </cell>
          <cell r="W80" t="str">
            <v>FLEURY MEROGIS</v>
          </cell>
          <cell r="X80" t="str">
            <v>M.</v>
          </cell>
          <cell r="Y80" t="str">
            <v>MILLION</v>
          </cell>
          <cell r="Z80" t="str">
            <v>91700</v>
          </cell>
          <cell r="AA80" t="str">
            <v>FLEURY MEROGIS</v>
          </cell>
          <cell r="AC80">
            <v>16081.34</v>
          </cell>
          <cell r="AD80">
            <v>131.45999999999998</v>
          </cell>
          <cell r="AF80">
            <v>16212.8</v>
          </cell>
          <cell r="AI80">
            <v>9603.8100000000013</v>
          </cell>
          <cell r="AJ80">
            <v>0.76553325944964501</v>
          </cell>
          <cell r="AK80">
            <v>531.54999999999995</v>
          </cell>
          <cell r="AL80">
            <v>0.5872468117029257</v>
          </cell>
          <cell r="AN80">
            <v>10135.36</v>
          </cell>
          <cell r="AO80">
            <v>14189.504000000001</v>
          </cell>
          <cell r="AP80">
            <v>-0.12479621040165789</v>
          </cell>
          <cell r="AQ80" t="str">
            <v>024-G-91BRITISHC</v>
          </cell>
          <cell r="AZ80">
            <v>10564.191000000003</v>
          </cell>
          <cell r="BA80">
            <v>584.70500000000004</v>
          </cell>
          <cell r="BB80">
            <v>0</v>
          </cell>
        </row>
        <row r="81">
          <cell r="A81">
            <v>444270</v>
          </cell>
          <cell r="B81" t="str">
            <v>INFLEX</v>
          </cell>
          <cell r="C81">
            <v>0.1</v>
          </cell>
          <cell r="D81">
            <v>0.1</v>
          </cell>
          <cell r="E81">
            <v>0.02</v>
          </cell>
          <cell r="F81">
            <v>41275</v>
          </cell>
          <cell r="H81" t="str">
            <v>TS+75 / 362%</v>
          </cell>
          <cell r="I81">
            <v>0</v>
          </cell>
          <cell r="K81">
            <v>0</v>
          </cell>
          <cell r="L81" t="str">
            <v>OK</v>
          </cell>
          <cell r="M81" t="str">
            <v>OK</v>
          </cell>
          <cell r="P81" t="str">
            <v>Non affecté</v>
          </cell>
          <cell r="Q81" t="str">
            <v>FR</v>
          </cell>
          <cell r="R81" t="str">
            <v>Ok mon client</v>
          </cell>
          <cell r="S81" t="str">
            <v>MOISSY CRAMAYEL</v>
          </cell>
          <cell r="T81" t="str">
            <v>77</v>
          </cell>
          <cell r="U81" t="str">
            <v>AVENUE DE MONT</v>
          </cell>
          <cell r="V81" t="str">
            <v>77111</v>
          </cell>
          <cell r="W81" t="str">
            <v>SOIGNOLLES EN BRIE</v>
          </cell>
          <cell r="Y81" t="str">
            <v>Directeur Logistique et Transports</v>
          </cell>
          <cell r="Z81" t="str">
            <v>77111</v>
          </cell>
          <cell r="AA81" t="str">
            <v>SOIGNOLLES EN BRIE</v>
          </cell>
          <cell r="AC81">
            <v>7037.44</v>
          </cell>
          <cell r="AF81">
            <v>7037.44</v>
          </cell>
          <cell r="AI81">
            <v>10055.469999999998</v>
          </cell>
          <cell r="AJ81">
            <v>0.69050695328418321</v>
          </cell>
          <cell r="AN81">
            <v>10055.469999999998</v>
          </cell>
          <cell r="AO81">
            <v>14077.657999999996</v>
          </cell>
          <cell r="AP81">
            <v>1.00039474581666</v>
          </cell>
          <cell r="AQ81" t="str">
            <v>024-G-77INFLEX</v>
          </cell>
          <cell r="AS81">
            <v>38863</v>
          </cell>
          <cell r="AZ81">
            <v>11061.016999999998</v>
          </cell>
          <cell r="BA81">
            <v>0</v>
          </cell>
          <cell r="BB81">
            <v>0</v>
          </cell>
        </row>
        <row r="82">
          <cell r="A82">
            <v>500877</v>
          </cell>
          <cell r="B82" t="str">
            <v>LUMIERE SERVICE</v>
          </cell>
          <cell r="C82">
            <v>0.1</v>
          </cell>
          <cell r="D82">
            <v>0.1</v>
          </cell>
          <cell r="E82">
            <v>0.02</v>
          </cell>
          <cell r="F82">
            <v>41275</v>
          </cell>
          <cell r="H82" t="str">
            <v>TS+75 / 106%</v>
          </cell>
          <cell r="I82">
            <v>0</v>
          </cell>
          <cell r="K82">
            <v>0</v>
          </cell>
          <cell r="L82" t="str">
            <v>OK</v>
          </cell>
          <cell r="M82" t="str">
            <v>OK</v>
          </cell>
          <cell r="O82" t="str">
            <v>Porte Feuille</v>
          </cell>
          <cell r="P82" t="str">
            <v>Non affecté</v>
          </cell>
          <cell r="Q82" t="str">
            <v>FR</v>
          </cell>
          <cell r="R82" t="str">
            <v>Ok mon client</v>
          </cell>
          <cell r="S82" t="str">
            <v>MOISSY CRAMAYEL</v>
          </cell>
          <cell r="T82" t="str">
            <v>75</v>
          </cell>
          <cell r="U82" t="str">
            <v>3 RUE PAUL BERT</v>
          </cell>
          <cell r="V82" t="str">
            <v>75011</v>
          </cell>
          <cell r="W82" t="str">
            <v>PARIS</v>
          </cell>
          <cell r="Y82" t="str">
            <v>Directeur Logistique et Transports</v>
          </cell>
          <cell r="Z82" t="str">
            <v>75011</v>
          </cell>
          <cell r="AA82" t="str">
            <v>PARIS</v>
          </cell>
          <cell r="AC82">
            <v>16949.189999999999</v>
          </cell>
          <cell r="AD82">
            <v>649.04</v>
          </cell>
          <cell r="AF82">
            <v>17598.23</v>
          </cell>
          <cell r="AI82">
            <v>9210.34</v>
          </cell>
          <cell r="AJ82">
            <v>0.6039691001808728</v>
          </cell>
          <cell r="AK82">
            <v>721.23</v>
          </cell>
          <cell r="AL82">
            <v>0.57529491722899162</v>
          </cell>
          <cell r="AN82">
            <v>9931.57</v>
          </cell>
          <cell r="AO82">
            <v>13904.197999999999</v>
          </cell>
          <cell r="AP82">
            <v>-0.20990929201402653</v>
          </cell>
          <cell r="AQ82" t="str">
            <v>259-G-75LUMIEREGL</v>
          </cell>
          <cell r="AS82">
            <v>40158</v>
          </cell>
          <cell r="AZ82">
            <v>10131.374000000002</v>
          </cell>
          <cell r="BA82">
            <v>793.35300000000007</v>
          </cell>
          <cell r="BB82">
            <v>0</v>
          </cell>
        </row>
        <row r="83">
          <cell r="A83">
            <v>15825</v>
          </cell>
          <cell r="B83" t="str">
            <v>WIELAND</v>
          </cell>
          <cell r="H83" t="str">
            <v>démarrage / DEVELOPPEMENT EN COURS</v>
          </cell>
          <cell r="I83">
            <v>0</v>
          </cell>
          <cell r="K83">
            <v>0</v>
          </cell>
          <cell r="M83" t="str">
            <v>NON</v>
          </cell>
          <cell r="P83" t="str">
            <v>Non affecté</v>
          </cell>
          <cell r="Q83" t="str">
            <v>FR</v>
          </cell>
          <cell r="R83" t="str">
            <v>Ok mon client</v>
          </cell>
          <cell r="S83" t="str">
            <v>MOISSY CRAMAYEL</v>
          </cell>
          <cell r="T83" t="str">
            <v>77</v>
          </cell>
          <cell r="U83" t="str">
            <v>1 RUE LEON JOUHAUX  CROISSY BEAUBO</v>
          </cell>
          <cell r="V83">
            <v>77435</v>
          </cell>
          <cell r="W83" t="str">
            <v>MARNE LA VALLEE</v>
          </cell>
          <cell r="X83" t="str">
            <v>M.</v>
          </cell>
          <cell r="Y83" t="str">
            <v>DUBOIS</v>
          </cell>
          <cell r="Z83" t="str">
            <v>77435</v>
          </cell>
          <cell r="AA83" t="str">
            <v>MARNE LA VALLEE</v>
          </cell>
          <cell r="AG83">
            <v>9765.380000000001</v>
          </cell>
          <cell r="AH83">
            <v>0.16619372771228635</v>
          </cell>
          <cell r="AN83">
            <v>9765.380000000001</v>
          </cell>
          <cell r="AO83">
            <v>13671.532000000001</v>
          </cell>
          <cell r="AR83" t="str">
            <v>024-L-77WIELAND</v>
          </cell>
          <cell r="AS83">
            <v>40953</v>
          </cell>
          <cell r="AZ83">
            <v>0</v>
          </cell>
          <cell r="BA83">
            <v>0</v>
          </cell>
          <cell r="BB83">
            <v>9765.380000000001</v>
          </cell>
        </row>
        <row r="84">
          <cell r="A84">
            <v>688396</v>
          </cell>
          <cell r="B84" t="str">
            <v>POLYRAM FRANCE</v>
          </cell>
          <cell r="E84">
            <v>0.02</v>
          </cell>
          <cell r="F84">
            <v>41306</v>
          </cell>
          <cell r="H84" t="str">
            <v>VU AVEC SERGIO RELANCER LE 15 JANVIER POUR UNE APPLICATION OU NON DES 2 % POLYRAM = memolex</v>
          </cell>
          <cell r="I84">
            <v>0</v>
          </cell>
          <cell r="K84">
            <v>0</v>
          </cell>
          <cell r="L84" t="str">
            <v>OK</v>
          </cell>
          <cell r="M84" t="str">
            <v>OK</v>
          </cell>
          <cell r="P84" t="str">
            <v>Non affecté</v>
          </cell>
          <cell r="Q84" t="str">
            <v>FP</v>
          </cell>
          <cell r="R84" t="str">
            <v>Ok mon client</v>
          </cell>
          <cell r="S84" t="str">
            <v>MOISSY CRAMAYEL</v>
          </cell>
          <cell r="T84" t="str">
            <v>91</v>
          </cell>
          <cell r="U84" t="str">
            <v>ROUTE DE MAISSE</v>
          </cell>
          <cell r="V84">
            <v>91490</v>
          </cell>
          <cell r="W84" t="str">
            <v>MILLY LA FORET</v>
          </cell>
          <cell r="X84" t="str">
            <v>Mme</v>
          </cell>
          <cell r="Y84" t="str">
            <v>FONTEZ</v>
          </cell>
          <cell r="Z84" t="str">
            <v>91490</v>
          </cell>
          <cell r="AA84" t="str">
            <v>MILLY LA FORET</v>
          </cell>
          <cell r="AB84">
            <v>7265.0999999999995</v>
          </cell>
          <cell r="AC84">
            <v>208.74</v>
          </cell>
          <cell r="AF84">
            <v>7473.8399999999992</v>
          </cell>
          <cell r="AG84">
            <v>9216.3599999999988</v>
          </cell>
          <cell r="AH84">
            <v>-2.7979719777937149E-2</v>
          </cell>
          <cell r="AI84">
            <v>209.72</v>
          </cell>
          <cell r="AJ84">
            <v>-0.24308601945451072</v>
          </cell>
          <cell r="AN84">
            <v>9426.0799999999981</v>
          </cell>
          <cell r="AO84">
            <v>13196.511999999997</v>
          </cell>
          <cell r="AP84">
            <v>0.7656936728642838</v>
          </cell>
          <cell r="AR84" t="str">
            <v>024-L-91POLYRAM</v>
          </cell>
          <cell r="AZ84">
            <v>209.72</v>
          </cell>
          <cell r="BA84">
            <v>0</v>
          </cell>
          <cell r="BB84">
            <v>9400.6871999999985</v>
          </cell>
        </row>
        <row r="85">
          <cell r="A85">
            <v>529657</v>
          </cell>
          <cell r="B85" t="str">
            <v>DES LIS CHOCOLAT</v>
          </cell>
          <cell r="C85">
            <v>0.1</v>
          </cell>
          <cell r="D85">
            <v>0.1</v>
          </cell>
          <cell r="E85">
            <v>0.02</v>
          </cell>
          <cell r="F85">
            <v>41348</v>
          </cell>
          <cell r="I85">
            <v>0</v>
          </cell>
          <cell r="L85" t="str">
            <v>OK</v>
          </cell>
          <cell r="M85" t="str">
            <v>OK</v>
          </cell>
          <cell r="N85" t="str">
            <v>Non affecté</v>
          </cell>
          <cell r="O85" t="str">
            <v>FR</v>
          </cell>
          <cell r="Q85" t="str">
            <v>FR</v>
          </cell>
          <cell r="R85" t="str">
            <v>Client ORL</v>
          </cell>
          <cell r="S85" t="str">
            <v>MOISSY CRAMAYEL</v>
          </cell>
          <cell r="T85" t="str">
            <v>77</v>
          </cell>
          <cell r="U85" t="str">
            <v>ZI du Rocher Vert</v>
          </cell>
          <cell r="V85" t="str">
            <v>77140</v>
          </cell>
          <cell r="W85" t="str">
            <v>NEMOURS</v>
          </cell>
          <cell r="X85" t="str">
            <v>M.</v>
          </cell>
          <cell r="Y85" t="str">
            <v>BOX</v>
          </cell>
          <cell r="Z85" t="str">
            <v>77140</v>
          </cell>
          <cell r="AA85" t="str">
            <v>NEMOURS</v>
          </cell>
          <cell r="AB85">
            <v>2246.1799999999998</v>
          </cell>
          <cell r="AC85">
            <v>7969.51</v>
          </cell>
          <cell r="AD85">
            <v>668.71999999999991</v>
          </cell>
          <cell r="AF85">
            <v>10884.41</v>
          </cell>
          <cell r="AG85">
            <v>2158.7800000000002</v>
          </cell>
          <cell r="AH85">
            <v>0.43768969504263633</v>
          </cell>
          <cell r="AI85">
            <v>7075.8899999999994</v>
          </cell>
          <cell r="AJ85">
            <v>0.42699949914548868</v>
          </cell>
          <cell r="AK85">
            <v>148.84</v>
          </cell>
          <cell r="AL85">
            <v>0.57088148347218493</v>
          </cell>
          <cell r="AN85">
            <v>9383.5099999999984</v>
          </cell>
          <cell r="AO85">
            <v>13136.913999999997</v>
          </cell>
          <cell r="AP85">
            <v>0.20694773533889266</v>
          </cell>
          <cell r="AQ85" t="str">
            <v>024-G-77DESLIS</v>
          </cell>
          <cell r="AZ85">
            <v>7783.4790000000003</v>
          </cell>
          <cell r="BA85">
            <v>163.72400000000002</v>
          </cell>
          <cell r="BB85">
            <v>2201.9556000000002</v>
          </cell>
        </row>
        <row r="86">
          <cell r="A86">
            <v>818445</v>
          </cell>
          <cell r="B86" t="str">
            <v>COULEURS EXPRESS</v>
          </cell>
          <cell r="C86">
            <v>3.5000000000000003E-2</v>
          </cell>
          <cell r="D86">
            <v>3.5000000000000003E-2</v>
          </cell>
          <cell r="E86">
            <v>0</v>
          </cell>
          <cell r="F86">
            <v>41306</v>
          </cell>
          <cell r="H86" t="str">
            <v>MAIL DE FR PAS DE HAUSSE EN LOT</v>
          </cell>
          <cell r="I86">
            <v>0</v>
          </cell>
          <cell r="K86">
            <v>0</v>
          </cell>
          <cell r="L86" t="str">
            <v>OK</v>
          </cell>
          <cell r="M86" t="str">
            <v>OK</v>
          </cell>
          <cell r="O86" t="str">
            <v>Porte Feuille</v>
          </cell>
          <cell r="P86" t="str">
            <v>Non affecté</v>
          </cell>
          <cell r="Q86" t="str">
            <v>FR</v>
          </cell>
          <cell r="R86" t="str">
            <v>Ok mon client</v>
          </cell>
          <cell r="S86" t="str">
            <v>MOISSY CRAMAYEL</v>
          </cell>
          <cell r="T86" t="str">
            <v>77</v>
          </cell>
          <cell r="U86" t="str">
            <v>ZI  32 RUE DE VERDUN</v>
          </cell>
          <cell r="V86" t="str">
            <v>77181</v>
          </cell>
          <cell r="W86" t="str">
            <v>LE PIN</v>
          </cell>
          <cell r="X86" t="str">
            <v>Mme</v>
          </cell>
          <cell r="Y86" t="str">
            <v xml:space="preserve">Haubin </v>
          </cell>
          <cell r="Z86" t="str">
            <v>77181</v>
          </cell>
          <cell r="AA86" t="str">
            <v>LE PIN</v>
          </cell>
          <cell r="AC86">
            <v>14233.95</v>
          </cell>
          <cell r="AD86">
            <v>1246.56</v>
          </cell>
          <cell r="AF86">
            <v>15480.51</v>
          </cell>
          <cell r="AI86">
            <v>8693.65</v>
          </cell>
          <cell r="AJ86">
            <v>0.49836698067256979</v>
          </cell>
          <cell r="AK86">
            <v>656.31000000000006</v>
          </cell>
          <cell r="AL86">
            <v>0.61495807104061095</v>
          </cell>
          <cell r="AN86">
            <v>9349.9599999999991</v>
          </cell>
          <cell r="AO86">
            <v>13089.943999999998</v>
          </cell>
          <cell r="AP86">
            <v>-0.15442424054504678</v>
          </cell>
          <cell r="AQ86" t="str">
            <v>024-G-77COULEURSEXPRESS</v>
          </cell>
          <cell r="AS86">
            <v>40142</v>
          </cell>
          <cell r="AZ86">
            <v>8997.9277499999989</v>
          </cell>
          <cell r="BA86">
            <v>679.28084999999999</v>
          </cell>
          <cell r="BB86">
            <v>0</v>
          </cell>
        </row>
        <row r="87">
          <cell r="A87">
            <v>822099</v>
          </cell>
          <cell r="B87" t="str">
            <v>ROLL S RAPIDES</v>
          </cell>
          <cell r="C87">
            <v>0.1</v>
          </cell>
          <cell r="D87">
            <v>0.1</v>
          </cell>
          <cell r="E87">
            <v>0.02</v>
          </cell>
          <cell r="F87">
            <v>41275</v>
          </cell>
          <cell r="H87" t="str">
            <v>TS+75 / 75%</v>
          </cell>
          <cell r="I87">
            <v>0</v>
          </cell>
          <cell r="K87">
            <v>0</v>
          </cell>
          <cell r="L87" t="str">
            <v>OK</v>
          </cell>
          <cell r="M87" t="str">
            <v>OK</v>
          </cell>
          <cell r="O87" t="str">
            <v>Porte Feuille</v>
          </cell>
          <cell r="P87" t="str">
            <v>Non affecté</v>
          </cell>
          <cell r="Q87" t="str">
            <v>FP</v>
          </cell>
          <cell r="R87" t="str">
            <v>Rajouté</v>
          </cell>
          <cell r="S87" t="str">
            <v>MOISSY CRAMAYEL</v>
          </cell>
          <cell r="T87" t="str">
            <v>91</v>
          </cell>
          <cell r="U87" t="str">
            <v>14 CHEMIN RURAL</v>
          </cell>
          <cell r="V87">
            <v>91630</v>
          </cell>
          <cell r="W87" t="str">
            <v>MAROLLES EN HUREPOIX</v>
          </cell>
          <cell r="X87" t="str">
            <v>M.</v>
          </cell>
          <cell r="Y87" t="str">
            <v>BOULEAU</v>
          </cell>
          <cell r="Z87" t="str">
            <v>91630</v>
          </cell>
          <cell r="AA87" t="str">
            <v>MAROLLES EN HUREPOIX</v>
          </cell>
          <cell r="AB87">
            <v>18676.659999999996</v>
          </cell>
          <cell r="AD87">
            <v>331.54</v>
          </cell>
          <cell r="AF87">
            <v>19008.199999999997</v>
          </cell>
          <cell r="AG87">
            <v>9175.1099999999988</v>
          </cell>
          <cell r="AH87">
            <v>7.8306632347075689E-2</v>
          </cell>
          <cell r="AK87">
            <v>89.71</v>
          </cell>
          <cell r="AL87">
            <v>0.66469735815405195</v>
          </cell>
          <cell r="AN87">
            <v>9264.8199999999979</v>
          </cell>
          <cell r="AO87">
            <v>12970.747999999996</v>
          </cell>
          <cell r="AP87">
            <v>-0.31762355194074143</v>
          </cell>
          <cell r="AR87" t="str">
            <v>024-L-91ROLLSRAPIDES</v>
          </cell>
          <cell r="AS87">
            <v>40211</v>
          </cell>
          <cell r="AZ87">
            <v>0</v>
          </cell>
          <cell r="BA87">
            <v>98.680999999999997</v>
          </cell>
          <cell r="BB87">
            <v>9358.6121999999996</v>
          </cell>
        </row>
        <row r="88">
          <cell r="A88">
            <v>70968</v>
          </cell>
          <cell r="B88" t="str">
            <v>EFD INDUCTION MARCOUSSIS SA</v>
          </cell>
          <cell r="C88">
            <v>0.1</v>
          </cell>
          <cell r="D88">
            <v>0.1</v>
          </cell>
          <cell r="E88">
            <v>0.02</v>
          </cell>
          <cell r="F88">
            <v>41275</v>
          </cell>
          <cell r="H88" t="str">
            <v>TS+75 /118%</v>
          </cell>
          <cell r="I88">
            <v>0</v>
          </cell>
          <cell r="K88">
            <v>0</v>
          </cell>
          <cell r="L88" t="str">
            <v>OK</v>
          </cell>
          <cell r="M88" t="str">
            <v>OK</v>
          </cell>
          <cell r="O88" t="str">
            <v>Porte Feuille</v>
          </cell>
          <cell r="P88" t="str">
            <v>Non affecté</v>
          </cell>
          <cell r="Q88" t="str">
            <v>FP</v>
          </cell>
          <cell r="R88" t="str">
            <v>Rajouté</v>
          </cell>
          <cell r="S88" t="str">
            <v>MOISSY CRAMAYEL</v>
          </cell>
          <cell r="T88" t="str">
            <v>91</v>
          </cell>
          <cell r="U88" t="str">
            <v>ZI du fond des Pres</v>
          </cell>
          <cell r="V88" t="str">
            <v>91460</v>
          </cell>
          <cell r="W88" t="str">
            <v>MARCOUSSIS</v>
          </cell>
          <cell r="X88" t="str">
            <v>Mme</v>
          </cell>
          <cell r="Y88" t="str">
            <v>ACQUIER</v>
          </cell>
          <cell r="Z88" t="str">
            <v>91460</v>
          </cell>
          <cell r="AA88" t="str">
            <v>MARCOUSSIS</v>
          </cell>
          <cell r="AB88">
            <v>3159.85</v>
          </cell>
          <cell r="AC88">
            <v>11514.859999999999</v>
          </cell>
          <cell r="AD88">
            <v>546.71</v>
          </cell>
          <cell r="AF88">
            <v>15221.419999999998</v>
          </cell>
          <cell r="AG88">
            <v>396</v>
          </cell>
          <cell r="AH88">
            <v>0.31338028169014087</v>
          </cell>
          <cell r="AI88">
            <v>8113.3700000000008</v>
          </cell>
          <cell r="AJ88">
            <v>0.56055780052665294</v>
          </cell>
          <cell r="AK88">
            <v>239.26</v>
          </cell>
          <cell r="AL88">
            <v>1.1275141242937852</v>
          </cell>
          <cell r="AN88">
            <v>8748.630000000001</v>
          </cell>
          <cell r="AO88">
            <v>12248.082</v>
          </cell>
          <cell r="AP88">
            <v>-0.19533906823410685</v>
          </cell>
          <cell r="AQ88" t="str">
            <v>024-G-91SODALGO</v>
          </cell>
          <cell r="AR88" t="str">
            <v>024-L1-91SODALGO</v>
          </cell>
          <cell r="AZ88">
            <v>8924.7070000000022</v>
          </cell>
          <cell r="BA88">
            <v>263.18600000000004</v>
          </cell>
          <cell r="BB88">
            <v>403.92</v>
          </cell>
        </row>
        <row r="89">
          <cell r="A89">
            <v>685586</v>
          </cell>
          <cell r="B89" t="str">
            <v>CARREFOUR HYPERMARCHES FRANCE</v>
          </cell>
          <cell r="C89">
            <v>0.1</v>
          </cell>
          <cell r="D89">
            <v>0.1</v>
          </cell>
          <cell r="E89">
            <v>0.02</v>
          </cell>
          <cell r="F89">
            <v>41275</v>
          </cell>
          <cell r="H89" t="str">
            <v>TS+75 / 299%</v>
          </cell>
          <cell r="I89">
            <v>0</v>
          </cell>
          <cell r="K89">
            <v>0</v>
          </cell>
          <cell r="L89" t="str">
            <v>OK</v>
          </cell>
          <cell r="M89" t="str">
            <v>OK</v>
          </cell>
          <cell r="O89" t="str">
            <v>Porte Feuille</v>
          </cell>
          <cell r="P89" t="str">
            <v>DCM</v>
          </cell>
          <cell r="Q89" t="str">
            <v>FR</v>
          </cell>
          <cell r="R89" t="str">
            <v>Ok mon client</v>
          </cell>
          <cell r="S89" t="str">
            <v>MOISSY CRAMAYEL</v>
          </cell>
          <cell r="T89" t="str">
            <v>77</v>
          </cell>
          <cell r="U89" t="str">
            <v>SAV Porte de Fontaibleau</v>
          </cell>
          <cell r="V89" t="str">
            <v>77195</v>
          </cell>
          <cell r="W89" t="str">
            <v>DAMMARIE LES LYS</v>
          </cell>
          <cell r="X89" t="str">
            <v>Mme</v>
          </cell>
          <cell r="Y89" t="str">
            <v>PASCALE</v>
          </cell>
          <cell r="Z89" t="str">
            <v>77195</v>
          </cell>
          <cell r="AA89" t="str">
            <v>DAMMARIE LES LYS</v>
          </cell>
          <cell r="AC89">
            <v>17255.609999999997</v>
          </cell>
          <cell r="AF89">
            <v>17255.609999999997</v>
          </cell>
          <cell r="AI89">
            <v>8559.6799999999985</v>
          </cell>
          <cell r="AJ89">
            <v>0.69627940367240582</v>
          </cell>
          <cell r="AN89">
            <v>8559.6799999999985</v>
          </cell>
          <cell r="AO89">
            <v>11983.551999999998</v>
          </cell>
          <cell r="AP89">
            <v>-0.30552718796959366</v>
          </cell>
          <cell r="AQ89" t="str">
            <v>024-G-77CARREFOURVILLIE</v>
          </cell>
          <cell r="AZ89">
            <v>9415.6479999999992</v>
          </cell>
          <cell r="BA89">
            <v>0</v>
          </cell>
          <cell r="BB89">
            <v>0</v>
          </cell>
        </row>
        <row r="90">
          <cell r="A90">
            <v>577731</v>
          </cell>
          <cell r="B90" t="str">
            <v>SPINDAL</v>
          </cell>
          <cell r="C90">
            <v>0.1</v>
          </cell>
          <cell r="D90">
            <v>0.1</v>
          </cell>
          <cell r="E90">
            <v>0.02</v>
          </cell>
          <cell r="F90">
            <v>41275</v>
          </cell>
          <cell r="H90">
            <v>0.75</v>
          </cell>
          <cell r="I90">
            <v>0</v>
          </cell>
          <cell r="K90">
            <v>0</v>
          </cell>
          <cell r="L90" t="str">
            <v>OK</v>
          </cell>
          <cell r="M90" t="str">
            <v>OK</v>
          </cell>
          <cell r="O90" t="str">
            <v>Porte Feuille</v>
          </cell>
          <cell r="P90" t="str">
            <v>Non affecté</v>
          </cell>
          <cell r="Q90" t="str">
            <v>FR</v>
          </cell>
          <cell r="R90" t="str">
            <v>Ok mon client</v>
          </cell>
          <cell r="S90" t="str">
            <v>MOISSY CRAMAYEL</v>
          </cell>
          <cell r="T90" t="str">
            <v>77</v>
          </cell>
          <cell r="U90" t="str">
            <v>3 Av Ampère</v>
          </cell>
          <cell r="V90" t="str">
            <v>77220</v>
          </cell>
          <cell r="W90" t="str">
            <v>GRETZ ARMINVILLIERS</v>
          </cell>
          <cell r="X90" t="str">
            <v>Mme</v>
          </cell>
          <cell r="Y90" t="str">
            <v>ALINE LHERBEIL</v>
          </cell>
          <cell r="Z90" t="str">
            <v>77220</v>
          </cell>
          <cell r="AA90" t="str">
            <v>GRETZ ARMAINVILLIERS</v>
          </cell>
          <cell r="AB90">
            <v>280</v>
          </cell>
          <cell r="AC90">
            <v>30128.71</v>
          </cell>
          <cell r="AD90">
            <v>5184.4600000000009</v>
          </cell>
          <cell r="AF90">
            <v>35593.17</v>
          </cell>
          <cell r="AI90">
            <v>6597.7</v>
          </cell>
          <cell r="AJ90">
            <v>0.55304962219277853</v>
          </cell>
          <cell r="AK90">
            <v>1595.88</v>
          </cell>
          <cell r="AL90">
            <v>0.73643578692395673</v>
          </cell>
          <cell r="AN90">
            <v>8193.58</v>
          </cell>
          <cell r="AO90">
            <v>11471.011999999999</v>
          </cell>
          <cell r="AP90">
            <v>-0.67771873086887169</v>
          </cell>
          <cell r="AQ90" t="str">
            <v>024-G-77SPINDAL</v>
          </cell>
          <cell r="AZ90">
            <v>7257.47</v>
          </cell>
          <cell r="BA90">
            <v>1755.4680000000003</v>
          </cell>
          <cell r="BB90">
            <v>0</v>
          </cell>
        </row>
        <row r="91">
          <cell r="A91">
            <v>843056</v>
          </cell>
          <cell r="B91" t="str">
            <v>PPO GRAPHIC</v>
          </cell>
          <cell r="C91">
            <v>0.1</v>
          </cell>
          <cell r="D91">
            <v>0.1</v>
          </cell>
          <cell r="E91">
            <v>0.02</v>
          </cell>
          <cell r="F91">
            <v>41275</v>
          </cell>
          <cell r="H91" t="str">
            <v>TS+75 / 75%</v>
          </cell>
          <cell r="I91">
            <v>0</v>
          </cell>
          <cell r="K91">
            <v>0</v>
          </cell>
          <cell r="L91" t="str">
            <v>OK</v>
          </cell>
          <cell r="M91" t="str">
            <v>OK</v>
          </cell>
          <cell r="O91" t="str">
            <v>Porte Feuille</v>
          </cell>
          <cell r="P91" t="str">
            <v>Non affecté</v>
          </cell>
          <cell r="Q91" t="str">
            <v>FP</v>
          </cell>
          <cell r="R91" t="str">
            <v>Rajouté</v>
          </cell>
          <cell r="S91" t="str">
            <v>MOISSY CRAMAYEL</v>
          </cell>
          <cell r="T91" t="str">
            <v>91</v>
          </cell>
          <cell r="U91" t="str">
            <v>8-10 RUE DE LA CROIX MARTRE</v>
          </cell>
          <cell r="V91">
            <v>91120</v>
          </cell>
          <cell r="W91" t="str">
            <v>PALAISEAU</v>
          </cell>
          <cell r="X91" t="str">
            <v>M.</v>
          </cell>
          <cell r="Y91" t="str">
            <v>ATTIAS</v>
          </cell>
          <cell r="Z91" t="str">
            <v>91120</v>
          </cell>
          <cell r="AA91" t="str">
            <v>PALAISEAU</v>
          </cell>
          <cell r="AB91">
            <v>27516.12</v>
          </cell>
          <cell r="AC91">
            <v>294.86</v>
          </cell>
          <cell r="AF91">
            <v>27810.98</v>
          </cell>
          <cell r="AG91">
            <v>8145.6</v>
          </cell>
          <cell r="AH91">
            <v>0.29434669409647995</v>
          </cell>
          <cell r="AN91">
            <v>8145.6</v>
          </cell>
          <cell r="AO91">
            <v>11403.84</v>
          </cell>
          <cell r="AP91">
            <v>-0.58995188231410756</v>
          </cell>
          <cell r="AR91" t="str">
            <v>024-L-91PPOGRAPHIC</v>
          </cell>
          <cell r="AS91">
            <v>40618</v>
          </cell>
          <cell r="AZ91">
            <v>0</v>
          </cell>
          <cell r="BA91">
            <v>0</v>
          </cell>
          <cell r="BB91">
            <v>8308.5120000000006</v>
          </cell>
        </row>
        <row r="92">
          <cell r="A92">
            <v>616122</v>
          </cell>
          <cell r="B92" t="str">
            <v>TECHNIX</v>
          </cell>
          <cell r="C92">
            <v>0.1</v>
          </cell>
          <cell r="D92">
            <v>0.1</v>
          </cell>
          <cell r="E92">
            <v>0.02</v>
          </cell>
          <cell r="F92">
            <v>41275</v>
          </cell>
          <cell r="H92" t="str">
            <v>TS+75 / 149%</v>
          </cell>
          <cell r="I92">
            <v>0</v>
          </cell>
          <cell r="K92">
            <v>0</v>
          </cell>
          <cell r="L92" t="str">
            <v>OK</v>
          </cell>
          <cell r="M92" t="str">
            <v>OK</v>
          </cell>
          <cell r="P92" t="str">
            <v>Non affecté</v>
          </cell>
          <cell r="Q92" t="str">
            <v>FP</v>
          </cell>
          <cell r="R92" t="str">
            <v>Ok mon client</v>
          </cell>
          <cell r="S92" t="str">
            <v>MOISSY CRAMAYEL</v>
          </cell>
          <cell r="T92" t="str">
            <v>94</v>
          </cell>
          <cell r="U92" t="str">
            <v>ZAC EUROPARC - 6/8 RUE EUGENE DUPUIS</v>
          </cell>
          <cell r="V92" t="str">
            <v>94000</v>
          </cell>
          <cell r="W92" t="str">
            <v>CRETEIL</v>
          </cell>
          <cell r="Y92" t="str">
            <v>Directeur Logistique et Transports</v>
          </cell>
          <cell r="Z92" t="str">
            <v>94000</v>
          </cell>
          <cell r="AA92" t="str">
            <v>CRETEIL</v>
          </cell>
          <cell r="AC92">
            <v>6246.5099999999993</v>
          </cell>
          <cell r="AD92">
            <v>2448.63</v>
          </cell>
          <cell r="AF92">
            <v>8695.14</v>
          </cell>
          <cell r="AI92">
            <v>5719.09</v>
          </cell>
          <cell r="AJ92">
            <v>0.4430128988723025</v>
          </cell>
          <cell r="AK92">
            <v>2326.9299999999998</v>
          </cell>
          <cell r="AL92">
            <v>0.55854863612969641</v>
          </cell>
          <cell r="AN92">
            <v>8046.02</v>
          </cell>
          <cell r="AO92">
            <v>11264.428</v>
          </cell>
          <cell r="AP92">
            <v>0.2954855240973695</v>
          </cell>
          <cell r="AQ92" t="str">
            <v>024-G-94TECHNIX</v>
          </cell>
          <cell r="AR92" t="str">
            <v>024-L-94TECHNIX</v>
          </cell>
          <cell r="AZ92">
            <v>6290.9990000000007</v>
          </cell>
          <cell r="BA92">
            <v>2559.623</v>
          </cell>
          <cell r="BB92">
            <v>0</v>
          </cell>
        </row>
        <row r="93">
          <cell r="A93">
            <v>614390</v>
          </cell>
          <cell r="B93" t="str">
            <v>SOMAFRAC</v>
          </cell>
          <cell r="C93">
            <v>0.1</v>
          </cell>
          <cell r="D93">
            <v>0.1</v>
          </cell>
          <cell r="E93">
            <v>0.02</v>
          </cell>
          <cell r="F93">
            <v>41275</v>
          </cell>
          <cell r="H93">
            <v>0.75</v>
          </cell>
          <cell r="I93">
            <v>0</v>
          </cell>
          <cell r="K93">
            <v>0</v>
          </cell>
          <cell r="L93" t="str">
            <v>OK</v>
          </cell>
          <cell r="M93" t="str">
            <v>OK</v>
          </cell>
          <cell r="P93" t="str">
            <v>Non affecté</v>
          </cell>
          <cell r="Q93" t="str">
            <v>FR</v>
          </cell>
          <cell r="R93" t="str">
            <v>Ok mon client</v>
          </cell>
          <cell r="S93" t="str">
            <v>MOISSY CRAMAYEL</v>
          </cell>
          <cell r="T93">
            <v>77</v>
          </cell>
          <cell r="U93" t="str">
            <v>ZA DE LA PEUPLERAID - 19 ALLEE DES PEUPLIERS</v>
          </cell>
          <cell r="V93">
            <v>77135</v>
          </cell>
          <cell r="W93" t="str">
            <v>PONTCARRE</v>
          </cell>
          <cell r="X93" t="str">
            <v>M.</v>
          </cell>
          <cell r="Y93" t="str">
            <v>LEVY</v>
          </cell>
          <cell r="Z93" t="str">
            <v>77135</v>
          </cell>
          <cell r="AA93" t="str">
            <v>PONTCARRE</v>
          </cell>
          <cell r="AC93">
            <v>13238.03</v>
          </cell>
          <cell r="AD93">
            <v>62.94</v>
          </cell>
          <cell r="AF93">
            <v>13300.970000000001</v>
          </cell>
          <cell r="AI93">
            <v>8015.85</v>
          </cell>
          <cell r="AJ93">
            <v>0.6953506290578948</v>
          </cell>
          <cell r="AN93">
            <v>8015.85</v>
          </cell>
          <cell r="AO93">
            <v>11222.19</v>
          </cell>
          <cell r="AP93">
            <v>-0.15628784968314346</v>
          </cell>
          <cell r="AQ93" t="str">
            <v>024-G-94SOMAFRAC</v>
          </cell>
          <cell r="AR93" t="str">
            <v>024-L-94SOMAFRAC</v>
          </cell>
          <cell r="AZ93">
            <v>8817.4350000000013</v>
          </cell>
          <cell r="BA93">
            <v>0</v>
          </cell>
          <cell r="BB93">
            <v>0</v>
          </cell>
        </row>
        <row r="94">
          <cell r="A94">
            <v>675496</v>
          </cell>
          <cell r="B94" t="str">
            <v>WALTHER SARL</v>
          </cell>
          <cell r="C94">
            <v>0.04</v>
          </cell>
          <cell r="D94">
            <v>0.04</v>
          </cell>
          <cell r="E94">
            <v>0.02</v>
          </cell>
          <cell r="F94">
            <v>41275</v>
          </cell>
          <cell r="H94" t="str">
            <v>MODIF HAUSSE LE 16/01/2013 (avant 10% MAINTENANT 4%)</v>
          </cell>
          <cell r="I94">
            <v>0</v>
          </cell>
          <cell r="K94">
            <v>0</v>
          </cell>
          <cell r="L94" t="str">
            <v>OK</v>
          </cell>
          <cell r="M94" t="str">
            <v>OK</v>
          </cell>
          <cell r="O94" t="str">
            <v>Porte Feuille</v>
          </cell>
          <cell r="P94" t="str">
            <v>Non affecté</v>
          </cell>
          <cell r="Q94" t="str">
            <v>FP</v>
          </cell>
          <cell r="R94" t="str">
            <v>Rajouté</v>
          </cell>
          <cell r="S94" t="str">
            <v>MOISSY CRAMAYEL</v>
          </cell>
          <cell r="T94" t="str">
            <v>91</v>
          </cell>
          <cell r="U94" t="str">
            <v>13 rue des Malines</v>
          </cell>
          <cell r="V94" t="str">
            <v>91090</v>
          </cell>
          <cell r="W94" t="str">
            <v>LISSES</v>
          </cell>
          <cell r="X94" t="str">
            <v>M.</v>
          </cell>
          <cell r="Y94" t="str">
            <v>LABADIE</v>
          </cell>
          <cell r="Z94" t="str">
            <v>91090</v>
          </cell>
          <cell r="AA94" t="str">
            <v>LISSES</v>
          </cell>
          <cell r="AB94">
            <v>737</v>
          </cell>
          <cell r="AC94">
            <v>14895.88</v>
          </cell>
          <cell r="AD94">
            <v>462.27</v>
          </cell>
          <cell r="AF94">
            <v>16095.15</v>
          </cell>
          <cell r="AG94">
            <v>1124.77</v>
          </cell>
          <cell r="AH94">
            <v>9.8984771573604066E-2</v>
          </cell>
          <cell r="AI94">
            <v>6757.9500000000007</v>
          </cell>
          <cell r="AJ94">
            <v>0.36129941134957017</v>
          </cell>
          <cell r="AN94">
            <v>7882.7200000000012</v>
          </cell>
          <cell r="AO94">
            <v>11035.808000000001</v>
          </cell>
          <cell r="AP94">
            <v>-0.31433953706551343</v>
          </cell>
          <cell r="AQ94" t="str">
            <v>024-G-91WALTHER</v>
          </cell>
          <cell r="AR94" t="str">
            <v>024-L-91WALTHER</v>
          </cell>
          <cell r="AZ94">
            <v>7028.2680000000009</v>
          </cell>
          <cell r="BA94">
            <v>0</v>
          </cell>
          <cell r="BB94">
            <v>1147.2654</v>
          </cell>
        </row>
        <row r="95">
          <cell r="A95">
            <v>626264</v>
          </cell>
          <cell r="B95" t="str">
            <v>F DGSI</v>
          </cell>
          <cell r="C95">
            <v>0.1</v>
          </cell>
          <cell r="D95">
            <v>0.1</v>
          </cell>
          <cell r="E95">
            <v>0.02</v>
          </cell>
          <cell r="F95">
            <v>41275</v>
          </cell>
          <cell r="H95" t="str">
            <v>TS+75 / 177%</v>
          </cell>
          <cell r="I95">
            <v>0</v>
          </cell>
          <cell r="K95">
            <v>0</v>
          </cell>
          <cell r="L95" t="str">
            <v>OK</v>
          </cell>
          <cell r="M95" t="str">
            <v>OK</v>
          </cell>
          <cell r="P95" t="str">
            <v>Non affecté</v>
          </cell>
          <cell r="Q95" t="str">
            <v>FP</v>
          </cell>
          <cell r="R95" t="str">
            <v>Ok mon client</v>
          </cell>
          <cell r="S95" t="str">
            <v>MOISSY CRAMAYEL</v>
          </cell>
          <cell r="T95" t="str">
            <v>91</v>
          </cell>
          <cell r="U95" t="str">
            <v>8-10 rue du Bois Sauvage BAT Q18</v>
          </cell>
          <cell r="V95">
            <v>91055</v>
          </cell>
          <cell r="W95" t="str">
            <v>EVRY CEDEX</v>
          </cell>
          <cell r="X95" t="str">
            <v>Mme</v>
          </cell>
          <cell r="Y95" t="str">
            <v>PALGE</v>
          </cell>
          <cell r="Z95" t="str">
            <v>91055</v>
          </cell>
          <cell r="AA95" t="str">
            <v>EVRY CEDEX</v>
          </cell>
          <cell r="AC95">
            <v>2550.7799999999997</v>
          </cell>
          <cell r="AD95">
            <v>5752.5</v>
          </cell>
          <cell r="AF95">
            <v>8303.2799999999988</v>
          </cell>
          <cell r="AG95">
            <v>1372.79</v>
          </cell>
          <cell r="AH95">
            <v>0.2764734591598132</v>
          </cell>
          <cell r="AI95">
            <v>1732.12</v>
          </cell>
          <cell r="AJ95">
            <v>0.73952850101873535</v>
          </cell>
          <cell r="AK95">
            <v>4756.0899999999992</v>
          </cell>
          <cell r="AL95">
            <v>0.5705418904516103</v>
          </cell>
          <cell r="AN95">
            <v>7860.9999999999991</v>
          </cell>
          <cell r="AO95">
            <v>11005.399999999998</v>
          </cell>
          <cell r="AP95">
            <v>0.32542802362439893</v>
          </cell>
          <cell r="AQ95" t="str">
            <v>024-G-91FDBS</v>
          </cell>
          <cell r="AZ95">
            <v>1905.3320000000001</v>
          </cell>
          <cell r="BA95">
            <v>5231.6989999999996</v>
          </cell>
          <cell r="BB95">
            <v>1400.2457999999999</v>
          </cell>
        </row>
        <row r="96">
          <cell r="A96">
            <v>85412</v>
          </cell>
          <cell r="B96" t="str">
            <v>MONTELEM</v>
          </cell>
          <cell r="C96">
            <v>0.1</v>
          </cell>
          <cell r="D96">
            <v>0.1</v>
          </cell>
          <cell r="E96">
            <v>0.02</v>
          </cell>
          <cell r="F96">
            <v>41275</v>
          </cell>
          <cell r="H96" t="str">
            <v>TS+75 / 47%</v>
          </cell>
          <cell r="I96">
            <v>0</v>
          </cell>
          <cell r="K96">
            <v>0</v>
          </cell>
          <cell r="L96" t="str">
            <v>OK</v>
          </cell>
          <cell r="M96" t="str">
            <v>OK</v>
          </cell>
          <cell r="P96" t="str">
            <v>Non affecté</v>
          </cell>
          <cell r="Q96" t="str">
            <v>FP</v>
          </cell>
          <cell r="R96" t="str">
            <v>Ok mon client</v>
          </cell>
          <cell r="S96" t="str">
            <v>MOISSY CRAMAYEL</v>
          </cell>
          <cell r="T96" t="str">
            <v>94</v>
          </cell>
          <cell r="U96" t="str">
            <v>22 AVE LENINE</v>
          </cell>
          <cell r="V96" t="str">
            <v>94110</v>
          </cell>
          <cell r="W96" t="str">
            <v>ARCUEIL</v>
          </cell>
          <cell r="X96" t="str">
            <v>M.</v>
          </cell>
          <cell r="Y96" t="str">
            <v>PERDRIAU</v>
          </cell>
          <cell r="Z96" t="str">
            <v>94110</v>
          </cell>
          <cell r="AA96" t="str">
            <v>ARCUEIL</v>
          </cell>
          <cell r="AC96">
            <v>13539.76</v>
          </cell>
          <cell r="AD96">
            <v>1151.93</v>
          </cell>
          <cell r="AF96">
            <v>14691.69</v>
          </cell>
          <cell r="AI96">
            <v>7390.2899999999991</v>
          </cell>
          <cell r="AJ96">
            <v>0.57170026110047056</v>
          </cell>
          <cell r="AK96">
            <v>400.36</v>
          </cell>
          <cell r="AL96">
            <v>0.74610945969575093</v>
          </cell>
          <cell r="AN96">
            <v>7790.6499999999987</v>
          </cell>
          <cell r="AO96">
            <v>10906.909999999998</v>
          </cell>
          <cell r="AP96">
            <v>-0.25761365778885903</v>
          </cell>
          <cell r="AQ96" t="str">
            <v>024-G-94MONTELEM</v>
          </cell>
          <cell r="AZ96">
            <v>8129.3189999999995</v>
          </cell>
          <cell r="BA96">
            <v>440.39600000000007</v>
          </cell>
          <cell r="BB96">
            <v>0</v>
          </cell>
        </row>
        <row r="97">
          <cell r="A97">
            <v>522415</v>
          </cell>
          <cell r="B97" t="str">
            <v>PETREL</v>
          </cell>
          <cell r="C97">
            <v>0.1</v>
          </cell>
          <cell r="D97">
            <v>0.1</v>
          </cell>
          <cell r="E97">
            <v>0.02</v>
          </cell>
          <cell r="F97">
            <v>41275</v>
          </cell>
          <cell r="H97" t="str">
            <v>TS+75 / 165%</v>
          </cell>
          <cell r="I97">
            <v>0</v>
          </cell>
          <cell r="K97">
            <v>0</v>
          </cell>
          <cell r="L97" t="str">
            <v>OK</v>
          </cell>
          <cell r="M97" t="str">
            <v>OK</v>
          </cell>
          <cell r="P97" t="str">
            <v>Non affecté</v>
          </cell>
          <cell r="Q97" t="str">
            <v>FP</v>
          </cell>
          <cell r="R97" t="str">
            <v>Ok mon client</v>
          </cell>
          <cell r="S97" t="str">
            <v>MOISSY CRAMAYEL</v>
          </cell>
          <cell r="T97" t="str">
            <v>91</v>
          </cell>
          <cell r="U97" t="str">
            <v>21 rue des Cerisiers</v>
          </cell>
          <cell r="V97" t="str">
            <v>91090</v>
          </cell>
          <cell r="W97" t="str">
            <v>LISSES</v>
          </cell>
          <cell r="X97" t="str">
            <v xml:space="preserve">Mme </v>
          </cell>
          <cell r="Y97" t="str">
            <v>GRUET</v>
          </cell>
          <cell r="Z97" t="str">
            <v>91090</v>
          </cell>
          <cell r="AA97" t="str">
            <v>LISSES</v>
          </cell>
          <cell r="AD97">
            <v>3428.9400000000005</v>
          </cell>
          <cell r="AF97">
            <v>3428.9400000000005</v>
          </cell>
          <cell r="AG97">
            <v>4935.83</v>
          </cell>
          <cell r="AH97">
            <v>0.42461447451565631</v>
          </cell>
          <cell r="AI97">
            <v>515.68000000000006</v>
          </cell>
          <cell r="AJ97">
            <v>0.58462612472851383</v>
          </cell>
          <cell r="AK97">
            <v>2138.48</v>
          </cell>
          <cell r="AL97">
            <v>0.62011784000485937</v>
          </cell>
          <cell r="AN97">
            <v>7589.99</v>
          </cell>
          <cell r="AO97">
            <v>10625.985999999999</v>
          </cell>
          <cell r="AP97">
            <v>2.0989127835424353</v>
          </cell>
          <cell r="AQ97" t="str">
            <v>024-G-91PETREL</v>
          </cell>
          <cell r="AR97" t="str">
            <v>024-L-91PETREL</v>
          </cell>
          <cell r="AZ97">
            <v>567.24800000000016</v>
          </cell>
          <cell r="BA97">
            <v>2352.3280000000004</v>
          </cell>
          <cell r="BB97">
            <v>5034.5465999999997</v>
          </cell>
        </row>
        <row r="98">
          <cell r="A98">
            <v>1823</v>
          </cell>
          <cell r="B98" t="str">
            <v>MANDELLI SETRA</v>
          </cell>
          <cell r="H98" t="str">
            <v>démarrage</v>
          </cell>
          <cell r="I98">
            <v>0</v>
          </cell>
          <cell r="K98">
            <v>0</v>
          </cell>
          <cell r="M98" t="str">
            <v>NON</v>
          </cell>
          <cell r="P98" t="str">
            <v>Non affecté</v>
          </cell>
          <cell r="Q98" t="str">
            <v>SM</v>
          </cell>
          <cell r="R98" t="str">
            <v>Ok mon client</v>
          </cell>
          <cell r="S98" t="str">
            <v>MOISSY CRAMAYEL</v>
          </cell>
          <cell r="T98" t="str">
            <v>10</v>
          </cell>
          <cell r="U98" t="str">
            <v>39 RUE EDMOND FARIAT</v>
          </cell>
          <cell r="V98">
            <v>10000</v>
          </cell>
          <cell r="W98" t="str">
            <v>TROYES</v>
          </cell>
          <cell r="X98" t="str">
            <v>M.</v>
          </cell>
          <cell r="Y98" t="str">
            <v>ABRANTES</v>
          </cell>
          <cell r="Z98" t="str">
            <v>10000</v>
          </cell>
          <cell r="AA98" t="str">
            <v>TROYES</v>
          </cell>
          <cell r="AI98">
            <v>7560.51</v>
          </cell>
          <cell r="AJ98">
            <v>0.27555274650814343</v>
          </cell>
          <cell r="AN98">
            <v>7560.51</v>
          </cell>
          <cell r="AO98">
            <v>10584.714</v>
          </cell>
          <cell r="AQ98" t="str">
            <v>024-G-10MANDELLI-SETRA</v>
          </cell>
          <cell r="AR98" t="str">
            <v>024-L-77MANDELLISETRA</v>
          </cell>
          <cell r="AS98">
            <v>39225</v>
          </cell>
          <cell r="AZ98">
            <v>7560.51</v>
          </cell>
          <cell r="BA98">
            <v>0</v>
          </cell>
          <cell r="BB98">
            <v>0</v>
          </cell>
        </row>
        <row r="99">
          <cell r="A99">
            <v>583097</v>
          </cell>
          <cell r="B99" t="str">
            <v>WAGRAM MUSIC DISTRIBUTION</v>
          </cell>
          <cell r="C99">
            <v>0.1</v>
          </cell>
          <cell r="D99">
            <v>0.1</v>
          </cell>
          <cell r="E99">
            <v>0.02</v>
          </cell>
          <cell r="F99">
            <v>41275</v>
          </cell>
          <cell r="H99" t="str">
            <v>TS+75 / 75%</v>
          </cell>
          <cell r="I99">
            <v>0</v>
          </cell>
          <cell r="K99">
            <v>0</v>
          </cell>
          <cell r="L99" t="str">
            <v>OK</v>
          </cell>
          <cell r="M99" t="str">
            <v>OK</v>
          </cell>
          <cell r="P99" t="str">
            <v>Non affecté</v>
          </cell>
          <cell r="Q99" t="str">
            <v>FP</v>
          </cell>
          <cell r="R99" t="str">
            <v>Ok mon client</v>
          </cell>
          <cell r="S99" t="str">
            <v>MOISSY CRAMAYEL</v>
          </cell>
          <cell r="T99" t="str">
            <v>91</v>
          </cell>
          <cell r="U99" t="str">
            <v>10 RUE DOCTEUR CHARCOT</v>
          </cell>
          <cell r="V99">
            <v>91420</v>
          </cell>
          <cell r="W99" t="str">
            <v>MORANGIS</v>
          </cell>
          <cell r="X99" t="str">
            <v>M.</v>
          </cell>
          <cell r="Y99" t="str">
            <v xml:space="preserve">VIGNOLLE </v>
          </cell>
          <cell r="Z99" t="str">
            <v>91420</v>
          </cell>
          <cell r="AA99" t="str">
            <v>MORANGIS</v>
          </cell>
          <cell r="AB99">
            <v>3555.05</v>
          </cell>
          <cell r="AD99">
            <v>435.99</v>
          </cell>
          <cell r="AF99">
            <v>3991.04</v>
          </cell>
          <cell r="AG99">
            <v>4244.43</v>
          </cell>
          <cell r="AH99">
            <v>8.4479735363857417E-2</v>
          </cell>
          <cell r="AK99">
            <v>3084.7700000000004</v>
          </cell>
          <cell r="AL99">
            <v>0.23398026120384607</v>
          </cell>
          <cell r="AN99">
            <v>7329.2000000000007</v>
          </cell>
          <cell r="AO99">
            <v>10260.880000000001</v>
          </cell>
          <cell r="AP99">
            <v>1.5709789929441951</v>
          </cell>
          <cell r="AQ99" t="str">
            <v>024-G-91WAGRAM</v>
          </cell>
          <cell r="AR99" t="str">
            <v>024-L-91WAGRAM</v>
          </cell>
          <cell r="AS99">
            <v>40679</v>
          </cell>
          <cell r="AZ99">
            <v>0</v>
          </cell>
          <cell r="BA99">
            <v>3393.2470000000008</v>
          </cell>
          <cell r="BB99">
            <v>4329.3186000000005</v>
          </cell>
        </row>
        <row r="100">
          <cell r="A100">
            <v>691478</v>
          </cell>
          <cell r="B100" t="str">
            <v>ROBUSCHI FRANCE SARL</v>
          </cell>
          <cell r="C100">
            <v>0.1</v>
          </cell>
          <cell r="D100">
            <v>0.1</v>
          </cell>
          <cell r="E100">
            <v>0.02</v>
          </cell>
          <cell r="F100">
            <v>41275</v>
          </cell>
          <cell r="H100">
            <v>0.75</v>
          </cell>
          <cell r="I100">
            <v>0</v>
          </cell>
          <cell r="K100">
            <v>0</v>
          </cell>
          <cell r="L100" t="str">
            <v>OK</v>
          </cell>
          <cell r="M100" t="str">
            <v>OK</v>
          </cell>
          <cell r="P100" t="str">
            <v>Non affecté</v>
          </cell>
          <cell r="Q100" t="str">
            <v>FR</v>
          </cell>
          <cell r="R100" t="str">
            <v>Ok mon client</v>
          </cell>
          <cell r="S100" t="str">
            <v>MOISSY CRAMAYEL</v>
          </cell>
          <cell r="T100" t="str">
            <v>77</v>
          </cell>
          <cell r="U100" t="str">
            <v>6 RUE DE LA GRANDE BORNE</v>
          </cell>
          <cell r="V100" t="str">
            <v>77990</v>
          </cell>
          <cell r="W100" t="str">
            <v>LE MESNIL AMELOT</v>
          </cell>
          <cell r="X100" t="str">
            <v>Mme</v>
          </cell>
          <cell r="Y100" t="str">
            <v>AMELIA ALVES</v>
          </cell>
          <cell r="Z100" t="str">
            <v>77990</v>
          </cell>
          <cell r="AA100" t="str">
            <v>LE MESNIL AMELOT</v>
          </cell>
          <cell r="AB100">
            <v>12998</v>
          </cell>
          <cell r="AF100">
            <v>12998</v>
          </cell>
          <cell r="AG100">
            <v>7269.87</v>
          </cell>
          <cell r="AH100">
            <v>0.21242740207714561</v>
          </cell>
          <cell r="AK100">
            <v>45.11</v>
          </cell>
          <cell r="AL100">
            <v>0.45843493682110398</v>
          </cell>
          <cell r="AN100">
            <v>7314.98</v>
          </cell>
          <cell r="AO100">
            <v>10240.971999999998</v>
          </cell>
          <cell r="AP100">
            <v>-0.21211170949376845</v>
          </cell>
          <cell r="AQ100" t="str">
            <v>024-G-77ROBUSCHI</v>
          </cell>
          <cell r="AR100" t="str">
            <v>024-L-77ROBUSCHI</v>
          </cell>
          <cell r="AS100">
            <v>39729</v>
          </cell>
          <cell r="AZ100">
            <v>0</v>
          </cell>
          <cell r="BA100">
            <v>49.621000000000002</v>
          </cell>
          <cell r="BB100">
            <v>7415.2673999999997</v>
          </cell>
        </row>
        <row r="101">
          <cell r="A101">
            <v>864537</v>
          </cell>
          <cell r="B101" t="str">
            <v>CODIMAG</v>
          </cell>
          <cell r="E101">
            <v>1.4999999999999999E-2</v>
          </cell>
          <cell r="F101">
            <v>41275</v>
          </cell>
          <cell r="H101" t="str">
            <v xml:space="preserve">PAS DE CONTRAT DANS INES / COTATION </v>
          </cell>
          <cell r="I101" t="str">
            <v>A faire</v>
          </cell>
          <cell r="K101">
            <v>0</v>
          </cell>
          <cell r="M101" t="str">
            <v>OK</v>
          </cell>
          <cell r="P101" t="str">
            <v>Non affecté</v>
          </cell>
          <cell r="Q101" t="str">
            <v>FP</v>
          </cell>
          <cell r="R101" t="str">
            <v>Ok mon client</v>
          </cell>
          <cell r="S101" t="str">
            <v>MOISSY CRAMAYEL</v>
          </cell>
          <cell r="T101" t="str">
            <v>91</v>
          </cell>
          <cell r="U101" t="str">
            <v>2 RUE LOUIS NICOLAS ROBERT</v>
          </cell>
          <cell r="V101">
            <v>91070</v>
          </cell>
          <cell r="W101" t="str">
            <v>BONDOUFLE</v>
          </cell>
          <cell r="Z101" t="str">
            <v>91070</v>
          </cell>
          <cell r="AA101" t="str">
            <v>BONDOUFLE</v>
          </cell>
          <cell r="AB101">
            <v>1396</v>
          </cell>
          <cell r="AF101">
            <v>1396</v>
          </cell>
          <cell r="AG101">
            <v>6695</v>
          </cell>
          <cell r="AH101">
            <v>0.14311926605504588</v>
          </cell>
          <cell r="AN101">
            <v>6695</v>
          </cell>
          <cell r="AO101">
            <v>9373</v>
          </cell>
          <cell r="AP101">
            <v>5.7141833810888256</v>
          </cell>
          <cell r="AZ101">
            <v>0</v>
          </cell>
          <cell r="BA101">
            <v>0</v>
          </cell>
          <cell r="BB101">
            <v>6795.4249999999993</v>
          </cell>
        </row>
        <row r="102">
          <cell r="A102">
            <v>614232</v>
          </cell>
          <cell r="B102" t="str">
            <v>KIT AVU</v>
          </cell>
          <cell r="H102" t="str">
            <v>nouveaux tarifs faient en novembre pour developpement</v>
          </cell>
          <cell r="I102">
            <v>0</v>
          </cell>
          <cell r="K102">
            <v>0</v>
          </cell>
          <cell r="M102" t="str">
            <v>NON</v>
          </cell>
          <cell r="P102" t="str">
            <v>Non affecté</v>
          </cell>
          <cell r="Q102" t="str">
            <v>FR</v>
          </cell>
          <cell r="R102" t="str">
            <v>Ok mon client</v>
          </cell>
          <cell r="S102" t="str">
            <v>MOISSY CRAMAYEL</v>
          </cell>
          <cell r="T102" t="str">
            <v>77</v>
          </cell>
          <cell r="U102" t="str">
            <v>2 Ter Rue Denis Papin</v>
          </cell>
          <cell r="V102" t="str">
            <v>77680</v>
          </cell>
          <cell r="W102" t="str">
            <v>ROISSY EN BRIE</v>
          </cell>
          <cell r="X102" t="str">
            <v>M.</v>
          </cell>
          <cell r="Y102" t="str">
            <v>PRIGENT</v>
          </cell>
          <cell r="Z102" t="str">
            <v>77680</v>
          </cell>
          <cell r="AA102" t="str">
            <v>ROISSY EN BRIE</v>
          </cell>
          <cell r="AB102">
            <v>7727.1100000000006</v>
          </cell>
          <cell r="AC102">
            <v>275.12</v>
          </cell>
          <cell r="AF102">
            <v>8002.2300000000005</v>
          </cell>
          <cell r="AG102">
            <v>6031.4699999999993</v>
          </cell>
          <cell r="AH102">
            <v>0.4261665422940169</v>
          </cell>
          <cell r="AI102">
            <v>620.70000000000005</v>
          </cell>
          <cell r="AJ102">
            <v>0.79752336726796458</v>
          </cell>
          <cell r="AN102">
            <v>6652.1699999999992</v>
          </cell>
          <cell r="AO102">
            <v>9313.0379999999986</v>
          </cell>
          <cell r="AP102">
            <v>0.1638053392616805</v>
          </cell>
          <cell r="AQ102" t="str">
            <v>024-G-77KIT</v>
          </cell>
          <cell r="AR102" t="str">
            <v>024-L-77KITAVU</v>
          </cell>
          <cell r="AZ102">
            <v>620.70000000000005</v>
          </cell>
          <cell r="BA102">
            <v>0</v>
          </cell>
          <cell r="BB102">
            <v>6031.4699999999993</v>
          </cell>
        </row>
        <row r="103">
          <cell r="A103">
            <v>831542</v>
          </cell>
          <cell r="B103" t="str">
            <v>FRANCE ETUVES</v>
          </cell>
          <cell r="C103">
            <v>0.1</v>
          </cell>
          <cell r="D103">
            <v>0.1</v>
          </cell>
          <cell r="E103">
            <v>0.02</v>
          </cell>
          <cell r="F103">
            <v>41275</v>
          </cell>
          <cell r="H103">
            <v>0.75</v>
          </cell>
          <cell r="I103">
            <v>0</v>
          </cell>
          <cell r="K103">
            <v>0</v>
          </cell>
          <cell r="L103" t="str">
            <v>OK</v>
          </cell>
          <cell r="M103" t="str">
            <v>OK</v>
          </cell>
          <cell r="O103" t="str">
            <v>Porte Feuille</v>
          </cell>
          <cell r="P103" t="str">
            <v>Non affecté</v>
          </cell>
          <cell r="Q103" t="str">
            <v>FR</v>
          </cell>
          <cell r="R103" t="str">
            <v>Ok mon client</v>
          </cell>
          <cell r="S103" t="str">
            <v>MOISSY CRAMAYEL</v>
          </cell>
          <cell r="T103" t="str">
            <v>77</v>
          </cell>
          <cell r="U103" t="str">
            <v>67,RUE AUGUSTE MEUNIER</v>
          </cell>
          <cell r="V103" t="str">
            <v>77500</v>
          </cell>
          <cell r="W103" t="str">
            <v>CHELLES</v>
          </cell>
          <cell r="X103" t="str">
            <v>M.</v>
          </cell>
          <cell r="Y103" t="str">
            <v>Philippe Lecoroller</v>
          </cell>
          <cell r="Z103" t="str">
            <v>77500</v>
          </cell>
          <cell r="AA103" t="str">
            <v>CHELLES</v>
          </cell>
          <cell r="AB103">
            <v>11581.05</v>
          </cell>
          <cell r="AC103">
            <v>10517.500000000002</v>
          </cell>
          <cell r="AD103">
            <v>827.76</v>
          </cell>
          <cell r="AF103">
            <v>22926.31</v>
          </cell>
          <cell r="AI103">
            <v>5164.29</v>
          </cell>
          <cell r="AJ103">
            <v>0.49236515491014959</v>
          </cell>
          <cell r="AK103">
            <v>1475.74</v>
          </cell>
          <cell r="AL103">
            <v>0.96348950357108987</v>
          </cell>
          <cell r="AN103">
            <v>6640.03</v>
          </cell>
          <cell r="AO103">
            <v>9296.0419999999995</v>
          </cell>
          <cell r="AP103">
            <v>-0.59452515472398315</v>
          </cell>
          <cell r="AQ103" t="str">
            <v>024-G-77FRANCEETUVES</v>
          </cell>
          <cell r="AR103" t="str">
            <v>024-L-77FRANCEETUVES</v>
          </cell>
          <cell r="AS103">
            <v>40388</v>
          </cell>
          <cell r="AZ103">
            <v>5680.7190000000001</v>
          </cell>
          <cell r="BA103">
            <v>1623.3140000000001</v>
          </cell>
          <cell r="BB103">
            <v>0</v>
          </cell>
        </row>
        <row r="104">
          <cell r="A104">
            <v>49350</v>
          </cell>
          <cell r="B104" t="str">
            <v>LINDQVIST INTERNATIONAL</v>
          </cell>
          <cell r="C104">
            <v>0.1</v>
          </cell>
          <cell r="D104">
            <v>0.1</v>
          </cell>
          <cell r="E104">
            <v>0.02</v>
          </cell>
          <cell r="F104">
            <v>41275</v>
          </cell>
          <cell r="H104">
            <v>0.75</v>
          </cell>
          <cell r="I104">
            <v>0</v>
          </cell>
          <cell r="K104">
            <v>0</v>
          </cell>
          <cell r="L104" t="str">
            <v>OK</v>
          </cell>
          <cell r="M104" t="str">
            <v>OK</v>
          </cell>
          <cell r="P104" t="str">
            <v>Non affecté</v>
          </cell>
          <cell r="Q104" t="str">
            <v>FP</v>
          </cell>
          <cell r="R104" t="str">
            <v>Ok mon client</v>
          </cell>
          <cell r="S104" t="str">
            <v>MOISSY CRAMAYEL</v>
          </cell>
          <cell r="T104" t="str">
            <v>91</v>
          </cell>
          <cell r="U104" t="str">
            <v>5 RUE GUTENBERG  
ZI LA MARINIERE</v>
          </cell>
          <cell r="V104" t="str">
            <v>91070</v>
          </cell>
          <cell r="W104" t="str">
            <v>BONDOUFLE</v>
          </cell>
          <cell r="X104" t="str">
            <v>Mme</v>
          </cell>
          <cell r="Y104" t="str">
            <v>FERMON</v>
          </cell>
          <cell r="Z104" t="str">
            <v>91070</v>
          </cell>
          <cell r="AA104" t="str">
            <v>BONDOUFLE</v>
          </cell>
          <cell r="AC104">
            <v>490.56000000000006</v>
          </cell>
          <cell r="AD104">
            <v>825.2</v>
          </cell>
          <cell r="AF104">
            <v>1315.7600000000002</v>
          </cell>
          <cell r="AG104">
            <v>1275</v>
          </cell>
          <cell r="AH104">
            <v>0.25490196078431371</v>
          </cell>
          <cell r="AI104">
            <v>2614.25</v>
          </cell>
          <cell r="AJ104">
            <v>0.6634204953564482</v>
          </cell>
          <cell r="AK104">
            <v>2280.44</v>
          </cell>
          <cell r="AL104">
            <v>0.65497952252522218</v>
          </cell>
          <cell r="AN104">
            <v>6169.6900000000005</v>
          </cell>
          <cell r="AO104">
            <v>8637.5660000000007</v>
          </cell>
          <cell r="AP104">
            <v>5.5646972092174858</v>
          </cell>
          <cell r="AQ104" t="str">
            <v>024-G-91LINDQVIST</v>
          </cell>
          <cell r="AZ104">
            <v>2875.6750000000002</v>
          </cell>
          <cell r="BA104">
            <v>2508.4840000000004</v>
          </cell>
          <cell r="BB104">
            <v>1300.5</v>
          </cell>
        </row>
        <row r="105">
          <cell r="A105">
            <v>434333</v>
          </cell>
          <cell r="B105" t="str">
            <v>OFF ROAD ATTITUDE</v>
          </cell>
          <cell r="C105">
            <v>0.1</v>
          </cell>
          <cell r="D105">
            <v>0.1</v>
          </cell>
          <cell r="E105">
            <v>0.02</v>
          </cell>
          <cell r="F105">
            <v>41348</v>
          </cell>
          <cell r="I105">
            <v>0</v>
          </cell>
          <cell r="K105">
            <v>0</v>
          </cell>
          <cell r="L105" t="str">
            <v>OK</v>
          </cell>
          <cell r="M105" t="str">
            <v>OK</v>
          </cell>
          <cell r="N105" t="str">
            <v>Non affecté</v>
          </cell>
          <cell r="O105" t="str">
            <v>FR</v>
          </cell>
          <cell r="R105" t="str">
            <v>Client ORL</v>
          </cell>
          <cell r="S105" t="str">
            <v>MOISSY CRAMAYEL</v>
          </cell>
          <cell r="T105" t="str">
            <v>77</v>
          </cell>
          <cell r="U105" t="str">
            <v>ZA DU BOIS DES PLACES</v>
          </cell>
          <cell r="V105">
            <v>77620</v>
          </cell>
          <cell r="W105" t="str">
            <v>EGREVILLE</v>
          </cell>
          <cell r="X105" t="str">
            <v>M.</v>
          </cell>
          <cell r="Y105" t="str">
            <v>RICHARD</v>
          </cell>
          <cell r="Z105" t="str">
            <v>77620</v>
          </cell>
          <cell r="AA105" t="str">
            <v>EGREVILLE</v>
          </cell>
          <cell r="AC105">
            <v>7353.6399999999994</v>
          </cell>
          <cell r="AD105">
            <v>2420.71</v>
          </cell>
          <cell r="AF105">
            <v>9774.3499999999985</v>
          </cell>
          <cell r="AI105">
            <v>4807.1400000000003</v>
          </cell>
          <cell r="AJ105">
            <v>0.44261450158135168</v>
          </cell>
          <cell r="AK105">
            <v>1230.5999999999999</v>
          </cell>
          <cell r="AL105">
            <v>0.39510801174496646</v>
          </cell>
          <cell r="AN105">
            <v>6037.74</v>
          </cell>
          <cell r="AO105">
            <v>8452.8359999999993</v>
          </cell>
          <cell r="AP105">
            <v>-0.13520223851202373</v>
          </cell>
          <cell r="AQ105" t="str">
            <v>024-G-77OFFROAD</v>
          </cell>
          <cell r="AS105">
            <v>38734</v>
          </cell>
          <cell r="AZ105">
            <v>5287.8540000000012</v>
          </cell>
          <cell r="BA105">
            <v>1353.66</v>
          </cell>
          <cell r="BB105">
            <v>0</v>
          </cell>
        </row>
        <row r="106">
          <cell r="A106">
            <v>688962</v>
          </cell>
          <cell r="B106" t="str">
            <v>YELLOZ INDUSTRY</v>
          </cell>
          <cell r="C106">
            <v>0.1</v>
          </cell>
          <cell r="D106">
            <v>0.1</v>
          </cell>
          <cell r="E106">
            <v>0.02</v>
          </cell>
          <cell r="F106">
            <v>41275</v>
          </cell>
          <cell r="H106">
            <v>0.75</v>
          </cell>
          <cell r="I106">
            <v>0</v>
          </cell>
          <cell r="K106">
            <v>0</v>
          </cell>
          <cell r="L106" t="str">
            <v>OK</v>
          </cell>
          <cell r="M106" t="str">
            <v>OK</v>
          </cell>
          <cell r="P106" t="str">
            <v>Non affecté</v>
          </cell>
          <cell r="Q106" t="str">
            <v>FP</v>
          </cell>
          <cell r="R106" t="str">
            <v>Ok mon client</v>
          </cell>
          <cell r="S106" t="str">
            <v>MOISSY CRAMAYEL</v>
          </cell>
          <cell r="T106" t="str">
            <v>91</v>
          </cell>
          <cell r="U106" t="str">
            <v>110 av, de Verdun</v>
          </cell>
          <cell r="V106" t="str">
            <v>91520</v>
          </cell>
          <cell r="W106" t="str">
            <v>EGLY</v>
          </cell>
          <cell r="Y106" t="str">
            <v>Directeur Logistique et Transports</v>
          </cell>
          <cell r="Z106" t="str">
            <v>91520</v>
          </cell>
          <cell r="AA106" t="str">
            <v>EGLY</v>
          </cell>
          <cell r="AB106">
            <v>380.38</v>
          </cell>
          <cell r="AC106">
            <v>7539.0500000000011</v>
          </cell>
          <cell r="AD106">
            <v>2402.5700000000002</v>
          </cell>
          <cell r="AF106">
            <v>10322.000000000002</v>
          </cell>
          <cell r="AI106">
            <v>5089.22</v>
          </cell>
          <cell r="AJ106">
            <v>0.76316606474076576</v>
          </cell>
          <cell r="AK106">
            <v>943.04</v>
          </cell>
          <cell r="AL106">
            <v>0.62871046228710459</v>
          </cell>
          <cell r="AN106">
            <v>6032.26</v>
          </cell>
          <cell r="AO106">
            <v>8445.1640000000007</v>
          </cell>
          <cell r="AP106">
            <v>-0.18182871536523937</v>
          </cell>
          <cell r="AQ106" t="str">
            <v>024-G-91CABELEC</v>
          </cell>
          <cell r="AZ106">
            <v>5598.1420000000007</v>
          </cell>
          <cell r="BA106">
            <v>1037.3440000000001</v>
          </cell>
          <cell r="BB106">
            <v>0</v>
          </cell>
        </row>
        <row r="107">
          <cell r="A107">
            <v>68870</v>
          </cell>
          <cell r="B107" t="str">
            <v>TECHNIQUE BETON</v>
          </cell>
          <cell r="H107" t="str">
            <v>démarrage</v>
          </cell>
          <cell r="I107">
            <v>0</v>
          </cell>
          <cell r="K107">
            <v>0</v>
          </cell>
          <cell r="M107" t="str">
            <v>NON</v>
          </cell>
          <cell r="P107" t="str">
            <v>Non affecté</v>
          </cell>
          <cell r="Q107" t="str">
            <v>FR</v>
          </cell>
          <cell r="R107" t="str">
            <v>Ok mon client</v>
          </cell>
          <cell r="S107" t="str">
            <v>MOISSY CRAMAYEL</v>
          </cell>
          <cell r="T107" t="str">
            <v>77</v>
          </cell>
          <cell r="U107" t="str">
            <v>ZI AVENUE ALBERT EINSTEIN</v>
          </cell>
          <cell r="V107">
            <v>77552</v>
          </cell>
          <cell r="W107" t="str">
            <v>MOISSY CRAMAYEL</v>
          </cell>
          <cell r="X107" t="str">
            <v>M. EL JID</v>
          </cell>
          <cell r="Y107" t="str">
            <v>Mehdi</v>
          </cell>
          <cell r="Z107" t="str">
            <v>77552</v>
          </cell>
          <cell r="AA107" t="str">
            <v>MOISSY CRAMAYEL</v>
          </cell>
          <cell r="AG107">
            <v>698.43000000000006</v>
          </cell>
          <cell r="AH107">
            <v>0.1122947181535731</v>
          </cell>
          <cell r="AI107">
            <v>5323.6399999999994</v>
          </cell>
          <cell r="AJ107">
            <v>0.2945803411747262</v>
          </cell>
          <cell r="AN107">
            <v>6022.07</v>
          </cell>
          <cell r="AO107">
            <v>8430.8979999999992</v>
          </cell>
          <cell r="AQ107" t="str">
            <v>024-G-77TECHBETON</v>
          </cell>
          <cell r="AR107" t="str">
            <v>024-L-77TECHBETON</v>
          </cell>
          <cell r="AZ107">
            <v>5323.6399999999994</v>
          </cell>
          <cell r="BA107">
            <v>0</v>
          </cell>
          <cell r="BB107">
            <v>698.43000000000006</v>
          </cell>
        </row>
        <row r="108">
          <cell r="A108">
            <v>434109</v>
          </cell>
          <cell r="B108" t="str">
            <v>K.P  INDUSTRIES</v>
          </cell>
          <cell r="C108">
            <v>0.1</v>
          </cell>
          <cell r="D108">
            <v>0.1</v>
          </cell>
          <cell r="E108">
            <v>0.02</v>
          </cell>
          <cell r="F108">
            <v>41275</v>
          </cell>
          <cell r="H108">
            <v>0.75</v>
          </cell>
          <cell r="I108">
            <v>0</v>
          </cell>
          <cell r="K108">
            <v>0</v>
          </cell>
          <cell r="L108" t="str">
            <v>OK</v>
          </cell>
          <cell r="M108" t="str">
            <v>OK</v>
          </cell>
          <cell r="O108" t="str">
            <v>Porte Feuille</v>
          </cell>
          <cell r="P108" t="str">
            <v>Non affecté</v>
          </cell>
          <cell r="Q108" t="str">
            <v>FR</v>
          </cell>
          <cell r="R108" t="str">
            <v>Ok mon client</v>
          </cell>
          <cell r="S108" t="str">
            <v>MOISSY CRAMAYEL</v>
          </cell>
          <cell r="T108" t="str">
            <v>77</v>
          </cell>
          <cell r="U108" t="str">
            <v>8 RUE GUTTENBERG</v>
          </cell>
          <cell r="V108" t="str">
            <v>77440</v>
          </cell>
          <cell r="W108" t="str">
            <v>LIZY SUR OURCQ</v>
          </cell>
          <cell r="X108" t="str">
            <v>M.</v>
          </cell>
          <cell r="Y108" t="str">
            <v>KORINEK</v>
          </cell>
          <cell r="Z108" t="str">
            <v>77440</v>
          </cell>
          <cell r="AA108" t="str">
            <v>LIZY SUR OURCQ</v>
          </cell>
          <cell r="AC108">
            <v>5990.3200000000006</v>
          </cell>
          <cell r="AD108">
            <v>15362.91</v>
          </cell>
          <cell r="AF108">
            <v>21353.23</v>
          </cell>
          <cell r="AG108">
            <v>372</v>
          </cell>
          <cell r="AH108">
            <v>0.15322580645161291</v>
          </cell>
          <cell r="AI108">
            <v>1987.0900000000001</v>
          </cell>
          <cell r="AJ108">
            <v>0.5504899940590563</v>
          </cell>
          <cell r="AK108">
            <v>3589.72</v>
          </cell>
          <cell r="AL108">
            <v>0.51907497323106133</v>
          </cell>
          <cell r="AN108">
            <v>5948.8099999999995</v>
          </cell>
          <cell r="AO108">
            <v>8328.3339999999989</v>
          </cell>
          <cell r="AP108">
            <v>-0.60997310477150302</v>
          </cell>
          <cell r="AQ108" t="str">
            <v>024-G-77KP</v>
          </cell>
          <cell r="AS108">
            <v>38734</v>
          </cell>
          <cell r="AZ108">
            <v>2185.7990000000004</v>
          </cell>
          <cell r="BA108">
            <v>3948.692</v>
          </cell>
          <cell r="BB108">
            <v>379.44</v>
          </cell>
        </row>
        <row r="109">
          <cell r="A109">
            <v>540871</v>
          </cell>
          <cell r="B109" t="str">
            <v>G  PERSON LABORATOIRE</v>
          </cell>
          <cell r="C109">
            <v>0.1</v>
          </cell>
          <cell r="D109">
            <v>0.1</v>
          </cell>
          <cell r="E109">
            <v>0.02</v>
          </cell>
          <cell r="F109">
            <v>41275</v>
          </cell>
          <cell r="H109">
            <v>0.75</v>
          </cell>
          <cell r="I109">
            <v>0</v>
          </cell>
          <cell r="K109">
            <v>0</v>
          </cell>
          <cell r="L109" t="str">
            <v>OK</v>
          </cell>
          <cell r="M109" t="str">
            <v>OK</v>
          </cell>
          <cell r="P109" t="str">
            <v>Non affecté</v>
          </cell>
          <cell r="Q109" t="str">
            <v>FR</v>
          </cell>
          <cell r="R109" t="str">
            <v>Ok mon client</v>
          </cell>
          <cell r="S109" t="str">
            <v>MOISSY CRAMAYEL</v>
          </cell>
          <cell r="T109" t="str">
            <v>77</v>
          </cell>
          <cell r="U109" t="str">
            <v>ZA Lavoisier</v>
          </cell>
          <cell r="V109" t="str">
            <v>77220</v>
          </cell>
          <cell r="W109" t="str">
            <v>PRESLES EN BRIE</v>
          </cell>
          <cell r="X109" t="str">
            <v>Mme</v>
          </cell>
          <cell r="Y109" t="str">
            <v>SUIN</v>
          </cell>
          <cell r="Z109" t="str">
            <v>77220</v>
          </cell>
          <cell r="AA109" t="str">
            <v>PRESLES EN BRIE</v>
          </cell>
          <cell r="AC109">
            <v>7869.46</v>
          </cell>
          <cell r="AD109">
            <v>789.04</v>
          </cell>
          <cell r="AF109">
            <v>8658.5</v>
          </cell>
          <cell r="AG109">
            <v>249</v>
          </cell>
          <cell r="AH109">
            <v>0.31726907630522089</v>
          </cell>
          <cell r="AI109">
            <v>5286.77</v>
          </cell>
          <cell r="AJ109">
            <v>0.66101410748792699</v>
          </cell>
          <cell r="AK109">
            <v>398.15999999999997</v>
          </cell>
          <cell r="AL109">
            <v>0.62886451061404747</v>
          </cell>
          <cell r="AN109">
            <v>5933.93</v>
          </cell>
          <cell r="AO109">
            <v>8307.5020000000004</v>
          </cell>
          <cell r="AP109">
            <v>-4.0537968470289232E-2</v>
          </cell>
          <cell r="AQ109" t="str">
            <v>024-G-77PERSON</v>
          </cell>
          <cell r="AZ109">
            <v>5815.447000000001</v>
          </cell>
          <cell r="BA109">
            <v>437.976</v>
          </cell>
          <cell r="BB109">
            <v>253.98000000000002</v>
          </cell>
        </row>
        <row r="110">
          <cell r="A110">
            <v>580945</v>
          </cell>
          <cell r="B110" t="str">
            <v>TELE STOCK MENAGER</v>
          </cell>
          <cell r="C110">
            <v>0.1</v>
          </cell>
          <cell r="D110">
            <v>0.1</v>
          </cell>
          <cell r="E110">
            <v>0.02</v>
          </cell>
          <cell r="F110">
            <v>41275</v>
          </cell>
          <cell r="H110">
            <v>0.75</v>
          </cell>
          <cell r="I110">
            <v>0</v>
          </cell>
          <cell r="K110">
            <v>0</v>
          </cell>
          <cell r="L110" t="str">
            <v>OK</v>
          </cell>
          <cell r="M110" t="str">
            <v>OK</v>
          </cell>
          <cell r="P110" t="str">
            <v>Non affecté</v>
          </cell>
          <cell r="Q110" t="str">
            <v>FP</v>
          </cell>
          <cell r="R110" t="str">
            <v>Ok mon client</v>
          </cell>
          <cell r="S110" t="str">
            <v>MOISSY CRAMAYEL</v>
          </cell>
          <cell r="T110" t="str">
            <v>91</v>
          </cell>
          <cell r="U110" t="str">
            <v>21 RUE DU PETIT FIEF ZAC DE LA CROIX</v>
          </cell>
          <cell r="V110" t="str">
            <v>91700</v>
          </cell>
          <cell r="W110" t="str">
            <v>SAINTE GENEVIEVE DES BOIS</v>
          </cell>
          <cell r="X110" t="str">
            <v>M.</v>
          </cell>
          <cell r="Y110" t="str">
            <v>MERLIER</v>
          </cell>
          <cell r="Z110" t="str">
            <v>91700</v>
          </cell>
          <cell r="AA110" t="str">
            <v>SAINTE GENEVIEVE DES BOIS</v>
          </cell>
          <cell r="AB110">
            <v>1610.74</v>
          </cell>
          <cell r="AC110">
            <v>11883.13</v>
          </cell>
          <cell r="AD110">
            <v>114.18</v>
          </cell>
          <cell r="AF110">
            <v>13608.05</v>
          </cell>
          <cell r="AG110">
            <v>882.71999999999991</v>
          </cell>
          <cell r="AH110">
            <v>0.52419793365959755</v>
          </cell>
          <cell r="AI110">
            <v>4936.13</v>
          </cell>
          <cell r="AJ110">
            <v>0.63513572151358266</v>
          </cell>
          <cell r="AN110">
            <v>5818.85</v>
          </cell>
          <cell r="AO110">
            <v>8146.39</v>
          </cell>
          <cell r="AP110">
            <v>-0.40135508026499012</v>
          </cell>
          <cell r="AQ110" t="str">
            <v>024-G-91TELESTOC</v>
          </cell>
          <cell r="AZ110">
            <v>5429.7430000000004</v>
          </cell>
          <cell r="BA110">
            <v>0</v>
          </cell>
          <cell r="BB110">
            <v>900.37439999999992</v>
          </cell>
        </row>
        <row r="111">
          <cell r="A111">
            <v>818447</v>
          </cell>
          <cell r="B111" t="str">
            <v>PLASTI COULEUR</v>
          </cell>
          <cell r="C111">
            <v>3.5000000000000003E-2</v>
          </cell>
          <cell r="D111">
            <v>3.5000000000000003E-2</v>
          </cell>
          <cell r="E111">
            <v>0</v>
          </cell>
          <cell r="F111">
            <v>41306</v>
          </cell>
          <cell r="I111">
            <v>0</v>
          </cell>
          <cell r="K111">
            <v>0</v>
          </cell>
          <cell r="L111" t="str">
            <v>OK</v>
          </cell>
          <cell r="M111" t="str">
            <v>OK</v>
          </cell>
          <cell r="O111" t="str">
            <v>Porte Feuille</v>
          </cell>
          <cell r="P111" t="str">
            <v>Non affecté</v>
          </cell>
          <cell r="Q111" t="str">
            <v>FR</v>
          </cell>
          <cell r="R111" t="str">
            <v>Ok mon client</v>
          </cell>
          <cell r="S111" t="str">
            <v>MOISSY CRAMAYEL</v>
          </cell>
          <cell r="T111" t="str">
            <v>77</v>
          </cell>
          <cell r="U111" t="str">
            <v>32 RUE DE VERDUN</v>
          </cell>
          <cell r="V111" t="str">
            <v>77181</v>
          </cell>
          <cell r="W111" t="str">
            <v>LE PIN</v>
          </cell>
          <cell r="X111" t="str">
            <v>Mme</v>
          </cell>
          <cell r="Y111" t="str">
            <v xml:space="preserve">Hauben </v>
          </cell>
          <cell r="Z111" t="str">
            <v>77181</v>
          </cell>
          <cell r="AA111" t="str">
            <v>LE PIN</v>
          </cell>
          <cell r="AC111">
            <v>8511.08</v>
          </cell>
          <cell r="AD111">
            <v>485.38000000000005</v>
          </cell>
          <cell r="AF111">
            <v>8996.4599999999991</v>
          </cell>
          <cell r="AI111">
            <v>5598.95</v>
          </cell>
          <cell r="AJ111">
            <v>0.57160222654013326</v>
          </cell>
          <cell r="AK111">
            <v>76.959999999999994</v>
          </cell>
          <cell r="AL111">
            <v>0.84849272349272353</v>
          </cell>
          <cell r="AN111">
            <v>5675.91</v>
          </cell>
          <cell r="AO111">
            <v>7946.2739999999994</v>
          </cell>
          <cell r="AP111">
            <v>-0.1167332484110416</v>
          </cell>
          <cell r="AQ111" t="str">
            <v>024-G-77PLASTI</v>
          </cell>
          <cell r="AS111">
            <v>40142</v>
          </cell>
          <cell r="AZ111">
            <v>5794.9132499999996</v>
          </cell>
          <cell r="BA111">
            <v>79.653599999999983</v>
          </cell>
          <cell r="BB111">
            <v>0</v>
          </cell>
        </row>
        <row r="112">
          <cell r="A112">
            <v>476267</v>
          </cell>
          <cell r="B112" t="str">
            <v>TRIUMPH S.A.S.</v>
          </cell>
          <cell r="C112">
            <v>0.1</v>
          </cell>
          <cell r="D112">
            <v>0.1</v>
          </cell>
          <cell r="E112">
            <v>0.02</v>
          </cell>
          <cell r="F112">
            <v>41334</v>
          </cell>
          <cell r="H112" t="str">
            <v>VU AVEC SERGIO</v>
          </cell>
          <cell r="I112">
            <v>0</v>
          </cell>
          <cell r="K112">
            <v>0</v>
          </cell>
          <cell r="L112" t="str">
            <v>OK</v>
          </cell>
          <cell r="M112" t="str">
            <v>OK</v>
          </cell>
          <cell r="P112" t="str">
            <v>DCM</v>
          </cell>
          <cell r="S112" t="str">
            <v>MOISSY CRAMAYEL</v>
          </cell>
          <cell r="T112" t="str">
            <v>77</v>
          </cell>
          <cell r="U112" t="str">
            <v>19 BOULEVARD GEORGES BIDAULT</v>
          </cell>
          <cell r="V112" t="str">
            <v>77183</v>
          </cell>
          <cell r="W112" t="str">
            <v>CROISSY BEAUBOURG</v>
          </cell>
          <cell r="X112" t="str">
            <v>M.</v>
          </cell>
          <cell r="Y112" t="str">
            <v>Paul HERPET</v>
          </cell>
          <cell r="Z112" t="str">
            <v>77437</v>
          </cell>
          <cell r="AA112" t="str">
            <v>MARNE LA VALLEE</v>
          </cell>
          <cell r="AC112">
            <v>8295.5199999999986</v>
          </cell>
          <cell r="AF112">
            <v>8295.5199999999986</v>
          </cell>
          <cell r="AI112">
            <v>5409.0700000000006</v>
          </cell>
          <cell r="AN112">
            <v>5409.0700000000006</v>
          </cell>
          <cell r="AO112">
            <v>7572.6980000000003</v>
          </cell>
          <cell r="AP112">
            <v>-8.7134019326093881E-2</v>
          </cell>
          <cell r="AQ112" t="str">
            <v>024-G-77TRIUMPH024</v>
          </cell>
          <cell r="AZ112">
            <v>5949.9770000000008</v>
          </cell>
          <cell r="BA112">
            <v>0</v>
          </cell>
          <cell r="BB112">
            <v>0</v>
          </cell>
        </row>
        <row r="113">
          <cell r="A113">
            <v>384946</v>
          </cell>
          <cell r="B113" t="str">
            <v>BOHLER UDDEOLM FRANCE</v>
          </cell>
          <cell r="E113">
            <v>1.4999999999999999E-2</v>
          </cell>
          <cell r="F113">
            <v>41275</v>
          </cell>
          <cell r="H113" t="str">
            <v>PAS DE CONTRAT DANS INES/ A LA COTATION</v>
          </cell>
          <cell r="I113" t="str">
            <v>A faire</v>
          </cell>
          <cell r="K113">
            <v>0</v>
          </cell>
          <cell r="M113" t="str">
            <v>OK</v>
          </cell>
          <cell r="P113" t="str">
            <v>Non affecté</v>
          </cell>
          <cell r="Q113" t="str">
            <v>FR</v>
          </cell>
          <cell r="R113" t="str">
            <v>Ok mon client</v>
          </cell>
          <cell r="S113" t="str">
            <v>MOISSY CRAMAYEL</v>
          </cell>
          <cell r="T113" t="str">
            <v>77</v>
          </cell>
          <cell r="U113" t="str">
            <v>12 RUE MERCIER</v>
          </cell>
          <cell r="V113">
            <v>77290</v>
          </cell>
          <cell r="W113" t="str">
            <v>MITRY MORY</v>
          </cell>
          <cell r="X113" t="str">
            <v xml:space="preserve">Mme </v>
          </cell>
          <cell r="Y113" t="str">
            <v xml:space="preserve">Fatima Nekkab </v>
          </cell>
          <cell r="Z113" t="str">
            <v>77290</v>
          </cell>
          <cell r="AA113" t="str">
            <v>MITRY MORY</v>
          </cell>
          <cell r="AB113">
            <v>7106.95</v>
          </cell>
          <cell r="AF113">
            <v>7106.95</v>
          </cell>
          <cell r="AG113">
            <v>5320</v>
          </cell>
          <cell r="AH113">
            <v>0.73799126637554591</v>
          </cell>
          <cell r="AN113">
            <v>5320</v>
          </cell>
          <cell r="AO113">
            <v>7447.9999999999991</v>
          </cell>
          <cell r="AP113">
            <v>4.7988236866729039E-2</v>
          </cell>
          <cell r="AS113">
            <v>40749</v>
          </cell>
          <cell r="AZ113">
            <v>0</v>
          </cell>
          <cell r="BA113">
            <v>0</v>
          </cell>
          <cell r="BB113">
            <v>5399.7999999999993</v>
          </cell>
        </row>
        <row r="114">
          <cell r="A114">
            <v>516964</v>
          </cell>
          <cell r="B114" t="str">
            <v>KLAXCAR FRANCE</v>
          </cell>
          <cell r="C114">
            <v>0.1</v>
          </cell>
          <cell r="D114">
            <v>0.1</v>
          </cell>
          <cell r="E114">
            <v>0.02</v>
          </cell>
          <cell r="F114">
            <v>41275</v>
          </cell>
          <cell r="H114">
            <v>0.75</v>
          </cell>
          <cell r="I114">
            <v>0</v>
          </cell>
          <cell r="K114">
            <v>0</v>
          </cell>
          <cell r="L114" t="str">
            <v>OK</v>
          </cell>
          <cell r="M114" t="str">
            <v>OK</v>
          </cell>
          <cell r="P114" t="str">
            <v>Non affecté</v>
          </cell>
          <cell r="Q114" t="str">
            <v>FP</v>
          </cell>
          <cell r="R114" t="str">
            <v>Ok mon client</v>
          </cell>
          <cell r="S114" t="str">
            <v>MOISSY CRAMAYEL</v>
          </cell>
          <cell r="T114" t="str">
            <v>91</v>
          </cell>
          <cell r="U114" t="str">
            <v>48 AVENUE DE CHATEAUDUN</v>
          </cell>
          <cell r="V114">
            <v>91410</v>
          </cell>
          <cell r="W114" t="str">
            <v>DOURDAN</v>
          </cell>
          <cell r="X114" t="str">
            <v>Mme</v>
          </cell>
          <cell r="Y114" t="str">
            <v>CRIADO</v>
          </cell>
          <cell r="Z114" t="str">
            <v>91410</v>
          </cell>
          <cell r="AA114" t="str">
            <v>DOURDAN</v>
          </cell>
          <cell r="AB114">
            <v>5993</v>
          </cell>
          <cell r="AD114">
            <v>7955.8399999999983</v>
          </cell>
          <cell r="AF114">
            <v>13948.839999999998</v>
          </cell>
          <cell r="AG114">
            <v>560</v>
          </cell>
          <cell r="AH114">
            <v>0.14285714285714285</v>
          </cell>
          <cell r="AK114">
            <v>4587.05</v>
          </cell>
          <cell r="AL114">
            <v>0.64713884449040993</v>
          </cell>
          <cell r="AN114">
            <v>5147.05</v>
          </cell>
          <cell r="AO114">
            <v>7205.87</v>
          </cell>
          <cell r="AP114">
            <v>-0.48340722239268641</v>
          </cell>
          <cell r="AQ114" t="str">
            <v>001-G-92KLAXCARFRANCE</v>
          </cell>
          <cell r="AR114" t="str">
            <v>001-L-GENERAL-KG</v>
          </cell>
          <cell r="AS114">
            <v>38433</v>
          </cell>
          <cell r="AZ114">
            <v>0</v>
          </cell>
          <cell r="BA114">
            <v>5045.755000000001</v>
          </cell>
          <cell r="BB114">
            <v>571.20000000000005</v>
          </cell>
        </row>
        <row r="115">
          <cell r="A115">
            <v>855600</v>
          </cell>
          <cell r="B115" t="str">
            <v>LEUZE ELECTRONIC</v>
          </cell>
          <cell r="C115">
            <v>0.1</v>
          </cell>
          <cell r="D115">
            <v>0.1</v>
          </cell>
          <cell r="E115">
            <v>0.02</v>
          </cell>
          <cell r="F115">
            <v>41275</v>
          </cell>
          <cell r="H115">
            <v>0.75</v>
          </cell>
          <cell r="I115">
            <v>0</v>
          </cell>
          <cell r="K115">
            <v>0</v>
          </cell>
          <cell r="L115" t="str">
            <v>OK</v>
          </cell>
          <cell r="M115" t="str">
            <v>OK</v>
          </cell>
          <cell r="P115" t="str">
            <v>Non affecté</v>
          </cell>
          <cell r="Q115" t="str">
            <v>FR</v>
          </cell>
          <cell r="R115" t="str">
            <v>Ok mon client</v>
          </cell>
          <cell r="S115" t="str">
            <v>MOISSY CRAMAYEL</v>
          </cell>
          <cell r="T115" t="str">
            <v>77</v>
          </cell>
          <cell r="U115" t="str">
            <v>ZI TORCY NORD  BAT 3</v>
          </cell>
          <cell r="V115" t="str">
            <v>77202</v>
          </cell>
          <cell r="W115" t="str">
            <v>MARNE LA VALLEE CEDEX 1</v>
          </cell>
          <cell r="X115" t="str">
            <v>M.</v>
          </cell>
          <cell r="Y115" t="str">
            <v>VAN DRAVIK</v>
          </cell>
          <cell r="Z115" t="str">
            <v>77202</v>
          </cell>
          <cell r="AA115" t="str">
            <v>MARNE LA VALLEE CEDEX 1</v>
          </cell>
          <cell r="AC115">
            <v>7637.49</v>
          </cell>
          <cell r="AD115">
            <v>120.81</v>
          </cell>
          <cell r="AF115">
            <v>7758.3</v>
          </cell>
          <cell r="AI115">
            <v>4980.4299999999994</v>
          </cell>
          <cell r="AJ115">
            <v>0.75076888928182439</v>
          </cell>
          <cell r="AK115">
            <v>102.06</v>
          </cell>
          <cell r="AN115">
            <v>5082.49</v>
          </cell>
          <cell r="AO115">
            <v>7115.485999999999</v>
          </cell>
          <cell r="AP115">
            <v>-8.2855006895840688E-2</v>
          </cell>
          <cell r="AQ115" t="str">
            <v>024-G-77LEUZE</v>
          </cell>
          <cell r="AZ115">
            <v>5478.473</v>
          </cell>
          <cell r="BA115">
            <v>112.26600000000001</v>
          </cell>
          <cell r="BB115">
            <v>0</v>
          </cell>
        </row>
        <row r="116">
          <cell r="A116">
            <v>585371</v>
          </cell>
          <cell r="B116" t="str">
            <v>SARL MEMOLEX</v>
          </cell>
          <cell r="E116">
            <v>0.02</v>
          </cell>
          <cell r="F116">
            <v>41306</v>
          </cell>
          <cell r="H116" t="str">
            <v>VU AVEC SERGIO RELANCER LE 15 JANVIER POUR UNE APPLICATION OU NON DES 2 % POLYRAM = memolex</v>
          </cell>
          <cell r="I116">
            <v>0</v>
          </cell>
          <cell r="K116">
            <v>0</v>
          </cell>
          <cell r="L116" t="str">
            <v>OK</v>
          </cell>
          <cell r="M116" t="str">
            <v>OK</v>
          </cell>
          <cell r="P116" t="str">
            <v>Non affecté</v>
          </cell>
          <cell r="Q116" t="str">
            <v>FP</v>
          </cell>
          <cell r="R116" t="str">
            <v>Ok mon client</v>
          </cell>
          <cell r="S116" t="str">
            <v>MOISSY CRAMAYEL</v>
          </cell>
          <cell r="T116" t="str">
            <v>91</v>
          </cell>
          <cell r="U116" t="str">
            <v>ROUTE DE MAISSE</v>
          </cell>
          <cell r="V116">
            <v>91490</v>
          </cell>
          <cell r="W116" t="str">
            <v>MILLY LA FORET</v>
          </cell>
          <cell r="X116" t="str">
            <v xml:space="preserve">Mme </v>
          </cell>
          <cell r="Y116" t="str">
            <v>FONTEZ</v>
          </cell>
          <cell r="Z116" t="str">
            <v>91490</v>
          </cell>
          <cell r="AA116" t="str">
            <v>MILLY LA FORET</v>
          </cell>
          <cell r="AB116">
            <v>6865.37</v>
          </cell>
          <cell r="AF116">
            <v>6865.37</v>
          </cell>
          <cell r="AG116">
            <v>4847.6399999999994</v>
          </cell>
          <cell r="AH116">
            <v>-0.14082751158469176</v>
          </cell>
          <cell r="AN116">
            <v>4847.6399999999994</v>
          </cell>
          <cell r="AO116">
            <v>6786.695999999999</v>
          </cell>
          <cell r="AP116">
            <v>-1.1459542602948014E-2</v>
          </cell>
          <cell r="AR116" t="str">
            <v>024-L-91MEMOLEX</v>
          </cell>
          <cell r="AS116">
            <v>39374</v>
          </cell>
          <cell r="AZ116">
            <v>0</v>
          </cell>
          <cell r="BA116">
            <v>0</v>
          </cell>
          <cell r="BB116">
            <v>4944.5927999999994</v>
          </cell>
        </row>
        <row r="117">
          <cell r="A117">
            <v>303051</v>
          </cell>
          <cell r="B117" t="str">
            <v>RELINCO</v>
          </cell>
          <cell r="C117">
            <v>0.1</v>
          </cell>
          <cell r="D117">
            <v>0.1</v>
          </cell>
          <cell r="E117">
            <v>0.02</v>
          </cell>
          <cell r="F117">
            <v>41275</v>
          </cell>
          <cell r="H117" t="str">
            <v>TS+75 / 157%</v>
          </cell>
          <cell r="I117">
            <v>0</v>
          </cell>
          <cell r="K117">
            <v>0</v>
          </cell>
          <cell r="L117" t="str">
            <v>OK</v>
          </cell>
          <cell r="M117" t="str">
            <v>OK</v>
          </cell>
          <cell r="P117" t="str">
            <v>Non affecté</v>
          </cell>
          <cell r="Q117" t="str">
            <v>FP</v>
          </cell>
          <cell r="R117" t="str">
            <v>Ok mon client</v>
          </cell>
          <cell r="S117" t="str">
            <v>MOISSY CRAMAYEL</v>
          </cell>
          <cell r="T117" t="str">
            <v>91</v>
          </cell>
          <cell r="U117" t="str">
            <v>6 Av des Andes</v>
          </cell>
          <cell r="V117" t="str">
            <v>91952</v>
          </cell>
          <cell r="W117" t="str">
            <v>COURTABOEUF CEDEX</v>
          </cell>
          <cell r="X117" t="str">
            <v>M.</v>
          </cell>
          <cell r="Y117" t="str">
            <v>DUCRETTET</v>
          </cell>
          <cell r="Z117" t="str">
            <v>91952</v>
          </cell>
          <cell r="AA117" t="str">
            <v>COURTABOEUF CEDEX</v>
          </cell>
          <cell r="AC117">
            <v>5244.7199999999993</v>
          </cell>
          <cell r="AD117">
            <v>127.79</v>
          </cell>
          <cell r="AF117">
            <v>5372.5099999999993</v>
          </cell>
          <cell r="AI117">
            <v>4609.0400000000009</v>
          </cell>
          <cell r="AJ117">
            <v>0.70425695282350942</v>
          </cell>
          <cell r="AK117">
            <v>167.12</v>
          </cell>
          <cell r="AL117">
            <v>0.71082230623818521</v>
          </cell>
          <cell r="AN117">
            <v>4776.1600000000008</v>
          </cell>
          <cell r="AO117">
            <v>6686.6240000000007</v>
          </cell>
          <cell r="AP117">
            <v>0.24459963778569072</v>
          </cell>
          <cell r="AQ117" t="str">
            <v>024-G-91RELINCO024</v>
          </cell>
          <cell r="AZ117">
            <v>5069.9440000000013</v>
          </cell>
          <cell r="BA117">
            <v>183.83200000000002</v>
          </cell>
          <cell r="BB117">
            <v>0</v>
          </cell>
        </row>
        <row r="118">
          <cell r="A118">
            <v>606747</v>
          </cell>
          <cell r="B118" t="str">
            <v>HOD OPJET</v>
          </cell>
          <cell r="H118" t="str">
            <v>dossier perdu en renego</v>
          </cell>
          <cell r="I118">
            <v>0</v>
          </cell>
          <cell r="K118">
            <v>0</v>
          </cell>
          <cell r="M118" t="str">
            <v>NON</v>
          </cell>
          <cell r="O118" t="str">
            <v>Porte Feuille</v>
          </cell>
          <cell r="P118" t="str">
            <v>Non affecté</v>
          </cell>
          <cell r="Q118" t="str">
            <v>FR</v>
          </cell>
          <cell r="R118" t="str">
            <v>Ok mon client</v>
          </cell>
          <cell r="S118" t="str">
            <v>MOISSY CRAMAYEL</v>
          </cell>
          <cell r="T118" t="str">
            <v>77</v>
          </cell>
          <cell r="U118" t="str">
            <v>21 rue Gay lussac</v>
          </cell>
          <cell r="V118" t="str">
            <v>77270</v>
          </cell>
          <cell r="W118" t="str">
            <v>MITRY MORY</v>
          </cell>
          <cell r="X118" t="str">
            <v>Mme</v>
          </cell>
          <cell r="Y118" t="str">
            <v xml:space="preserve">Lydie REDON </v>
          </cell>
          <cell r="Z118" t="str">
            <v>77270</v>
          </cell>
          <cell r="AA118" t="str">
            <v>MITRY MORY</v>
          </cell>
          <cell r="AB118">
            <v>1654.53</v>
          </cell>
          <cell r="AC118">
            <v>43835.46</v>
          </cell>
          <cell r="AD118">
            <v>1640.63</v>
          </cell>
          <cell r="AF118">
            <v>47130.619999999995</v>
          </cell>
          <cell r="AG118">
            <v>1236</v>
          </cell>
          <cell r="AH118">
            <v>0.14886731391585761</v>
          </cell>
          <cell r="AI118">
            <v>2144.14</v>
          </cell>
          <cell r="AJ118">
            <v>0.51311481526392866</v>
          </cell>
          <cell r="AK118">
            <v>1323.46</v>
          </cell>
          <cell r="AL118">
            <v>0.46756396460063282</v>
          </cell>
          <cell r="AN118">
            <v>4703.6000000000004</v>
          </cell>
          <cell r="AO118">
            <v>6585.04</v>
          </cell>
          <cell r="AP118">
            <v>-0.86028106568511087</v>
          </cell>
          <cell r="AQ118" t="str">
            <v>259-G-93HOD</v>
          </cell>
          <cell r="AZ118">
            <v>2144.14</v>
          </cell>
          <cell r="BA118">
            <v>1323.46</v>
          </cell>
          <cell r="BB118">
            <v>1236</v>
          </cell>
        </row>
        <row r="119">
          <cell r="A119">
            <v>801302</v>
          </cell>
          <cell r="B119" t="str">
            <v>SIGNALETIK DIFFUSION SARL</v>
          </cell>
          <cell r="C119">
            <v>0.1</v>
          </cell>
          <cell r="D119">
            <v>0.1</v>
          </cell>
          <cell r="E119">
            <v>0.02</v>
          </cell>
          <cell r="F119">
            <v>41275</v>
          </cell>
          <cell r="H119" t="str">
            <v>TS+75 /137%</v>
          </cell>
          <cell r="I119">
            <v>0</v>
          </cell>
          <cell r="K119">
            <v>0</v>
          </cell>
          <cell r="L119" t="str">
            <v>OK</v>
          </cell>
          <cell r="M119" t="str">
            <v>OK</v>
          </cell>
          <cell r="P119" t="str">
            <v>Non affecté</v>
          </cell>
          <cell r="Q119" t="str">
            <v>FP</v>
          </cell>
          <cell r="R119" t="str">
            <v>Ok mon client</v>
          </cell>
          <cell r="S119" t="str">
            <v>MOISSY CRAMAYEL</v>
          </cell>
          <cell r="T119" t="str">
            <v>94</v>
          </cell>
          <cell r="U119" t="str">
            <v>88 RUE DE BIRAQUE</v>
          </cell>
          <cell r="V119">
            <v>94490</v>
          </cell>
          <cell r="W119" t="str">
            <v>ORMESSON SUR MARNE</v>
          </cell>
          <cell r="X119" t="str">
            <v>Mme</v>
          </cell>
          <cell r="Y119" t="str">
            <v>HUBERT</v>
          </cell>
          <cell r="Z119" t="str">
            <v>94490</v>
          </cell>
          <cell r="AA119" t="str">
            <v>ORMESSON SUR MARNE</v>
          </cell>
          <cell r="AC119">
            <v>9547.0499999999975</v>
          </cell>
          <cell r="AF119">
            <v>9547.0499999999975</v>
          </cell>
          <cell r="AI119">
            <v>4659.3899999999994</v>
          </cell>
          <cell r="AJ119">
            <v>0.75188734244084354</v>
          </cell>
          <cell r="AN119">
            <v>4659.3899999999994</v>
          </cell>
          <cell r="AO119">
            <v>6523.1459999999988</v>
          </cell>
          <cell r="AP119">
            <v>-0.31673700252957715</v>
          </cell>
          <cell r="AQ119" t="str">
            <v>024-G-94SIGNALETIK</v>
          </cell>
          <cell r="AZ119">
            <v>5125.3289999999997</v>
          </cell>
          <cell r="BA119">
            <v>0</v>
          </cell>
          <cell r="BB119">
            <v>0</v>
          </cell>
        </row>
        <row r="120">
          <cell r="A120">
            <v>56015</v>
          </cell>
          <cell r="B120" t="str">
            <v>PHENICIA SARL</v>
          </cell>
          <cell r="C120">
            <v>0.1</v>
          </cell>
          <cell r="D120">
            <v>0.1</v>
          </cell>
          <cell r="E120">
            <v>0.02</v>
          </cell>
          <cell r="F120">
            <v>41275</v>
          </cell>
          <cell r="H120" t="str">
            <v>TS+75 / 204%</v>
          </cell>
          <cell r="I120">
            <v>0</v>
          </cell>
          <cell r="K120">
            <v>0</v>
          </cell>
          <cell r="L120" t="str">
            <v>OK</v>
          </cell>
          <cell r="M120" t="str">
            <v>OK</v>
          </cell>
          <cell r="P120" t="str">
            <v>Non affecté</v>
          </cell>
          <cell r="Q120" t="str">
            <v>FR</v>
          </cell>
          <cell r="R120" t="str">
            <v>Ok mon client</v>
          </cell>
          <cell r="S120" t="str">
            <v>MOISSY CRAMAYEL</v>
          </cell>
          <cell r="T120" t="str">
            <v>77</v>
          </cell>
          <cell r="U120" t="str">
            <v>22 ALLEE DE L'ERMITAGE</v>
          </cell>
          <cell r="V120" t="str">
            <v>77600</v>
          </cell>
          <cell r="W120" t="str">
            <v>CONCHES SUR GONDOIRE</v>
          </cell>
          <cell r="X120" t="str">
            <v>Mme</v>
          </cell>
          <cell r="Y120" t="str">
            <v>JANY</v>
          </cell>
          <cell r="Z120" t="str">
            <v>77600</v>
          </cell>
          <cell r="AA120" t="str">
            <v>CONCHES SUR GONDOIRE</v>
          </cell>
          <cell r="AD120">
            <v>4581.04</v>
          </cell>
          <cell r="AF120">
            <v>4581.04</v>
          </cell>
          <cell r="AK120">
            <v>4432.2199999999993</v>
          </cell>
          <cell r="AL120">
            <v>0.47897231504687637</v>
          </cell>
          <cell r="AN120">
            <v>4432.2199999999993</v>
          </cell>
          <cell r="AO120">
            <v>6205.1079999999984</v>
          </cell>
          <cell r="AP120">
            <v>0.35451949775596781</v>
          </cell>
          <cell r="AQ120" t="str">
            <v>024-G-77PHENICIA</v>
          </cell>
          <cell r="AZ120">
            <v>0</v>
          </cell>
          <cell r="BA120">
            <v>4875.442</v>
          </cell>
          <cell r="BB120">
            <v>0</v>
          </cell>
        </row>
        <row r="121">
          <cell r="A121">
            <v>642000</v>
          </cell>
          <cell r="B121" t="str">
            <v>POSE-ORGANISATION SOL-EXTERIEUR</v>
          </cell>
          <cell r="C121">
            <v>0.1</v>
          </cell>
          <cell r="D121">
            <v>0.1</v>
          </cell>
          <cell r="E121">
            <v>0.02</v>
          </cell>
          <cell r="F121">
            <v>41275</v>
          </cell>
          <cell r="H121" t="str">
            <v>TS+75 / 362%</v>
          </cell>
          <cell r="I121">
            <v>0</v>
          </cell>
          <cell r="K121">
            <v>0</v>
          </cell>
          <cell r="L121" t="str">
            <v>OK</v>
          </cell>
          <cell r="M121" t="str">
            <v>OK</v>
          </cell>
          <cell r="P121" t="str">
            <v>Non affecté</v>
          </cell>
          <cell r="Q121" t="str">
            <v>FP</v>
          </cell>
          <cell r="R121" t="str">
            <v>Ok mon client</v>
          </cell>
          <cell r="S121" t="str">
            <v>MOISSY CRAMAYEL</v>
          </cell>
          <cell r="T121" t="str">
            <v>91</v>
          </cell>
          <cell r="U121" t="str">
            <v xml:space="preserve">6 AVENUE PIERRE RICHIER </v>
          </cell>
          <cell r="V121">
            <v>91150</v>
          </cell>
          <cell r="W121" t="str">
            <v>ETAMPES</v>
          </cell>
          <cell r="X121" t="str">
            <v>Mme</v>
          </cell>
          <cell r="Y121" t="str">
            <v>FICHEUX</v>
          </cell>
          <cell r="Z121" t="str">
            <v>91150</v>
          </cell>
          <cell r="AA121" t="str">
            <v>ETAMPES</v>
          </cell>
          <cell r="AB121">
            <v>7647.8900000000012</v>
          </cell>
          <cell r="AC121">
            <v>1333.31</v>
          </cell>
          <cell r="AF121">
            <v>8981.2000000000007</v>
          </cell>
          <cell r="AG121">
            <v>4302</v>
          </cell>
          <cell r="AH121">
            <v>0.17673425827107792</v>
          </cell>
          <cell r="AN121">
            <v>4302</v>
          </cell>
          <cell r="AO121">
            <v>6022.7999999999993</v>
          </cell>
          <cell r="AP121">
            <v>-0.32939918941789526</v>
          </cell>
          <cell r="AQ121" t="str">
            <v>024-G-91POSE</v>
          </cell>
          <cell r="AZ121">
            <v>0</v>
          </cell>
          <cell r="BA121">
            <v>0</v>
          </cell>
          <cell r="BB121">
            <v>4388.04</v>
          </cell>
        </row>
        <row r="122">
          <cell r="A122">
            <v>483049</v>
          </cell>
          <cell r="B122" t="str">
            <v>RAMSA 5</v>
          </cell>
          <cell r="C122">
            <v>0.1</v>
          </cell>
          <cell r="D122">
            <v>0.1</v>
          </cell>
          <cell r="E122">
            <v>0.02</v>
          </cell>
          <cell r="F122">
            <v>41275</v>
          </cell>
          <cell r="H122" t="str">
            <v>TS+75 / 283%</v>
          </cell>
          <cell r="I122">
            <v>0</v>
          </cell>
          <cell r="K122">
            <v>0</v>
          </cell>
          <cell r="L122" t="str">
            <v>OK</v>
          </cell>
          <cell r="M122" t="str">
            <v>OK</v>
          </cell>
          <cell r="P122" t="str">
            <v>Non affecté</v>
          </cell>
          <cell r="Q122" t="str">
            <v>FR</v>
          </cell>
          <cell r="R122" t="str">
            <v>Ok mon client</v>
          </cell>
          <cell r="S122" t="str">
            <v>MOISSY CRAMAYEL</v>
          </cell>
          <cell r="T122" t="str">
            <v>77</v>
          </cell>
          <cell r="U122" t="str">
            <v>21 Rue de la Fosse aux Moines</v>
          </cell>
          <cell r="V122" t="str">
            <v>77930</v>
          </cell>
          <cell r="W122" t="str">
            <v>PERTHES</v>
          </cell>
          <cell r="X122" t="str">
            <v>M.</v>
          </cell>
          <cell r="Y122" t="str">
            <v>SARAZIN</v>
          </cell>
          <cell r="Z122" t="str">
            <v>77930</v>
          </cell>
          <cell r="AA122" t="str">
            <v>PERTHES</v>
          </cell>
          <cell r="AB122">
            <v>177.57</v>
          </cell>
          <cell r="AC122">
            <v>6209.3600000000015</v>
          </cell>
          <cell r="AD122">
            <v>2013.7400000000002</v>
          </cell>
          <cell r="AF122">
            <v>8400.6700000000019</v>
          </cell>
          <cell r="AI122">
            <v>3209.3799999999997</v>
          </cell>
          <cell r="AJ122">
            <v>0.77078438826190732</v>
          </cell>
          <cell r="AK122">
            <v>992.72</v>
          </cell>
          <cell r="AL122">
            <v>0.69209690748553787</v>
          </cell>
          <cell r="AN122">
            <v>4202.0999999999995</v>
          </cell>
          <cell r="AO122">
            <v>5882.9399999999987</v>
          </cell>
          <cell r="AP122">
            <v>-0.29970585679475592</v>
          </cell>
          <cell r="AQ122" t="str">
            <v>024-G-77RAMSA</v>
          </cell>
          <cell r="AZ122">
            <v>3530.3179999999998</v>
          </cell>
          <cell r="BA122">
            <v>1091.9920000000002</v>
          </cell>
          <cell r="BB122">
            <v>0</v>
          </cell>
        </row>
        <row r="123">
          <cell r="A123">
            <v>64679</v>
          </cell>
          <cell r="B123" t="str">
            <v>TESSALI DIFFUSION</v>
          </cell>
          <cell r="C123">
            <v>0.2</v>
          </cell>
          <cell r="D123">
            <v>0.1</v>
          </cell>
          <cell r="E123">
            <v>0.02</v>
          </cell>
          <cell r="F123">
            <v>41348</v>
          </cell>
          <cell r="I123">
            <v>0</v>
          </cell>
          <cell r="K123">
            <v>0</v>
          </cell>
          <cell r="L123" t="str">
            <v>OK</v>
          </cell>
          <cell r="M123" t="str">
            <v>OK</v>
          </cell>
          <cell r="N123" t="str">
            <v>Non affecté</v>
          </cell>
          <cell r="O123" t="str">
            <v>FR</v>
          </cell>
          <cell r="R123" t="str">
            <v>Client ORL</v>
          </cell>
          <cell r="S123" t="str">
            <v>MOISSY CRAMAYEL</v>
          </cell>
          <cell r="T123" t="str">
            <v>77</v>
          </cell>
          <cell r="U123" t="str">
            <v>9 RUE GUSTAVE EIFFEL</v>
          </cell>
          <cell r="V123" t="str">
            <v>77140</v>
          </cell>
          <cell r="W123" t="str">
            <v>NEMOURS</v>
          </cell>
          <cell r="X123" t="str">
            <v>Mme</v>
          </cell>
          <cell r="Y123" t="str">
            <v>FRANCHET</v>
          </cell>
          <cell r="Z123" t="str">
            <v>77140</v>
          </cell>
          <cell r="AA123" t="str">
            <v>NEMOURS</v>
          </cell>
          <cell r="AB123">
            <v>581</v>
          </cell>
          <cell r="AC123">
            <v>6858.23</v>
          </cell>
          <cell r="AD123">
            <v>283.95999999999998</v>
          </cell>
          <cell r="AF123">
            <v>7723.19</v>
          </cell>
          <cell r="AI123">
            <v>4000.4500000000003</v>
          </cell>
          <cell r="AJ123">
            <v>0.58481666573081026</v>
          </cell>
          <cell r="AK123">
            <v>181.42</v>
          </cell>
          <cell r="AL123">
            <v>0.72897144746995923</v>
          </cell>
          <cell r="AN123">
            <v>4181.87</v>
          </cell>
          <cell r="AO123">
            <v>5854.6179999999995</v>
          </cell>
          <cell r="AP123">
            <v>-0.24194303131219097</v>
          </cell>
          <cell r="AQ123" t="str">
            <v>024-G-77TESSALI</v>
          </cell>
          <cell r="AZ123">
            <v>4800.54</v>
          </cell>
          <cell r="BA123">
            <v>199.56200000000001</v>
          </cell>
          <cell r="BB123">
            <v>0</v>
          </cell>
        </row>
        <row r="124">
          <cell r="A124">
            <v>381751</v>
          </cell>
          <cell r="B124" t="str">
            <v>SCC</v>
          </cell>
          <cell r="C124">
            <v>0.1</v>
          </cell>
          <cell r="D124">
            <v>0.1</v>
          </cell>
          <cell r="E124">
            <v>0.02</v>
          </cell>
          <cell r="F124">
            <v>41275</v>
          </cell>
          <cell r="H124">
            <v>0.75</v>
          </cell>
          <cell r="I124">
            <v>0</v>
          </cell>
          <cell r="K124">
            <v>0</v>
          </cell>
          <cell r="L124" t="str">
            <v>OK</v>
          </cell>
          <cell r="M124" t="str">
            <v>OK</v>
          </cell>
          <cell r="O124" t="str">
            <v>Porte Feuille</v>
          </cell>
          <cell r="P124" t="str">
            <v>Non affecté</v>
          </cell>
          <cell r="Q124" t="str">
            <v>FR</v>
          </cell>
          <cell r="R124" t="str">
            <v>Ok mon client</v>
          </cell>
          <cell r="S124" t="str">
            <v>MOISSY CRAMAYEL</v>
          </cell>
          <cell r="T124" t="str">
            <v>92</v>
          </cell>
          <cell r="U124" t="str">
            <v>96 RUE DES TROIS FONTANOT</v>
          </cell>
          <cell r="V124" t="str">
            <v>92000</v>
          </cell>
          <cell r="W124" t="str">
            <v>NANTERRE</v>
          </cell>
          <cell r="Y124" t="str">
            <v>Directeur Logistique et Transports</v>
          </cell>
          <cell r="Z124" t="str">
            <v>92745</v>
          </cell>
          <cell r="AA124" t="str">
            <v>NANTERRE CEDEX</v>
          </cell>
          <cell r="AB124">
            <v>32381</v>
          </cell>
          <cell r="AC124">
            <v>279.99</v>
          </cell>
          <cell r="AF124">
            <v>32660.99</v>
          </cell>
          <cell r="AG124">
            <v>4172</v>
          </cell>
          <cell r="AH124">
            <v>0.29701547231270359</v>
          </cell>
          <cell r="AN124">
            <v>4172</v>
          </cell>
          <cell r="AO124">
            <v>5840.7999999999993</v>
          </cell>
          <cell r="AP124">
            <v>-0.82116892353844761</v>
          </cell>
          <cell r="AQ124" t="str">
            <v>024-G-77SCC024</v>
          </cell>
          <cell r="AS124">
            <v>39729</v>
          </cell>
          <cell r="AZ124">
            <v>0</v>
          </cell>
          <cell r="BA124">
            <v>0</v>
          </cell>
          <cell r="BB124">
            <v>4255.4400000000005</v>
          </cell>
        </row>
        <row r="125">
          <cell r="A125">
            <v>574987</v>
          </cell>
          <cell r="B125" t="str">
            <v>MELUN HYDRAULIQUE</v>
          </cell>
          <cell r="C125">
            <v>0.1</v>
          </cell>
          <cell r="D125">
            <v>0.1</v>
          </cell>
          <cell r="E125">
            <v>0.02</v>
          </cell>
          <cell r="F125">
            <v>41275</v>
          </cell>
          <cell r="H125" t="str">
            <v>TS+75 / 362%</v>
          </cell>
          <cell r="I125">
            <v>0</v>
          </cell>
          <cell r="K125">
            <v>0</v>
          </cell>
          <cell r="L125" t="str">
            <v>OK</v>
          </cell>
          <cell r="M125" t="str">
            <v>OK</v>
          </cell>
          <cell r="P125" t="str">
            <v>Non affecté</v>
          </cell>
          <cell r="Q125" t="str">
            <v>FR</v>
          </cell>
          <cell r="R125" t="str">
            <v>Ok mon client</v>
          </cell>
          <cell r="S125" t="str">
            <v>MOISSY CRAMAYEL</v>
          </cell>
          <cell r="T125" t="str">
            <v>77</v>
          </cell>
          <cell r="U125" t="str">
            <v>203 ROUTE DE MONTEREAU</v>
          </cell>
          <cell r="V125" t="str">
            <v>77000</v>
          </cell>
          <cell r="W125" t="str">
            <v>MELUN</v>
          </cell>
          <cell r="X125" t="str">
            <v>M.</v>
          </cell>
          <cell r="Y125" t="str">
            <v>GEERTZ</v>
          </cell>
          <cell r="Z125" t="str">
            <v>77000</v>
          </cell>
          <cell r="AA125" t="str">
            <v>MELUN</v>
          </cell>
          <cell r="AC125">
            <v>138.38999999999999</v>
          </cell>
          <cell r="AD125">
            <v>5464.9900000000007</v>
          </cell>
          <cell r="AF125">
            <v>5603.380000000001</v>
          </cell>
          <cell r="AI125">
            <v>1651.4099999999999</v>
          </cell>
          <cell r="AJ125">
            <v>0.73880502116373292</v>
          </cell>
          <cell r="AK125">
            <v>2454.42</v>
          </cell>
          <cell r="AL125">
            <v>0.4948494265747504</v>
          </cell>
          <cell r="AN125">
            <v>4105.83</v>
          </cell>
          <cell r="AO125">
            <v>5748.1619999999994</v>
          </cell>
          <cell r="AP125">
            <v>2.5838333291691606E-2</v>
          </cell>
          <cell r="AQ125" t="str">
            <v>024-G-77MELUNHYD</v>
          </cell>
          <cell r="AZ125">
            <v>1816.5509999999999</v>
          </cell>
          <cell r="BA125">
            <v>2699.8620000000001</v>
          </cell>
          <cell r="BB125">
            <v>0</v>
          </cell>
        </row>
        <row r="126">
          <cell r="A126">
            <v>562099</v>
          </cell>
          <cell r="B126" t="str">
            <v>MAINTENANCE HYDRAULIQUE SYSTEMES</v>
          </cell>
          <cell r="C126">
            <v>0.1</v>
          </cell>
          <cell r="D126">
            <v>0.1</v>
          </cell>
          <cell r="E126">
            <v>0.02</v>
          </cell>
          <cell r="F126">
            <v>41275</v>
          </cell>
          <cell r="H126" t="str">
            <v>TS+75 / 402%</v>
          </cell>
          <cell r="I126">
            <v>0</v>
          </cell>
          <cell r="K126">
            <v>0</v>
          </cell>
          <cell r="L126" t="str">
            <v>OK</v>
          </cell>
          <cell r="M126" t="str">
            <v>OK</v>
          </cell>
          <cell r="P126" t="str">
            <v>Non affecté</v>
          </cell>
          <cell r="Q126" t="str">
            <v>FR</v>
          </cell>
          <cell r="R126" t="str">
            <v>Ok mon client</v>
          </cell>
          <cell r="S126" t="str">
            <v>MOISSY CRAMAYEL</v>
          </cell>
          <cell r="T126" t="str">
            <v>77</v>
          </cell>
          <cell r="U126" t="str">
            <v>203 Route de Montereau</v>
          </cell>
          <cell r="V126" t="str">
            <v>77000</v>
          </cell>
          <cell r="W126" t="str">
            <v>MELUN</v>
          </cell>
          <cell r="X126" t="str">
            <v>Mme</v>
          </cell>
          <cell r="Y126" t="str">
            <v>BEAUSSIER</v>
          </cell>
          <cell r="Z126" t="str">
            <v>77000</v>
          </cell>
          <cell r="AA126" t="str">
            <v>MELUN</v>
          </cell>
          <cell r="AD126">
            <v>3883.2200000000003</v>
          </cell>
          <cell r="AF126">
            <v>3883.2200000000003</v>
          </cell>
          <cell r="AI126">
            <v>144.26</v>
          </cell>
          <cell r="AJ126">
            <v>0.79432968251767644</v>
          </cell>
          <cell r="AK126">
            <v>3948.46</v>
          </cell>
          <cell r="AL126">
            <v>0.78643851760757344</v>
          </cell>
          <cell r="AN126">
            <v>4092.7200000000003</v>
          </cell>
          <cell r="AO126">
            <v>5729.808</v>
          </cell>
          <cell r="AP126">
            <v>0.47553010130767759</v>
          </cell>
          <cell r="AQ126" t="str">
            <v>024-G-77MHS</v>
          </cell>
          <cell r="AZ126">
            <v>158.68600000000001</v>
          </cell>
          <cell r="BA126">
            <v>4343.3060000000005</v>
          </cell>
          <cell r="BB126">
            <v>0</v>
          </cell>
        </row>
        <row r="127">
          <cell r="A127">
            <v>561659</v>
          </cell>
          <cell r="B127" t="str">
            <v>SOFRAFILM</v>
          </cell>
          <cell r="C127">
            <v>0.1</v>
          </cell>
          <cell r="D127">
            <v>0.1</v>
          </cell>
          <cell r="E127">
            <v>0.02</v>
          </cell>
          <cell r="F127">
            <v>41275</v>
          </cell>
          <cell r="H127">
            <v>0.75</v>
          </cell>
          <cell r="I127">
            <v>0</v>
          </cell>
          <cell r="K127">
            <v>0</v>
          </cell>
          <cell r="L127" t="str">
            <v>OK</v>
          </cell>
          <cell r="M127" t="str">
            <v>OK</v>
          </cell>
          <cell r="P127" t="str">
            <v>Non affecté</v>
          </cell>
          <cell r="Q127" t="str">
            <v>FR</v>
          </cell>
          <cell r="R127" t="str">
            <v>Ok mon client</v>
          </cell>
          <cell r="S127" t="str">
            <v>MOISSY CRAMAYEL</v>
          </cell>
          <cell r="T127" t="str">
            <v>77</v>
          </cell>
          <cell r="U127" t="str">
            <v>IMMEUBLE JDG 
RN 3 LE BOIS FLEURI</v>
          </cell>
          <cell r="V127" t="str">
            <v>77410</v>
          </cell>
          <cell r="W127" t="str">
            <v>CLAYE SOUILLY</v>
          </cell>
          <cell r="X127" t="str">
            <v>M.</v>
          </cell>
          <cell r="Y127" t="str">
            <v>Gilles DEGOUY</v>
          </cell>
          <cell r="Z127" t="str">
            <v>77410</v>
          </cell>
          <cell r="AA127" t="str">
            <v>CLAYE SOUILLY</v>
          </cell>
          <cell r="AC127">
            <v>6841.24</v>
          </cell>
          <cell r="AF127">
            <v>6841.24</v>
          </cell>
          <cell r="AI127">
            <v>3908.7800000000007</v>
          </cell>
          <cell r="AJ127">
            <v>0.6960388823641368</v>
          </cell>
          <cell r="AN127">
            <v>3908.7800000000007</v>
          </cell>
          <cell r="AO127">
            <v>5472.2920000000004</v>
          </cell>
          <cell r="AP127">
            <v>-0.20010232063193212</v>
          </cell>
          <cell r="AQ127" t="str">
            <v>024-G-77SOFRAFILM</v>
          </cell>
          <cell r="AZ127">
            <v>4299.6580000000013</v>
          </cell>
          <cell r="BA127">
            <v>0</v>
          </cell>
          <cell r="BB127">
            <v>0</v>
          </cell>
        </row>
        <row r="128">
          <cell r="A128">
            <v>350259</v>
          </cell>
          <cell r="B128" t="str">
            <v>BRUKER AXS</v>
          </cell>
          <cell r="C128">
            <v>0.1</v>
          </cell>
          <cell r="D128">
            <v>0.1</v>
          </cell>
          <cell r="E128">
            <v>0.02</v>
          </cell>
          <cell r="F128">
            <v>41275</v>
          </cell>
          <cell r="H128">
            <v>0.75</v>
          </cell>
          <cell r="I128">
            <v>0</v>
          </cell>
          <cell r="K128">
            <v>0</v>
          </cell>
          <cell r="L128" t="str">
            <v>OK</v>
          </cell>
          <cell r="M128" t="str">
            <v>OK</v>
          </cell>
          <cell r="P128" t="str">
            <v>Non affecté</v>
          </cell>
          <cell r="Q128" t="str">
            <v>FR</v>
          </cell>
          <cell r="R128" t="str">
            <v>Ok mon client</v>
          </cell>
          <cell r="S128" t="str">
            <v>MOISSY CRAMAYEL</v>
          </cell>
          <cell r="T128" t="str">
            <v>77</v>
          </cell>
          <cell r="U128" t="str">
            <v>4 Allée Lorentz</v>
          </cell>
          <cell r="V128" t="str">
            <v>77420</v>
          </cell>
          <cell r="W128" t="str">
            <v>CHAMPS SUR MARNE</v>
          </cell>
          <cell r="Y128" t="str">
            <v>Directeur Logistique et Transports</v>
          </cell>
          <cell r="Z128" t="str">
            <v>77420</v>
          </cell>
          <cell r="AA128" t="str">
            <v>CHAMPS SUR MARNE</v>
          </cell>
          <cell r="AC128">
            <v>5471.04</v>
          </cell>
          <cell r="AD128">
            <v>294.20000000000005</v>
          </cell>
          <cell r="AF128">
            <v>5765.24</v>
          </cell>
          <cell r="AI128">
            <v>2147.3900000000003</v>
          </cell>
          <cell r="AJ128">
            <v>0.83121925384991213</v>
          </cell>
          <cell r="AK128">
            <v>1659.55</v>
          </cell>
          <cell r="AL128">
            <v>0.7062094915184155</v>
          </cell>
          <cell r="AN128">
            <v>3806.9400000000005</v>
          </cell>
          <cell r="AO128">
            <v>5329.7160000000003</v>
          </cell>
          <cell r="AP128">
            <v>-7.5543082334820322E-2</v>
          </cell>
          <cell r="AQ128" t="str">
            <v>259-G-93BRUKER</v>
          </cell>
          <cell r="AZ128">
            <v>2362.1290000000004</v>
          </cell>
          <cell r="BA128">
            <v>1825.5050000000001</v>
          </cell>
          <cell r="BB128">
            <v>0</v>
          </cell>
        </row>
        <row r="129">
          <cell r="A129">
            <v>630653</v>
          </cell>
          <cell r="B129" t="str">
            <v>SAIR INTERNATIONAL</v>
          </cell>
          <cell r="C129">
            <v>0.1</v>
          </cell>
          <cell r="D129">
            <v>0.1</v>
          </cell>
          <cell r="E129">
            <v>0.02</v>
          </cell>
          <cell r="F129">
            <v>41275</v>
          </cell>
          <cell r="H129" t="str">
            <v>TS+75 / 220%</v>
          </cell>
          <cell r="I129">
            <v>0</v>
          </cell>
          <cell r="K129">
            <v>0</v>
          </cell>
          <cell r="L129" t="str">
            <v>OK</v>
          </cell>
          <cell r="M129" t="str">
            <v>OK</v>
          </cell>
          <cell r="P129" t="str">
            <v>Non affecté</v>
          </cell>
          <cell r="Q129" t="str">
            <v>FP</v>
          </cell>
          <cell r="R129" t="str">
            <v>Ok mon client</v>
          </cell>
          <cell r="S129" t="str">
            <v>MOISSY CRAMAYEL</v>
          </cell>
          <cell r="T129" t="str">
            <v>91</v>
          </cell>
          <cell r="U129" t="str">
            <v>7 RUE DES BOTTEAUX</v>
          </cell>
          <cell r="V129" t="str">
            <v>91810</v>
          </cell>
          <cell r="W129" t="str">
            <v>VERT LE GRAND</v>
          </cell>
          <cell r="X129" t="str">
            <v>Mme</v>
          </cell>
          <cell r="Y129" t="str">
            <v>ENGEL</v>
          </cell>
          <cell r="Z129" t="str">
            <v>91810</v>
          </cell>
          <cell r="AA129" t="str">
            <v>VERT LE GRAND</v>
          </cell>
          <cell r="AB129">
            <v>7949.07</v>
          </cell>
          <cell r="AC129">
            <v>374.06</v>
          </cell>
          <cell r="AD129">
            <v>208.24</v>
          </cell>
          <cell r="AF129">
            <v>8531.369999999999</v>
          </cell>
          <cell r="AG129">
            <v>3008.97</v>
          </cell>
          <cell r="AH129">
            <v>0.27695287282117498</v>
          </cell>
          <cell r="AI129">
            <v>87.13</v>
          </cell>
          <cell r="AJ129">
            <v>0.77688511419717665</v>
          </cell>
          <cell r="AK129">
            <v>687.64</v>
          </cell>
          <cell r="AL129">
            <v>0.72878250247222387</v>
          </cell>
          <cell r="AN129">
            <v>3783.74</v>
          </cell>
          <cell r="AO129">
            <v>5297.235999999999</v>
          </cell>
          <cell r="AP129">
            <v>-0.37908729781969375</v>
          </cell>
          <cell r="AQ129" t="str">
            <v>024-G-91SAIR</v>
          </cell>
          <cell r="AR129" t="str">
            <v>024-L-91SAIR</v>
          </cell>
          <cell r="AS129">
            <v>39155</v>
          </cell>
          <cell r="AZ129">
            <v>95.843000000000004</v>
          </cell>
          <cell r="BA129">
            <v>756.404</v>
          </cell>
          <cell r="BB129">
            <v>3069.1493999999998</v>
          </cell>
        </row>
        <row r="130">
          <cell r="A130">
            <v>569485</v>
          </cell>
          <cell r="B130" t="str">
            <v>NUMERIX RADIOLOGIE SAS</v>
          </cell>
          <cell r="C130">
            <v>0.1</v>
          </cell>
          <cell r="D130">
            <v>0.1</v>
          </cell>
          <cell r="E130">
            <v>0.02</v>
          </cell>
          <cell r="F130">
            <v>41275</v>
          </cell>
          <cell r="H130">
            <v>0.75</v>
          </cell>
          <cell r="I130">
            <v>0</v>
          </cell>
          <cell r="K130">
            <v>0</v>
          </cell>
          <cell r="L130" t="str">
            <v>OK</v>
          </cell>
          <cell r="M130" t="str">
            <v>OK</v>
          </cell>
          <cell r="P130" t="str">
            <v>Non affecté</v>
          </cell>
          <cell r="Q130" t="str">
            <v>FP</v>
          </cell>
          <cell r="R130" t="str">
            <v>Ok mon client</v>
          </cell>
          <cell r="S130" t="str">
            <v>MOISSY CRAMAYEL</v>
          </cell>
          <cell r="T130" t="str">
            <v>94</v>
          </cell>
          <cell r="U130" t="str">
            <v>5 ALLEE DES SAULES  ZONE EUROPARC</v>
          </cell>
          <cell r="V130" t="str">
            <v>94000</v>
          </cell>
          <cell r="W130" t="str">
            <v>CRETEIL</v>
          </cell>
          <cell r="Y130" t="str">
            <v>Directeur Logistique et Transports</v>
          </cell>
          <cell r="Z130">
            <v>94000</v>
          </cell>
          <cell r="AA130" t="str">
            <v>CRETEIL</v>
          </cell>
          <cell r="AB130">
            <v>8928</v>
          </cell>
          <cell r="AC130">
            <v>1161.17</v>
          </cell>
          <cell r="AD130">
            <v>2519.83</v>
          </cell>
          <cell r="AF130">
            <v>12609</v>
          </cell>
          <cell r="AG130">
            <v>3045</v>
          </cell>
          <cell r="AH130">
            <v>0.15796715927750418</v>
          </cell>
          <cell r="AK130">
            <v>725.78</v>
          </cell>
          <cell r="AL130">
            <v>0.49123701397117592</v>
          </cell>
          <cell r="AN130">
            <v>3770.7799999999997</v>
          </cell>
          <cell r="AO130">
            <v>5279.0919999999996</v>
          </cell>
          <cell r="AP130">
            <v>-0.581323499087953</v>
          </cell>
          <cell r="AQ130" t="str">
            <v>024-G-94NUMERIX</v>
          </cell>
          <cell r="AZ130">
            <v>0</v>
          </cell>
          <cell r="BA130">
            <v>798.35800000000006</v>
          </cell>
          <cell r="BB130">
            <v>3105.9</v>
          </cell>
        </row>
        <row r="131">
          <cell r="A131">
            <v>643564</v>
          </cell>
          <cell r="B131" t="str">
            <v>BURBAN PALETTES</v>
          </cell>
          <cell r="C131">
            <v>0.1</v>
          </cell>
          <cell r="D131">
            <v>0.1</v>
          </cell>
          <cell r="E131">
            <v>0.02</v>
          </cell>
          <cell r="F131">
            <v>41275</v>
          </cell>
          <cell r="H131" t="str">
            <v>TS+75 / 75%</v>
          </cell>
          <cell r="I131">
            <v>0</v>
          </cell>
          <cell r="K131">
            <v>0</v>
          </cell>
          <cell r="L131" t="str">
            <v>OK</v>
          </cell>
          <cell r="M131" t="str">
            <v>OK</v>
          </cell>
          <cell r="P131" t="str">
            <v>Non affecté</v>
          </cell>
          <cell r="Q131" t="str">
            <v>FP</v>
          </cell>
          <cell r="R131" t="str">
            <v>Ok mon client</v>
          </cell>
          <cell r="S131" t="str">
            <v>MOISSY CRAMAYEL</v>
          </cell>
          <cell r="T131" t="str">
            <v>94</v>
          </cell>
          <cell r="U131" t="str">
            <v>80 AV GEORGES GUYNEMER</v>
          </cell>
          <cell r="V131">
            <v>94550</v>
          </cell>
          <cell r="W131" t="str">
            <v>CHEVILLY LARUE</v>
          </cell>
          <cell r="X131" t="str">
            <v>Mme</v>
          </cell>
          <cell r="Y131" t="str">
            <v>INGER Florence</v>
          </cell>
          <cell r="Z131" t="str">
            <v>94550</v>
          </cell>
          <cell r="AA131" t="str">
            <v>CHEVILLY LARUE</v>
          </cell>
          <cell r="AB131">
            <v>10568</v>
          </cell>
          <cell r="AF131">
            <v>10568</v>
          </cell>
          <cell r="AG131">
            <v>3765</v>
          </cell>
          <cell r="AH131">
            <v>7.9782411604714415E-2</v>
          </cell>
          <cell r="AN131">
            <v>3765</v>
          </cell>
          <cell r="AO131">
            <v>5271</v>
          </cell>
          <cell r="AP131">
            <v>-0.50123012869038608</v>
          </cell>
          <cell r="AR131" t="str">
            <v>024-L-94BURBANPALETTES</v>
          </cell>
          <cell r="AS131">
            <v>40735</v>
          </cell>
          <cell r="AZ131">
            <v>0</v>
          </cell>
          <cell r="BA131">
            <v>0</v>
          </cell>
          <cell r="BB131">
            <v>3840.3</v>
          </cell>
        </row>
        <row r="132">
          <cell r="A132">
            <v>833238</v>
          </cell>
          <cell r="B132" t="str">
            <v>PROJECTIF</v>
          </cell>
          <cell r="C132">
            <v>0.1</v>
          </cell>
          <cell r="D132">
            <v>0.1</v>
          </cell>
          <cell r="E132">
            <v>0.02</v>
          </cell>
          <cell r="F132">
            <v>41275</v>
          </cell>
          <cell r="H132" t="str">
            <v>TS+75 / 122%</v>
          </cell>
          <cell r="I132">
            <v>0</v>
          </cell>
          <cell r="K132">
            <v>0</v>
          </cell>
          <cell r="L132" t="str">
            <v>OK</v>
          </cell>
          <cell r="M132" t="str">
            <v>OK</v>
          </cell>
          <cell r="P132" t="str">
            <v>Non affecté</v>
          </cell>
          <cell r="Q132" t="str">
            <v>FP</v>
          </cell>
          <cell r="R132" t="str">
            <v>Ok mon client</v>
          </cell>
          <cell r="S132" t="str">
            <v>MOISSY CRAMAYEL</v>
          </cell>
          <cell r="T132" t="str">
            <v>94</v>
          </cell>
          <cell r="U132" t="str">
            <v>5 - 7 RUE DE L'AMIRAL COURBET</v>
          </cell>
          <cell r="V132" t="str">
            <v>94160</v>
          </cell>
          <cell r="W132" t="str">
            <v>ST MANDE</v>
          </cell>
          <cell r="Y132" t="str">
            <v>Directeur Logistique et Transports</v>
          </cell>
          <cell r="Z132" t="str">
            <v>94160</v>
          </cell>
          <cell r="AA132" t="str">
            <v>ST MANDE</v>
          </cell>
          <cell r="AC132">
            <v>183.51</v>
          </cell>
          <cell r="AD132">
            <v>6186.3999999999987</v>
          </cell>
          <cell r="AF132">
            <v>6369.9099999999989</v>
          </cell>
          <cell r="AK132">
            <v>3718.53</v>
          </cell>
          <cell r="AL132">
            <v>0.59706549644754914</v>
          </cell>
          <cell r="AN132">
            <v>3718.53</v>
          </cell>
          <cell r="AO132">
            <v>5205.942</v>
          </cell>
          <cell r="AP132">
            <v>-0.18272911234224642</v>
          </cell>
          <cell r="AQ132" t="str">
            <v>024-G-94PROJECTIF</v>
          </cell>
          <cell r="AZ132">
            <v>0</v>
          </cell>
          <cell r="BA132">
            <v>4090.3830000000007</v>
          </cell>
          <cell r="BB132">
            <v>0</v>
          </cell>
        </row>
        <row r="133">
          <cell r="A133">
            <v>515147</v>
          </cell>
          <cell r="B133" t="str">
            <v>LES APPAREILS FERROVIAIRES</v>
          </cell>
          <cell r="C133">
            <v>0.2</v>
          </cell>
          <cell r="D133">
            <v>0.1</v>
          </cell>
          <cell r="E133">
            <v>0.02</v>
          </cell>
          <cell r="F133">
            <v>41306</v>
          </cell>
          <cell r="I133">
            <v>0</v>
          </cell>
          <cell r="K133">
            <v>0</v>
          </cell>
          <cell r="L133" t="str">
            <v>OK</v>
          </cell>
          <cell r="M133" t="str">
            <v>OK</v>
          </cell>
          <cell r="P133" t="str">
            <v>Non affecté</v>
          </cell>
          <cell r="Q133" t="str">
            <v>FP</v>
          </cell>
          <cell r="R133" t="str">
            <v>Ok mon client</v>
          </cell>
          <cell r="S133" t="str">
            <v>MOISSY CRAMAYEL</v>
          </cell>
          <cell r="T133" t="str">
            <v>91</v>
          </cell>
          <cell r="U133" t="str">
            <v>55 Rue du Bois Chaland</v>
          </cell>
          <cell r="V133" t="str">
            <v>91029</v>
          </cell>
          <cell r="W133" t="str">
            <v>EVRY</v>
          </cell>
          <cell r="X133" t="str">
            <v>Mme</v>
          </cell>
          <cell r="Y133" t="str">
            <v>BARDECHE</v>
          </cell>
          <cell r="Z133" t="str">
            <v>91029</v>
          </cell>
          <cell r="AA133" t="str">
            <v>EVRY</v>
          </cell>
          <cell r="AC133">
            <v>3135.79</v>
          </cell>
          <cell r="AF133">
            <v>3135.79</v>
          </cell>
          <cell r="AI133">
            <v>3554.44</v>
          </cell>
          <cell r="AJ133">
            <v>0.86751523843671563</v>
          </cell>
          <cell r="AN133">
            <v>3554.44</v>
          </cell>
          <cell r="AO133">
            <v>4976.2159999999994</v>
          </cell>
          <cell r="AP133">
            <v>0.58690983771234673</v>
          </cell>
          <cell r="AQ133" t="str">
            <v>024-G-91LAF</v>
          </cell>
          <cell r="AZ133">
            <v>4265.3279999999995</v>
          </cell>
          <cell r="BA133">
            <v>0</v>
          </cell>
          <cell r="BB133">
            <v>0</v>
          </cell>
        </row>
        <row r="134">
          <cell r="A134">
            <v>592067</v>
          </cell>
          <cell r="B134" t="str">
            <v>PIOT ET TIROUFLET</v>
          </cell>
          <cell r="C134">
            <v>0.2</v>
          </cell>
          <cell r="D134">
            <v>0.1</v>
          </cell>
          <cell r="E134">
            <v>0.02</v>
          </cell>
          <cell r="F134">
            <v>41306</v>
          </cell>
          <cell r="I134">
            <v>0</v>
          </cell>
          <cell r="K134">
            <v>0</v>
          </cell>
          <cell r="L134" t="str">
            <v>OK</v>
          </cell>
          <cell r="M134" t="str">
            <v>OK</v>
          </cell>
          <cell r="P134" t="str">
            <v>Non affecté</v>
          </cell>
          <cell r="Q134" t="str">
            <v>FP</v>
          </cell>
          <cell r="R134" t="str">
            <v>Ok mon client</v>
          </cell>
          <cell r="S134" t="str">
            <v>MOISSY CRAMAYEL</v>
          </cell>
          <cell r="T134" t="str">
            <v>91</v>
          </cell>
          <cell r="U134" t="str">
            <v>12 RUE DU CLOS RENAULT</v>
          </cell>
          <cell r="V134" t="str">
            <v>91540</v>
          </cell>
          <cell r="W134" t="str">
            <v>MENNECY</v>
          </cell>
          <cell r="X134" t="str">
            <v>Mme</v>
          </cell>
          <cell r="Y134" t="str">
            <v>POZZUOLI</v>
          </cell>
          <cell r="Z134" t="str">
            <v>91540</v>
          </cell>
          <cell r="AA134" t="str">
            <v>MENNECY</v>
          </cell>
          <cell r="AC134">
            <v>4467.72</v>
          </cell>
          <cell r="AD134">
            <v>2465.06</v>
          </cell>
          <cell r="AF134">
            <v>6932.7800000000007</v>
          </cell>
          <cell r="AI134">
            <v>1703.0700000000002</v>
          </cell>
          <cell r="AJ134">
            <v>0.8296253236801775</v>
          </cell>
          <cell r="AK134">
            <v>1835.4399999999998</v>
          </cell>
          <cell r="AL134">
            <v>0.69952919682383541</v>
          </cell>
          <cell r="AN134">
            <v>3538.51</v>
          </cell>
          <cell r="AO134">
            <v>4953.9139999999998</v>
          </cell>
          <cell r="AP134">
            <v>-0.28543614538467987</v>
          </cell>
          <cell r="AQ134" t="str">
            <v>024-G-91PIOT</v>
          </cell>
          <cell r="AZ134">
            <v>2043.6840000000002</v>
          </cell>
          <cell r="BA134">
            <v>2018.9839999999999</v>
          </cell>
          <cell r="BB134">
            <v>0</v>
          </cell>
        </row>
        <row r="135">
          <cell r="A135">
            <v>447865</v>
          </cell>
          <cell r="B135" t="str">
            <v>ETS BAROT</v>
          </cell>
          <cell r="C135">
            <v>1.4999999999999999E-2</v>
          </cell>
          <cell r="D135">
            <v>1.4999999999999999E-2</v>
          </cell>
          <cell r="E135">
            <v>0</v>
          </cell>
          <cell r="F135">
            <v>41275</v>
          </cell>
          <cell r="I135">
            <v>0</v>
          </cell>
          <cell r="K135">
            <v>0</v>
          </cell>
          <cell r="L135" t="str">
            <v>OK</v>
          </cell>
          <cell r="M135" t="str">
            <v>OK</v>
          </cell>
          <cell r="O135" t="str">
            <v>Porte Feuille</v>
          </cell>
          <cell r="P135" t="str">
            <v>Non affecté</v>
          </cell>
          <cell r="Q135" t="str">
            <v>SM</v>
          </cell>
          <cell r="R135" t="str">
            <v>Ok mon client</v>
          </cell>
          <cell r="S135" t="str">
            <v>MOISSY CRAMAYEL</v>
          </cell>
          <cell r="T135" t="str">
            <v>77</v>
          </cell>
          <cell r="U135" t="str">
            <v xml:space="preserve">RUE DES PEUPLIERS - ZI </v>
          </cell>
          <cell r="V135" t="str">
            <v>77590</v>
          </cell>
          <cell r="W135" t="str">
            <v>BOIS LE ROI</v>
          </cell>
          <cell r="X135" t="str">
            <v>M.</v>
          </cell>
          <cell r="Y135" t="str">
            <v>THOMAS</v>
          </cell>
          <cell r="Z135" t="str">
            <v>77173</v>
          </cell>
          <cell r="AA135" t="str">
            <v>CHEVRY COSSIGNY</v>
          </cell>
          <cell r="AC135">
            <v>5225.43</v>
          </cell>
          <cell r="AF135">
            <v>5225.43</v>
          </cell>
          <cell r="AG135">
            <v>423.05</v>
          </cell>
          <cell r="AH135">
            <v>0.28847491065508818</v>
          </cell>
          <cell r="AI135">
            <v>2889.34</v>
          </cell>
          <cell r="AJ135">
            <v>0.55674088818482137</v>
          </cell>
          <cell r="AN135">
            <v>3312.3900000000003</v>
          </cell>
          <cell r="AO135">
            <v>4637.3460000000005</v>
          </cell>
          <cell r="AP135">
            <v>-0.1125426998352288</v>
          </cell>
          <cell r="AQ135" t="str">
            <v>024-G-77BAROT024</v>
          </cell>
          <cell r="AS135">
            <v>38959</v>
          </cell>
          <cell r="AZ135">
            <v>2932.6801</v>
          </cell>
          <cell r="BA135">
            <v>0</v>
          </cell>
          <cell r="BB135">
            <v>423.05</v>
          </cell>
        </row>
        <row r="136">
          <cell r="A136">
            <v>875671</v>
          </cell>
          <cell r="B136" t="str">
            <v>SM CONTACT</v>
          </cell>
          <cell r="H136" t="str">
            <v>démarrage</v>
          </cell>
          <cell r="I136">
            <v>0</v>
          </cell>
          <cell r="K136">
            <v>0</v>
          </cell>
          <cell r="M136" t="str">
            <v>NON</v>
          </cell>
          <cell r="P136" t="str">
            <v>Non affecté</v>
          </cell>
          <cell r="Q136" t="str">
            <v>FR</v>
          </cell>
          <cell r="R136" t="str">
            <v>Ok mon client</v>
          </cell>
          <cell r="S136" t="str">
            <v>MOISSY CRAMAYEL</v>
          </cell>
          <cell r="T136" t="str">
            <v>77</v>
          </cell>
          <cell r="U136" t="str">
            <v>20 A 22 VOIE GALLO ROMAINE</v>
          </cell>
          <cell r="V136">
            <v>77860</v>
          </cell>
          <cell r="W136" t="str">
            <v>QUINCY VOISIN</v>
          </cell>
          <cell r="X136" t="str">
            <v>Mr</v>
          </cell>
          <cell r="Y136" t="str">
            <v>LEBERT</v>
          </cell>
          <cell r="Z136" t="str">
            <v>77860</v>
          </cell>
          <cell r="AA136" t="str">
            <v>QUINCY VOISIN</v>
          </cell>
          <cell r="AI136">
            <v>370.42999999999995</v>
          </cell>
          <cell r="AJ136">
            <v>0.27538266339119405</v>
          </cell>
          <cell r="AK136">
            <v>2923.03</v>
          </cell>
          <cell r="AL136">
            <v>0.29139625662411928</v>
          </cell>
          <cell r="AN136">
            <v>3293.46</v>
          </cell>
          <cell r="AO136">
            <v>4610.8440000000001</v>
          </cell>
          <cell r="AQ136" t="str">
            <v>024-G-77SMCONTACT</v>
          </cell>
          <cell r="AR136" t="str">
            <v>024-L-77SMCONTACT</v>
          </cell>
          <cell r="AS136">
            <v>41085</v>
          </cell>
          <cell r="AZ136">
            <v>370.42999999999995</v>
          </cell>
          <cell r="BA136">
            <v>2923.03</v>
          </cell>
          <cell r="BB136">
            <v>0</v>
          </cell>
        </row>
        <row r="137">
          <cell r="A137">
            <v>537393</v>
          </cell>
          <cell r="B137" t="str">
            <v>AVIFIL</v>
          </cell>
          <cell r="C137">
            <v>0.2</v>
          </cell>
          <cell r="D137">
            <v>0.1</v>
          </cell>
          <cell r="E137">
            <v>0.02</v>
          </cell>
          <cell r="F137">
            <v>41306</v>
          </cell>
          <cell r="I137">
            <v>0</v>
          </cell>
          <cell r="K137">
            <v>0</v>
          </cell>
          <cell r="L137" t="str">
            <v>OK</v>
          </cell>
          <cell r="M137" t="str">
            <v>OK</v>
          </cell>
          <cell r="O137" t="str">
            <v>Porte Feuille</v>
          </cell>
          <cell r="P137" t="str">
            <v>Non affecté</v>
          </cell>
          <cell r="Q137" t="str">
            <v>FR</v>
          </cell>
          <cell r="R137" t="str">
            <v>Ok mon client</v>
          </cell>
          <cell r="S137" t="str">
            <v>MOISSY CRAMAYEL</v>
          </cell>
          <cell r="T137" t="str">
            <v>77</v>
          </cell>
          <cell r="U137" t="str">
            <v>520 AVENUE BLAISE PASCAL</v>
          </cell>
          <cell r="V137" t="str">
            <v>77550</v>
          </cell>
          <cell r="W137" t="str">
            <v>MOISSY CRAMAYEL</v>
          </cell>
          <cell r="Y137" t="str">
            <v>Directeur Logistique et Transports</v>
          </cell>
          <cell r="Z137" t="str">
            <v>77550</v>
          </cell>
          <cell r="AA137" t="str">
            <v>MOISSY CRAMAYEL</v>
          </cell>
          <cell r="AB137">
            <v>3470</v>
          </cell>
          <cell r="AC137">
            <v>9457.52</v>
          </cell>
          <cell r="AD137">
            <v>2125.98</v>
          </cell>
          <cell r="AF137">
            <v>15053.5</v>
          </cell>
          <cell r="AI137">
            <v>2614.44</v>
          </cell>
          <cell r="AJ137">
            <v>0.63607159922078871</v>
          </cell>
          <cell r="AK137">
            <v>601.87</v>
          </cell>
          <cell r="AL137">
            <v>0.63932184145334425</v>
          </cell>
          <cell r="AN137">
            <v>3216.31</v>
          </cell>
          <cell r="AO137">
            <v>4502.8339999999998</v>
          </cell>
          <cell r="AP137">
            <v>-0.70087793536386889</v>
          </cell>
          <cell r="AQ137" t="str">
            <v>024-G-77AVIFIL</v>
          </cell>
          <cell r="AZ137">
            <v>3137.328</v>
          </cell>
          <cell r="BA137">
            <v>662.05700000000002</v>
          </cell>
          <cell r="BB137">
            <v>0</v>
          </cell>
        </row>
        <row r="138">
          <cell r="A138">
            <v>612023</v>
          </cell>
          <cell r="B138" t="str">
            <v>GTI</v>
          </cell>
          <cell r="C138">
            <v>0.2</v>
          </cell>
          <cell r="D138">
            <v>0.1</v>
          </cell>
          <cell r="E138">
            <v>0.02</v>
          </cell>
          <cell r="F138">
            <v>41306</v>
          </cell>
          <cell r="I138">
            <v>0</v>
          </cell>
          <cell r="K138">
            <v>0</v>
          </cell>
          <cell r="L138" t="str">
            <v>OK</v>
          </cell>
          <cell r="M138" t="str">
            <v>OK</v>
          </cell>
          <cell r="P138" t="str">
            <v>Non affecté</v>
          </cell>
          <cell r="Q138" t="str">
            <v>FR</v>
          </cell>
          <cell r="R138" t="str">
            <v>Ok mon client</v>
          </cell>
          <cell r="S138" t="str">
            <v>MOISSY CRAMAYEL</v>
          </cell>
          <cell r="T138" t="str">
            <v>77</v>
          </cell>
          <cell r="U138" t="str">
            <v>5 Rue de Meaux</v>
          </cell>
          <cell r="V138" t="str">
            <v>77124</v>
          </cell>
          <cell r="W138" t="str">
            <v>CHAUCONIN</v>
          </cell>
          <cell r="X138" t="str">
            <v>Mme</v>
          </cell>
          <cell r="Y138" t="str">
            <v>DOCTOBRE</v>
          </cell>
          <cell r="Z138" t="str">
            <v>77124</v>
          </cell>
          <cell r="AA138" t="str">
            <v>CHAUCONIN</v>
          </cell>
          <cell r="AC138">
            <v>6807.19</v>
          </cell>
          <cell r="AD138">
            <v>32.78</v>
          </cell>
          <cell r="AF138">
            <v>6839.9699999999993</v>
          </cell>
          <cell r="AI138">
            <v>3105.1699999999996</v>
          </cell>
          <cell r="AJ138">
            <v>0.63264595739990315</v>
          </cell>
          <cell r="AN138">
            <v>3105.1699999999996</v>
          </cell>
          <cell r="AO138">
            <v>4347.2379999999994</v>
          </cell>
          <cell r="AP138">
            <v>-0.36443610132792981</v>
          </cell>
          <cell r="AQ138" t="str">
            <v>024-G-77GTI</v>
          </cell>
          <cell r="AR138" t="str">
            <v>024-L-77GTI</v>
          </cell>
          <cell r="AZ138">
            <v>3726.2039999999993</v>
          </cell>
          <cell r="BA138">
            <v>0</v>
          </cell>
          <cell r="BB138">
            <v>0</v>
          </cell>
        </row>
        <row r="139">
          <cell r="A139">
            <v>607899</v>
          </cell>
          <cell r="B139" t="str">
            <v>LABORATOIRE DUJARDIN - SALLERON</v>
          </cell>
          <cell r="C139">
            <v>0.2</v>
          </cell>
          <cell r="D139">
            <v>0.1</v>
          </cell>
          <cell r="E139">
            <v>0.02</v>
          </cell>
          <cell r="F139">
            <v>41306</v>
          </cell>
          <cell r="I139">
            <v>0</v>
          </cell>
          <cell r="K139">
            <v>0</v>
          </cell>
          <cell r="L139" t="str">
            <v>OK</v>
          </cell>
          <cell r="M139" t="str">
            <v>OK</v>
          </cell>
          <cell r="P139" t="str">
            <v>Non affecté</v>
          </cell>
          <cell r="Q139" t="str">
            <v>FP</v>
          </cell>
          <cell r="R139" t="str">
            <v>Ok mon client</v>
          </cell>
          <cell r="S139" t="str">
            <v>MOISSY CRAMAYEL</v>
          </cell>
          <cell r="T139" t="str">
            <v>94</v>
          </cell>
          <cell r="U139" t="str">
            <v>18 RUE HENRI BARBUSSE</v>
          </cell>
          <cell r="V139" t="str">
            <v>94117</v>
          </cell>
          <cell r="W139" t="str">
            <v>ARCUEIL CEDEX</v>
          </cell>
          <cell r="X139" t="str">
            <v>M.</v>
          </cell>
          <cell r="Y139" t="str">
            <v xml:space="preserve">ANDRE </v>
          </cell>
          <cell r="Z139" t="str">
            <v>94117</v>
          </cell>
          <cell r="AA139" t="str">
            <v>ARCUEIL CEDEX</v>
          </cell>
          <cell r="AC139">
            <v>2478.3400000000006</v>
          </cell>
          <cell r="AD139">
            <v>1139.6300000000001</v>
          </cell>
          <cell r="AF139">
            <v>3617.9700000000003</v>
          </cell>
          <cell r="AI139">
            <v>2116.6899999999996</v>
          </cell>
          <cell r="AJ139">
            <v>0.46851221246955332</v>
          </cell>
          <cell r="AK139">
            <v>889.07999999999993</v>
          </cell>
          <cell r="AL139">
            <v>0.66849880687454766</v>
          </cell>
          <cell r="AN139">
            <v>3005.7699999999995</v>
          </cell>
          <cell r="AO139">
            <v>4208.0779999999995</v>
          </cell>
          <cell r="AP139">
            <v>0.16310472447256319</v>
          </cell>
          <cell r="AQ139" t="str">
            <v>024-G-94DUJARDIN</v>
          </cell>
          <cell r="AZ139">
            <v>2540.0279999999993</v>
          </cell>
          <cell r="BA139">
            <v>977.98799999999994</v>
          </cell>
          <cell r="BB139">
            <v>0</v>
          </cell>
        </row>
        <row r="140">
          <cell r="A140">
            <v>645369</v>
          </cell>
          <cell r="B140" t="str">
            <v>CHOMETTE BENELUX</v>
          </cell>
          <cell r="C140">
            <v>0.2</v>
          </cell>
          <cell r="D140">
            <v>0.1</v>
          </cell>
          <cell r="E140">
            <v>0.02</v>
          </cell>
          <cell r="F140">
            <v>41306</v>
          </cell>
          <cell r="I140">
            <v>0</v>
          </cell>
          <cell r="K140">
            <v>0</v>
          </cell>
          <cell r="L140" t="str">
            <v>OK</v>
          </cell>
          <cell r="M140" t="str">
            <v>OK</v>
          </cell>
          <cell r="P140" t="str">
            <v>Non affecté</v>
          </cell>
          <cell r="Q140" t="str">
            <v>SM</v>
          </cell>
          <cell r="R140" t="str">
            <v>Ok mon client</v>
          </cell>
          <cell r="S140" t="str">
            <v>MOISSY CRAMAYEL</v>
          </cell>
          <cell r="T140" t="str">
            <v>10</v>
          </cell>
          <cell r="U140" t="str">
            <v>124 AVENUE DU CHÂTEAU</v>
          </cell>
          <cell r="V140" t="str">
            <v>1081</v>
          </cell>
          <cell r="W140" t="str">
            <v>BRUXELLES</v>
          </cell>
          <cell r="X140" t="str">
            <v>Mme</v>
          </cell>
          <cell r="Y140" t="str">
            <v>LEDUC</v>
          </cell>
          <cell r="Z140" t="str">
            <v>1081</v>
          </cell>
          <cell r="AA140" t="str">
            <v>BRUXELLES</v>
          </cell>
          <cell r="AC140">
            <v>27.79</v>
          </cell>
          <cell r="AD140">
            <v>7020.8899999999994</v>
          </cell>
          <cell r="AF140">
            <v>7048.6799999999994</v>
          </cell>
          <cell r="AI140">
            <v>41.050000000000004</v>
          </cell>
          <cell r="AJ140">
            <v>0.37710109622411686</v>
          </cell>
          <cell r="AK140">
            <v>2895.39</v>
          </cell>
          <cell r="AL140">
            <v>0.24829390261010265</v>
          </cell>
          <cell r="AN140">
            <v>2936.44</v>
          </cell>
          <cell r="AO140">
            <v>4111.0159999999996</v>
          </cell>
          <cell r="AP140">
            <v>-0.41676796222838886</v>
          </cell>
          <cell r="AQ140" t="str">
            <v>024-G-91ECF</v>
          </cell>
          <cell r="AS140">
            <v>39350</v>
          </cell>
          <cell r="AZ140">
            <v>49.260000000000005</v>
          </cell>
          <cell r="BA140">
            <v>3184.9290000000001</v>
          </cell>
          <cell r="BB140">
            <v>0</v>
          </cell>
        </row>
        <row r="141">
          <cell r="A141">
            <v>475077</v>
          </cell>
          <cell r="B141" t="str">
            <v>COMPUTER TRADE SERVICE</v>
          </cell>
          <cell r="C141">
            <v>0.2</v>
          </cell>
          <cell r="D141">
            <v>0.1</v>
          </cell>
          <cell r="E141">
            <v>0.02</v>
          </cell>
          <cell r="F141">
            <v>41306</v>
          </cell>
          <cell r="I141">
            <v>0</v>
          </cell>
          <cell r="K141">
            <v>0</v>
          </cell>
          <cell r="L141" t="str">
            <v>OK</v>
          </cell>
          <cell r="M141" t="str">
            <v>OK</v>
          </cell>
          <cell r="P141" t="str">
            <v>Non affecté</v>
          </cell>
          <cell r="Q141" t="str">
            <v>FR</v>
          </cell>
          <cell r="R141" t="str">
            <v>Ok mon client</v>
          </cell>
          <cell r="S141" t="str">
            <v>MOISSY CRAMAYEL</v>
          </cell>
          <cell r="T141" t="str">
            <v>77</v>
          </cell>
          <cell r="U141" t="str">
            <v>5 Allée des Sarments</v>
          </cell>
          <cell r="V141" t="str">
            <v>77183</v>
          </cell>
          <cell r="W141" t="str">
            <v>CROISSY BEAUBOURG</v>
          </cell>
          <cell r="X141" t="str">
            <v>Mme</v>
          </cell>
          <cell r="Y141" t="str">
            <v>ACHARD</v>
          </cell>
          <cell r="Z141" t="str">
            <v>77183</v>
          </cell>
          <cell r="AA141" t="str">
            <v>CROISSY BEAUBOURG</v>
          </cell>
          <cell r="AC141">
            <v>2261.5100000000002</v>
          </cell>
          <cell r="AD141">
            <v>81.67</v>
          </cell>
          <cell r="AF141">
            <v>2343.1800000000003</v>
          </cell>
          <cell r="AI141">
            <v>2883.54</v>
          </cell>
          <cell r="AJ141">
            <v>0.72500162355872244</v>
          </cell>
          <cell r="AN141">
            <v>2883.54</v>
          </cell>
          <cell r="AO141">
            <v>4036.9559999999997</v>
          </cell>
          <cell r="AP141">
            <v>0.72285355798530171</v>
          </cell>
          <cell r="AQ141" t="str">
            <v>001-G-GENERAL-KG</v>
          </cell>
          <cell r="AR141" t="str">
            <v>001-L-GENERAL-KG</v>
          </cell>
          <cell r="AS141">
            <v>38118</v>
          </cell>
          <cell r="AZ141">
            <v>3460.248</v>
          </cell>
          <cell r="BA141">
            <v>0</v>
          </cell>
          <cell r="BB141">
            <v>0</v>
          </cell>
        </row>
        <row r="142">
          <cell r="A142">
            <v>530535</v>
          </cell>
          <cell r="B142" t="str">
            <v>ST GOBAIN CRISTAUX ET DETECT</v>
          </cell>
          <cell r="C142">
            <v>0.1</v>
          </cell>
          <cell r="D142">
            <v>0.1</v>
          </cell>
          <cell r="E142">
            <v>0.02</v>
          </cell>
          <cell r="F142">
            <v>41334</v>
          </cell>
          <cell r="H142" t="str">
            <v xml:space="preserve"> </v>
          </cell>
          <cell r="I142">
            <v>0</v>
          </cell>
          <cell r="K142">
            <v>0</v>
          </cell>
          <cell r="L142" t="str">
            <v>OK</v>
          </cell>
          <cell r="M142" t="str">
            <v>OK</v>
          </cell>
          <cell r="P142" t="str">
            <v>DCM</v>
          </cell>
          <cell r="S142" t="str">
            <v>MOISSY CRAMAYEL</v>
          </cell>
          <cell r="T142" t="str">
            <v>77</v>
          </cell>
          <cell r="U142" t="str">
            <v>104 ROUTE DE LARCHANT BP 251</v>
          </cell>
          <cell r="V142" t="str">
            <v>77140</v>
          </cell>
          <cell r="W142" t="str">
            <v>ST PIERRE LES NEMOURS</v>
          </cell>
          <cell r="Y142" t="str">
            <v>Directeur Logistique et Transports</v>
          </cell>
          <cell r="Z142" t="str">
            <v>77140</v>
          </cell>
          <cell r="AA142" t="str">
            <v>ST PIERRE LES NEMOURS</v>
          </cell>
          <cell r="AC142">
            <v>2018.8300000000002</v>
          </cell>
          <cell r="AD142">
            <v>821.05000000000007</v>
          </cell>
          <cell r="AF142">
            <v>2839.88</v>
          </cell>
          <cell r="AG142">
            <v>290</v>
          </cell>
          <cell r="AI142">
            <v>1274.03</v>
          </cell>
          <cell r="AK142">
            <v>1266.5699999999997</v>
          </cell>
          <cell r="AN142">
            <v>2830.6</v>
          </cell>
          <cell r="AO142">
            <v>3962.8399999999997</v>
          </cell>
          <cell r="AP142">
            <v>0.395425158809527</v>
          </cell>
          <cell r="AQ142" t="str">
            <v>024-G-77STGOBAINCRISTAU</v>
          </cell>
          <cell r="AZ142">
            <v>1401.433</v>
          </cell>
          <cell r="BA142">
            <v>1393.2269999999999</v>
          </cell>
          <cell r="BB142">
            <v>295.8</v>
          </cell>
        </row>
        <row r="143">
          <cell r="A143">
            <v>623307</v>
          </cell>
          <cell r="B143" t="str">
            <v>LINDAB FRANCE</v>
          </cell>
          <cell r="H143" t="str">
            <v>COMPTE HORS SERVICE</v>
          </cell>
          <cell r="I143">
            <v>0</v>
          </cell>
          <cell r="K143">
            <v>0</v>
          </cell>
          <cell r="M143" t="str">
            <v>NON</v>
          </cell>
          <cell r="P143" t="str">
            <v>Non affecté</v>
          </cell>
          <cell r="Q143" t="str">
            <v>SM</v>
          </cell>
          <cell r="R143" t="str">
            <v>Ok mon client</v>
          </cell>
          <cell r="S143" t="str">
            <v>MOISSY CRAMAYEL</v>
          </cell>
          <cell r="T143" t="str">
            <v>01</v>
          </cell>
          <cell r="Z143" t="str">
            <v>01120</v>
          </cell>
          <cell r="AA143" t="str">
            <v>MONTLUEL</v>
          </cell>
          <cell r="AC143">
            <v>3265.47</v>
          </cell>
          <cell r="AF143">
            <v>3265.47</v>
          </cell>
          <cell r="AI143">
            <v>2751.87</v>
          </cell>
          <cell r="AN143">
            <v>2751.87</v>
          </cell>
          <cell r="AO143">
            <v>3852.6179999999995</v>
          </cell>
          <cell r="AP143">
            <v>0.17980505103400124</v>
          </cell>
          <cell r="AZ143">
            <v>2751.87</v>
          </cell>
          <cell r="BA143">
            <v>0</v>
          </cell>
          <cell r="BB143">
            <v>0</v>
          </cell>
        </row>
        <row r="144">
          <cell r="A144">
            <v>386177</v>
          </cell>
          <cell r="B144" t="str">
            <v>SIS NOVAM</v>
          </cell>
          <cell r="C144">
            <v>0.2</v>
          </cell>
          <cell r="D144">
            <v>0.1</v>
          </cell>
          <cell r="E144">
            <v>0.02</v>
          </cell>
          <cell r="F144">
            <v>41334</v>
          </cell>
          <cell r="I144">
            <v>0</v>
          </cell>
          <cell r="K144">
            <v>0</v>
          </cell>
          <cell r="L144" t="str">
            <v>OK</v>
          </cell>
          <cell r="M144" t="str">
            <v>OK</v>
          </cell>
          <cell r="P144" t="str">
            <v>Non affecté</v>
          </cell>
          <cell r="Q144" t="str">
            <v>FP</v>
          </cell>
          <cell r="R144" t="str">
            <v>Ok mon client</v>
          </cell>
          <cell r="S144" t="str">
            <v>MOISSY CRAMAYEL</v>
          </cell>
          <cell r="T144">
            <v>94</v>
          </cell>
          <cell r="U144" t="str">
            <v>4 RUE DU BOIS CERDON</v>
          </cell>
          <cell r="V144" t="str">
            <v>94460</v>
          </cell>
          <cell r="W144" t="str">
            <v>VALENTON</v>
          </cell>
          <cell r="Y144" t="str">
            <v>Directeur Logistique et Transports</v>
          </cell>
          <cell r="Z144" t="str">
            <v>94460</v>
          </cell>
          <cell r="AA144" t="str">
            <v>VALENTON</v>
          </cell>
          <cell r="AB144">
            <v>266</v>
          </cell>
          <cell r="AC144">
            <v>3093.4300000000003</v>
          </cell>
          <cell r="AD144">
            <v>1685.34</v>
          </cell>
          <cell r="AF144">
            <v>5044.7700000000004</v>
          </cell>
          <cell r="AG144">
            <v>1651</v>
          </cell>
          <cell r="AH144">
            <v>0.46311176040905772</v>
          </cell>
          <cell r="AK144">
            <v>1095.0300000000002</v>
          </cell>
          <cell r="AL144">
            <v>0.65702309525766411</v>
          </cell>
          <cell r="AN144">
            <v>2746.03</v>
          </cell>
          <cell r="AO144">
            <v>3844.442</v>
          </cell>
          <cell r="AP144">
            <v>-0.23793512885622148</v>
          </cell>
          <cell r="AQ144" t="str">
            <v>024-G-94SISNOVAM</v>
          </cell>
          <cell r="AZ144">
            <v>0</v>
          </cell>
          <cell r="BA144">
            <v>1204.5330000000004</v>
          </cell>
          <cell r="BB144">
            <v>1684.02</v>
          </cell>
        </row>
        <row r="145">
          <cell r="A145">
            <v>477748</v>
          </cell>
          <cell r="B145" t="str">
            <v>MANULOC</v>
          </cell>
          <cell r="C145">
            <v>0.2</v>
          </cell>
          <cell r="D145">
            <v>0.1</v>
          </cell>
          <cell r="E145">
            <v>0.02</v>
          </cell>
          <cell r="F145">
            <v>41306</v>
          </cell>
          <cell r="I145">
            <v>0</v>
          </cell>
          <cell r="K145">
            <v>0</v>
          </cell>
          <cell r="L145" t="str">
            <v>OK</v>
          </cell>
          <cell r="M145" t="str">
            <v>OK</v>
          </cell>
          <cell r="P145" t="str">
            <v>Non affecté</v>
          </cell>
          <cell r="Q145" t="str">
            <v>SM</v>
          </cell>
          <cell r="R145" t="str">
            <v>Ok mon client</v>
          </cell>
          <cell r="S145" t="str">
            <v>MOISSY CRAMAYEL</v>
          </cell>
          <cell r="T145" t="str">
            <v>51</v>
          </cell>
          <cell r="U145" t="str">
            <v>5 rue Roland Coffignot</v>
          </cell>
          <cell r="V145" t="str">
            <v>51689</v>
          </cell>
          <cell r="W145" t="str">
            <v>REIMS</v>
          </cell>
          <cell r="Y145" t="str">
            <v>Directeur Logistique et Transports</v>
          </cell>
          <cell r="Z145" t="str">
            <v>51689</v>
          </cell>
          <cell r="AA145" t="str">
            <v>REIMS</v>
          </cell>
          <cell r="AC145">
            <v>1951.73</v>
          </cell>
          <cell r="AF145">
            <v>1951.73</v>
          </cell>
          <cell r="AG145">
            <v>300</v>
          </cell>
          <cell r="AH145">
            <v>0.33333333333333331</v>
          </cell>
          <cell r="AI145">
            <v>2387.33</v>
          </cell>
          <cell r="AJ145">
            <v>0.79403709210423357</v>
          </cell>
          <cell r="AN145">
            <v>2687.33</v>
          </cell>
          <cell r="AO145">
            <v>3762.2619999999997</v>
          </cell>
          <cell r="AP145">
            <v>0.92765495227311145</v>
          </cell>
          <cell r="AQ145" t="str">
            <v>024-G-77MANULOC</v>
          </cell>
          <cell r="AZ145">
            <v>2864.7959999999998</v>
          </cell>
          <cell r="BA145">
            <v>0</v>
          </cell>
          <cell r="BB145">
            <v>306</v>
          </cell>
        </row>
        <row r="146">
          <cell r="A146">
            <v>626776</v>
          </cell>
          <cell r="B146" t="str">
            <v>SAFT</v>
          </cell>
          <cell r="C146">
            <v>0.2</v>
          </cell>
          <cell r="D146">
            <v>0.1</v>
          </cell>
          <cell r="E146">
            <v>0.02</v>
          </cell>
          <cell r="F146">
            <v>41306</v>
          </cell>
          <cell r="I146">
            <v>0</v>
          </cell>
          <cell r="K146">
            <v>0</v>
          </cell>
          <cell r="L146" t="str">
            <v>OK</v>
          </cell>
          <cell r="M146" t="str">
            <v>OK</v>
          </cell>
          <cell r="P146" t="str">
            <v>Non affecté</v>
          </cell>
          <cell r="Q146" t="str">
            <v>FR</v>
          </cell>
          <cell r="R146" t="str">
            <v>Ok mon client</v>
          </cell>
          <cell r="S146" t="str">
            <v>MOISSY CRAMAYEL</v>
          </cell>
          <cell r="T146" t="str">
            <v>77</v>
          </cell>
          <cell r="U146" t="str">
            <v>1 rue Mozart</v>
          </cell>
          <cell r="V146" t="str">
            <v>77170</v>
          </cell>
          <cell r="W146" t="str">
            <v>BRIE COMTE ROBERT</v>
          </cell>
          <cell r="Y146" t="str">
            <v>Directeur Logistique et Transports</v>
          </cell>
          <cell r="Z146" t="str">
            <v>77170</v>
          </cell>
          <cell r="AA146" t="str">
            <v>BRIE COMTE ROBERT</v>
          </cell>
          <cell r="AB146">
            <v>1545</v>
          </cell>
          <cell r="AF146">
            <v>1545</v>
          </cell>
          <cell r="AG146">
            <v>1731</v>
          </cell>
          <cell r="AH146">
            <v>-1.2773722627737226E-2</v>
          </cell>
          <cell r="AI146">
            <v>891.53</v>
          </cell>
          <cell r="AJ146">
            <v>0.89313744403041906</v>
          </cell>
          <cell r="AN146">
            <v>2622.5299999999997</v>
          </cell>
          <cell r="AO146">
            <v>3671.5419999999995</v>
          </cell>
          <cell r="AP146">
            <v>1.3764025889967635</v>
          </cell>
          <cell r="AQ146" t="str">
            <v>024-G-77SAFT</v>
          </cell>
          <cell r="AS146">
            <v>39121</v>
          </cell>
          <cell r="AZ146">
            <v>1069.836</v>
          </cell>
          <cell r="BA146">
            <v>0</v>
          </cell>
          <cell r="BB146">
            <v>1765.6200000000001</v>
          </cell>
        </row>
        <row r="147">
          <cell r="A147">
            <v>376835</v>
          </cell>
          <cell r="B147" t="str">
            <v>MULTISABLES</v>
          </cell>
          <cell r="H147" t="str">
            <v>PAS DE CONTRAT DANS INES</v>
          </cell>
          <cell r="I147">
            <v>0</v>
          </cell>
          <cell r="K147">
            <v>0</v>
          </cell>
          <cell r="M147" t="str">
            <v>NON</v>
          </cell>
          <cell r="P147" t="str">
            <v>Non affecté</v>
          </cell>
          <cell r="Q147" t="str">
            <v>FP</v>
          </cell>
          <cell r="R147" t="str">
            <v>Ok mon client</v>
          </cell>
          <cell r="S147" t="str">
            <v>MOISSY CRAMAYEL</v>
          </cell>
          <cell r="T147" t="str">
            <v>91</v>
          </cell>
          <cell r="U147" t="str">
            <v>38 CHEMIN DE LINON</v>
          </cell>
          <cell r="V147">
            <v>91430</v>
          </cell>
          <cell r="W147" t="str">
            <v>IGNY</v>
          </cell>
          <cell r="X147" t="str">
            <v>M.</v>
          </cell>
          <cell r="Y147" t="str">
            <v>ROBERT</v>
          </cell>
          <cell r="Z147" t="str">
            <v>91430</v>
          </cell>
          <cell r="AA147" t="str">
            <v>IGNY</v>
          </cell>
          <cell r="AB147">
            <v>2047.9</v>
          </cell>
          <cell r="AC147">
            <v>201.67000000000002</v>
          </cell>
          <cell r="AF147">
            <v>2249.5700000000002</v>
          </cell>
          <cell r="AG147">
            <v>2502.7999999999997</v>
          </cell>
          <cell r="AH147">
            <v>0.41103309929789361</v>
          </cell>
          <cell r="AN147">
            <v>2502.7999999999997</v>
          </cell>
          <cell r="AO147">
            <v>3503.9199999999996</v>
          </cell>
          <cell r="AP147">
            <v>0.55759545157518975</v>
          </cell>
          <cell r="AZ147">
            <v>0</v>
          </cell>
          <cell r="BA147">
            <v>0</v>
          </cell>
          <cell r="BB147">
            <v>2502.7999999999997</v>
          </cell>
        </row>
        <row r="148">
          <cell r="A148">
            <v>810967</v>
          </cell>
          <cell r="B148" t="str">
            <v>DL IMPRESSION SARL</v>
          </cell>
          <cell r="C148">
            <v>0.2</v>
          </cell>
          <cell r="D148">
            <v>0.1</v>
          </cell>
          <cell r="E148">
            <v>0.02</v>
          </cell>
          <cell r="F148">
            <v>41348</v>
          </cell>
          <cell r="I148">
            <v>0</v>
          </cell>
          <cell r="L148" t="str">
            <v>OK</v>
          </cell>
          <cell r="M148" t="str">
            <v>OK</v>
          </cell>
          <cell r="N148" t="str">
            <v>Non affecté</v>
          </cell>
          <cell r="O148" t="str">
            <v>FR</v>
          </cell>
          <cell r="R148" t="str">
            <v>Client ORL</v>
          </cell>
          <cell r="S148" t="str">
            <v>MOISSY CRAMAYEL</v>
          </cell>
          <cell r="T148" t="str">
            <v>77</v>
          </cell>
          <cell r="U148" t="str">
            <v>16 RUE DE LA CAVE CALOT</v>
          </cell>
          <cell r="V148">
            <v>77570</v>
          </cell>
          <cell r="W148" t="str">
            <v>CHÂTEAU LANDON</v>
          </cell>
          <cell r="X148" t="str">
            <v>M.</v>
          </cell>
          <cell r="Y148" t="str">
            <v>LAGILLE</v>
          </cell>
          <cell r="Z148" t="str">
            <v>77570</v>
          </cell>
          <cell r="AA148" t="str">
            <v>CHATEAU LANDON</v>
          </cell>
          <cell r="AC148">
            <v>8712.6999999999989</v>
          </cell>
          <cell r="AD148">
            <v>68.25</v>
          </cell>
          <cell r="AF148">
            <v>8780.9499999999989</v>
          </cell>
          <cell r="AI148">
            <v>2450.0299999999997</v>
          </cell>
          <cell r="AJ148">
            <v>0.3104309045799783</v>
          </cell>
          <cell r="AN148">
            <v>2450.0299999999997</v>
          </cell>
          <cell r="AO148">
            <v>3430.0419999999995</v>
          </cell>
          <cell r="AP148">
            <v>-0.60937688974427595</v>
          </cell>
          <cell r="AQ148" t="str">
            <v>024-G-77DLIMPRESSION</v>
          </cell>
          <cell r="AS148">
            <v>39990</v>
          </cell>
          <cell r="AZ148">
            <v>2940.0359999999996</v>
          </cell>
          <cell r="BA148">
            <v>0</v>
          </cell>
          <cell r="BB148">
            <v>0</v>
          </cell>
        </row>
        <row r="149">
          <cell r="A149">
            <v>200939</v>
          </cell>
          <cell r="B149" t="str">
            <v>FBS INTERNATIONAL</v>
          </cell>
          <cell r="C149">
            <v>0.2</v>
          </cell>
          <cell r="D149">
            <v>0.1</v>
          </cell>
          <cell r="E149">
            <v>0.02</v>
          </cell>
          <cell r="F149">
            <v>41306</v>
          </cell>
          <cell r="I149">
            <v>0</v>
          </cell>
          <cell r="K149">
            <v>0</v>
          </cell>
          <cell r="L149" t="str">
            <v>OK</v>
          </cell>
          <cell r="M149" t="str">
            <v>OK</v>
          </cell>
          <cell r="P149" t="str">
            <v>Non affecté</v>
          </cell>
          <cell r="Q149" t="str">
            <v>FP</v>
          </cell>
          <cell r="R149" t="str">
            <v>Ok mon client</v>
          </cell>
          <cell r="S149" t="str">
            <v>MOISSY CRAMAYEL</v>
          </cell>
          <cell r="T149" t="str">
            <v>94</v>
          </cell>
          <cell r="U149" t="str">
            <v>60 AVENUE DE LA VILLETTE</v>
          </cell>
          <cell r="V149">
            <v>94150</v>
          </cell>
          <cell r="W149" t="str">
            <v>RUNGIS</v>
          </cell>
          <cell r="X149" t="str">
            <v>Mme</v>
          </cell>
          <cell r="Y149" t="str">
            <v>VIALA</v>
          </cell>
          <cell r="Z149" t="str">
            <v>94150</v>
          </cell>
          <cell r="AA149" t="str">
            <v>RUNGIS</v>
          </cell>
          <cell r="AB149">
            <v>1515.29</v>
          </cell>
          <cell r="AC149">
            <v>169.73000000000002</v>
          </cell>
          <cell r="AF149">
            <v>1685.02</v>
          </cell>
          <cell r="AG149">
            <v>2296.2399999999998</v>
          </cell>
          <cell r="AH149">
            <v>1.7149808622377749E-2</v>
          </cell>
          <cell r="AN149">
            <v>2296.2399999999998</v>
          </cell>
          <cell r="AO149">
            <v>3214.7359999999994</v>
          </cell>
          <cell r="AP149">
            <v>0.90783254798162605</v>
          </cell>
          <cell r="AQ149" t="str">
            <v>024-G-94FBS</v>
          </cell>
          <cell r="AS149">
            <v>40589</v>
          </cell>
          <cell r="AZ149">
            <v>0</v>
          </cell>
          <cell r="BA149">
            <v>0</v>
          </cell>
          <cell r="BB149">
            <v>2342.1648</v>
          </cell>
        </row>
        <row r="150">
          <cell r="A150">
            <v>635968</v>
          </cell>
          <cell r="B150" t="str">
            <v>GAINERIE 91 SAS</v>
          </cell>
          <cell r="C150">
            <v>0.2</v>
          </cell>
          <cell r="D150">
            <v>0.1</v>
          </cell>
          <cell r="E150">
            <v>0.02</v>
          </cell>
          <cell r="F150">
            <v>41306</v>
          </cell>
          <cell r="I150">
            <v>0</v>
          </cell>
          <cell r="K150">
            <v>0</v>
          </cell>
          <cell r="L150" t="str">
            <v>OK</v>
          </cell>
          <cell r="M150" t="str">
            <v>OK</v>
          </cell>
          <cell r="P150" t="str">
            <v>Non affecté</v>
          </cell>
          <cell r="Q150" t="str">
            <v>FP</v>
          </cell>
          <cell r="R150" t="str">
            <v>Ok mon client</v>
          </cell>
          <cell r="S150" t="str">
            <v>MOISSY CRAMAYEL</v>
          </cell>
          <cell r="T150" t="str">
            <v>91</v>
          </cell>
          <cell r="U150" t="str">
            <v>11 rue Mercure</v>
          </cell>
          <cell r="V150" t="str">
            <v>91230</v>
          </cell>
          <cell r="W150" t="str">
            <v>MONTGERON</v>
          </cell>
          <cell r="X150" t="str">
            <v>M.</v>
          </cell>
          <cell r="Y150" t="str">
            <v>MARTIN</v>
          </cell>
          <cell r="Z150" t="str">
            <v>91230</v>
          </cell>
          <cell r="AA150" t="str">
            <v>MONTGERON</v>
          </cell>
          <cell r="AB150">
            <v>2841</v>
          </cell>
          <cell r="AC150">
            <v>4896.66</v>
          </cell>
          <cell r="AD150">
            <v>5532.89</v>
          </cell>
          <cell r="AF150">
            <v>13270.55</v>
          </cell>
          <cell r="AI150">
            <v>260.37</v>
          </cell>
          <cell r="AJ150">
            <v>0.69278334677574216</v>
          </cell>
          <cell r="AK150">
            <v>1992.0300000000002</v>
          </cell>
          <cell r="AL150">
            <v>0.5991855063949697</v>
          </cell>
          <cell r="AN150">
            <v>2252.4</v>
          </cell>
          <cell r="AO150">
            <v>3153.36</v>
          </cell>
          <cell r="AP150">
            <v>-0.7623791025993647</v>
          </cell>
          <cell r="AQ150" t="str">
            <v>024-G-91GAINERIE</v>
          </cell>
          <cell r="AZ150">
            <v>312.44400000000002</v>
          </cell>
          <cell r="BA150">
            <v>2191.2330000000002</v>
          </cell>
          <cell r="BB150">
            <v>0</v>
          </cell>
        </row>
        <row r="151">
          <cell r="A151">
            <v>576146</v>
          </cell>
          <cell r="B151" t="str">
            <v>P M I</v>
          </cell>
          <cell r="C151">
            <v>0.2</v>
          </cell>
          <cell r="D151">
            <v>0.1</v>
          </cell>
          <cell r="E151">
            <v>0.02</v>
          </cell>
          <cell r="F151">
            <v>41306</v>
          </cell>
          <cell r="I151">
            <v>0</v>
          </cell>
          <cell r="K151">
            <v>0</v>
          </cell>
          <cell r="L151" t="str">
            <v>OK</v>
          </cell>
          <cell r="M151" t="str">
            <v>OK</v>
          </cell>
          <cell r="P151" t="str">
            <v>Non affecté</v>
          </cell>
          <cell r="Q151" t="str">
            <v>FP</v>
          </cell>
          <cell r="R151" t="str">
            <v>Ok mon client</v>
          </cell>
          <cell r="S151" t="str">
            <v>MOISSY CRAMAYEL</v>
          </cell>
          <cell r="T151" t="str">
            <v>91</v>
          </cell>
          <cell r="U151" t="str">
            <v>2 IMPASSE BRANLY</v>
          </cell>
          <cell r="V151" t="str">
            <v>91320</v>
          </cell>
          <cell r="W151" t="str">
            <v>WISSOUS</v>
          </cell>
          <cell r="X151" t="str">
            <v>M.</v>
          </cell>
          <cell r="Y151" t="str">
            <v>LE GUIADER</v>
          </cell>
          <cell r="Z151" t="str">
            <v>91320</v>
          </cell>
          <cell r="AA151" t="str">
            <v>WISSOUS</v>
          </cell>
          <cell r="AC151">
            <v>632.97</v>
          </cell>
          <cell r="AD151">
            <v>4828.8</v>
          </cell>
          <cell r="AF151">
            <v>5461.77</v>
          </cell>
          <cell r="AI151">
            <v>324.29000000000002</v>
          </cell>
          <cell r="AJ151">
            <v>0.50073818338746667</v>
          </cell>
          <cell r="AK151">
            <v>1829.0900000000001</v>
          </cell>
          <cell r="AL151">
            <v>0.63022889227602541</v>
          </cell>
          <cell r="AN151">
            <v>2153.38</v>
          </cell>
          <cell r="AO151">
            <v>3014.732</v>
          </cell>
          <cell r="AP151">
            <v>-0.44803021731050563</v>
          </cell>
          <cell r="AQ151" t="str">
            <v>024-G-77ADINDUSTRIE</v>
          </cell>
          <cell r="AZ151">
            <v>389.14800000000002</v>
          </cell>
          <cell r="BA151">
            <v>2011.9990000000003</v>
          </cell>
          <cell r="BB151">
            <v>0</v>
          </cell>
        </row>
        <row r="152">
          <cell r="A152">
            <v>383238</v>
          </cell>
          <cell r="B152" t="str">
            <v>IAE FRANCE</v>
          </cell>
          <cell r="C152">
            <v>0.2</v>
          </cell>
          <cell r="D152">
            <v>0.1</v>
          </cell>
          <cell r="E152">
            <v>0.02</v>
          </cell>
          <cell r="F152">
            <v>41306</v>
          </cell>
          <cell r="I152">
            <v>0</v>
          </cell>
          <cell r="K152">
            <v>0</v>
          </cell>
          <cell r="L152" t="str">
            <v>OK</v>
          </cell>
          <cell r="M152" t="str">
            <v>OK</v>
          </cell>
          <cell r="P152" t="str">
            <v>Non affecté</v>
          </cell>
          <cell r="Q152" t="str">
            <v>FP</v>
          </cell>
          <cell r="R152" t="str">
            <v>Ok mon client</v>
          </cell>
          <cell r="S152" t="str">
            <v>MOISSY CRAMAYEL</v>
          </cell>
          <cell r="T152" t="str">
            <v>91</v>
          </cell>
          <cell r="U152" t="str">
            <v>90 Bd St Michel</v>
          </cell>
          <cell r="V152" t="str">
            <v>91150</v>
          </cell>
          <cell r="W152" t="str">
            <v>ETAMPES</v>
          </cell>
          <cell r="X152" t="str">
            <v>M.</v>
          </cell>
          <cell r="Y152" t="str">
            <v>LEVASSEUR</v>
          </cell>
          <cell r="Z152" t="str">
            <v>91150</v>
          </cell>
          <cell r="AA152" t="str">
            <v>ETAMPES</v>
          </cell>
          <cell r="AD152">
            <v>4819.58</v>
          </cell>
          <cell r="AF152">
            <v>4819.58</v>
          </cell>
          <cell r="AI152">
            <v>155.72</v>
          </cell>
          <cell r="AJ152">
            <v>0.83996917544310312</v>
          </cell>
          <cell r="AK152">
            <v>1923.2</v>
          </cell>
          <cell r="AN152">
            <v>2078.92</v>
          </cell>
          <cell r="AO152">
            <v>2910.4879999999998</v>
          </cell>
          <cell r="AP152">
            <v>-0.39611169438000826</v>
          </cell>
          <cell r="AQ152" t="str">
            <v>024-G-91IAE</v>
          </cell>
          <cell r="AZ152">
            <v>186.864</v>
          </cell>
          <cell r="BA152">
            <v>2115.5200000000004</v>
          </cell>
          <cell r="BB152">
            <v>0</v>
          </cell>
        </row>
        <row r="153">
          <cell r="A153">
            <v>863032</v>
          </cell>
          <cell r="B153" t="str">
            <v>ALFIS</v>
          </cell>
          <cell r="C153">
            <v>0.2</v>
          </cell>
          <cell r="D153">
            <v>0.1</v>
          </cell>
          <cell r="E153">
            <v>0.02</v>
          </cell>
          <cell r="F153">
            <v>41306</v>
          </cell>
          <cell r="I153">
            <v>0</v>
          </cell>
          <cell r="K153">
            <v>0</v>
          </cell>
          <cell r="L153" t="str">
            <v>OK</v>
          </cell>
          <cell r="M153" t="str">
            <v>OK</v>
          </cell>
          <cell r="P153" t="str">
            <v>Non affecté</v>
          </cell>
          <cell r="Q153" t="str">
            <v>FP</v>
          </cell>
          <cell r="R153" t="str">
            <v>Ok mon client</v>
          </cell>
          <cell r="S153" t="str">
            <v>MOISSY CRAMAYEL</v>
          </cell>
          <cell r="T153" t="str">
            <v>94</v>
          </cell>
          <cell r="U153" t="str">
            <v>14 RUE LAVOISIER ZI</v>
          </cell>
          <cell r="V153">
            <v>94430</v>
          </cell>
          <cell r="W153" t="str">
            <v>CHENNEVIERES SUR MARNE</v>
          </cell>
          <cell r="X153" t="str">
            <v>Mme</v>
          </cell>
          <cell r="Y153" t="str">
            <v>REIS</v>
          </cell>
          <cell r="Z153" t="str">
            <v>94430</v>
          </cell>
          <cell r="AA153" t="str">
            <v>CHENNEVIERES SUR MARNE</v>
          </cell>
          <cell r="AB153">
            <v>396.87</v>
          </cell>
          <cell r="AC153">
            <v>1696.31</v>
          </cell>
          <cell r="AF153">
            <v>2093.1799999999998</v>
          </cell>
          <cell r="AG153">
            <v>1576.1699999999998</v>
          </cell>
          <cell r="AH153">
            <v>0.30229679394123538</v>
          </cell>
          <cell r="AI153">
            <v>417.6</v>
          </cell>
          <cell r="AJ153">
            <v>-0.17843487526639068</v>
          </cell>
          <cell r="AN153">
            <v>1993.77</v>
          </cell>
          <cell r="AO153">
            <v>2791.2779999999998</v>
          </cell>
          <cell r="AP153">
            <v>0.33351073486274463</v>
          </cell>
          <cell r="AQ153" t="str">
            <v>024-G-94ALFIS</v>
          </cell>
          <cell r="AR153" t="str">
            <v>024-L-94ALFIS</v>
          </cell>
          <cell r="AS153">
            <v>40863</v>
          </cell>
          <cell r="AZ153">
            <v>501.12</v>
          </cell>
          <cell r="BA153">
            <v>0</v>
          </cell>
          <cell r="BB153">
            <v>1607.6933999999999</v>
          </cell>
        </row>
        <row r="154">
          <cell r="A154">
            <v>58644</v>
          </cell>
          <cell r="B154" t="str">
            <v>ESSINOX INDUSTRIE</v>
          </cell>
          <cell r="H154" t="str">
            <v>PAS DE CONTRAT DANS INES</v>
          </cell>
          <cell r="I154">
            <v>0</v>
          </cell>
          <cell r="K154">
            <v>0</v>
          </cell>
          <cell r="M154" t="str">
            <v>NON</v>
          </cell>
          <cell r="P154" t="str">
            <v>Non affecté</v>
          </cell>
          <cell r="Q154" t="str">
            <v>FR</v>
          </cell>
          <cell r="R154" t="str">
            <v>Ok mon client</v>
          </cell>
          <cell r="S154" t="str">
            <v>MOISSY CRAMAYEL</v>
          </cell>
          <cell r="T154" t="str">
            <v>77</v>
          </cell>
          <cell r="U154" t="str">
            <v>ZI 10 RUE DU LAITON</v>
          </cell>
          <cell r="V154">
            <v>77543</v>
          </cell>
          <cell r="W154" t="str">
            <v>SAVIGNY LE TEMPLE</v>
          </cell>
          <cell r="X154" t="str">
            <v>M.</v>
          </cell>
          <cell r="Y154" t="str">
            <v>BORDAIS</v>
          </cell>
          <cell r="Z154" t="str">
            <v>77543</v>
          </cell>
          <cell r="AA154" t="str">
            <v>SAVIGNY LE TEMPLE</v>
          </cell>
          <cell r="AG154">
            <v>1858</v>
          </cell>
          <cell r="AH154">
            <v>0.19268030139935413</v>
          </cell>
          <cell r="AI154">
            <v>125</v>
          </cell>
          <cell r="AN154">
            <v>1983</v>
          </cell>
          <cell r="AO154">
            <v>2776.2</v>
          </cell>
          <cell r="AS154">
            <v>41087</v>
          </cell>
          <cell r="AZ154">
            <v>125</v>
          </cell>
          <cell r="BA154">
            <v>0</v>
          </cell>
          <cell r="BB154">
            <v>1858</v>
          </cell>
        </row>
        <row r="155">
          <cell r="A155">
            <v>827717</v>
          </cell>
          <cell r="B155" t="str">
            <v>EDITIONS PETRARQUE</v>
          </cell>
          <cell r="H155" t="str">
            <v>PAS DE CONTRAT DANS INES</v>
          </cell>
          <cell r="I155">
            <v>0</v>
          </cell>
          <cell r="K155">
            <v>0</v>
          </cell>
          <cell r="M155" t="str">
            <v>NON</v>
          </cell>
          <cell r="P155" t="str">
            <v>Non affecté</v>
          </cell>
          <cell r="Q155" t="str">
            <v>FP</v>
          </cell>
          <cell r="R155" t="str">
            <v>Ok mon client</v>
          </cell>
          <cell r="S155" t="str">
            <v>MOISSY CRAMAYEL</v>
          </cell>
          <cell r="T155" t="str">
            <v>91</v>
          </cell>
          <cell r="U155" t="str">
            <v>71 ROUTE DE GRIGNY</v>
          </cell>
          <cell r="V155" t="str">
            <v>91130</v>
          </cell>
          <cell r="W155" t="str">
            <v>RIS ORANGIS</v>
          </cell>
          <cell r="X155" t="str">
            <v>M.</v>
          </cell>
          <cell r="Y155" t="str">
            <v>D'ARFEUILLE</v>
          </cell>
          <cell r="Z155" t="str">
            <v>91130</v>
          </cell>
          <cell r="AA155" t="str">
            <v>RIS ORANGIS</v>
          </cell>
          <cell r="AB155">
            <v>25351.3</v>
          </cell>
          <cell r="AC155">
            <v>127.44</v>
          </cell>
          <cell r="AF155">
            <v>25478.739999999998</v>
          </cell>
          <cell r="AG155">
            <v>1883.77</v>
          </cell>
          <cell r="AH155">
            <v>0.16531742197826702</v>
          </cell>
          <cell r="AI155">
            <v>79.339999999999989</v>
          </cell>
          <cell r="AJ155">
            <v>0.83753466095286111</v>
          </cell>
          <cell r="AN155">
            <v>1963.11</v>
          </cell>
          <cell r="AO155">
            <v>2748.3539999999998</v>
          </cell>
          <cell r="AP155">
            <v>-0.89213147902918277</v>
          </cell>
          <cell r="AS155">
            <v>40316</v>
          </cell>
          <cell r="AZ155">
            <v>79.339999999999989</v>
          </cell>
          <cell r="BA155">
            <v>0</v>
          </cell>
          <cell r="BB155">
            <v>1883.77</v>
          </cell>
        </row>
        <row r="156">
          <cell r="A156">
            <v>497211</v>
          </cell>
          <cell r="B156" t="str">
            <v>OMNITECHNIQUE</v>
          </cell>
          <cell r="H156" t="str">
            <v>HORS SERVICE</v>
          </cell>
          <cell r="I156">
            <v>0</v>
          </cell>
          <cell r="K156">
            <v>0</v>
          </cell>
          <cell r="M156" t="str">
            <v>NON</v>
          </cell>
          <cell r="P156" t="str">
            <v>Non affecté</v>
          </cell>
          <cell r="Q156" t="str">
            <v>FP</v>
          </cell>
          <cell r="R156" t="str">
            <v>Ok mon client</v>
          </cell>
          <cell r="S156" t="str">
            <v>MOISSY CRAMAYEL</v>
          </cell>
          <cell r="T156" t="str">
            <v>91</v>
          </cell>
          <cell r="U156" t="str">
            <v>7 RUE LOUIS DELAGE</v>
          </cell>
          <cell r="V156" t="str">
            <v>91310</v>
          </cell>
          <cell r="W156" t="str">
            <v>LINAS</v>
          </cell>
          <cell r="Y156" t="str">
            <v>Directeur Logistique et Transports</v>
          </cell>
          <cell r="Z156" t="str">
            <v>91310</v>
          </cell>
          <cell r="AA156" t="str">
            <v>LINAS</v>
          </cell>
          <cell r="AB156">
            <v>220</v>
          </cell>
          <cell r="AC156">
            <v>920.43000000000006</v>
          </cell>
          <cell r="AF156">
            <v>1140.43</v>
          </cell>
          <cell r="AI156">
            <v>1887.14</v>
          </cell>
          <cell r="AJ156">
            <v>0.73069985900276502</v>
          </cell>
          <cell r="AK156">
            <v>74.45</v>
          </cell>
          <cell r="AN156">
            <v>1961.5900000000001</v>
          </cell>
          <cell r="AO156">
            <v>2746.2260000000001</v>
          </cell>
          <cell r="AP156">
            <v>1.4080618713993842</v>
          </cell>
          <cell r="AQ156" t="str">
            <v>024-G-91OMNITECHNIQUE</v>
          </cell>
          <cell r="AZ156">
            <v>1887.14</v>
          </cell>
          <cell r="BA156">
            <v>74.45</v>
          </cell>
          <cell r="BB156">
            <v>0</v>
          </cell>
        </row>
        <row r="157">
          <cell r="A157">
            <v>835307</v>
          </cell>
          <cell r="B157" t="str">
            <v>CRYSTALINE PRODUCTION</v>
          </cell>
          <cell r="C157">
            <v>0.2</v>
          </cell>
          <cell r="D157">
            <v>0.1</v>
          </cell>
          <cell r="E157">
            <v>0.02</v>
          </cell>
          <cell r="F157">
            <v>41306</v>
          </cell>
          <cell r="I157">
            <v>0</v>
          </cell>
          <cell r="K157">
            <v>0</v>
          </cell>
          <cell r="L157" t="str">
            <v>OK</v>
          </cell>
          <cell r="M157" t="str">
            <v>OK</v>
          </cell>
          <cell r="P157" t="str">
            <v>Non affecté</v>
          </cell>
          <cell r="Q157" t="str">
            <v>SM</v>
          </cell>
          <cell r="R157" t="str">
            <v>Ok mon client</v>
          </cell>
          <cell r="S157" t="str">
            <v>MOISSY CRAMAYEL</v>
          </cell>
          <cell r="T157" t="str">
            <v>92</v>
          </cell>
          <cell r="U157" t="str">
            <v>106 AVENUE DU GENERAL LECLERC</v>
          </cell>
          <cell r="V157">
            <v>94360</v>
          </cell>
          <cell r="W157" t="str">
            <v>BRIE SUR MARNE</v>
          </cell>
          <cell r="X157" t="str">
            <v>Mme</v>
          </cell>
          <cell r="Y157" t="str">
            <v>CHABANEL</v>
          </cell>
          <cell r="Z157" t="str">
            <v>92130</v>
          </cell>
          <cell r="AA157" t="str">
            <v>ISSY LES MOULINEAUX</v>
          </cell>
          <cell r="AC157">
            <v>4635.2299999999996</v>
          </cell>
          <cell r="AF157">
            <v>4635.2299999999996</v>
          </cell>
          <cell r="AG157">
            <v>539</v>
          </cell>
          <cell r="AH157">
            <v>0.45500000000000002</v>
          </cell>
          <cell r="AI157">
            <v>1215.1900000000003</v>
          </cell>
          <cell r="AJ157">
            <v>0.65730374966280003</v>
          </cell>
          <cell r="AK157">
            <v>180.64</v>
          </cell>
          <cell r="AL157">
            <v>0.52546501328609385</v>
          </cell>
          <cell r="AN157">
            <v>1934.8300000000004</v>
          </cell>
          <cell r="AO157">
            <v>2708.7620000000002</v>
          </cell>
          <cell r="AP157">
            <v>-0.41561432766011597</v>
          </cell>
          <cell r="AQ157" t="str">
            <v>024-G-77CRYSTALINEPROD</v>
          </cell>
          <cell r="AS157">
            <v>40466</v>
          </cell>
          <cell r="AZ157">
            <v>1458.2280000000003</v>
          </cell>
          <cell r="BA157">
            <v>198.70400000000001</v>
          </cell>
          <cell r="BB157">
            <v>549.78</v>
          </cell>
        </row>
        <row r="158">
          <cell r="A158">
            <v>438557</v>
          </cell>
          <cell r="B158" t="str">
            <v>SCHWARTZMANN FISSEAU COCHOT EN ABRE</v>
          </cell>
          <cell r="C158">
            <v>0.2</v>
          </cell>
          <cell r="D158">
            <v>0.1</v>
          </cell>
          <cell r="E158">
            <v>0.02</v>
          </cell>
          <cell r="F158">
            <v>41306</v>
          </cell>
          <cell r="I158">
            <v>0</v>
          </cell>
          <cell r="K158">
            <v>0</v>
          </cell>
          <cell r="L158" t="str">
            <v>OK</v>
          </cell>
          <cell r="M158" t="str">
            <v>OK</v>
          </cell>
          <cell r="P158" t="str">
            <v>Non affecté</v>
          </cell>
          <cell r="Q158" t="str">
            <v>SM</v>
          </cell>
          <cell r="R158" t="str">
            <v>Ok mon client</v>
          </cell>
          <cell r="S158" t="str">
            <v>MOISSY CRAMAYEL</v>
          </cell>
          <cell r="T158" t="str">
            <v>25</v>
          </cell>
          <cell r="U158" t="str">
            <v>28 RUE CHARLES FOURRIER</v>
          </cell>
          <cell r="V158" t="str">
            <v>25500</v>
          </cell>
          <cell r="W158" t="str">
            <v>MORTEAU</v>
          </cell>
          <cell r="Y158" t="str">
            <v>Directeur Logistique et Transports</v>
          </cell>
          <cell r="Z158" t="str">
            <v>25500</v>
          </cell>
          <cell r="AA158" t="str">
            <v>MORTEAU</v>
          </cell>
          <cell r="AC158">
            <v>3407.15</v>
          </cell>
          <cell r="AD158">
            <v>133.43</v>
          </cell>
          <cell r="AF158">
            <v>3540.58</v>
          </cell>
          <cell r="AI158">
            <v>1920.58</v>
          </cell>
          <cell r="AJ158">
            <v>0.79998876169167188</v>
          </cell>
          <cell r="AN158">
            <v>1920.58</v>
          </cell>
          <cell r="AO158">
            <v>2688.8119999999999</v>
          </cell>
          <cell r="AP158">
            <v>-0.24057301346107141</v>
          </cell>
          <cell r="AQ158" t="str">
            <v>024-G-91SFC</v>
          </cell>
          <cell r="AS158">
            <v>38791</v>
          </cell>
          <cell r="AZ158">
            <v>2304.6959999999999</v>
          </cell>
          <cell r="BA158">
            <v>0</v>
          </cell>
          <cell r="BB158">
            <v>0</v>
          </cell>
        </row>
        <row r="159">
          <cell r="A159">
            <v>546475</v>
          </cell>
          <cell r="B159" t="str">
            <v>SERIPRO</v>
          </cell>
          <cell r="C159">
            <v>0.2</v>
          </cell>
          <cell r="D159">
            <v>0.1</v>
          </cell>
          <cell r="E159">
            <v>0.02</v>
          </cell>
          <cell r="F159">
            <v>41306</v>
          </cell>
          <cell r="I159">
            <v>0</v>
          </cell>
          <cell r="K159">
            <v>0</v>
          </cell>
          <cell r="L159" t="str">
            <v>OK</v>
          </cell>
          <cell r="M159" t="str">
            <v>OK</v>
          </cell>
          <cell r="P159" t="str">
            <v>Non affecté</v>
          </cell>
          <cell r="Q159" t="str">
            <v>FP</v>
          </cell>
          <cell r="R159" t="str">
            <v>Ok mon client</v>
          </cell>
          <cell r="S159" t="str">
            <v>MOISSY CRAMAYEL</v>
          </cell>
          <cell r="T159" t="str">
            <v>94</v>
          </cell>
          <cell r="U159" t="str">
            <v>7 Allée Tranquille</v>
          </cell>
          <cell r="V159" t="str">
            <v>94120</v>
          </cell>
          <cell r="W159" t="str">
            <v>FONTENAY SOUS BOIS</v>
          </cell>
          <cell r="Y159" t="str">
            <v>Directeur Logistique et Transports</v>
          </cell>
          <cell r="Z159" t="str">
            <v>94120</v>
          </cell>
          <cell r="AA159" t="str">
            <v>FONTENAY SOUS BOIS</v>
          </cell>
          <cell r="AC159">
            <v>2584.3199999999997</v>
          </cell>
          <cell r="AF159">
            <v>2584.3199999999997</v>
          </cell>
          <cell r="AI159">
            <v>1907.6200000000001</v>
          </cell>
          <cell r="AJ159">
            <v>0.87847171053277917</v>
          </cell>
          <cell r="AN159">
            <v>1907.6200000000001</v>
          </cell>
          <cell r="AO159">
            <v>2670.6680000000001</v>
          </cell>
          <cell r="AP159">
            <v>3.3412270926201248E-2</v>
          </cell>
          <cell r="AQ159" t="str">
            <v>024-G-94SERIPRO</v>
          </cell>
          <cell r="AZ159">
            <v>2289.1440000000002</v>
          </cell>
          <cell r="BA159">
            <v>0</v>
          </cell>
          <cell r="BB159">
            <v>0</v>
          </cell>
        </row>
        <row r="160">
          <cell r="A160">
            <v>383064</v>
          </cell>
          <cell r="B160" t="str">
            <v>PRES BLOCK FRANCE</v>
          </cell>
          <cell r="C160">
            <v>0.2</v>
          </cell>
          <cell r="D160">
            <v>0.1</v>
          </cell>
          <cell r="E160">
            <v>0.02</v>
          </cell>
          <cell r="F160">
            <v>41306</v>
          </cell>
          <cell r="I160">
            <v>0</v>
          </cell>
          <cell r="K160">
            <v>0</v>
          </cell>
          <cell r="L160" t="str">
            <v>OK</v>
          </cell>
          <cell r="M160" t="str">
            <v>OK</v>
          </cell>
          <cell r="P160" t="str">
            <v>Non affecté</v>
          </cell>
          <cell r="Q160" t="str">
            <v>FR</v>
          </cell>
          <cell r="R160" t="str">
            <v>Ok mon client</v>
          </cell>
          <cell r="S160" t="str">
            <v>MOISSY CRAMAYEL</v>
          </cell>
          <cell r="T160" t="str">
            <v>77</v>
          </cell>
          <cell r="U160" t="str">
            <v>1 RUE DE ROME</v>
          </cell>
          <cell r="V160" t="str">
            <v>77144</v>
          </cell>
          <cell r="W160" t="str">
            <v>MONTEVRAIN</v>
          </cell>
          <cell r="X160" t="str">
            <v>M.</v>
          </cell>
          <cell r="Y160" t="str">
            <v>CARTIER</v>
          </cell>
          <cell r="Z160" t="str">
            <v>77144</v>
          </cell>
          <cell r="AA160" t="str">
            <v>MONTEVRAIN</v>
          </cell>
          <cell r="AB160">
            <v>230</v>
          </cell>
          <cell r="AC160">
            <v>6741.1900000000005</v>
          </cell>
          <cell r="AD160">
            <v>2211.42</v>
          </cell>
          <cell r="AF160">
            <v>9182.61</v>
          </cell>
          <cell r="AI160">
            <v>1757.69</v>
          </cell>
          <cell r="AJ160">
            <v>0.69135626873908373</v>
          </cell>
          <cell r="AK160">
            <v>69.959999999999994</v>
          </cell>
          <cell r="AL160">
            <v>0.81575185820468832</v>
          </cell>
          <cell r="AN160">
            <v>1827.65</v>
          </cell>
          <cell r="AO160">
            <v>2558.71</v>
          </cell>
          <cell r="AP160">
            <v>-0.72135264374725705</v>
          </cell>
          <cell r="AQ160" t="str">
            <v>259-G-93PRESBLOCK</v>
          </cell>
          <cell r="AZ160">
            <v>2109.2280000000001</v>
          </cell>
          <cell r="BA160">
            <v>76.956000000000003</v>
          </cell>
          <cell r="BB160">
            <v>0</v>
          </cell>
        </row>
        <row r="161">
          <cell r="A161">
            <v>869832</v>
          </cell>
          <cell r="B161" t="str">
            <v>CONCEPT HYDRO</v>
          </cell>
          <cell r="H161" t="str">
            <v>PAS DE CONTRAT DANS INES</v>
          </cell>
          <cell r="I161">
            <v>0</v>
          </cell>
          <cell r="K161">
            <v>0</v>
          </cell>
          <cell r="M161" t="str">
            <v>NON</v>
          </cell>
          <cell r="P161" t="str">
            <v>Non affecté</v>
          </cell>
          <cell r="Q161" t="str">
            <v>SM</v>
          </cell>
          <cell r="R161" t="str">
            <v>Ok mon client</v>
          </cell>
          <cell r="S161" t="str">
            <v>MOISSY CRAMAYEL</v>
          </cell>
          <cell r="T161" t="str">
            <v>17</v>
          </cell>
          <cell r="Z161" t="str">
            <v>17441</v>
          </cell>
          <cell r="AA161" t="str">
            <v>AYTRE CEDEX</v>
          </cell>
          <cell r="AI161">
            <v>78.539999999999992</v>
          </cell>
          <cell r="AJ161">
            <v>0.73554876496052979</v>
          </cell>
          <cell r="AK161">
            <v>1733</v>
          </cell>
          <cell r="AL161">
            <v>0.71776909214766438</v>
          </cell>
          <cell r="AN161">
            <v>1811.54</v>
          </cell>
          <cell r="AO161">
            <v>2536.1559999999999</v>
          </cell>
          <cell r="AQ161" t="str">
            <v>024-G-77CONCEPT024</v>
          </cell>
          <cell r="AS161">
            <v>40980</v>
          </cell>
          <cell r="AZ161">
            <v>78.539999999999992</v>
          </cell>
          <cell r="BA161">
            <v>1733</v>
          </cell>
          <cell r="BB161">
            <v>0</v>
          </cell>
        </row>
        <row r="162">
          <cell r="A162">
            <v>872897</v>
          </cell>
          <cell r="B162" t="str">
            <v>SACCOF PACKAGING</v>
          </cell>
          <cell r="H162" t="str">
            <v>PAS DE CONTRAT DANS INES</v>
          </cell>
          <cell r="I162">
            <v>0</v>
          </cell>
          <cell r="K162">
            <v>0</v>
          </cell>
          <cell r="M162" t="str">
            <v>NON</v>
          </cell>
          <cell r="P162" t="str">
            <v>Non affecté</v>
          </cell>
          <cell r="Q162" t="str">
            <v>FR</v>
          </cell>
          <cell r="R162" t="str">
            <v>Ok mon client</v>
          </cell>
          <cell r="S162" t="str">
            <v>MOISSY CRAMAYEL</v>
          </cell>
          <cell r="T162" t="str">
            <v>77</v>
          </cell>
          <cell r="U162" t="str">
            <v>450 RUE DU TUBOEUF</v>
          </cell>
          <cell r="V162">
            <v>77251</v>
          </cell>
          <cell r="W162" t="str">
            <v>BRIE COMTE ROBERT</v>
          </cell>
          <cell r="X162" t="str">
            <v>Mr</v>
          </cell>
          <cell r="Y162" t="str">
            <v>BERTIN Loic</v>
          </cell>
          <cell r="Z162" t="str">
            <v>77251</v>
          </cell>
          <cell r="AA162" t="str">
            <v>BRIE COMTE ROBERT</v>
          </cell>
          <cell r="AG162">
            <v>1785</v>
          </cell>
          <cell r="AH162">
            <v>0.11484593837535013</v>
          </cell>
          <cell r="AN162">
            <v>1785</v>
          </cell>
          <cell r="AO162">
            <v>2499</v>
          </cell>
          <cell r="AS162">
            <v>41079</v>
          </cell>
          <cell r="AZ162">
            <v>0</v>
          </cell>
          <cell r="BA162">
            <v>0</v>
          </cell>
          <cell r="BB162">
            <v>1785</v>
          </cell>
        </row>
        <row r="163">
          <cell r="A163">
            <v>498602</v>
          </cell>
          <cell r="B163" t="str">
            <v>CPCAM</v>
          </cell>
          <cell r="C163">
            <v>0.2</v>
          </cell>
          <cell r="D163">
            <v>0.1</v>
          </cell>
          <cell r="E163">
            <v>0.02</v>
          </cell>
          <cell r="F163">
            <v>41306</v>
          </cell>
          <cell r="I163">
            <v>0</v>
          </cell>
          <cell r="K163">
            <v>0</v>
          </cell>
          <cell r="L163" t="str">
            <v>OK</v>
          </cell>
          <cell r="M163" t="str">
            <v>OK</v>
          </cell>
          <cell r="P163" t="str">
            <v>Non affecté</v>
          </cell>
          <cell r="Q163" t="str">
            <v>SM</v>
          </cell>
          <cell r="R163" t="str">
            <v>Ok mon client</v>
          </cell>
          <cell r="S163" t="str">
            <v>MOISSY CRAMAYEL</v>
          </cell>
          <cell r="T163" t="str">
            <v>75</v>
          </cell>
          <cell r="U163" t="str">
            <v>7 Rue des Meuniers</v>
          </cell>
          <cell r="V163">
            <v>94300</v>
          </cell>
          <cell r="W163" t="str">
            <v>VINCENNES</v>
          </cell>
          <cell r="X163" t="str">
            <v>Mme</v>
          </cell>
          <cell r="Y163" t="str">
            <v>HSU</v>
          </cell>
          <cell r="Z163" t="str">
            <v>75006</v>
          </cell>
          <cell r="AA163" t="str">
            <v>PARIS</v>
          </cell>
          <cell r="AD163">
            <v>3629.3199999999993</v>
          </cell>
          <cell r="AF163">
            <v>3629.3199999999993</v>
          </cell>
          <cell r="AI163">
            <v>347.64</v>
          </cell>
          <cell r="AJ163">
            <v>0.6896214474743988</v>
          </cell>
          <cell r="AK163">
            <v>1295.51</v>
          </cell>
          <cell r="AL163">
            <v>0.47878378505155123</v>
          </cell>
          <cell r="AN163">
            <v>1643.15</v>
          </cell>
          <cell r="AO163">
            <v>2300.41</v>
          </cell>
          <cell r="AP163">
            <v>-0.36615950095334659</v>
          </cell>
          <cell r="AQ163" t="str">
            <v>024-G-94CPCAM</v>
          </cell>
          <cell r="AZ163">
            <v>417.16799999999995</v>
          </cell>
          <cell r="BA163">
            <v>1425.0610000000001</v>
          </cell>
          <cell r="BB163">
            <v>0</v>
          </cell>
        </row>
        <row r="164">
          <cell r="A164">
            <v>204200</v>
          </cell>
          <cell r="B164" t="str">
            <v>FULCHIRON INDUSTRIELLE SA</v>
          </cell>
          <cell r="C164">
            <v>0.2</v>
          </cell>
          <cell r="D164">
            <v>0.1</v>
          </cell>
          <cell r="E164">
            <v>0.02</v>
          </cell>
          <cell r="F164">
            <v>41306</v>
          </cell>
          <cell r="I164">
            <v>0</v>
          </cell>
          <cell r="K164">
            <v>0</v>
          </cell>
          <cell r="L164" t="str">
            <v>OK</v>
          </cell>
          <cell r="M164" t="str">
            <v>OK</v>
          </cell>
          <cell r="P164" t="str">
            <v>Non affecté</v>
          </cell>
          <cell r="Q164" t="str">
            <v>FP</v>
          </cell>
          <cell r="R164" t="str">
            <v>Ok mon client</v>
          </cell>
          <cell r="S164" t="str">
            <v>MOISSY CRAMAYEL</v>
          </cell>
          <cell r="T164" t="str">
            <v>91</v>
          </cell>
          <cell r="U164" t="str">
            <v>Chemin St Eloi</v>
          </cell>
          <cell r="V164" t="str">
            <v>91720</v>
          </cell>
          <cell r="W164" t="str">
            <v>MAISSE</v>
          </cell>
          <cell r="X164" t="str">
            <v>Mme</v>
          </cell>
          <cell r="Y164" t="str">
            <v>LANNOY</v>
          </cell>
          <cell r="Z164" t="str">
            <v>91720</v>
          </cell>
          <cell r="AA164" t="str">
            <v>MAISSE</v>
          </cell>
          <cell r="AB164">
            <v>5622.9800000000005</v>
          </cell>
          <cell r="AC164">
            <v>265.33000000000004</v>
          </cell>
          <cell r="AD164">
            <v>85.74</v>
          </cell>
          <cell r="AF164">
            <v>5974.05</v>
          </cell>
          <cell r="AG164">
            <v>1507.8</v>
          </cell>
          <cell r="AH164">
            <v>-7.7145199489888919E-2</v>
          </cell>
          <cell r="AK164">
            <v>92.03</v>
          </cell>
          <cell r="AL164">
            <v>0.53678148429859829</v>
          </cell>
          <cell r="AN164">
            <v>1599.83</v>
          </cell>
          <cell r="AO164">
            <v>2239.7619999999997</v>
          </cell>
          <cell r="AP164">
            <v>-0.62508482520233355</v>
          </cell>
          <cell r="AQ164" t="str">
            <v>024-G-91FULCHIRON</v>
          </cell>
          <cell r="AR164" t="str">
            <v>024-L-91FULCHIRON</v>
          </cell>
          <cell r="AZ164">
            <v>0</v>
          </cell>
          <cell r="BA164">
            <v>101.233</v>
          </cell>
          <cell r="BB164">
            <v>1537.9559999999999</v>
          </cell>
        </row>
        <row r="165">
          <cell r="A165">
            <v>483946</v>
          </cell>
          <cell r="B165" t="str">
            <v>AUX ANYSETIERS DU ROY</v>
          </cell>
          <cell r="C165">
            <v>0.2</v>
          </cell>
          <cell r="D165">
            <v>0.1</v>
          </cell>
          <cell r="E165">
            <v>0.02</v>
          </cell>
          <cell r="F165">
            <v>41306</v>
          </cell>
          <cell r="I165">
            <v>0</v>
          </cell>
          <cell r="K165">
            <v>0</v>
          </cell>
          <cell r="L165" t="str">
            <v>OK</v>
          </cell>
          <cell r="M165" t="str">
            <v>OK</v>
          </cell>
          <cell r="P165" t="str">
            <v>Non affecté</v>
          </cell>
          <cell r="Q165" t="str">
            <v>FP</v>
          </cell>
          <cell r="R165" t="str">
            <v>Ok mon client</v>
          </cell>
          <cell r="S165" t="str">
            <v>MOISSY CRAMAYEL</v>
          </cell>
          <cell r="T165" t="str">
            <v>94</v>
          </cell>
          <cell r="U165" t="str">
            <v>11 PLACE MAURICE THOREZ</v>
          </cell>
          <cell r="V165" t="str">
            <v>94800</v>
          </cell>
          <cell r="W165" t="str">
            <v>VILLEJUIF</v>
          </cell>
          <cell r="X165" t="str">
            <v>M.</v>
          </cell>
          <cell r="Y165" t="str">
            <v>LOMBARD</v>
          </cell>
          <cell r="Z165" t="str">
            <v>94800</v>
          </cell>
          <cell r="AA165" t="str">
            <v>VILLEJUIF</v>
          </cell>
          <cell r="AC165">
            <v>992.03</v>
          </cell>
          <cell r="AD165">
            <v>4368.24</v>
          </cell>
          <cell r="AF165">
            <v>5360.2699999999995</v>
          </cell>
          <cell r="AI165">
            <v>104.35</v>
          </cell>
          <cell r="AJ165">
            <v>0.88643986583612844</v>
          </cell>
          <cell r="AK165">
            <v>1376.56</v>
          </cell>
          <cell r="AL165">
            <v>0.7336778230776525</v>
          </cell>
          <cell r="AN165">
            <v>1480.9099999999999</v>
          </cell>
          <cell r="AO165">
            <v>2073.2739999999999</v>
          </cell>
          <cell r="AP165">
            <v>-0.61321463284498723</v>
          </cell>
          <cell r="AQ165" t="str">
            <v>024-G-94ANYSETIERS</v>
          </cell>
          <cell r="AZ165">
            <v>125.21999999999998</v>
          </cell>
          <cell r="BA165">
            <v>1514.2160000000001</v>
          </cell>
          <cell r="BB165">
            <v>0</v>
          </cell>
        </row>
        <row r="166">
          <cell r="A166">
            <v>567174</v>
          </cell>
          <cell r="B166" t="str">
            <v>DIMASPORT</v>
          </cell>
          <cell r="H166" t="str">
            <v>PAS DE HAUSSE VU AVEC FABIENNE</v>
          </cell>
          <cell r="I166">
            <v>0</v>
          </cell>
          <cell r="K166">
            <v>0</v>
          </cell>
          <cell r="M166" t="str">
            <v>NON</v>
          </cell>
          <cell r="P166" t="str">
            <v>Non affecté</v>
          </cell>
          <cell r="Q166" t="str">
            <v>FR</v>
          </cell>
          <cell r="R166" t="str">
            <v>Ok mon client</v>
          </cell>
          <cell r="S166" t="str">
            <v>MOISSY CRAMAYEL</v>
          </cell>
          <cell r="T166" t="str">
            <v>77</v>
          </cell>
          <cell r="U166" t="str">
            <v>1 BIS RUE LOUIS ARMAND</v>
          </cell>
          <cell r="V166">
            <v>77330</v>
          </cell>
          <cell r="W166" t="str">
            <v>OZOIR LA FERRIERE</v>
          </cell>
          <cell r="X166" t="str">
            <v>MME</v>
          </cell>
          <cell r="Y166" t="str">
            <v>PICCINI</v>
          </cell>
          <cell r="Z166" t="str">
            <v>77330</v>
          </cell>
          <cell r="AA166" t="str">
            <v>OZOIR LA FERRIERE</v>
          </cell>
          <cell r="AG166">
            <v>1300</v>
          </cell>
          <cell r="AH166">
            <v>0.2076923076923077</v>
          </cell>
          <cell r="AK166">
            <v>56.39</v>
          </cell>
          <cell r="AL166">
            <v>0.86345096648341901</v>
          </cell>
          <cell r="AN166">
            <v>1356.39</v>
          </cell>
          <cell r="AO166">
            <v>1898.9459999999999</v>
          </cell>
          <cell r="AQ166" t="str">
            <v>024-G-77DIMASPORT</v>
          </cell>
          <cell r="AS166">
            <v>41087</v>
          </cell>
          <cell r="AZ166">
            <v>0</v>
          </cell>
          <cell r="BA166">
            <v>56.39</v>
          </cell>
          <cell r="BB166">
            <v>1300</v>
          </cell>
        </row>
        <row r="167">
          <cell r="A167">
            <v>437100</v>
          </cell>
          <cell r="B167" t="str">
            <v>THERM'ESSONNE</v>
          </cell>
          <cell r="C167">
            <v>0.2</v>
          </cell>
          <cell r="D167">
            <v>0.1</v>
          </cell>
          <cell r="E167">
            <v>0.02</v>
          </cell>
          <cell r="F167">
            <v>41306</v>
          </cell>
          <cell r="I167">
            <v>0</v>
          </cell>
          <cell r="K167">
            <v>0</v>
          </cell>
          <cell r="L167" t="str">
            <v>OK</v>
          </cell>
          <cell r="M167" t="str">
            <v>OK</v>
          </cell>
          <cell r="P167" t="str">
            <v>Non affecté</v>
          </cell>
          <cell r="Q167" t="str">
            <v>FP</v>
          </cell>
          <cell r="R167" t="str">
            <v>Ok mon client</v>
          </cell>
          <cell r="S167" t="str">
            <v>MOISSY CRAMAYEL</v>
          </cell>
          <cell r="T167" t="str">
            <v>91</v>
          </cell>
          <cell r="U167" t="str">
            <v>24 RUE DES CERISIERS</v>
          </cell>
          <cell r="V167" t="str">
            <v>91015</v>
          </cell>
          <cell r="W167" t="str">
            <v>LISSES</v>
          </cell>
          <cell r="X167" t="str">
            <v>Mme</v>
          </cell>
          <cell r="Y167" t="str">
            <v>ANCELLE</v>
          </cell>
          <cell r="Z167" t="str">
            <v>91015</v>
          </cell>
          <cell r="AA167" t="str">
            <v>LISSES</v>
          </cell>
          <cell r="AC167">
            <v>598.94000000000005</v>
          </cell>
          <cell r="AF167">
            <v>598.94000000000005</v>
          </cell>
          <cell r="AI167">
            <v>1346.8</v>
          </cell>
          <cell r="AJ167">
            <v>0.81293272280914686</v>
          </cell>
          <cell r="AN167">
            <v>1346.8</v>
          </cell>
          <cell r="AO167">
            <v>1885.5199999999998</v>
          </cell>
          <cell r="AP167">
            <v>2.1480949677764043</v>
          </cell>
          <cell r="AQ167" t="str">
            <v>024-G-91THERMESSONNE</v>
          </cell>
          <cell r="AS167">
            <v>38765</v>
          </cell>
          <cell r="AZ167">
            <v>1616.1599999999999</v>
          </cell>
          <cell r="BA167">
            <v>0</v>
          </cell>
          <cell r="BB167">
            <v>0</v>
          </cell>
        </row>
        <row r="168">
          <cell r="A168">
            <v>808530</v>
          </cell>
          <cell r="B168" t="str">
            <v>MICROMANIA SAS</v>
          </cell>
          <cell r="H168" t="str">
            <v>PAS DE CONTRAT DANS INES</v>
          </cell>
          <cell r="I168">
            <v>0</v>
          </cell>
          <cell r="K168">
            <v>0</v>
          </cell>
          <cell r="M168" t="str">
            <v>NON</v>
          </cell>
          <cell r="P168" t="str">
            <v>Non affecté</v>
          </cell>
          <cell r="Q168" t="str">
            <v>SM</v>
          </cell>
          <cell r="R168" t="str">
            <v>Ok mon client</v>
          </cell>
          <cell r="S168" t="str">
            <v>MOISSY CRAMAYEL</v>
          </cell>
          <cell r="T168" t="str">
            <v>06</v>
          </cell>
          <cell r="U168" t="str">
            <v>955 ROUTE DES LUCIOLES ECOLUCIOLES</v>
          </cell>
          <cell r="V168" t="str">
            <v>06560</v>
          </cell>
          <cell r="W168" t="str">
            <v>VALBONNE</v>
          </cell>
          <cell r="X168" t="str">
            <v>M.</v>
          </cell>
          <cell r="Y168" t="str">
            <v>GEOFFROY</v>
          </cell>
          <cell r="Z168" t="str">
            <v>06560</v>
          </cell>
          <cell r="AA168" t="str">
            <v>VALBONNE</v>
          </cell>
          <cell r="AB168">
            <v>8384</v>
          </cell>
          <cell r="AF168">
            <v>8384</v>
          </cell>
          <cell r="AG168">
            <v>1340</v>
          </cell>
          <cell r="AH168">
            <v>0.11194029850746269</v>
          </cell>
          <cell r="AN168">
            <v>1340</v>
          </cell>
          <cell r="AO168">
            <v>1875.9999999999998</v>
          </cell>
          <cell r="AP168">
            <v>-0.7762404580152672</v>
          </cell>
          <cell r="AZ168">
            <v>0</v>
          </cell>
          <cell r="BA168">
            <v>0</v>
          </cell>
          <cell r="BB168">
            <v>1340</v>
          </cell>
        </row>
        <row r="169">
          <cell r="A169">
            <v>570460</v>
          </cell>
          <cell r="B169" t="str">
            <v>AXIMA SEITHA</v>
          </cell>
          <cell r="C169">
            <v>0.1</v>
          </cell>
          <cell r="D169">
            <v>0.1</v>
          </cell>
          <cell r="E169">
            <v>0.02</v>
          </cell>
          <cell r="F169">
            <v>41334</v>
          </cell>
          <cell r="H169" t="str">
            <v>VU AVEC SERGIO</v>
          </cell>
          <cell r="I169">
            <v>0</v>
          </cell>
          <cell r="K169">
            <v>0</v>
          </cell>
          <cell r="L169" t="str">
            <v>OK</v>
          </cell>
          <cell r="M169" t="str">
            <v>OK</v>
          </cell>
          <cell r="P169" t="str">
            <v>DCM</v>
          </cell>
          <cell r="S169" t="str">
            <v>MOISSY CRAMAYEL</v>
          </cell>
          <cell r="T169" t="str">
            <v>92</v>
          </cell>
          <cell r="Z169" t="str">
            <v>92800</v>
          </cell>
          <cell r="AA169" t="str">
            <v>PUTEAUX</v>
          </cell>
          <cell r="AC169">
            <v>57.47</v>
          </cell>
          <cell r="AF169">
            <v>57.47</v>
          </cell>
          <cell r="AI169">
            <v>1286.3100000000002</v>
          </cell>
          <cell r="AN169">
            <v>1286.3100000000002</v>
          </cell>
          <cell r="AO169">
            <v>1800.8340000000001</v>
          </cell>
          <cell r="AP169">
            <v>30.33520097442144</v>
          </cell>
          <cell r="AQ169" t="str">
            <v>024-G-94SEITHA</v>
          </cell>
          <cell r="AZ169">
            <v>1414.9410000000003</v>
          </cell>
          <cell r="BA169">
            <v>0</v>
          </cell>
          <cell r="BB169">
            <v>0</v>
          </cell>
        </row>
        <row r="170">
          <cell r="A170">
            <v>52843</v>
          </cell>
          <cell r="B170" t="str">
            <v>MECAGRAV</v>
          </cell>
          <cell r="C170">
            <v>0.2</v>
          </cell>
          <cell r="D170">
            <v>0.1</v>
          </cell>
          <cell r="E170">
            <v>0.02</v>
          </cell>
          <cell r="F170">
            <v>41306</v>
          </cell>
          <cell r="I170">
            <v>0</v>
          </cell>
          <cell r="K170">
            <v>0</v>
          </cell>
          <cell r="L170" t="str">
            <v>OK</v>
          </cell>
          <cell r="M170" t="str">
            <v>OK</v>
          </cell>
          <cell r="P170" t="str">
            <v>Non affecté</v>
          </cell>
          <cell r="Q170" t="str">
            <v>FP</v>
          </cell>
          <cell r="R170" t="str">
            <v>Ok mon client</v>
          </cell>
          <cell r="S170" t="str">
            <v>MOISSY CRAMAYEL</v>
          </cell>
          <cell r="T170" t="str">
            <v>91</v>
          </cell>
          <cell r="U170" t="str">
            <v>15 AVENUE DE LA BALTIQUE</v>
          </cell>
          <cell r="V170" t="str">
            <v>91942</v>
          </cell>
          <cell r="W170" t="str">
            <v>VILLEBON SUR YVETTE</v>
          </cell>
          <cell r="Z170" t="str">
            <v>91942</v>
          </cell>
          <cell r="AA170" t="str">
            <v>VILLEBON SUR YVETTE</v>
          </cell>
          <cell r="AD170">
            <v>2000.94</v>
          </cell>
          <cell r="AF170">
            <v>2000.94</v>
          </cell>
          <cell r="AK170">
            <v>1269.2299999999998</v>
          </cell>
          <cell r="AL170">
            <v>0.73636101083032479</v>
          </cell>
          <cell r="AN170">
            <v>1269.2299999999998</v>
          </cell>
          <cell r="AO170">
            <v>1776.9219999999996</v>
          </cell>
          <cell r="AP170">
            <v>-0.11195638050116474</v>
          </cell>
          <cell r="AQ170" t="str">
            <v>024-G-91MECAGRAV</v>
          </cell>
          <cell r="AZ170">
            <v>0</v>
          </cell>
          <cell r="BA170">
            <v>1396.1529999999998</v>
          </cell>
          <cell r="BB170">
            <v>0</v>
          </cell>
        </row>
        <row r="171">
          <cell r="A171">
            <v>675645</v>
          </cell>
          <cell r="B171" t="str">
            <v>PROJI</v>
          </cell>
          <cell r="H171" t="str">
            <v>DEMARRAGE DECEMBRE 2012</v>
          </cell>
          <cell r="I171">
            <v>0</v>
          </cell>
          <cell r="K171">
            <v>0</v>
          </cell>
          <cell r="M171" t="str">
            <v>NON</v>
          </cell>
          <cell r="P171" t="str">
            <v>Non affecté</v>
          </cell>
          <cell r="Q171" t="str">
            <v>FR</v>
          </cell>
          <cell r="R171" t="str">
            <v>Ok mon client</v>
          </cell>
          <cell r="S171" t="str">
            <v>MOISSY CRAMAYEL</v>
          </cell>
          <cell r="T171" t="str">
            <v>77</v>
          </cell>
          <cell r="U171" t="str">
            <v>ZI - 17 RUE DES PRES BORETS</v>
          </cell>
          <cell r="V171" t="str">
            <v>77820</v>
          </cell>
          <cell r="W171" t="str">
            <v>LE CHATELET EN BRIE</v>
          </cell>
          <cell r="X171" t="str">
            <v>Mme</v>
          </cell>
          <cell r="Y171" t="str">
            <v>Nathalie MILLON</v>
          </cell>
          <cell r="Z171" t="str">
            <v>77820</v>
          </cell>
          <cell r="AA171" t="str">
            <v>LE CHATELET EN BRIE</v>
          </cell>
          <cell r="AB171">
            <v>857</v>
          </cell>
          <cell r="AF171">
            <v>857</v>
          </cell>
          <cell r="AG171">
            <v>1260</v>
          </cell>
          <cell r="AH171">
            <v>0.16666666666666666</v>
          </cell>
          <cell r="AN171">
            <v>1260</v>
          </cell>
          <cell r="AO171">
            <v>1764</v>
          </cell>
          <cell r="AP171">
            <v>1.058343057176196</v>
          </cell>
          <cell r="AS171">
            <v>40218</v>
          </cell>
          <cell r="AZ171">
            <v>0</v>
          </cell>
          <cell r="BA171">
            <v>0</v>
          </cell>
          <cell r="BB171">
            <v>1260</v>
          </cell>
        </row>
        <row r="172">
          <cell r="A172">
            <v>60925</v>
          </cell>
          <cell r="B172" t="str">
            <v>METAL PROCESS</v>
          </cell>
          <cell r="C172">
            <v>0.2</v>
          </cell>
          <cell r="D172">
            <v>0.1</v>
          </cell>
          <cell r="E172">
            <v>0.02</v>
          </cell>
          <cell r="F172">
            <v>41306</v>
          </cell>
          <cell r="I172">
            <v>0</v>
          </cell>
          <cell r="K172">
            <v>0</v>
          </cell>
          <cell r="L172" t="str">
            <v>OK</v>
          </cell>
          <cell r="M172" t="str">
            <v>OK</v>
          </cell>
          <cell r="P172" t="str">
            <v>Non affecté</v>
          </cell>
          <cell r="Q172" t="str">
            <v>FR</v>
          </cell>
          <cell r="R172" t="str">
            <v>Ok mon client</v>
          </cell>
          <cell r="S172" t="str">
            <v>MOISSY CRAMAYEL</v>
          </cell>
          <cell r="T172" t="str">
            <v>77</v>
          </cell>
          <cell r="U172" t="str">
            <v>20 Rue du Chateau de Chessy</v>
          </cell>
          <cell r="V172" t="str">
            <v>77144</v>
          </cell>
          <cell r="W172" t="str">
            <v>MONTEVRAIN</v>
          </cell>
          <cell r="X172" t="str">
            <v>M.</v>
          </cell>
          <cell r="Y172" t="str">
            <v>GAUTHIER</v>
          </cell>
          <cell r="Z172" t="str">
            <v>77144</v>
          </cell>
          <cell r="AA172" t="str">
            <v>MONTEVRAIN</v>
          </cell>
          <cell r="AC172">
            <v>140.41</v>
          </cell>
          <cell r="AD172">
            <v>3341.16</v>
          </cell>
          <cell r="AF172">
            <v>3481.5699999999997</v>
          </cell>
          <cell r="AK172">
            <v>1254.8200000000002</v>
          </cell>
          <cell r="AL172">
            <v>0.80914262758975153</v>
          </cell>
          <cell r="AN172">
            <v>1254.8200000000002</v>
          </cell>
          <cell r="AO172">
            <v>1756.748</v>
          </cell>
          <cell r="AP172">
            <v>-0.49541499955479851</v>
          </cell>
          <cell r="AQ172" t="str">
            <v>024-G-77METALPRO</v>
          </cell>
          <cell r="AZ172">
            <v>0</v>
          </cell>
          <cell r="BA172">
            <v>1380.3020000000004</v>
          </cell>
          <cell r="BB172">
            <v>0</v>
          </cell>
        </row>
        <row r="173">
          <cell r="A173">
            <v>501733</v>
          </cell>
          <cell r="B173" t="str">
            <v>LARGILLIER</v>
          </cell>
          <cell r="C173">
            <v>0.2</v>
          </cell>
          <cell r="D173">
            <v>0.1</v>
          </cell>
          <cell r="E173">
            <v>0.02</v>
          </cell>
          <cell r="F173">
            <v>41306</v>
          </cell>
          <cell r="I173">
            <v>0</v>
          </cell>
          <cell r="K173">
            <v>0</v>
          </cell>
          <cell r="L173" t="str">
            <v>OK</v>
          </cell>
          <cell r="M173" t="str">
            <v>OK</v>
          </cell>
          <cell r="P173" t="str">
            <v>Non affecté</v>
          </cell>
          <cell r="Q173" t="str">
            <v>FR</v>
          </cell>
          <cell r="R173" t="str">
            <v>Ok mon client</v>
          </cell>
          <cell r="S173" t="str">
            <v>MOISSY CRAMAYEL</v>
          </cell>
          <cell r="T173" t="str">
            <v>77</v>
          </cell>
          <cell r="U173" t="str">
            <v>ZI RUE DE L INDUSTRIE</v>
          </cell>
          <cell r="V173" t="str">
            <v>77173</v>
          </cell>
          <cell r="W173" t="str">
            <v>CHEVRY-COSSIGNY</v>
          </cell>
          <cell r="X173" t="str">
            <v>M.</v>
          </cell>
          <cell r="Y173" t="str">
            <v>BEARD</v>
          </cell>
          <cell r="Z173" t="str">
            <v>77173</v>
          </cell>
          <cell r="AA173" t="str">
            <v>CHEVRY-COSSIGNY</v>
          </cell>
          <cell r="AB173">
            <v>7508.36</v>
          </cell>
          <cell r="AC173">
            <v>66.489999999999995</v>
          </cell>
          <cell r="AD173">
            <v>203.25</v>
          </cell>
          <cell r="AF173">
            <v>7778.0999999999995</v>
          </cell>
          <cell r="AG173">
            <v>1200</v>
          </cell>
          <cell r="AH173">
            <v>0.43824999999999997</v>
          </cell>
          <cell r="AN173">
            <v>1200</v>
          </cell>
          <cell r="AO173">
            <v>1680</v>
          </cell>
          <cell r="AP173">
            <v>-0.78400894820071731</v>
          </cell>
          <cell r="AQ173" t="str">
            <v>024-G-77LARGILLIERCHEVR</v>
          </cell>
          <cell r="AR173" t="str">
            <v>024-L-77LARGILLIERCHEVR</v>
          </cell>
          <cell r="AZ173">
            <v>0</v>
          </cell>
          <cell r="BA173">
            <v>0</v>
          </cell>
          <cell r="BB173">
            <v>1224</v>
          </cell>
        </row>
        <row r="174">
          <cell r="A174">
            <v>614700</v>
          </cell>
          <cell r="B174" t="str">
            <v>DEROCHE</v>
          </cell>
          <cell r="C174">
            <v>0.2</v>
          </cell>
          <cell r="D174">
            <v>0.1</v>
          </cell>
          <cell r="E174">
            <v>0.02</v>
          </cell>
          <cell r="F174">
            <v>41306</v>
          </cell>
          <cell r="I174">
            <v>0</v>
          </cell>
          <cell r="K174">
            <v>0</v>
          </cell>
          <cell r="L174" t="str">
            <v>OK</v>
          </cell>
          <cell r="M174" t="str">
            <v>OK</v>
          </cell>
          <cell r="P174" t="str">
            <v>Non affecté</v>
          </cell>
          <cell r="Q174" t="str">
            <v>FP</v>
          </cell>
          <cell r="R174" t="str">
            <v>Ok mon client</v>
          </cell>
          <cell r="S174" t="str">
            <v>MOISSY CRAMAYEL</v>
          </cell>
          <cell r="T174" t="str">
            <v>94</v>
          </cell>
          <cell r="U174" t="str">
            <v>13-17 Avenue de l’épi</v>
          </cell>
          <cell r="V174" t="str">
            <v>94801</v>
          </cell>
          <cell r="W174" t="str">
            <v>VILLEJUIF</v>
          </cell>
          <cell r="X174" t="str">
            <v>M.</v>
          </cell>
          <cell r="Y174" t="str">
            <v>PERRIER</v>
          </cell>
          <cell r="Z174" t="str">
            <v>94801</v>
          </cell>
          <cell r="AA174" t="str">
            <v>VILLEJUIF</v>
          </cell>
          <cell r="AC174">
            <v>1792.4900000000002</v>
          </cell>
          <cell r="AF174">
            <v>1792.4900000000002</v>
          </cell>
          <cell r="AI174">
            <v>1182.3500000000001</v>
          </cell>
          <cell r="AJ174">
            <v>0.84468320004308373</v>
          </cell>
          <cell r="AN174">
            <v>1182.3500000000001</v>
          </cell>
          <cell r="AO174">
            <v>1655.2900000000002</v>
          </cell>
          <cell r="AP174">
            <v>-7.6541570664271474E-2</v>
          </cell>
          <cell r="AQ174" t="str">
            <v>024-G-94DEROCHE</v>
          </cell>
          <cell r="AZ174">
            <v>1418.8200000000002</v>
          </cell>
          <cell r="BA174">
            <v>0</v>
          </cell>
          <cell r="BB174">
            <v>0</v>
          </cell>
        </row>
        <row r="175">
          <cell r="A175">
            <v>382824</v>
          </cell>
          <cell r="B175" t="str">
            <v>S.E.T</v>
          </cell>
          <cell r="C175">
            <v>0.2</v>
          </cell>
          <cell r="D175">
            <v>0.1</v>
          </cell>
          <cell r="E175">
            <v>0.02</v>
          </cell>
          <cell r="F175">
            <v>41306</v>
          </cell>
          <cell r="I175">
            <v>0</v>
          </cell>
          <cell r="K175">
            <v>0</v>
          </cell>
          <cell r="L175" t="str">
            <v>OK</v>
          </cell>
          <cell r="M175" t="str">
            <v>OK</v>
          </cell>
          <cell r="P175" t="str">
            <v>Non affecté</v>
          </cell>
          <cell r="Q175" t="str">
            <v>FR</v>
          </cell>
          <cell r="R175" t="str">
            <v>Ok mon client</v>
          </cell>
          <cell r="S175" t="str">
            <v>MOISSY CRAMAYEL</v>
          </cell>
          <cell r="T175" t="str">
            <v>77</v>
          </cell>
          <cell r="U175" t="str">
            <v>159 RUE LOUIS CHARLES VERNIN</v>
          </cell>
          <cell r="V175" t="str">
            <v>77190</v>
          </cell>
          <cell r="W175" t="str">
            <v>DAMMARIE-LES-LYS</v>
          </cell>
          <cell r="X175" t="str">
            <v>M.</v>
          </cell>
          <cell r="Y175" t="str">
            <v>GAUGER</v>
          </cell>
          <cell r="Z175" t="str">
            <v>77190</v>
          </cell>
          <cell r="AA175" t="str">
            <v>DAMMARIE-LES-LYS</v>
          </cell>
          <cell r="AC175">
            <v>95.74</v>
          </cell>
          <cell r="AD175">
            <v>1049.74</v>
          </cell>
          <cell r="AF175">
            <v>1145.48</v>
          </cell>
          <cell r="AK175">
            <v>1153.42</v>
          </cell>
          <cell r="AL175">
            <v>0.74702029809058301</v>
          </cell>
          <cell r="AN175">
            <v>1153.42</v>
          </cell>
          <cell r="AO175">
            <v>1614.788</v>
          </cell>
          <cell r="AP175">
            <v>0.40970422879491575</v>
          </cell>
          <cell r="AQ175" t="str">
            <v>024-G-77SET</v>
          </cell>
          <cell r="AZ175">
            <v>0</v>
          </cell>
          <cell r="BA175">
            <v>1268.7620000000002</v>
          </cell>
          <cell r="BB175">
            <v>0</v>
          </cell>
        </row>
        <row r="176">
          <cell r="A176">
            <v>851891</v>
          </cell>
          <cell r="B176" t="str">
            <v>E C F</v>
          </cell>
          <cell r="C176">
            <v>0.2</v>
          </cell>
          <cell r="D176">
            <v>0.1</v>
          </cell>
          <cell r="E176">
            <v>0.02</v>
          </cell>
          <cell r="F176">
            <v>41306</v>
          </cell>
          <cell r="I176">
            <v>0</v>
          </cell>
          <cell r="K176">
            <v>0</v>
          </cell>
          <cell r="L176" t="str">
            <v>OK</v>
          </cell>
          <cell r="M176" t="str">
            <v>OK</v>
          </cell>
          <cell r="P176" t="str">
            <v>Non affecté</v>
          </cell>
          <cell r="Q176" t="str">
            <v>FP</v>
          </cell>
          <cell r="R176" t="str">
            <v>Ok mon client</v>
          </cell>
          <cell r="S176" t="str">
            <v>MOISSY CRAMAYEL</v>
          </cell>
          <cell r="T176" t="str">
            <v>91</v>
          </cell>
          <cell r="U176" t="str">
            <v>1 RUE RENE CLAIR</v>
          </cell>
          <cell r="V176">
            <v>91353</v>
          </cell>
          <cell r="W176" t="str">
            <v>GRIGNY</v>
          </cell>
          <cell r="Z176" t="str">
            <v>91353</v>
          </cell>
          <cell r="AA176" t="str">
            <v>GRIGNY</v>
          </cell>
          <cell r="AD176">
            <v>71.040000000000006</v>
          </cell>
          <cell r="AF176">
            <v>71.040000000000006</v>
          </cell>
          <cell r="AG176">
            <v>1069.92</v>
          </cell>
          <cell r="AH176">
            <v>0.29433976372065207</v>
          </cell>
          <cell r="AK176">
            <v>83.3</v>
          </cell>
          <cell r="AL176">
            <v>0.77848101265822789</v>
          </cell>
          <cell r="AN176">
            <v>1153.22</v>
          </cell>
          <cell r="AO176">
            <v>1614.508</v>
          </cell>
          <cell r="AP176">
            <v>21.726745495495493</v>
          </cell>
          <cell r="AQ176" t="str">
            <v>024-G-91ECFTRANSPORT</v>
          </cell>
          <cell r="AR176" t="str">
            <v>024-L-91ECFTRANSPORT</v>
          </cell>
          <cell r="AZ176">
            <v>0</v>
          </cell>
          <cell r="BA176">
            <v>91.63000000000001</v>
          </cell>
          <cell r="BB176">
            <v>1091.3184000000001</v>
          </cell>
        </row>
        <row r="177">
          <cell r="A177">
            <v>628511</v>
          </cell>
          <cell r="B177" t="str">
            <v>LES PRODUITS DE BARDO</v>
          </cell>
          <cell r="C177">
            <v>0.2</v>
          </cell>
          <cell r="D177">
            <v>0.1</v>
          </cell>
          <cell r="E177">
            <v>0.02</v>
          </cell>
          <cell r="F177">
            <v>41306</v>
          </cell>
          <cell r="I177">
            <v>0</v>
          </cell>
          <cell r="K177">
            <v>0</v>
          </cell>
          <cell r="L177" t="str">
            <v>OK</v>
          </cell>
          <cell r="M177" t="str">
            <v>OK</v>
          </cell>
          <cell r="P177" t="str">
            <v>Non affecté</v>
          </cell>
          <cell r="Q177" t="str">
            <v>FP</v>
          </cell>
          <cell r="R177" t="str">
            <v>Ok mon client</v>
          </cell>
          <cell r="S177" t="str">
            <v>MOISSY CRAMAYEL</v>
          </cell>
          <cell r="T177" t="str">
            <v>91</v>
          </cell>
          <cell r="U177" t="str">
            <v>22 rue du Buisson aux Fraises</v>
          </cell>
          <cell r="V177" t="str">
            <v>91300</v>
          </cell>
          <cell r="W177" t="str">
            <v>MASSY</v>
          </cell>
          <cell r="X177" t="str">
            <v>Mme</v>
          </cell>
          <cell r="Y177" t="str">
            <v>COLETTE</v>
          </cell>
          <cell r="Z177" t="str">
            <v>91300</v>
          </cell>
          <cell r="AA177" t="str">
            <v>MASSY</v>
          </cell>
          <cell r="AD177">
            <v>1588.84</v>
          </cell>
          <cell r="AF177">
            <v>1588.84</v>
          </cell>
          <cell r="AK177">
            <v>1067.96</v>
          </cell>
          <cell r="AL177">
            <v>0.73640286540296507</v>
          </cell>
          <cell r="AN177">
            <v>1067.96</v>
          </cell>
          <cell r="AO177">
            <v>1495.144</v>
          </cell>
          <cell r="AP177">
            <v>-5.8971324991817897E-2</v>
          </cell>
          <cell r="AQ177" t="str">
            <v>024-G-91PRODUITSDEBARDO</v>
          </cell>
          <cell r="AS177">
            <v>39125</v>
          </cell>
          <cell r="AZ177">
            <v>0</v>
          </cell>
          <cell r="BA177">
            <v>1174.7560000000001</v>
          </cell>
          <cell r="BB177">
            <v>0</v>
          </cell>
        </row>
        <row r="178">
          <cell r="A178">
            <v>442010</v>
          </cell>
          <cell r="B178" t="str">
            <v>TELEPHONES LE LAS</v>
          </cell>
          <cell r="C178">
            <v>0.2</v>
          </cell>
          <cell r="D178">
            <v>0.1</v>
          </cell>
          <cell r="E178">
            <v>0.02</v>
          </cell>
          <cell r="F178">
            <v>41306</v>
          </cell>
          <cell r="I178">
            <v>0</v>
          </cell>
          <cell r="K178">
            <v>0</v>
          </cell>
          <cell r="L178" t="str">
            <v>OK</v>
          </cell>
          <cell r="M178" t="str">
            <v>OK</v>
          </cell>
          <cell r="P178" t="str">
            <v>Non affecté</v>
          </cell>
          <cell r="Q178" t="str">
            <v>SM</v>
          </cell>
          <cell r="R178" t="str">
            <v>Ok mon client</v>
          </cell>
          <cell r="S178" t="str">
            <v>MOISSY CRAMAYEL</v>
          </cell>
          <cell r="T178" t="str">
            <v>75</v>
          </cell>
          <cell r="U178" t="str">
            <v>34 / 36 RUE ROGER SALENGRO</v>
          </cell>
          <cell r="V178" t="str">
            <v>94120</v>
          </cell>
          <cell r="W178" t="str">
            <v>FONTENAY SOUS BOIS</v>
          </cell>
          <cell r="Y178" t="str">
            <v>Directeur Logistique et Transports</v>
          </cell>
          <cell r="Z178" t="str">
            <v>75017</v>
          </cell>
          <cell r="AA178" t="str">
            <v>PARIS</v>
          </cell>
          <cell r="AC178">
            <v>177.3</v>
          </cell>
          <cell r="AD178">
            <v>608.02</v>
          </cell>
          <cell r="AF178">
            <v>785.31999999999994</v>
          </cell>
          <cell r="AG178">
            <v>1002</v>
          </cell>
          <cell r="AH178">
            <v>0.21157684630738524</v>
          </cell>
          <cell r="AN178">
            <v>1002</v>
          </cell>
          <cell r="AO178">
            <v>1402.8</v>
          </cell>
          <cell r="AP178">
            <v>0.78627820506290447</v>
          </cell>
          <cell r="AQ178" t="str">
            <v>024-G-94TELEPHONESLELAS</v>
          </cell>
          <cell r="AZ178">
            <v>0</v>
          </cell>
          <cell r="BA178">
            <v>0</v>
          </cell>
          <cell r="BB178">
            <v>1022.04</v>
          </cell>
        </row>
        <row r="179">
          <cell r="A179">
            <v>11773</v>
          </cell>
          <cell r="B179" t="str">
            <v>GARAGE DU VIADUC</v>
          </cell>
          <cell r="C179">
            <v>0.2</v>
          </cell>
          <cell r="D179">
            <v>0.1</v>
          </cell>
          <cell r="E179">
            <v>0.02</v>
          </cell>
          <cell r="F179">
            <v>41306</v>
          </cell>
          <cell r="I179">
            <v>0</v>
          </cell>
          <cell r="K179">
            <v>0</v>
          </cell>
          <cell r="L179" t="str">
            <v>OK</v>
          </cell>
          <cell r="M179" t="str">
            <v>OK</v>
          </cell>
          <cell r="P179" t="str">
            <v>Non affecté</v>
          </cell>
          <cell r="Q179" t="str">
            <v>FP</v>
          </cell>
          <cell r="R179" t="str">
            <v>Ok mon client</v>
          </cell>
          <cell r="S179" t="str">
            <v>MOISSY CRAMAYEL</v>
          </cell>
          <cell r="T179" t="str">
            <v>91</v>
          </cell>
          <cell r="U179" t="str">
            <v>4 RUE DES CANAUX</v>
          </cell>
          <cell r="V179" t="str">
            <v>91470</v>
          </cell>
          <cell r="W179" t="str">
            <v>LIMOURS</v>
          </cell>
          <cell r="Y179" t="str">
            <v>Directeur Logistique et Transports</v>
          </cell>
          <cell r="Z179" t="str">
            <v>91470</v>
          </cell>
          <cell r="AA179" t="str">
            <v>LIMOURS</v>
          </cell>
          <cell r="AC179">
            <v>1087.0999999999999</v>
          </cell>
          <cell r="AF179">
            <v>1087.0999999999999</v>
          </cell>
          <cell r="AG179">
            <v>340</v>
          </cell>
          <cell r="AH179">
            <v>0.23529411764705882</v>
          </cell>
          <cell r="AI179">
            <v>537.34999999999991</v>
          </cell>
          <cell r="AJ179">
            <v>0.89806706228034805</v>
          </cell>
          <cell r="AN179">
            <v>877.34999999999991</v>
          </cell>
          <cell r="AO179">
            <v>1228.2899999999997</v>
          </cell>
          <cell r="AP179">
            <v>0.12987765614938818</v>
          </cell>
          <cell r="AQ179" t="str">
            <v>024-G-91VIADUC</v>
          </cell>
          <cell r="AZ179">
            <v>644.81999999999982</v>
          </cell>
          <cell r="BA179">
            <v>0</v>
          </cell>
          <cell r="BB179">
            <v>346.8</v>
          </cell>
        </row>
        <row r="180">
          <cell r="A180">
            <v>559379</v>
          </cell>
          <cell r="B180" t="str">
            <v>NAUVICA</v>
          </cell>
          <cell r="C180">
            <v>0.2</v>
          </cell>
          <cell r="D180">
            <v>0.1</v>
          </cell>
          <cell r="E180">
            <v>0.02</v>
          </cell>
          <cell r="F180">
            <v>41306</v>
          </cell>
          <cell r="I180">
            <v>0</v>
          </cell>
          <cell r="K180">
            <v>0</v>
          </cell>
          <cell r="L180" t="str">
            <v>OK</v>
          </cell>
          <cell r="M180" t="str">
            <v>OK</v>
          </cell>
          <cell r="P180" t="str">
            <v>Non affecté</v>
          </cell>
          <cell r="Q180" t="str">
            <v>FR</v>
          </cell>
          <cell r="R180" t="str">
            <v>Ok mon client</v>
          </cell>
          <cell r="S180" t="str">
            <v>MOISSY CRAMAYEL</v>
          </cell>
          <cell r="T180" t="str">
            <v>77</v>
          </cell>
          <cell r="U180" t="str">
            <v>ZAC de l'Orme Rond</v>
          </cell>
          <cell r="V180" t="str">
            <v>77170</v>
          </cell>
          <cell r="W180" t="str">
            <v>SERVON</v>
          </cell>
          <cell r="X180" t="str">
            <v>M.</v>
          </cell>
          <cell r="Y180" t="str">
            <v>NAUDIN</v>
          </cell>
          <cell r="Z180" t="str">
            <v>77170</v>
          </cell>
          <cell r="AA180" t="str">
            <v>SERVON</v>
          </cell>
          <cell r="AC180">
            <v>2762.8799999999992</v>
          </cell>
          <cell r="AF180">
            <v>2762.8799999999992</v>
          </cell>
          <cell r="AI180">
            <v>860.47</v>
          </cell>
          <cell r="AJ180">
            <v>0.77184561925459338</v>
          </cell>
          <cell r="AN180">
            <v>860.47</v>
          </cell>
          <cell r="AO180">
            <v>1204.6579999999999</v>
          </cell>
          <cell r="AP180">
            <v>-0.56398468264998836</v>
          </cell>
          <cell r="AQ180" t="str">
            <v>024-G-77NAUVICA</v>
          </cell>
          <cell r="AZ180">
            <v>1032.5640000000001</v>
          </cell>
          <cell r="BA180">
            <v>0</v>
          </cell>
          <cell r="BB180">
            <v>0</v>
          </cell>
        </row>
        <row r="181">
          <cell r="A181">
            <v>698983</v>
          </cell>
          <cell r="B181" t="str">
            <v>YELLOZ  GROUPE</v>
          </cell>
          <cell r="C181">
            <v>0.2</v>
          </cell>
          <cell r="D181">
            <v>0.1</v>
          </cell>
          <cell r="E181">
            <v>0.02</v>
          </cell>
          <cell r="F181">
            <v>41306</v>
          </cell>
          <cell r="I181">
            <v>0</v>
          </cell>
          <cell r="K181">
            <v>0</v>
          </cell>
          <cell r="L181" t="str">
            <v>OK</v>
          </cell>
          <cell r="M181" t="str">
            <v>OK</v>
          </cell>
          <cell r="P181" t="str">
            <v>Non affecté</v>
          </cell>
          <cell r="Q181" t="str">
            <v>SM</v>
          </cell>
          <cell r="R181" t="str">
            <v>Ok mon client</v>
          </cell>
          <cell r="S181" t="str">
            <v>MOISSY CRAMAYEL</v>
          </cell>
          <cell r="T181" t="str">
            <v>45</v>
          </cell>
          <cell r="U181" t="str">
            <v>ZI - BP 24</v>
          </cell>
          <cell r="V181">
            <v>45270</v>
          </cell>
          <cell r="W181" t="str">
            <v>BELLEGARDE</v>
          </cell>
          <cell r="Y181" t="str">
            <v>Directeur Logistique et Transports</v>
          </cell>
          <cell r="Z181" t="str">
            <v>45270</v>
          </cell>
          <cell r="AA181" t="str">
            <v>BELLEGARDE</v>
          </cell>
          <cell r="AD181">
            <v>1501.49</v>
          </cell>
          <cell r="AF181">
            <v>1501.49</v>
          </cell>
          <cell r="AK181">
            <v>857.0200000000001</v>
          </cell>
          <cell r="AL181">
            <v>0.44565033067661536</v>
          </cell>
          <cell r="AN181">
            <v>857.0200000000001</v>
          </cell>
          <cell r="AO181">
            <v>1199.828</v>
          </cell>
          <cell r="AP181">
            <v>-0.20090843095858113</v>
          </cell>
          <cell r="AQ181" t="str">
            <v>024-G-91YELLOZCOMPONENT</v>
          </cell>
          <cell r="AZ181">
            <v>0</v>
          </cell>
          <cell r="BA181">
            <v>942.72200000000021</v>
          </cell>
          <cell r="BB181">
            <v>0</v>
          </cell>
        </row>
        <row r="182">
          <cell r="A182">
            <v>530182</v>
          </cell>
          <cell r="B182" t="str">
            <v>MARTPHIL</v>
          </cell>
          <cell r="C182">
            <v>0.2</v>
          </cell>
          <cell r="D182">
            <v>0.1</v>
          </cell>
          <cell r="E182">
            <v>0.02</v>
          </cell>
          <cell r="F182">
            <v>41306</v>
          </cell>
          <cell r="I182">
            <v>0</v>
          </cell>
          <cell r="K182">
            <v>0</v>
          </cell>
          <cell r="L182" t="str">
            <v>OK</v>
          </cell>
          <cell r="M182" t="str">
            <v>OK</v>
          </cell>
          <cell r="P182" t="str">
            <v>Non affecté</v>
          </cell>
          <cell r="Q182" t="str">
            <v>FR</v>
          </cell>
          <cell r="R182" t="str">
            <v>Ok mon client</v>
          </cell>
          <cell r="S182" t="str">
            <v>MOISSY CRAMAYEL</v>
          </cell>
          <cell r="T182" t="str">
            <v>77</v>
          </cell>
          <cell r="U182" t="str">
            <v>31 Rue des Abbesses</v>
          </cell>
          <cell r="V182" t="str">
            <v>77580</v>
          </cell>
          <cell r="W182" t="str">
            <v>CRECY LA CHAPELLE</v>
          </cell>
          <cell r="X182" t="str">
            <v>M.</v>
          </cell>
          <cell r="Y182" t="str">
            <v>DURAND</v>
          </cell>
          <cell r="Z182" t="str">
            <v>77580</v>
          </cell>
          <cell r="AA182" t="str">
            <v>CRECY LA CHAPELLE</v>
          </cell>
          <cell r="AB182">
            <v>685</v>
          </cell>
          <cell r="AC182">
            <v>440.21</v>
          </cell>
          <cell r="AF182">
            <v>1125.21</v>
          </cell>
          <cell r="AI182">
            <v>836.98</v>
          </cell>
          <cell r="AJ182">
            <v>0.89519936271015887</v>
          </cell>
          <cell r="AN182">
            <v>836.98</v>
          </cell>
          <cell r="AO182">
            <v>1171.7719999999999</v>
          </cell>
          <cell r="AP182">
            <v>4.1380720043369568E-2</v>
          </cell>
          <cell r="AQ182" t="str">
            <v>024-G-77MARTPHIL</v>
          </cell>
          <cell r="AR182" t="str">
            <v>024-L1-77MARTPHIL</v>
          </cell>
          <cell r="AZ182">
            <v>1004.376</v>
          </cell>
          <cell r="BA182">
            <v>0</v>
          </cell>
          <cell r="BB182">
            <v>0</v>
          </cell>
        </row>
        <row r="183">
          <cell r="A183">
            <v>604031</v>
          </cell>
          <cell r="B183" t="str">
            <v>NENUPHAR</v>
          </cell>
          <cell r="C183">
            <v>0.2</v>
          </cell>
          <cell r="D183">
            <v>0.1</v>
          </cell>
          <cell r="E183">
            <v>0.02</v>
          </cell>
          <cell r="F183">
            <v>41334</v>
          </cell>
          <cell r="I183">
            <v>0</v>
          </cell>
          <cell r="K183">
            <v>0</v>
          </cell>
          <cell r="L183" t="str">
            <v>OK</v>
          </cell>
          <cell r="M183" t="str">
            <v>OK</v>
          </cell>
          <cell r="P183" t="str">
            <v>Non affecté</v>
          </cell>
          <cell r="Q183" t="str">
            <v>FR</v>
          </cell>
          <cell r="R183" t="str">
            <v>Ok mon client</v>
          </cell>
          <cell r="S183" t="str">
            <v>MOISSY CRAMAYEL</v>
          </cell>
          <cell r="T183" t="str">
            <v>77</v>
          </cell>
          <cell r="U183" t="str">
            <v>26 Avenue Raspail</v>
          </cell>
          <cell r="V183" t="str">
            <v>77140</v>
          </cell>
          <cell r="W183" t="str">
            <v>NEMOURS</v>
          </cell>
          <cell r="Y183" t="str">
            <v>Directeur Logistique et Transports</v>
          </cell>
          <cell r="Z183" t="str">
            <v>77140</v>
          </cell>
          <cell r="AA183" t="str">
            <v>NEMOURS</v>
          </cell>
          <cell r="AD183">
            <v>2260.3200000000002</v>
          </cell>
          <cell r="AF183">
            <v>2260.3200000000002</v>
          </cell>
          <cell r="AK183">
            <v>836.75000000000011</v>
          </cell>
          <cell r="AL183">
            <v>0.77888405943596484</v>
          </cell>
          <cell r="AN183">
            <v>836.75000000000011</v>
          </cell>
          <cell r="AO183">
            <v>1171.45</v>
          </cell>
          <cell r="AP183">
            <v>-0.48173267501946626</v>
          </cell>
          <cell r="AQ183" t="str">
            <v>024-G-94NENUPHAR</v>
          </cell>
          <cell r="AZ183">
            <v>0</v>
          </cell>
          <cell r="BA183">
            <v>920.42500000000018</v>
          </cell>
          <cell r="BB183">
            <v>0</v>
          </cell>
        </row>
        <row r="184">
          <cell r="A184">
            <v>857026</v>
          </cell>
          <cell r="B184" t="str">
            <v>SNCV FRANCE</v>
          </cell>
          <cell r="C184">
            <v>0.2</v>
          </cell>
          <cell r="D184">
            <v>0.1</v>
          </cell>
          <cell r="E184">
            <v>0.02</v>
          </cell>
          <cell r="F184">
            <v>41306</v>
          </cell>
          <cell r="I184">
            <v>0</v>
          </cell>
          <cell r="K184">
            <v>0</v>
          </cell>
          <cell r="L184" t="str">
            <v>OK</v>
          </cell>
          <cell r="M184" t="str">
            <v>OK</v>
          </cell>
          <cell r="P184" t="str">
            <v>Non affecté</v>
          </cell>
          <cell r="Q184" t="str">
            <v>FP</v>
          </cell>
          <cell r="R184" t="str">
            <v>Ok mon client</v>
          </cell>
          <cell r="S184" t="str">
            <v>MOISSY CRAMAYEL</v>
          </cell>
          <cell r="T184" t="str">
            <v>94</v>
          </cell>
          <cell r="U184" t="str">
            <v>1 CHEMIN VERT</v>
          </cell>
          <cell r="V184">
            <v>94370</v>
          </cell>
          <cell r="W184" t="str">
            <v>SUCY EN BRIE</v>
          </cell>
          <cell r="X184" t="str">
            <v>M.</v>
          </cell>
          <cell r="Y184" t="str">
            <v>RUME</v>
          </cell>
          <cell r="Z184" t="str">
            <v>94370</v>
          </cell>
          <cell r="AA184" t="str">
            <v>SUCY EN BRIE</v>
          </cell>
          <cell r="AD184">
            <v>189.72</v>
          </cell>
          <cell r="AF184">
            <v>189.72</v>
          </cell>
          <cell r="AG184">
            <v>450</v>
          </cell>
          <cell r="AH184">
            <v>0.1111111111111111</v>
          </cell>
          <cell r="AK184">
            <v>381.81</v>
          </cell>
          <cell r="AL184">
            <v>0.24259567387687198</v>
          </cell>
          <cell r="AN184">
            <v>831.81</v>
          </cell>
          <cell r="AO184">
            <v>1164.5339999999999</v>
          </cell>
          <cell r="AP184">
            <v>5.1381720430107523</v>
          </cell>
          <cell r="AQ184" t="str">
            <v>024-G-94SNCVFRANCE</v>
          </cell>
          <cell r="AR184" t="str">
            <v>024-L1-94SNCVFRANCE</v>
          </cell>
          <cell r="AZ184">
            <v>0</v>
          </cell>
          <cell r="BA184">
            <v>419.99100000000004</v>
          </cell>
          <cell r="BB184">
            <v>459</v>
          </cell>
        </row>
        <row r="185">
          <cell r="A185">
            <v>449056</v>
          </cell>
          <cell r="B185" t="str">
            <v>SADEM</v>
          </cell>
          <cell r="C185">
            <v>0.1</v>
          </cell>
          <cell r="D185">
            <v>0.1</v>
          </cell>
          <cell r="E185">
            <v>0.02</v>
          </cell>
          <cell r="F185">
            <v>41275</v>
          </cell>
          <cell r="H185" t="str">
            <v>MEME CLIENT QUE SOFRAFILM</v>
          </cell>
          <cell r="I185">
            <v>0</v>
          </cell>
          <cell r="K185">
            <v>0</v>
          </cell>
          <cell r="L185" t="str">
            <v>OK</v>
          </cell>
          <cell r="M185" t="str">
            <v>OK</v>
          </cell>
          <cell r="P185" t="str">
            <v>Non affecté</v>
          </cell>
          <cell r="Q185" t="str">
            <v>FR</v>
          </cell>
          <cell r="R185" t="str">
            <v>Ok mon client</v>
          </cell>
          <cell r="S185" t="str">
            <v>MOISSY CRAMAYEL</v>
          </cell>
          <cell r="T185" t="str">
            <v>77</v>
          </cell>
          <cell r="U185" t="str">
            <v>IMMEUBLE JDG 
RN 3 LE BOIS FLEURI</v>
          </cell>
          <cell r="V185" t="str">
            <v>77410</v>
          </cell>
          <cell r="W185" t="str">
            <v>CLAYE SOUILLY</v>
          </cell>
          <cell r="X185" t="str">
            <v>M.</v>
          </cell>
          <cell r="Y185" t="str">
            <v>DEGOUY</v>
          </cell>
          <cell r="Z185" t="str">
            <v>77410</v>
          </cell>
          <cell r="AA185" t="str">
            <v>CLAYE SOUILLY</v>
          </cell>
          <cell r="AC185">
            <v>740.49</v>
          </cell>
          <cell r="AD185">
            <v>48.23</v>
          </cell>
          <cell r="AF185">
            <v>788.72</v>
          </cell>
          <cell r="AI185">
            <v>609.45999999999992</v>
          </cell>
          <cell r="AJ185">
            <v>0.68941071602668558</v>
          </cell>
          <cell r="AK185">
            <v>214.22</v>
          </cell>
          <cell r="AL185">
            <v>0.79080556727119367</v>
          </cell>
          <cell r="AN185">
            <v>823.68</v>
          </cell>
          <cell r="AO185">
            <v>1153.1519999999998</v>
          </cell>
          <cell r="AP185">
            <v>0.46205497514960925</v>
          </cell>
          <cell r="AQ185" t="str">
            <v>024-G-77SOFRAFILM</v>
          </cell>
          <cell r="AZ185">
            <v>670.40599999999995</v>
          </cell>
          <cell r="BA185">
            <v>235.64200000000002</v>
          </cell>
          <cell r="BB185">
            <v>0</v>
          </cell>
        </row>
        <row r="186">
          <cell r="A186">
            <v>485754</v>
          </cell>
          <cell r="B186" t="str">
            <v>LOHR SERVICE</v>
          </cell>
          <cell r="C186">
            <v>0.2</v>
          </cell>
          <cell r="D186">
            <v>0.1</v>
          </cell>
          <cell r="E186">
            <v>0.02</v>
          </cell>
          <cell r="F186">
            <v>41306</v>
          </cell>
          <cell r="I186">
            <v>0</v>
          </cell>
          <cell r="K186">
            <v>0</v>
          </cell>
          <cell r="L186" t="str">
            <v>OK</v>
          </cell>
          <cell r="M186" t="str">
            <v>OK</v>
          </cell>
          <cell r="P186" t="str">
            <v>Non affecté</v>
          </cell>
          <cell r="Q186" t="str">
            <v>SM</v>
          </cell>
          <cell r="R186" t="str">
            <v>Ok mon client</v>
          </cell>
          <cell r="S186" t="str">
            <v>MOISSY CRAMAYEL</v>
          </cell>
          <cell r="T186" t="str">
            <v>67</v>
          </cell>
          <cell r="U186" t="str">
            <v>29, RUE DU 14 JUILLET</v>
          </cell>
          <cell r="V186" t="str">
            <v>67980</v>
          </cell>
          <cell r="W186" t="str">
            <v>HANGENBIETEN</v>
          </cell>
          <cell r="Y186" t="str">
            <v>Directeur Logistique et Transports</v>
          </cell>
          <cell r="Z186" t="str">
            <v>67980</v>
          </cell>
          <cell r="AA186" t="str">
            <v>HANGENBIETEN</v>
          </cell>
          <cell r="AC186">
            <v>2974.5699999999997</v>
          </cell>
          <cell r="AD186">
            <v>44.4</v>
          </cell>
          <cell r="AF186">
            <v>3018.97</v>
          </cell>
          <cell r="AI186">
            <v>794.02</v>
          </cell>
          <cell r="AJ186">
            <v>0.64484521800458428</v>
          </cell>
          <cell r="AN186">
            <v>794.02</v>
          </cell>
          <cell r="AO186">
            <v>1111.6279999999999</v>
          </cell>
          <cell r="AP186">
            <v>-0.63178567524685569</v>
          </cell>
          <cell r="AQ186" t="str">
            <v>024-G-77LOHR</v>
          </cell>
          <cell r="AS186">
            <v>40437</v>
          </cell>
          <cell r="AZ186">
            <v>952.82399999999996</v>
          </cell>
          <cell r="BA186">
            <v>0</v>
          </cell>
          <cell r="BB186">
            <v>0</v>
          </cell>
        </row>
        <row r="187">
          <cell r="A187">
            <v>60894</v>
          </cell>
          <cell r="B187" t="str">
            <v>PACHA (PARIS CHELLES AUTO)</v>
          </cell>
          <cell r="H187" t="str">
            <v>PAS DE CONTRAT DANS INES</v>
          </cell>
          <cell r="I187">
            <v>0</v>
          </cell>
          <cell r="K187">
            <v>0</v>
          </cell>
          <cell r="M187" t="str">
            <v>NON</v>
          </cell>
          <cell r="P187" t="str">
            <v>Non affecté</v>
          </cell>
          <cell r="Q187" t="str">
            <v>FR</v>
          </cell>
          <cell r="R187" t="str">
            <v>Ok mon client</v>
          </cell>
          <cell r="S187" t="str">
            <v>MOISSY CRAMAYEL</v>
          </cell>
          <cell r="T187" t="str">
            <v>77</v>
          </cell>
          <cell r="U187" t="str">
            <v>59/61 AVENUE DU MARECHAL FOCH</v>
          </cell>
          <cell r="V187">
            <v>77502</v>
          </cell>
          <cell r="W187" t="str">
            <v>CHELLES</v>
          </cell>
          <cell r="Y187" t="str">
            <v>Directeur Logistique et Transports</v>
          </cell>
          <cell r="Z187" t="str">
            <v>77502</v>
          </cell>
          <cell r="AA187" t="str">
            <v>CHELLES</v>
          </cell>
          <cell r="AC187">
            <v>110.4</v>
          </cell>
          <cell r="AF187">
            <v>110.4</v>
          </cell>
          <cell r="AG187">
            <v>740</v>
          </cell>
          <cell r="AH187">
            <v>0.1891891891891892</v>
          </cell>
          <cell r="AN187">
            <v>740</v>
          </cell>
          <cell r="AO187">
            <v>1036</v>
          </cell>
          <cell r="AP187">
            <v>8.3840579710144922</v>
          </cell>
          <cell r="AZ187">
            <v>0</v>
          </cell>
          <cell r="BA187">
            <v>0</v>
          </cell>
          <cell r="BB187">
            <v>740</v>
          </cell>
        </row>
        <row r="188">
          <cell r="A188">
            <v>803169</v>
          </cell>
          <cell r="B188" t="str">
            <v>DAG IMPORT</v>
          </cell>
          <cell r="H188" t="str">
            <v>AGENCE GERANTE 003</v>
          </cell>
          <cell r="I188">
            <v>0</v>
          </cell>
          <cell r="K188">
            <v>0</v>
          </cell>
          <cell r="M188" t="str">
            <v>NON</v>
          </cell>
          <cell r="P188" t="str">
            <v>Non affecté</v>
          </cell>
          <cell r="Q188" t="str">
            <v>SM</v>
          </cell>
          <cell r="R188" t="str">
            <v>Ok mon client</v>
          </cell>
          <cell r="S188" t="str">
            <v>MOISSY CRAMAYEL</v>
          </cell>
          <cell r="T188" t="str">
            <v>69</v>
          </cell>
          <cell r="Z188" t="str">
            <v>69570</v>
          </cell>
          <cell r="AA188" t="str">
            <v>DARDILLY</v>
          </cell>
          <cell r="AF188">
            <v>0</v>
          </cell>
          <cell r="AI188">
            <v>488.89</v>
          </cell>
          <cell r="AJ188">
            <v>-0.37184326413229069</v>
          </cell>
          <cell r="AK188">
            <v>222.54</v>
          </cell>
          <cell r="AN188">
            <v>711.43</v>
          </cell>
          <cell r="AO188">
            <v>996.00199999999984</v>
          </cell>
          <cell r="AZ188">
            <v>488.89</v>
          </cell>
          <cell r="BA188">
            <v>222.54</v>
          </cell>
          <cell r="BB188">
            <v>0</v>
          </cell>
        </row>
        <row r="189">
          <cell r="A189">
            <v>448323</v>
          </cell>
          <cell r="B189" t="str">
            <v>ALTAIR SA</v>
          </cell>
          <cell r="C189">
            <v>0.2</v>
          </cell>
          <cell r="D189">
            <v>0.1</v>
          </cell>
          <cell r="E189">
            <v>0.02</v>
          </cell>
          <cell r="F189">
            <v>41306</v>
          </cell>
          <cell r="I189">
            <v>0</v>
          </cell>
          <cell r="K189">
            <v>0</v>
          </cell>
          <cell r="L189" t="str">
            <v>OK</v>
          </cell>
          <cell r="M189" t="str">
            <v>OK</v>
          </cell>
          <cell r="P189" t="str">
            <v>Non affecté</v>
          </cell>
          <cell r="Q189" t="str">
            <v>FP</v>
          </cell>
          <cell r="R189" t="str">
            <v>Ok mon client</v>
          </cell>
          <cell r="S189" t="str">
            <v>MOISSY CRAMAYEL</v>
          </cell>
          <cell r="T189" t="str">
            <v>91</v>
          </cell>
          <cell r="U189" t="str">
            <v>6/8 rue de la Cloiserie</v>
          </cell>
          <cell r="V189" t="str">
            <v>91048</v>
          </cell>
          <cell r="W189" t="str">
            <v>EVRY</v>
          </cell>
          <cell r="X189" t="str">
            <v>Mme</v>
          </cell>
          <cell r="Y189" t="str">
            <v>DETOLLE</v>
          </cell>
          <cell r="Z189" t="str">
            <v>91048</v>
          </cell>
          <cell r="AA189" t="str">
            <v>EVRY</v>
          </cell>
          <cell r="AB189">
            <v>431.71</v>
          </cell>
          <cell r="AC189">
            <v>934.26</v>
          </cell>
          <cell r="AD189">
            <v>811.29</v>
          </cell>
          <cell r="AF189">
            <v>2177.2600000000002</v>
          </cell>
          <cell r="AI189">
            <v>688.45</v>
          </cell>
          <cell r="AJ189">
            <v>0.82401045827583708</v>
          </cell>
          <cell r="AN189">
            <v>688.45</v>
          </cell>
          <cell r="AO189">
            <v>963.83</v>
          </cell>
          <cell r="AP189">
            <v>-0.55731975051211158</v>
          </cell>
          <cell r="AQ189" t="str">
            <v>024-G-91ALTAIR</v>
          </cell>
          <cell r="AS189">
            <v>38901</v>
          </cell>
          <cell r="AZ189">
            <v>826.14</v>
          </cell>
          <cell r="BA189">
            <v>0</v>
          </cell>
          <cell r="BB189">
            <v>0</v>
          </cell>
        </row>
        <row r="190">
          <cell r="A190">
            <v>485222</v>
          </cell>
          <cell r="B190" t="str">
            <v>DISTRIMESURE</v>
          </cell>
          <cell r="C190">
            <v>0.2</v>
          </cell>
          <cell r="D190">
            <v>0.1</v>
          </cell>
          <cell r="E190">
            <v>0.02</v>
          </cell>
          <cell r="F190">
            <v>41306</v>
          </cell>
          <cell r="I190">
            <v>0</v>
          </cell>
          <cell r="K190">
            <v>0</v>
          </cell>
          <cell r="L190" t="str">
            <v>OK</v>
          </cell>
          <cell r="M190" t="str">
            <v>OK</v>
          </cell>
          <cell r="P190" t="str">
            <v>Non affecté</v>
          </cell>
          <cell r="Q190" t="str">
            <v>FP</v>
          </cell>
          <cell r="R190" t="str">
            <v>Ok mon client</v>
          </cell>
          <cell r="S190" t="str">
            <v>MOISSY CRAMAYEL</v>
          </cell>
          <cell r="T190" t="str">
            <v>94</v>
          </cell>
          <cell r="U190" t="str">
            <v>2 AVENUE DE LA SABLIERES</v>
          </cell>
          <cell r="V190" t="str">
            <v>94370</v>
          </cell>
          <cell r="W190" t="str">
            <v>SUCY EN BRIE</v>
          </cell>
          <cell r="X190" t="str">
            <v>M.</v>
          </cell>
          <cell r="Y190" t="str">
            <v>OUHADDOU</v>
          </cell>
          <cell r="Z190" t="str">
            <v>94370</v>
          </cell>
          <cell r="AA190" t="str">
            <v>SUCY EN BRIE</v>
          </cell>
          <cell r="AB190">
            <v>1641.51</v>
          </cell>
          <cell r="AC190">
            <v>928.03</v>
          </cell>
          <cell r="AF190">
            <v>2569.54</v>
          </cell>
          <cell r="AI190">
            <v>680</v>
          </cell>
          <cell r="AJ190">
            <v>0.78182352941176469</v>
          </cell>
          <cell r="AN190">
            <v>680</v>
          </cell>
          <cell r="AO190">
            <v>951.99999999999989</v>
          </cell>
          <cell r="AP190">
            <v>-0.62950567027561355</v>
          </cell>
          <cell r="AQ190" t="str">
            <v>024-G-94DISTRIMESURE</v>
          </cell>
          <cell r="AZ190">
            <v>816</v>
          </cell>
          <cell r="BA190">
            <v>0</v>
          </cell>
          <cell r="BB190">
            <v>0</v>
          </cell>
        </row>
        <row r="191">
          <cell r="A191">
            <v>851144</v>
          </cell>
          <cell r="B191" t="str">
            <v>BRUNEAU J M</v>
          </cell>
          <cell r="H191" t="str">
            <v>AGENCE GERANTE 001</v>
          </cell>
          <cell r="I191">
            <v>0</v>
          </cell>
          <cell r="K191">
            <v>0</v>
          </cell>
          <cell r="M191" t="str">
            <v>NON</v>
          </cell>
          <cell r="P191" t="str">
            <v>Non affecté</v>
          </cell>
          <cell r="Q191" t="str">
            <v>FP</v>
          </cell>
          <cell r="R191" t="str">
            <v>Ok mon client</v>
          </cell>
          <cell r="S191" t="str">
            <v>MOISSY CRAMAYEL</v>
          </cell>
          <cell r="T191" t="str">
            <v>91</v>
          </cell>
          <cell r="U191" t="str">
            <v>19 AV DE LA BALTIQUE</v>
          </cell>
          <cell r="V191">
            <v>91940</v>
          </cell>
          <cell r="W191" t="str">
            <v>LES ULIS</v>
          </cell>
          <cell r="X191" t="str">
            <v>Mme</v>
          </cell>
          <cell r="Y191" t="str">
            <v xml:space="preserve">DAL PONT </v>
          </cell>
          <cell r="Z191" t="str">
            <v>91940</v>
          </cell>
          <cell r="AA191" t="str">
            <v>LES ULIS</v>
          </cell>
          <cell r="AB191">
            <v>1080</v>
          </cell>
          <cell r="AF191">
            <v>1080</v>
          </cell>
          <cell r="AG191">
            <v>670</v>
          </cell>
          <cell r="AN191">
            <v>670</v>
          </cell>
          <cell r="AO191">
            <v>937.99999999999989</v>
          </cell>
          <cell r="AP191">
            <v>-0.13148148148148153</v>
          </cell>
          <cell r="AR191" t="str">
            <v>001-L-GENERAL-KG</v>
          </cell>
          <cell r="AZ191">
            <v>0</v>
          </cell>
          <cell r="BA191">
            <v>0</v>
          </cell>
          <cell r="BB191">
            <v>670</v>
          </cell>
        </row>
        <row r="192">
          <cell r="A192">
            <v>631145</v>
          </cell>
          <cell r="B192" t="str">
            <v>PROOKAZ</v>
          </cell>
          <cell r="C192">
            <v>0.2</v>
          </cell>
          <cell r="D192">
            <v>0.1</v>
          </cell>
          <cell r="E192">
            <v>0.02</v>
          </cell>
          <cell r="F192">
            <v>41306</v>
          </cell>
          <cell r="I192">
            <v>0</v>
          </cell>
          <cell r="K192">
            <v>0</v>
          </cell>
          <cell r="L192" t="str">
            <v>OK</v>
          </cell>
          <cell r="M192" t="str">
            <v>OK</v>
          </cell>
          <cell r="P192" t="str">
            <v>Non affecté</v>
          </cell>
          <cell r="Q192" t="str">
            <v>FP</v>
          </cell>
          <cell r="R192" t="str">
            <v>Ok mon client</v>
          </cell>
          <cell r="S192" t="str">
            <v>MOISSY CRAMAYEL</v>
          </cell>
          <cell r="T192" t="str">
            <v>94</v>
          </cell>
          <cell r="U192" t="str">
            <v>26-32 Rue de verdun</v>
          </cell>
          <cell r="V192" t="str">
            <v>94500</v>
          </cell>
          <cell r="W192" t="str">
            <v>CHAMPIGNY</v>
          </cell>
          <cell r="X192" t="str">
            <v>Mme</v>
          </cell>
          <cell r="Y192" t="str">
            <v>CASTELLETTI</v>
          </cell>
          <cell r="Z192" t="str">
            <v>94500</v>
          </cell>
          <cell r="AA192" t="str">
            <v>CHAMPIGNY</v>
          </cell>
          <cell r="AB192">
            <v>525</v>
          </cell>
          <cell r="AC192">
            <v>4094.3599999999997</v>
          </cell>
          <cell r="AD192">
            <v>95.35</v>
          </cell>
          <cell r="AF192">
            <v>4714.71</v>
          </cell>
          <cell r="AI192">
            <v>659.28</v>
          </cell>
          <cell r="AJ192">
            <v>0.47598327787731443</v>
          </cell>
          <cell r="AN192">
            <v>659.28</v>
          </cell>
          <cell r="AO192">
            <v>922.99199999999985</v>
          </cell>
          <cell r="AP192">
            <v>-0.8042314373524565</v>
          </cell>
          <cell r="AQ192" t="str">
            <v>024-G-94PROOKAZ</v>
          </cell>
          <cell r="AR192" t="str">
            <v>024-L-94PROOKAZ</v>
          </cell>
          <cell r="AS192">
            <v>39164</v>
          </cell>
          <cell r="AZ192">
            <v>791.13599999999997</v>
          </cell>
          <cell r="BA192">
            <v>0</v>
          </cell>
          <cell r="BB192">
            <v>0</v>
          </cell>
        </row>
        <row r="193">
          <cell r="A193">
            <v>559547</v>
          </cell>
          <cell r="B193" t="str">
            <v>APPLICATIONS ELECTRIQ CLIMATIQ DE B</v>
          </cell>
          <cell r="C193">
            <v>0.2</v>
          </cell>
          <cell r="D193">
            <v>0.1</v>
          </cell>
          <cell r="E193">
            <v>0.02</v>
          </cell>
          <cell r="F193">
            <v>41334</v>
          </cell>
          <cell r="I193">
            <v>0</v>
          </cell>
          <cell r="K193">
            <v>0</v>
          </cell>
          <cell r="L193" t="str">
            <v>OK</v>
          </cell>
          <cell r="M193" t="str">
            <v>OK</v>
          </cell>
          <cell r="P193" t="str">
            <v>Non affecté</v>
          </cell>
          <cell r="Q193" t="str">
            <v>FR</v>
          </cell>
          <cell r="R193" t="str">
            <v>Ok mon client</v>
          </cell>
          <cell r="S193" t="str">
            <v>MOISSY CRAMAYEL</v>
          </cell>
          <cell r="T193" t="str">
            <v>77</v>
          </cell>
          <cell r="U193" t="str">
            <v>8 RUE DENIS PAPIN</v>
          </cell>
          <cell r="V193">
            <v>77390</v>
          </cell>
          <cell r="W193" t="str">
            <v>VERNEUIL L'ETANG</v>
          </cell>
          <cell r="Z193" t="str">
            <v>77390</v>
          </cell>
          <cell r="AA193" t="str">
            <v>VERNEUIL L'ETANG</v>
          </cell>
          <cell r="AB193">
            <v>878</v>
          </cell>
          <cell r="AF193">
            <v>878</v>
          </cell>
          <cell r="AG193">
            <v>504</v>
          </cell>
          <cell r="AH193">
            <v>-0.47239263803680981</v>
          </cell>
          <cell r="AI193">
            <v>148.88999999999999</v>
          </cell>
          <cell r="AJ193">
            <v>0.64712203640271337</v>
          </cell>
          <cell r="AN193">
            <v>652.89</v>
          </cell>
          <cell r="AO193">
            <v>914.04599999999994</v>
          </cell>
          <cell r="AP193">
            <v>4.1054669703872282E-2</v>
          </cell>
          <cell r="AQ193" t="str">
            <v>024-G-77AEC</v>
          </cell>
          <cell r="AZ193">
            <v>178.66799999999998</v>
          </cell>
          <cell r="BA193">
            <v>0</v>
          </cell>
          <cell r="BB193">
            <v>514.08000000000004</v>
          </cell>
        </row>
        <row r="194">
          <cell r="A194">
            <v>633046</v>
          </cell>
          <cell r="B194" t="str">
            <v>SAVIGNY SAS</v>
          </cell>
          <cell r="C194">
            <v>0.2</v>
          </cell>
          <cell r="D194">
            <v>0.1</v>
          </cell>
          <cell r="E194">
            <v>0.02</v>
          </cell>
          <cell r="F194">
            <v>41306</v>
          </cell>
          <cell r="I194">
            <v>0</v>
          </cell>
          <cell r="K194">
            <v>0</v>
          </cell>
          <cell r="L194" t="str">
            <v>OK</v>
          </cell>
          <cell r="M194" t="str">
            <v>OK</v>
          </cell>
          <cell r="P194" t="str">
            <v>Non affecté</v>
          </cell>
          <cell r="Q194" t="str">
            <v>FR</v>
          </cell>
          <cell r="R194" t="str">
            <v>Ok mon client</v>
          </cell>
          <cell r="S194" t="str">
            <v>MOISSY CRAMAYEL</v>
          </cell>
          <cell r="T194" t="str">
            <v>77</v>
          </cell>
          <cell r="U194" t="str">
            <v>938 AVENUE ST JUST</v>
          </cell>
          <cell r="V194" t="str">
            <v>77006</v>
          </cell>
          <cell r="W194" t="str">
            <v>MELUN</v>
          </cell>
          <cell r="Y194" t="str">
            <v>PIERRE SOMOLENKO</v>
          </cell>
          <cell r="Z194" t="str">
            <v>77006</v>
          </cell>
          <cell r="AA194" t="str">
            <v>MELUN</v>
          </cell>
          <cell r="AD194">
            <v>1259.1499999999999</v>
          </cell>
          <cell r="AF194">
            <v>1259.1499999999999</v>
          </cell>
          <cell r="AK194">
            <v>646.41</v>
          </cell>
          <cell r="AL194">
            <v>0.62127346966668373</v>
          </cell>
          <cell r="AN194">
            <v>646.41</v>
          </cell>
          <cell r="AO194">
            <v>904.97399999999993</v>
          </cell>
          <cell r="AP194">
            <v>-0.28128181709883648</v>
          </cell>
          <cell r="AQ194" t="str">
            <v>024-G-77SAVIGNY</v>
          </cell>
          <cell r="AS194">
            <v>39204</v>
          </cell>
          <cell r="AZ194">
            <v>0</v>
          </cell>
          <cell r="BA194">
            <v>711.05100000000004</v>
          </cell>
          <cell r="BB194">
            <v>0</v>
          </cell>
        </row>
        <row r="195">
          <cell r="A195">
            <v>623205</v>
          </cell>
          <cell r="B195" t="str">
            <v>GERARD WILLI W SHIPMENT</v>
          </cell>
          <cell r="C195">
            <v>0.2</v>
          </cell>
          <cell r="D195">
            <v>0.1</v>
          </cell>
          <cell r="E195">
            <v>0.02</v>
          </cell>
          <cell r="F195">
            <v>41306</v>
          </cell>
          <cell r="I195">
            <v>0</v>
          </cell>
          <cell r="K195">
            <v>0</v>
          </cell>
          <cell r="L195" t="str">
            <v>OK</v>
          </cell>
          <cell r="M195" t="str">
            <v>OK</v>
          </cell>
          <cell r="P195" t="str">
            <v>Non affecté</v>
          </cell>
          <cell r="Q195" t="str">
            <v>FR</v>
          </cell>
          <cell r="R195" t="str">
            <v>Ok mon client</v>
          </cell>
          <cell r="S195" t="str">
            <v>MOISSY CRAMAYEL</v>
          </cell>
          <cell r="T195" t="str">
            <v>77</v>
          </cell>
          <cell r="U195" t="str">
            <v>16 A RUE GRANDE</v>
          </cell>
          <cell r="V195">
            <v>77850</v>
          </cell>
          <cell r="W195" t="str">
            <v>HERICY</v>
          </cell>
          <cell r="Y195" t="str">
            <v>Directeur Logistique et Transports</v>
          </cell>
          <cell r="Z195" t="str">
            <v>77850</v>
          </cell>
          <cell r="AA195" t="str">
            <v>HERICY</v>
          </cell>
          <cell r="AC195">
            <v>1428.56</v>
          </cell>
          <cell r="AF195">
            <v>1428.56</v>
          </cell>
          <cell r="AI195">
            <v>630.24</v>
          </cell>
          <cell r="AJ195">
            <v>0.68107387661843111</v>
          </cell>
          <cell r="AN195">
            <v>630.24</v>
          </cell>
          <cell r="AO195">
            <v>882.33600000000001</v>
          </cell>
          <cell r="AP195">
            <v>-0.38235985887887103</v>
          </cell>
          <cell r="AQ195" t="str">
            <v>024-G-94WILLI</v>
          </cell>
          <cell r="AZ195">
            <v>756.28800000000001</v>
          </cell>
          <cell r="BA195">
            <v>0</v>
          </cell>
          <cell r="BB195">
            <v>0</v>
          </cell>
        </row>
        <row r="196">
          <cell r="A196">
            <v>682133</v>
          </cell>
          <cell r="B196" t="str">
            <v>ENVIROMAT</v>
          </cell>
          <cell r="H196" t="str">
            <v>PAS DE CONTRAT DANS INES</v>
          </cell>
          <cell r="I196">
            <v>0</v>
          </cell>
          <cell r="K196">
            <v>0</v>
          </cell>
          <cell r="M196" t="str">
            <v>NON</v>
          </cell>
          <cell r="P196" t="str">
            <v>Non affecté</v>
          </cell>
          <cell r="Q196" t="str">
            <v>FR</v>
          </cell>
          <cell r="R196" t="str">
            <v>Ok mon client</v>
          </cell>
          <cell r="S196" t="str">
            <v>MOISSY CRAMAYEL</v>
          </cell>
          <cell r="T196" t="str">
            <v>77</v>
          </cell>
          <cell r="U196" t="str">
            <v>21 rue Benjamin Franklin</v>
          </cell>
          <cell r="V196" t="str">
            <v>77000</v>
          </cell>
          <cell r="W196" t="str">
            <v>LA ROCHETTE</v>
          </cell>
          <cell r="Y196" t="str">
            <v>Directeur Logistique et Transports</v>
          </cell>
          <cell r="Z196" t="str">
            <v>77000</v>
          </cell>
          <cell r="AA196" t="str">
            <v>LA ROCHETTE</v>
          </cell>
          <cell r="AB196">
            <v>2868</v>
          </cell>
          <cell r="AC196">
            <v>132.87</v>
          </cell>
          <cell r="AF196">
            <v>3000.87</v>
          </cell>
          <cell r="AG196">
            <v>630</v>
          </cell>
          <cell r="AH196">
            <v>0.54464705882352948</v>
          </cell>
          <cell r="AN196">
            <v>630</v>
          </cell>
          <cell r="AO196">
            <v>882</v>
          </cell>
          <cell r="AP196">
            <v>-0.70608523528176825</v>
          </cell>
          <cell r="AZ196">
            <v>0</v>
          </cell>
          <cell r="BA196">
            <v>0</v>
          </cell>
          <cell r="BB196">
            <v>630</v>
          </cell>
        </row>
        <row r="197">
          <cell r="A197">
            <v>545779</v>
          </cell>
          <cell r="B197" t="str">
            <v>SCHWARTZMANN  S A S</v>
          </cell>
          <cell r="H197" t="str">
            <v>HORS SERVICE</v>
          </cell>
          <cell r="I197">
            <v>0</v>
          </cell>
          <cell r="K197">
            <v>0</v>
          </cell>
          <cell r="M197" t="str">
            <v>NON</v>
          </cell>
          <cell r="P197" t="str">
            <v>Non affecté</v>
          </cell>
          <cell r="Q197" t="str">
            <v>SM</v>
          </cell>
          <cell r="R197" t="str">
            <v>Ok mon client</v>
          </cell>
          <cell r="S197" t="str">
            <v>MOISSY CRAMAYEL</v>
          </cell>
          <cell r="T197" t="str">
            <v>25</v>
          </cell>
          <cell r="Z197" t="str">
            <v>25500</v>
          </cell>
          <cell r="AA197" t="str">
            <v>MORTEAU</v>
          </cell>
          <cell r="AF197">
            <v>0</v>
          </cell>
          <cell r="AI197">
            <v>522.94000000000005</v>
          </cell>
          <cell r="AJ197">
            <v>0.74569748114051915</v>
          </cell>
          <cell r="AK197">
            <v>86.929999999999993</v>
          </cell>
          <cell r="AN197">
            <v>609.87</v>
          </cell>
          <cell r="AO197">
            <v>853.81799999999998</v>
          </cell>
          <cell r="AZ197">
            <v>522.94000000000005</v>
          </cell>
          <cell r="BA197">
            <v>86.929999999999993</v>
          </cell>
          <cell r="BB197">
            <v>0</v>
          </cell>
        </row>
        <row r="198">
          <cell r="A198">
            <v>53781</v>
          </cell>
          <cell r="B198" t="str">
            <v>METIN S A</v>
          </cell>
          <cell r="C198">
            <v>0.2</v>
          </cell>
          <cell r="D198">
            <v>0.1</v>
          </cell>
          <cell r="E198">
            <v>0.02</v>
          </cell>
          <cell r="F198">
            <v>41306</v>
          </cell>
          <cell r="I198">
            <v>0</v>
          </cell>
          <cell r="K198">
            <v>0</v>
          </cell>
          <cell r="L198" t="str">
            <v>OK</v>
          </cell>
          <cell r="M198" t="str">
            <v>OK</v>
          </cell>
          <cell r="P198" t="str">
            <v>Non affecté</v>
          </cell>
          <cell r="Q198" t="str">
            <v>FR</v>
          </cell>
          <cell r="R198" t="str">
            <v>Ok mon client</v>
          </cell>
          <cell r="S198" t="str">
            <v>MOISSY CRAMAYEL</v>
          </cell>
          <cell r="T198" t="str">
            <v>77</v>
          </cell>
          <cell r="U198" t="str">
            <v>55 avenue du Marechal Foch</v>
          </cell>
          <cell r="V198" t="str">
            <v>77502</v>
          </cell>
          <cell r="W198" t="str">
            <v>CHELLES</v>
          </cell>
          <cell r="X198" t="str">
            <v>M.</v>
          </cell>
          <cell r="Y198" t="str">
            <v>METIN</v>
          </cell>
          <cell r="Z198" t="str">
            <v>77144</v>
          </cell>
          <cell r="AA198" t="str">
            <v>MONTEVRAIN</v>
          </cell>
          <cell r="AC198">
            <v>942.22</v>
          </cell>
          <cell r="AF198">
            <v>942.22</v>
          </cell>
          <cell r="AG198">
            <v>325.01000000000005</v>
          </cell>
          <cell r="AH198">
            <v>0.53847573920802438</v>
          </cell>
          <cell r="AI198">
            <v>281.36</v>
          </cell>
          <cell r="AJ198">
            <v>0.79808785897071366</v>
          </cell>
          <cell r="AN198">
            <v>606.37000000000012</v>
          </cell>
          <cell r="AO198">
            <v>848.91800000000012</v>
          </cell>
          <cell r="AP198">
            <v>-9.9023582602789095E-2</v>
          </cell>
          <cell r="AQ198" t="str">
            <v>024-G-77APCESSON024</v>
          </cell>
          <cell r="AZ198">
            <v>337.63200000000001</v>
          </cell>
          <cell r="BA198">
            <v>0</v>
          </cell>
          <cell r="BB198">
            <v>331.51020000000005</v>
          </cell>
        </row>
        <row r="199">
          <cell r="A199">
            <v>623387</v>
          </cell>
          <cell r="B199" t="str">
            <v>SEIRIS SAS</v>
          </cell>
          <cell r="C199">
            <v>0.2</v>
          </cell>
          <cell r="D199">
            <v>0.1</v>
          </cell>
          <cell r="E199">
            <v>0.02</v>
          </cell>
          <cell r="F199">
            <v>41306</v>
          </cell>
          <cell r="I199">
            <v>0</v>
          </cell>
          <cell r="K199">
            <v>0</v>
          </cell>
          <cell r="L199" t="str">
            <v>OK</v>
          </cell>
          <cell r="M199" t="str">
            <v>OK</v>
          </cell>
          <cell r="P199" t="str">
            <v>Non affecté</v>
          </cell>
          <cell r="Q199" t="str">
            <v>FP</v>
          </cell>
          <cell r="R199" t="str">
            <v>Ok mon client</v>
          </cell>
          <cell r="S199" t="str">
            <v>MOISSY CRAMAYEL</v>
          </cell>
          <cell r="T199" t="str">
            <v>91</v>
          </cell>
          <cell r="U199" t="str">
            <v>CHEMIN DE LA JULIENNE</v>
          </cell>
          <cell r="V199" t="str">
            <v>91830</v>
          </cell>
          <cell r="W199" t="str">
            <v>LE COUDRAY MONTCEAUX</v>
          </cell>
          <cell r="X199" t="str">
            <v xml:space="preserve">Mme </v>
          </cell>
          <cell r="Y199" t="str">
            <v>TRUEL</v>
          </cell>
          <cell r="Z199" t="str">
            <v>91830</v>
          </cell>
          <cell r="AA199" t="str">
            <v>LE COUDRAY MONTCEAUX</v>
          </cell>
          <cell r="AB199">
            <v>151</v>
          </cell>
          <cell r="AC199">
            <v>897.65000000000009</v>
          </cell>
          <cell r="AD199">
            <v>279.12</v>
          </cell>
          <cell r="AF199">
            <v>1327.77</v>
          </cell>
          <cell r="AI199">
            <v>493.19</v>
          </cell>
          <cell r="AJ199">
            <v>0.53178946627483403</v>
          </cell>
          <cell r="AK199">
            <v>111.83</v>
          </cell>
          <cell r="AL199">
            <v>0.81614951265313418</v>
          </cell>
          <cell r="AN199">
            <v>605.02</v>
          </cell>
          <cell r="AO199">
            <v>847.02799999999991</v>
          </cell>
          <cell r="AP199">
            <v>-0.3620672254983921</v>
          </cell>
          <cell r="AQ199" t="str">
            <v>024-G-91SEIRIS</v>
          </cell>
          <cell r="AS199">
            <v>39070</v>
          </cell>
          <cell r="AZ199">
            <v>591.82799999999997</v>
          </cell>
          <cell r="BA199">
            <v>123.01300000000001</v>
          </cell>
          <cell r="BB199">
            <v>0</v>
          </cell>
        </row>
        <row r="200">
          <cell r="A200">
            <v>250326</v>
          </cell>
          <cell r="B200" t="str">
            <v>LUMINEM</v>
          </cell>
          <cell r="C200">
            <v>0.2</v>
          </cell>
          <cell r="D200">
            <v>0.1</v>
          </cell>
          <cell r="E200">
            <v>0.02</v>
          </cell>
          <cell r="F200">
            <v>41306</v>
          </cell>
          <cell r="I200">
            <v>0</v>
          </cell>
          <cell r="K200">
            <v>0</v>
          </cell>
          <cell r="L200" t="str">
            <v>OK</v>
          </cell>
          <cell r="M200" t="str">
            <v>OK</v>
          </cell>
          <cell r="P200" t="str">
            <v>Non affecté</v>
          </cell>
          <cell r="Q200" t="str">
            <v>SM</v>
          </cell>
          <cell r="R200" t="str">
            <v>Ok mon client</v>
          </cell>
          <cell r="S200" t="str">
            <v>MOISSY CRAMAYEL</v>
          </cell>
          <cell r="T200" t="str">
            <v>69</v>
          </cell>
          <cell r="U200" t="str">
            <v>14 QUAI DU COMMERCE</v>
          </cell>
          <cell r="V200" t="str">
            <v>69009</v>
          </cell>
          <cell r="W200" t="str">
            <v>LYON</v>
          </cell>
          <cell r="Y200" t="str">
            <v>Directeur Logistique et Transports</v>
          </cell>
          <cell r="Z200" t="str">
            <v>69009</v>
          </cell>
          <cell r="AA200" t="str">
            <v>LYON</v>
          </cell>
          <cell r="AC200">
            <v>258.27999999999997</v>
          </cell>
          <cell r="AF200">
            <v>258.27999999999997</v>
          </cell>
          <cell r="AI200">
            <v>563.35</v>
          </cell>
          <cell r="AJ200">
            <v>0.67023901854332668</v>
          </cell>
          <cell r="AN200">
            <v>563.35</v>
          </cell>
          <cell r="AO200">
            <v>788.68999999999994</v>
          </cell>
          <cell r="AP200">
            <v>2.0536239739817255</v>
          </cell>
          <cell r="AQ200" t="str">
            <v>024-G-91LUMINEM</v>
          </cell>
          <cell r="AZ200">
            <v>676.02</v>
          </cell>
          <cell r="BA200">
            <v>0</v>
          </cell>
          <cell r="BB200">
            <v>0</v>
          </cell>
        </row>
        <row r="201">
          <cell r="A201">
            <v>605747</v>
          </cell>
          <cell r="B201" t="str">
            <v>TELEMAC</v>
          </cell>
          <cell r="C201">
            <v>0.2</v>
          </cell>
          <cell r="D201">
            <v>0.1</v>
          </cell>
          <cell r="E201">
            <v>0.02</v>
          </cell>
          <cell r="F201">
            <v>41306</v>
          </cell>
          <cell r="I201">
            <v>0</v>
          </cell>
          <cell r="K201">
            <v>0</v>
          </cell>
          <cell r="L201" t="str">
            <v>OK</v>
          </cell>
          <cell r="M201" t="str">
            <v>OK</v>
          </cell>
          <cell r="P201" t="str">
            <v>Non affecté</v>
          </cell>
          <cell r="Q201" t="str">
            <v>FR</v>
          </cell>
          <cell r="R201" t="str">
            <v>Ok mon client</v>
          </cell>
          <cell r="S201" t="str">
            <v>MOISSY CRAMAYEL</v>
          </cell>
          <cell r="T201" t="str">
            <v>77</v>
          </cell>
          <cell r="U201" t="str">
            <v>10 Avenue Eiffel</v>
          </cell>
          <cell r="V201" t="str">
            <v>77220</v>
          </cell>
          <cell r="W201" t="str">
            <v>GRETZ ARMAINVILLIERS</v>
          </cell>
          <cell r="Y201" t="str">
            <v>Directeur Logistique et Transports</v>
          </cell>
          <cell r="Z201" t="str">
            <v>77220</v>
          </cell>
          <cell r="AA201" t="str">
            <v>GRETZ ARMAINVILLIERS</v>
          </cell>
          <cell r="AD201">
            <v>1201</v>
          </cell>
          <cell r="AF201">
            <v>1201</v>
          </cell>
          <cell r="AK201">
            <v>555.15000000000009</v>
          </cell>
          <cell r="AL201">
            <v>0.78380144820350528</v>
          </cell>
          <cell r="AN201">
            <v>555.15000000000009</v>
          </cell>
          <cell r="AO201">
            <v>777.21</v>
          </cell>
          <cell r="AP201">
            <v>-0.35286427976686097</v>
          </cell>
          <cell r="AQ201" t="str">
            <v>024-G-77TELEMAC</v>
          </cell>
          <cell r="AZ201">
            <v>0</v>
          </cell>
          <cell r="BA201">
            <v>610.66500000000019</v>
          </cell>
          <cell r="BB201">
            <v>0</v>
          </cell>
        </row>
        <row r="202">
          <cell r="A202">
            <v>609563</v>
          </cell>
          <cell r="B202" t="str">
            <v>TNE TOP NIVEAU ESPACES</v>
          </cell>
          <cell r="H202" t="str">
            <v>PAS DE CONTRAT DANS INES</v>
          </cell>
          <cell r="I202">
            <v>0</v>
          </cell>
          <cell r="K202">
            <v>0</v>
          </cell>
          <cell r="M202" t="str">
            <v>NON</v>
          </cell>
          <cell r="P202" t="str">
            <v>Non affecté</v>
          </cell>
          <cell r="Q202" t="str">
            <v>FR</v>
          </cell>
          <cell r="R202" t="str">
            <v>Ok mon client</v>
          </cell>
          <cell r="S202" t="str">
            <v>MOISSY CRAMAYEL</v>
          </cell>
          <cell r="T202" t="str">
            <v>77</v>
          </cell>
          <cell r="U202" t="str">
            <v>DOMAINE DE VARATRE</v>
          </cell>
          <cell r="V202" t="str">
            <v>77610</v>
          </cell>
          <cell r="W202" t="str">
            <v>FONTENAY TRESIGNY</v>
          </cell>
          <cell r="Y202" t="str">
            <v>Directeur Logistique et Transports</v>
          </cell>
          <cell r="Z202" t="str">
            <v>77127</v>
          </cell>
          <cell r="AA202" t="str">
            <v>LIEUSAINT</v>
          </cell>
          <cell r="AB202">
            <v>1384</v>
          </cell>
          <cell r="AF202">
            <v>1384</v>
          </cell>
          <cell r="AG202">
            <v>534</v>
          </cell>
          <cell r="AH202">
            <v>-8.0243445692883941E-2</v>
          </cell>
          <cell r="AN202">
            <v>534</v>
          </cell>
          <cell r="AO202">
            <v>747.59999999999991</v>
          </cell>
          <cell r="AP202">
            <v>-0.45982658959537581</v>
          </cell>
          <cell r="AZ202">
            <v>0</v>
          </cell>
          <cell r="BA202">
            <v>0</v>
          </cell>
          <cell r="BB202">
            <v>534</v>
          </cell>
        </row>
        <row r="203">
          <cell r="A203">
            <v>624406</v>
          </cell>
          <cell r="B203" t="str">
            <v>DROME EXPRESS</v>
          </cell>
          <cell r="H203" t="str">
            <v>AGENCE GERANTE 009-294</v>
          </cell>
          <cell r="I203">
            <v>0</v>
          </cell>
          <cell r="K203">
            <v>0</v>
          </cell>
          <cell r="M203" t="str">
            <v>NON</v>
          </cell>
          <cell r="P203" t="str">
            <v>Non affecté</v>
          </cell>
          <cell r="Q203" t="str">
            <v>SM</v>
          </cell>
          <cell r="R203" t="str">
            <v>Ok mon client</v>
          </cell>
          <cell r="S203" t="str">
            <v>MOISSY CRAMAYEL</v>
          </cell>
          <cell r="T203" t="str">
            <v>26</v>
          </cell>
          <cell r="Z203" t="str">
            <v>26800</v>
          </cell>
          <cell r="AA203" t="str">
            <v>ETOILE SUR RHONE</v>
          </cell>
          <cell r="AG203">
            <v>510</v>
          </cell>
          <cell r="AH203">
            <v>-0.67023529411764715</v>
          </cell>
          <cell r="AN203">
            <v>510</v>
          </cell>
          <cell r="AO203">
            <v>714</v>
          </cell>
          <cell r="AZ203">
            <v>0</v>
          </cell>
          <cell r="BA203">
            <v>0</v>
          </cell>
          <cell r="BB203">
            <v>510</v>
          </cell>
        </row>
        <row r="204">
          <cell r="A204">
            <v>604129</v>
          </cell>
          <cell r="B204" t="str">
            <v>APTE</v>
          </cell>
          <cell r="C204">
            <v>0.2</v>
          </cell>
          <cell r="D204">
            <v>0.1</v>
          </cell>
          <cell r="E204">
            <v>0.02</v>
          </cell>
          <cell r="F204">
            <v>41334</v>
          </cell>
          <cell r="I204">
            <v>0</v>
          </cell>
          <cell r="K204">
            <v>0</v>
          </cell>
          <cell r="L204" t="str">
            <v>OK</v>
          </cell>
          <cell r="M204" t="str">
            <v>OK</v>
          </cell>
          <cell r="P204" t="str">
            <v>Non affecté</v>
          </cell>
          <cell r="Q204" t="str">
            <v>FR</v>
          </cell>
          <cell r="R204" t="str">
            <v>Ok mon client</v>
          </cell>
          <cell r="S204" t="str">
            <v>MOISSY CRAMAYEL</v>
          </cell>
          <cell r="T204" t="str">
            <v>77</v>
          </cell>
          <cell r="U204" t="str">
            <v>3 RUE ERNEST SARRON</v>
          </cell>
          <cell r="V204" t="str">
            <v>77410</v>
          </cell>
          <cell r="W204" t="str">
            <v>CLAYE SOUILLY</v>
          </cell>
          <cell r="Y204" t="str">
            <v>Directeur Logistique et Transports</v>
          </cell>
          <cell r="Z204" t="str">
            <v>77410</v>
          </cell>
          <cell r="AA204" t="str">
            <v>CLAYE SOUILLY</v>
          </cell>
          <cell r="AC204">
            <v>202.82</v>
          </cell>
          <cell r="AF204">
            <v>202.82</v>
          </cell>
          <cell r="AG204">
            <v>627</v>
          </cell>
          <cell r="AH204">
            <v>0.10685805422647528</v>
          </cell>
          <cell r="AI204">
            <v>-132.61000000000001</v>
          </cell>
          <cell r="AN204">
            <v>494.39</v>
          </cell>
          <cell r="AO204">
            <v>692.14599999999996</v>
          </cell>
          <cell r="AP204">
            <v>2.4126121684252047</v>
          </cell>
          <cell r="AQ204" t="str">
            <v>024-G-77APTE</v>
          </cell>
          <cell r="AZ204">
            <v>-159.13200000000001</v>
          </cell>
          <cell r="BA204">
            <v>0</v>
          </cell>
          <cell r="BB204">
            <v>639.54</v>
          </cell>
        </row>
        <row r="205">
          <cell r="A205">
            <v>498303</v>
          </cell>
          <cell r="B205" t="str">
            <v>RUBIN &amp; LACAQUE</v>
          </cell>
          <cell r="H205" t="str">
            <v>AGENCE GERANTE 002-013</v>
          </cell>
          <cell r="I205">
            <v>0</v>
          </cell>
          <cell r="K205">
            <v>0</v>
          </cell>
          <cell r="M205" t="str">
            <v>NON</v>
          </cell>
          <cell r="P205" t="str">
            <v>Non affecté</v>
          </cell>
          <cell r="Q205" t="str">
            <v>SM</v>
          </cell>
          <cell r="R205" t="str">
            <v>Ok mon client</v>
          </cell>
          <cell r="S205" t="str">
            <v>MOISSY CRAMAYEL</v>
          </cell>
          <cell r="T205" t="str">
            <v>90</v>
          </cell>
          <cell r="Z205" t="str">
            <v>90300</v>
          </cell>
          <cell r="AA205" t="str">
            <v>VALDOIE</v>
          </cell>
          <cell r="AF205">
            <v>0</v>
          </cell>
          <cell r="AI205">
            <v>474.37</v>
          </cell>
          <cell r="AJ205">
            <v>0.67964196502914231</v>
          </cell>
          <cell r="AN205">
            <v>474.37</v>
          </cell>
          <cell r="AO205">
            <v>664.11799999999994</v>
          </cell>
          <cell r="AZ205">
            <v>474.37</v>
          </cell>
          <cell r="BA205">
            <v>0</v>
          </cell>
          <cell r="BB205">
            <v>0</v>
          </cell>
        </row>
        <row r="206">
          <cell r="A206">
            <v>524887</v>
          </cell>
          <cell r="B206" t="str">
            <v>SONA FRANCE</v>
          </cell>
          <cell r="H206" t="str">
            <v>INCONNU</v>
          </cell>
          <cell r="I206">
            <v>0</v>
          </cell>
          <cell r="K206">
            <v>0</v>
          </cell>
          <cell r="M206" t="str">
            <v>NON</v>
          </cell>
          <cell r="P206" t="str">
            <v>Non affecté</v>
          </cell>
          <cell r="Q206" t="str">
            <v>FP</v>
          </cell>
          <cell r="R206" t="str">
            <v>Rajouté</v>
          </cell>
          <cell r="S206" t="str">
            <v>GENNEVILLIERS</v>
          </cell>
          <cell r="T206" t="str">
            <v>94</v>
          </cell>
          <cell r="U206" t="str">
            <v>21 RUE EUGENE SUE</v>
          </cell>
          <cell r="V206" t="str">
            <v>94700</v>
          </cell>
          <cell r="W206" t="str">
            <v>MAISON ALFORT</v>
          </cell>
          <cell r="Y206" t="str">
            <v>Directeur Logistique et Transports</v>
          </cell>
          <cell r="Z206" t="str">
            <v>94700</v>
          </cell>
          <cell r="AA206" t="str">
            <v>MAISON ALFORT</v>
          </cell>
          <cell r="AD206">
            <v>1251</v>
          </cell>
          <cell r="AE206">
            <v>130.5</v>
          </cell>
          <cell r="AF206">
            <v>1381.5</v>
          </cell>
          <cell r="AK206">
            <v>449.5</v>
          </cell>
          <cell r="AN206">
            <v>449.5</v>
          </cell>
          <cell r="AO206">
            <v>629.29999999999995</v>
          </cell>
          <cell r="AP206">
            <v>-0.54448063698878035</v>
          </cell>
          <cell r="AZ206">
            <v>0</v>
          </cell>
          <cell r="BA206">
            <v>449.5</v>
          </cell>
          <cell r="BB206">
            <v>0</v>
          </cell>
        </row>
        <row r="207">
          <cell r="A207">
            <v>546349</v>
          </cell>
          <cell r="B207" t="str">
            <v>EUROPE FORKLIFT MANUTENTION</v>
          </cell>
          <cell r="C207">
            <v>0.2</v>
          </cell>
          <cell r="D207">
            <v>0.1</v>
          </cell>
          <cell r="E207">
            <v>0.02</v>
          </cell>
          <cell r="F207">
            <v>41334</v>
          </cell>
          <cell r="I207">
            <v>0</v>
          </cell>
          <cell r="K207">
            <v>0</v>
          </cell>
          <cell r="L207" t="str">
            <v>OK</v>
          </cell>
          <cell r="M207" t="str">
            <v>OK</v>
          </cell>
          <cell r="P207" t="str">
            <v>Non affecté</v>
          </cell>
          <cell r="Q207" t="str">
            <v>FP</v>
          </cell>
          <cell r="R207" t="str">
            <v>Ok mon client</v>
          </cell>
          <cell r="S207" t="str">
            <v>MOISSY CRAMAYEL</v>
          </cell>
          <cell r="T207" t="str">
            <v>94</v>
          </cell>
          <cell r="U207" t="str">
            <v>3 RUE DE LA CARELLE</v>
          </cell>
          <cell r="V207" t="str">
            <v>94290</v>
          </cell>
          <cell r="W207" t="str">
            <v>VILLENEUVE LE ROI</v>
          </cell>
          <cell r="Y207" t="str">
            <v>Directeur Logistique et Transports</v>
          </cell>
          <cell r="Z207" t="str">
            <v>94290</v>
          </cell>
          <cell r="AA207" t="str">
            <v>VILLENEUVE LE ROI</v>
          </cell>
          <cell r="AC207">
            <v>730.34000000000015</v>
          </cell>
          <cell r="AF207">
            <v>730.34000000000015</v>
          </cell>
          <cell r="AI207">
            <v>434.69</v>
          </cell>
          <cell r="AJ207">
            <v>0.94690469069911898</v>
          </cell>
          <cell r="AN207">
            <v>434.69</v>
          </cell>
          <cell r="AO207">
            <v>608.56599999999992</v>
          </cell>
          <cell r="AP207">
            <v>-0.16673604074814496</v>
          </cell>
          <cell r="AQ207" t="str">
            <v>024-G-94EUROPEFO</v>
          </cell>
          <cell r="AZ207">
            <v>521.62799999999993</v>
          </cell>
          <cell r="BA207">
            <v>0</v>
          </cell>
          <cell r="BB207">
            <v>0</v>
          </cell>
        </row>
        <row r="208">
          <cell r="A208">
            <v>847550</v>
          </cell>
          <cell r="B208" t="str">
            <v>SOCIETE NOUVELLE POLYDEC</v>
          </cell>
          <cell r="C208">
            <v>0.2</v>
          </cell>
          <cell r="D208">
            <v>0.1</v>
          </cell>
          <cell r="E208">
            <v>0.02</v>
          </cell>
          <cell r="F208">
            <v>41334</v>
          </cell>
          <cell r="I208">
            <v>0</v>
          </cell>
          <cell r="K208">
            <v>0</v>
          </cell>
          <cell r="L208" t="str">
            <v>OK</v>
          </cell>
          <cell r="M208" t="str">
            <v>OK</v>
          </cell>
          <cell r="P208" t="str">
            <v>Non affecté</v>
          </cell>
          <cell r="Q208" t="str">
            <v>FR</v>
          </cell>
          <cell r="R208" t="str">
            <v>Ok mon client</v>
          </cell>
          <cell r="S208" t="str">
            <v>MOISSY CRAMAYEL</v>
          </cell>
          <cell r="T208" t="str">
            <v>77</v>
          </cell>
          <cell r="U208" t="str">
            <v>ZA DU BOIS HADENOT AMILLIS</v>
          </cell>
          <cell r="V208">
            <v>77120</v>
          </cell>
          <cell r="W208" t="str">
            <v>AMILLIS</v>
          </cell>
          <cell r="Y208" t="str">
            <v>Directeur Logistique et Transports</v>
          </cell>
          <cell r="Z208" t="str">
            <v>77120</v>
          </cell>
          <cell r="AA208" t="str">
            <v>AMILLIS</v>
          </cell>
          <cell r="AC208">
            <v>698.98</v>
          </cell>
          <cell r="AF208">
            <v>698.98</v>
          </cell>
          <cell r="AI208" t="str">
            <v xml:space="preserve"> </v>
          </cell>
          <cell r="AJ208">
            <v>0.70334661770592233</v>
          </cell>
          <cell r="AN208">
            <v>433.40999999999997</v>
          </cell>
          <cell r="AO208">
            <v>606.77399999999989</v>
          </cell>
          <cell r="AP208">
            <v>-0.13191507625397025</v>
          </cell>
          <cell r="AQ208" t="str">
            <v>024-G-77SNPOLYDEC</v>
          </cell>
          <cell r="AR208" t="str">
            <v>024-L-77SNPOLYDEC</v>
          </cell>
          <cell r="AS208">
            <v>40695</v>
          </cell>
          <cell r="AZ208">
            <v>0</v>
          </cell>
          <cell r="BA208">
            <v>0</v>
          </cell>
          <cell r="BB208">
            <v>0</v>
          </cell>
        </row>
        <row r="209">
          <cell r="A209">
            <v>611751</v>
          </cell>
          <cell r="B209" t="str">
            <v>PLASMATREAT</v>
          </cell>
          <cell r="C209">
            <v>0.2</v>
          </cell>
          <cell r="D209">
            <v>0.1</v>
          </cell>
          <cell r="E209">
            <v>0.02</v>
          </cell>
          <cell r="F209">
            <v>41334</v>
          </cell>
          <cell r="I209">
            <v>0</v>
          </cell>
          <cell r="K209">
            <v>0</v>
          </cell>
          <cell r="L209" t="str">
            <v>OK</v>
          </cell>
          <cell r="M209" t="str">
            <v>OK</v>
          </cell>
          <cell r="P209" t="str">
            <v>Non affecté</v>
          </cell>
          <cell r="Q209" t="str">
            <v>FP</v>
          </cell>
          <cell r="R209" t="str">
            <v>Ok mon client</v>
          </cell>
          <cell r="S209" t="str">
            <v>MOISSY CRAMAYEL</v>
          </cell>
          <cell r="T209" t="str">
            <v>91</v>
          </cell>
          <cell r="U209" t="str">
            <v>1 RUE DE TERRE NEUVE</v>
          </cell>
          <cell r="V209" t="str">
            <v>91944</v>
          </cell>
          <cell r="W209" t="str">
            <v>COURTABOEUF CEDEX</v>
          </cell>
          <cell r="Y209" t="str">
            <v>Directeur Logistique et Transports</v>
          </cell>
          <cell r="Z209" t="str">
            <v>91967</v>
          </cell>
          <cell r="AA209" t="str">
            <v>COURTABOEUF CEDEX</v>
          </cell>
          <cell r="AC209">
            <v>961.81000000000006</v>
          </cell>
          <cell r="AD209">
            <v>745.67999999999984</v>
          </cell>
          <cell r="AF209">
            <v>1707.4899999999998</v>
          </cell>
          <cell r="AI209">
            <v>429.37</v>
          </cell>
          <cell r="AJ209">
            <v>0.88655606127343034</v>
          </cell>
          <cell r="AN209">
            <v>429.37</v>
          </cell>
          <cell r="AO209">
            <v>601.11799999999994</v>
          </cell>
          <cell r="AP209">
            <v>-0.64795225740707119</v>
          </cell>
          <cell r="AQ209" t="str">
            <v>024-G-91PLASMATREAT</v>
          </cell>
          <cell r="AZ209">
            <v>515.24400000000003</v>
          </cell>
          <cell r="BA209">
            <v>0</v>
          </cell>
          <cell r="BB209">
            <v>0</v>
          </cell>
        </row>
        <row r="210">
          <cell r="A210">
            <v>2775</v>
          </cell>
          <cell r="B210" t="str">
            <v>ESSAUTO DIFFUSION</v>
          </cell>
          <cell r="H210" t="str">
            <v>INCONNU</v>
          </cell>
          <cell r="I210">
            <v>0</v>
          </cell>
          <cell r="K210">
            <v>0</v>
          </cell>
          <cell r="M210" t="str">
            <v>NON</v>
          </cell>
          <cell r="P210" t="str">
            <v>Non affecté</v>
          </cell>
          <cell r="Q210" t="str">
            <v>FP</v>
          </cell>
          <cell r="R210" t="str">
            <v>Ok mon client</v>
          </cell>
          <cell r="S210" t="str">
            <v>MOISSY CRAMAYEL</v>
          </cell>
          <cell r="T210" t="str">
            <v>91</v>
          </cell>
          <cell r="U210" t="str">
            <v>91 ROUTE DE CORBEIL  -  BP 06</v>
          </cell>
          <cell r="V210">
            <v>91390</v>
          </cell>
          <cell r="W210" t="str">
            <v>MORSANG SUR ORGE</v>
          </cell>
          <cell r="Z210" t="str">
            <v>91390</v>
          </cell>
          <cell r="AA210" t="str">
            <v>MORSANG SUR ORGE</v>
          </cell>
          <cell r="AG210">
            <v>420.62</v>
          </cell>
          <cell r="AN210">
            <v>420.62</v>
          </cell>
          <cell r="AO210">
            <v>588.86799999999994</v>
          </cell>
          <cell r="AZ210">
            <v>0</v>
          </cell>
          <cell r="BA210">
            <v>0</v>
          </cell>
          <cell r="BB210">
            <v>420.62</v>
          </cell>
        </row>
        <row r="211">
          <cell r="A211">
            <v>615325</v>
          </cell>
          <cell r="B211" t="str">
            <v>PONTICELLI FRERES</v>
          </cell>
          <cell r="C211">
            <v>0.2</v>
          </cell>
          <cell r="D211">
            <v>0.1</v>
          </cell>
          <cell r="E211">
            <v>0.02</v>
          </cell>
          <cell r="F211">
            <v>41334</v>
          </cell>
          <cell r="I211">
            <v>0</v>
          </cell>
          <cell r="K211">
            <v>0</v>
          </cell>
          <cell r="L211" t="str">
            <v>OK</v>
          </cell>
          <cell r="M211" t="str">
            <v>OK</v>
          </cell>
          <cell r="P211" t="str">
            <v>Non affecté</v>
          </cell>
          <cell r="Q211" t="str">
            <v>SM</v>
          </cell>
          <cell r="R211" t="str">
            <v>Ok mon client</v>
          </cell>
          <cell r="S211" t="str">
            <v>MOISSY CRAMAYEL</v>
          </cell>
          <cell r="T211" t="str">
            <v>75</v>
          </cell>
          <cell r="U211" t="str">
            <v>SAO 1 RUE LILIENTHAL  EMERAINVILLE BP 79</v>
          </cell>
          <cell r="V211" t="str">
            <v>77312</v>
          </cell>
          <cell r="W211" t="str">
            <v>MARNE LA VALLEE</v>
          </cell>
          <cell r="X211" t="str">
            <v>M.</v>
          </cell>
          <cell r="Y211" t="str">
            <v>DIEDERICK HUYGENS</v>
          </cell>
          <cell r="Z211" t="str">
            <v>75013</v>
          </cell>
          <cell r="AA211" t="str">
            <v>PARIS</v>
          </cell>
          <cell r="AB211">
            <v>908.05</v>
          </cell>
          <cell r="AC211">
            <v>1321.3300000000002</v>
          </cell>
          <cell r="AD211">
            <v>129.69999999999999</v>
          </cell>
          <cell r="AF211">
            <v>2359.08</v>
          </cell>
          <cell r="AI211">
            <v>322.16999999999996</v>
          </cell>
          <cell r="AJ211">
            <v>0.37287767327808297</v>
          </cell>
          <cell r="AK211">
            <v>96.06</v>
          </cell>
          <cell r="AN211">
            <v>418.22999999999996</v>
          </cell>
          <cell r="AO211">
            <v>585.52199999999993</v>
          </cell>
          <cell r="AP211">
            <v>-0.75180070196856408</v>
          </cell>
          <cell r="AQ211" t="str">
            <v>024-G-77PONTICELLI</v>
          </cell>
          <cell r="AR211" t="str">
            <v>024-L-76PONTICELLI</v>
          </cell>
          <cell r="AS211">
            <v>40255</v>
          </cell>
          <cell r="AZ211">
            <v>386.60399999999993</v>
          </cell>
          <cell r="BA211">
            <v>105.66600000000001</v>
          </cell>
          <cell r="BB211">
            <v>0</v>
          </cell>
        </row>
        <row r="212">
          <cell r="A212">
            <v>474218</v>
          </cell>
          <cell r="B212" t="str">
            <v>COPRIMA</v>
          </cell>
          <cell r="C212">
            <v>0.2</v>
          </cell>
          <cell r="D212">
            <v>0.1</v>
          </cell>
          <cell r="E212">
            <v>0.02</v>
          </cell>
          <cell r="F212">
            <v>41334</v>
          </cell>
          <cell r="I212">
            <v>0</v>
          </cell>
          <cell r="K212">
            <v>0</v>
          </cell>
          <cell r="L212" t="str">
            <v>OK</v>
          </cell>
          <cell r="M212" t="str">
            <v>OK</v>
          </cell>
          <cell r="P212" t="str">
            <v>Non affecté</v>
          </cell>
          <cell r="Q212" t="str">
            <v>FP</v>
          </cell>
          <cell r="R212" t="str">
            <v>Ok mon client</v>
          </cell>
          <cell r="S212" t="str">
            <v>MOISSY CRAMAYEL</v>
          </cell>
          <cell r="T212" t="str">
            <v>94</v>
          </cell>
          <cell r="U212" t="str">
            <v>22 RUE GUSTAVE EIFFEL - ZI ST NICOLAS</v>
          </cell>
          <cell r="V212" t="str">
            <v>94510</v>
          </cell>
          <cell r="W212" t="str">
            <v>LA QUEUE EN BRIE</v>
          </cell>
          <cell r="X212" t="str">
            <v>Mme</v>
          </cell>
          <cell r="Y212" t="str">
            <v>DENOST</v>
          </cell>
          <cell r="Z212" t="str">
            <v>94510</v>
          </cell>
          <cell r="AA212" t="str">
            <v>LA QUEUE EN BRIE</v>
          </cell>
          <cell r="AB212">
            <v>652</v>
          </cell>
          <cell r="AD212">
            <v>1214.9100000000001</v>
          </cell>
          <cell r="AF212">
            <v>1866.91</v>
          </cell>
          <cell r="AG212">
            <v>409</v>
          </cell>
          <cell r="AH212">
            <v>-0.11904761904761904</v>
          </cell>
          <cell r="AN212">
            <v>409</v>
          </cell>
          <cell r="AO212">
            <v>572.59999999999991</v>
          </cell>
          <cell r="AP212">
            <v>-0.69328998184165291</v>
          </cell>
          <cell r="AQ212" t="str">
            <v>024-G-94COPRIMA</v>
          </cell>
          <cell r="AZ212">
            <v>0</v>
          </cell>
          <cell r="BA212">
            <v>0</v>
          </cell>
          <cell r="BB212">
            <v>417.18</v>
          </cell>
        </row>
        <row r="213">
          <cell r="A213">
            <v>76232</v>
          </cell>
          <cell r="B213" t="str">
            <v>SIREINE AUTO BOURG LA REINE</v>
          </cell>
          <cell r="C213">
            <v>0.2</v>
          </cell>
          <cell r="D213">
            <v>0.1</v>
          </cell>
          <cell r="E213">
            <v>0.02</v>
          </cell>
          <cell r="F213">
            <v>41334</v>
          </cell>
          <cell r="I213">
            <v>0</v>
          </cell>
          <cell r="K213">
            <v>0</v>
          </cell>
          <cell r="L213" t="str">
            <v>OK</v>
          </cell>
          <cell r="M213" t="str">
            <v>OK</v>
          </cell>
          <cell r="N213" t="str">
            <v>Non affecté</v>
          </cell>
          <cell r="O213" t="str">
            <v>SM</v>
          </cell>
          <cell r="S213" t="str">
            <v>MOISSY CRAMAYEL</v>
          </cell>
          <cell r="T213" t="str">
            <v>92</v>
          </cell>
          <cell r="U213" t="str">
            <v>12/14 AVENUE DU GENERAL LECLERC</v>
          </cell>
          <cell r="V213">
            <v>92340</v>
          </cell>
          <cell r="W213" t="str">
            <v>BOURG LA REINE</v>
          </cell>
          <cell r="Y213" t="str">
            <v>Directeur Logistique et Transports</v>
          </cell>
          <cell r="Z213" t="str">
            <v>92340</v>
          </cell>
          <cell r="AA213" t="str">
            <v>BOURG LA REINE</v>
          </cell>
          <cell r="AG213">
            <v>383</v>
          </cell>
          <cell r="AH213">
            <v>0.4255874673629243</v>
          </cell>
          <cell r="AN213">
            <v>383</v>
          </cell>
          <cell r="AO213">
            <v>536.19999999999993</v>
          </cell>
          <cell r="AQ213" t="str">
            <v>024-G-92ACBOURGLAREINE</v>
          </cell>
          <cell r="AZ213">
            <v>0</v>
          </cell>
          <cell r="BA213">
            <v>0</v>
          </cell>
          <cell r="BB213">
            <v>390.66</v>
          </cell>
        </row>
        <row r="214">
          <cell r="A214">
            <v>486820</v>
          </cell>
          <cell r="B214" t="str">
            <v>MUSEE DE L'AVENTURE PEUGEOT</v>
          </cell>
          <cell r="H214" t="str">
            <v>INCONNU</v>
          </cell>
          <cell r="I214">
            <v>0</v>
          </cell>
          <cell r="K214">
            <v>0</v>
          </cell>
          <cell r="M214" t="str">
            <v>NON</v>
          </cell>
          <cell r="P214" t="str">
            <v>Non affecté</v>
          </cell>
          <cell r="Q214" t="str">
            <v>SM</v>
          </cell>
          <cell r="R214" t="str">
            <v>Ok mon client</v>
          </cell>
          <cell r="S214" t="str">
            <v>MOISSY CRAMAYEL</v>
          </cell>
          <cell r="T214" t="str">
            <v>25</v>
          </cell>
          <cell r="Z214" t="str">
            <v>25600</v>
          </cell>
          <cell r="AA214" t="str">
            <v>SOCHAUX</v>
          </cell>
          <cell r="AF214">
            <v>0</v>
          </cell>
          <cell r="AI214">
            <v>256.21000000000004</v>
          </cell>
          <cell r="AK214">
            <v>121.86</v>
          </cell>
          <cell r="AN214">
            <v>378.07000000000005</v>
          </cell>
          <cell r="AO214">
            <v>529.298</v>
          </cell>
          <cell r="AZ214">
            <v>256.21000000000004</v>
          </cell>
          <cell r="BA214">
            <v>121.86</v>
          </cell>
          <cell r="BB214">
            <v>0</v>
          </cell>
        </row>
        <row r="215">
          <cell r="A215">
            <v>4482</v>
          </cell>
          <cell r="B215" t="str">
            <v>COMETRANS</v>
          </cell>
          <cell r="H215" t="str">
            <v>AGENCE GERANTE 004-020</v>
          </cell>
          <cell r="I215">
            <v>0</v>
          </cell>
          <cell r="K215">
            <v>0</v>
          </cell>
          <cell r="M215" t="str">
            <v>NON</v>
          </cell>
          <cell r="P215" t="str">
            <v>Non affecté</v>
          </cell>
          <cell r="Q215" t="str">
            <v>SM</v>
          </cell>
          <cell r="R215" t="str">
            <v>Ok mon client</v>
          </cell>
          <cell r="S215" t="str">
            <v>MOISSY CRAMAYEL</v>
          </cell>
          <cell r="T215" t="str">
            <v>59</v>
          </cell>
          <cell r="Z215" t="str">
            <v>59960</v>
          </cell>
          <cell r="AA215" t="str">
            <v>NEUVILLE EN FERRAIN</v>
          </cell>
          <cell r="AG215">
            <v>370</v>
          </cell>
          <cell r="AN215">
            <v>370</v>
          </cell>
          <cell r="AO215">
            <v>518</v>
          </cell>
          <cell r="AZ215">
            <v>0</v>
          </cell>
          <cell r="BA215">
            <v>0</v>
          </cell>
          <cell r="BB215">
            <v>370</v>
          </cell>
        </row>
        <row r="216">
          <cell r="A216">
            <v>641175</v>
          </cell>
          <cell r="B216" t="str">
            <v>JARDI ENSEIGNES SAS</v>
          </cell>
          <cell r="C216">
            <v>0.2</v>
          </cell>
          <cell r="D216">
            <v>0.1</v>
          </cell>
          <cell r="E216">
            <v>0.02</v>
          </cell>
          <cell r="F216">
            <v>41334</v>
          </cell>
          <cell r="I216">
            <v>0</v>
          </cell>
          <cell r="K216">
            <v>0</v>
          </cell>
          <cell r="L216" t="str">
            <v>OK</v>
          </cell>
          <cell r="M216" t="str">
            <v>OK</v>
          </cell>
          <cell r="P216" t="str">
            <v>Non affecté</v>
          </cell>
          <cell r="Q216" t="str">
            <v>SM</v>
          </cell>
          <cell r="R216" t="str">
            <v>Ok mon client</v>
          </cell>
          <cell r="S216" t="str">
            <v>MOISSY CRAMAYEL</v>
          </cell>
          <cell r="T216" t="str">
            <v>75</v>
          </cell>
          <cell r="U216" t="str">
            <v>26 RUE DE LA MAISON ROUGE</v>
          </cell>
          <cell r="V216">
            <v>77185</v>
          </cell>
          <cell r="W216" t="str">
            <v>LOGNES</v>
          </cell>
          <cell r="Y216" t="str">
            <v>Directeur Logistique et Transports</v>
          </cell>
          <cell r="Z216" t="str">
            <v>75725</v>
          </cell>
          <cell r="AA216" t="str">
            <v>PARIS CEDEX 15</v>
          </cell>
          <cell r="AD216">
            <v>900.88000000000011</v>
          </cell>
          <cell r="AF216">
            <v>900.88000000000011</v>
          </cell>
          <cell r="AK216">
            <v>332.82000000000005</v>
          </cell>
          <cell r="AL216">
            <v>0.58691031622602396</v>
          </cell>
          <cell r="AN216">
            <v>332.82000000000005</v>
          </cell>
          <cell r="AO216">
            <v>465.94800000000004</v>
          </cell>
          <cell r="AP216">
            <v>-0.48278572062871861</v>
          </cell>
          <cell r="AQ216" t="str">
            <v>024-G-77JARDI</v>
          </cell>
          <cell r="AS216">
            <v>39367</v>
          </cell>
          <cell r="AZ216">
            <v>0</v>
          </cell>
          <cell r="BA216">
            <v>366.10200000000009</v>
          </cell>
          <cell r="BB216">
            <v>0</v>
          </cell>
        </row>
        <row r="217">
          <cell r="A217">
            <v>687335</v>
          </cell>
          <cell r="B217" t="str">
            <v>BUSCH FRANCE SAS</v>
          </cell>
          <cell r="C217">
            <v>0.2</v>
          </cell>
          <cell r="D217">
            <v>0.1</v>
          </cell>
          <cell r="E217">
            <v>0.02</v>
          </cell>
          <cell r="F217">
            <v>41334</v>
          </cell>
          <cell r="I217">
            <v>0</v>
          </cell>
          <cell r="K217">
            <v>0</v>
          </cell>
          <cell r="L217" t="str">
            <v>OK</v>
          </cell>
          <cell r="M217" t="str">
            <v>OK</v>
          </cell>
          <cell r="P217" t="str">
            <v>Non affecté</v>
          </cell>
          <cell r="Q217" t="str">
            <v>FP</v>
          </cell>
          <cell r="R217" t="str">
            <v>Ok mon client</v>
          </cell>
          <cell r="S217" t="str">
            <v>MOISSY CRAMAYEL</v>
          </cell>
          <cell r="T217" t="str">
            <v>91</v>
          </cell>
          <cell r="U217" t="str">
            <v>16 RUE DU BOIS CHALAND</v>
          </cell>
          <cell r="V217">
            <v>91090</v>
          </cell>
          <cell r="W217" t="str">
            <v>EVRY</v>
          </cell>
          <cell r="Y217" t="str">
            <v>Directeur Logistique et Transports</v>
          </cell>
          <cell r="Z217" t="str">
            <v>91090</v>
          </cell>
          <cell r="AA217" t="str">
            <v>EVRY</v>
          </cell>
          <cell r="AB217">
            <v>450</v>
          </cell>
          <cell r="AF217">
            <v>450</v>
          </cell>
          <cell r="AG217">
            <v>254</v>
          </cell>
          <cell r="AH217">
            <v>0.25196850393700787</v>
          </cell>
          <cell r="AK217">
            <v>73.81</v>
          </cell>
          <cell r="AL217">
            <v>0.72185340739737158</v>
          </cell>
          <cell r="AN217">
            <v>327.81</v>
          </cell>
          <cell r="AO217">
            <v>458.93399999999997</v>
          </cell>
          <cell r="AP217">
            <v>1.9853333333333278E-2</v>
          </cell>
          <cell r="AQ217" t="str">
            <v>024-G-91BUSCH</v>
          </cell>
          <cell r="AZ217">
            <v>0</v>
          </cell>
          <cell r="BA217">
            <v>81.191000000000003</v>
          </cell>
          <cell r="BB217">
            <v>259.08</v>
          </cell>
        </row>
        <row r="218">
          <cell r="A218">
            <v>635652</v>
          </cell>
          <cell r="B218" t="str">
            <v>AAC GLOBE EXPRESS</v>
          </cell>
          <cell r="H218" t="str">
            <v>PAS DE CONTRAT</v>
          </cell>
          <cell r="I218">
            <v>0</v>
          </cell>
          <cell r="K218">
            <v>0</v>
          </cell>
          <cell r="M218" t="str">
            <v>NON</v>
          </cell>
          <cell r="N218" t="str">
            <v>Non affecté</v>
          </cell>
          <cell r="O218" t="str">
            <v>SM</v>
          </cell>
          <cell r="S218" t="str">
            <v>MOISSY CRAMAYEL</v>
          </cell>
          <cell r="T218" t="str">
            <v>93</v>
          </cell>
          <cell r="U218" t="str">
            <v>5 RUE LEON JOUHAUX</v>
          </cell>
          <cell r="V218">
            <v>93600</v>
          </cell>
          <cell r="W218" t="str">
            <v>AULNAY SOUS BOIS</v>
          </cell>
          <cell r="Z218" t="str">
            <v>93600</v>
          </cell>
          <cell r="AA218" t="str">
            <v>AULNAY SOUS BOIS</v>
          </cell>
          <cell r="AK218">
            <v>324.64999999999998</v>
          </cell>
          <cell r="AN218">
            <v>324.64999999999998</v>
          </cell>
          <cell r="AO218">
            <v>454.50999999999993</v>
          </cell>
          <cell r="AZ218">
            <v>0</v>
          </cell>
          <cell r="BA218">
            <v>324.64999999999998</v>
          </cell>
          <cell r="BB218">
            <v>0</v>
          </cell>
        </row>
        <row r="219">
          <cell r="A219">
            <v>565602</v>
          </cell>
          <cell r="B219" t="str">
            <v>SOCIETE NOUVELLE RABANAP</v>
          </cell>
          <cell r="H219" t="str">
            <v>INCONNU</v>
          </cell>
          <cell r="I219">
            <v>0</v>
          </cell>
          <cell r="K219">
            <v>0</v>
          </cell>
          <cell r="M219" t="str">
            <v>NON</v>
          </cell>
          <cell r="P219" t="str">
            <v>Non affecté</v>
          </cell>
          <cell r="Q219" t="str">
            <v>SM</v>
          </cell>
          <cell r="R219" t="str">
            <v>Rajouté</v>
          </cell>
          <cell r="S219" t="str">
            <v>GENNEVILLIERS</v>
          </cell>
          <cell r="T219" t="str">
            <v>91</v>
          </cell>
          <cell r="U219" t="str">
            <v>23 RUE DU GENERAL LECLERC</v>
          </cell>
          <cell r="V219" t="str">
            <v>91160</v>
          </cell>
          <cell r="W219" t="str">
            <v>BALLAINVILLIERS</v>
          </cell>
          <cell r="Y219" t="str">
            <v>Directeur Logistique et Transports</v>
          </cell>
          <cell r="Z219" t="str">
            <v>91160</v>
          </cell>
          <cell r="AA219" t="str">
            <v>BALLAINVILLIERS</v>
          </cell>
          <cell r="AD219">
            <v>506</v>
          </cell>
          <cell r="AE219">
            <v>46</v>
          </cell>
          <cell r="AF219">
            <v>552</v>
          </cell>
          <cell r="AK219">
            <v>322</v>
          </cell>
          <cell r="AN219">
            <v>322</v>
          </cell>
          <cell r="AO219">
            <v>450.79999999999995</v>
          </cell>
          <cell r="AP219">
            <v>-0.18333333333333346</v>
          </cell>
          <cell r="AZ219">
            <v>0</v>
          </cell>
          <cell r="BA219">
            <v>322</v>
          </cell>
          <cell r="BB219">
            <v>0</v>
          </cell>
        </row>
        <row r="220">
          <cell r="A220">
            <v>580803</v>
          </cell>
          <cell r="B220" t="str">
            <v>VISSART EUROPE</v>
          </cell>
          <cell r="C220">
            <v>0.2</v>
          </cell>
          <cell r="D220">
            <v>0.1</v>
          </cell>
          <cell r="E220">
            <v>0.02</v>
          </cell>
          <cell r="F220">
            <v>41334</v>
          </cell>
          <cell r="I220">
            <v>0</v>
          </cell>
          <cell r="K220">
            <v>0</v>
          </cell>
          <cell r="L220" t="str">
            <v>OK</v>
          </cell>
          <cell r="M220" t="str">
            <v>OK</v>
          </cell>
          <cell r="P220" t="str">
            <v>Non affecté</v>
          </cell>
          <cell r="Q220" t="str">
            <v>FR</v>
          </cell>
          <cell r="R220" t="str">
            <v>Ok mon client</v>
          </cell>
          <cell r="S220" t="str">
            <v>MOISSY CRAMAYEL</v>
          </cell>
          <cell r="T220" t="str">
            <v>77</v>
          </cell>
          <cell r="U220" t="str">
            <v>RUE PAUL LOUIS COURIER</v>
          </cell>
          <cell r="V220">
            <v>77101</v>
          </cell>
          <cell r="W220" t="str">
            <v>MEAUX</v>
          </cell>
          <cell r="Z220" t="str">
            <v>77101</v>
          </cell>
          <cell r="AA220" t="str">
            <v>MEAUX</v>
          </cell>
          <cell r="AG220">
            <v>319.64999999999998</v>
          </cell>
          <cell r="AH220">
            <v>-0.52083744815326882</v>
          </cell>
          <cell r="AN220">
            <v>319.64999999999998</v>
          </cell>
          <cell r="AO220">
            <v>447.50999999999993</v>
          </cell>
          <cell r="AR220" t="str">
            <v>024-L-77VISSART</v>
          </cell>
          <cell r="AZ220">
            <v>0</v>
          </cell>
          <cell r="BA220">
            <v>0</v>
          </cell>
          <cell r="BB220">
            <v>326.04300000000001</v>
          </cell>
        </row>
        <row r="221">
          <cell r="A221">
            <v>851439</v>
          </cell>
          <cell r="B221" t="str">
            <v>CGE DISTRIBUTION</v>
          </cell>
          <cell r="H221" t="str">
            <v>PAS DE CONTRAT</v>
          </cell>
          <cell r="I221">
            <v>0</v>
          </cell>
          <cell r="K221">
            <v>0</v>
          </cell>
          <cell r="M221" t="str">
            <v>NON</v>
          </cell>
          <cell r="N221" t="str">
            <v>Non affecté</v>
          </cell>
          <cell r="O221" t="str">
            <v>SM</v>
          </cell>
          <cell r="S221" t="str">
            <v>MOISSY CRAMAYEL</v>
          </cell>
          <cell r="T221" t="str">
            <v>92</v>
          </cell>
          <cell r="U221" t="str">
            <v>15 BD DU GENERAL DE GAULLE</v>
          </cell>
          <cell r="V221">
            <v>92542</v>
          </cell>
          <cell r="W221" t="str">
            <v>MONTROUGE CEDEX</v>
          </cell>
          <cell r="Z221" t="str">
            <v>92542</v>
          </cell>
          <cell r="AA221" t="str">
            <v>MONTROUGE CEDEX</v>
          </cell>
          <cell r="AI221">
            <v>266.39</v>
          </cell>
          <cell r="AN221">
            <v>266.39</v>
          </cell>
          <cell r="AO221">
            <v>372.94599999999997</v>
          </cell>
          <cell r="AZ221">
            <v>266.39</v>
          </cell>
          <cell r="BA221">
            <v>0</v>
          </cell>
          <cell r="BB221">
            <v>0</v>
          </cell>
        </row>
        <row r="222">
          <cell r="A222">
            <v>519533</v>
          </cell>
          <cell r="B222" t="str">
            <v>ENTREPRISE DU BEL AIR</v>
          </cell>
          <cell r="C222">
            <v>0.2</v>
          </cell>
          <cell r="D222">
            <v>0.1</v>
          </cell>
          <cell r="E222">
            <v>0.02</v>
          </cell>
          <cell r="F222">
            <v>41334</v>
          </cell>
          <cell r="I222">
            <v>0</v>
          </cell>
          <cell r="K222">
            <v>0</v>
          </cell>
          <cell r="L222" t="str">
            <v>OK</v>
          </cell>
          <cell r="M222" t="str">
            <v>OK</v>
          </cell>
          <cell r="P222" t="str">
            <v>Non affecté</v>
          </cell>
          <cell r="Q222" t="str">
            <v>FR</v>
          </cell>
          <cell r="R222" t="str">
            <v>Ok mon client</v>
          </cell>
          <cell r="S222" t="str">
            <v>MOISSY CRAMAYEL</v>
          </cell>
          <cell r="T222" t="str">
            <v>77</v>
          </cell>
          <cell r="U222" t="str">
            <v>838 Av du Marécha Juin</v>
          </cell>
          <cell r="V222" t="str">
            <v>77000</v>
          </cell>
          <cell r="W222" t="str">
            <v>MELUN</v>
          </cell>
          <cell r="Y222" t="str">
            <v>Directeur Logistique et Transports</v>
          </cell>
          <cell r="Z222" t="str">
            <v>77000</v>
          </cell>
          <cell r="AA222" t="str">
            <v>MELUN</v>
          </cell>
          <cell r="AB222" t="str">
            <v xml:space="preserve">                        </v>
          </cell>
          <cell r="AC222">
            <v>962.43999999999994</v>
          </cell>
          <cell r="AF222">
            <v>962.43999999999994</v>
          </cell>
          <cell r="AI222">
            <v>250.36</v>
          </cell>
          <cell r="AJ222">
            <v>0.90165158695964387</v>
          </cell>
          <cell r="AN222">
            <v>250.36</v>
          </cell>
          <cell r="AO222">
            <v>350.50400000000002</v>
          </cell>
          <cell r="AP222">
            <v>-0.63581729770167494</v>
          </cell>
          <cell r="AQ222" t="str">
            <v>024-G-77BELAIR</v>
          </cell>
          <cell r="AZ222">
            <v>300.43200000000002</v>
          </cell>
          <cell r="BA222">
            <v>0</v>
          </cell>
          <cell r="BB222">
            <v>0</v>
          </cell>
        </row>
        <row r="223">
          <cell r="A223">
            <v>684535</v>
          </cell>
          <cell r="B223" t="str">
            <v>BONI.COM</v>
          </cell>
          <cell r="C223">
            <v>0.2</v>
          </cell>
          <cell r="D223">
            <v>0.1</v>
          </cell>
          <cell r="E223">
            <v>0.02</v>
          </cell>
          <cell r="F223">
            <v>41334</v>
          </cell>
          <cell r="I223">
            <v>0</v>
          </cell>
          <cell r="K223">
            <v>0</v>
          </cell>
          <cell r="L223" t="str">
            <v>OK</v>
          </cell>
          <cell r="M223" t="str">
            <v>OK</v>
          </cell>
          <cell r="P223" t="str">
            <v>Non affecté</v>
          </cell>
          <cell r="Q223" t="str">
            <v>FP</v>
          </cell>
          <cell r="R223" t="str">
            <v>Ok mon client</v>
          </cell>
          <cell r="S223" t="str">
            <v>MOISSY CRAMAYEL</v>
          </cell>
          <cell r="T223" t="str">
            <v>94</v>
          </cell>
          <cell r="U223" t="str">
            <v>1 rue Lavoisier</v>
          </cell>
          <cell r="V223">
            <v>94450</v>
          </cell>
          <cell r="W223" t="str">
            <v>LIMEIL BREVANNES</v>
          </cell>
          <cell r="X223" t="str">
            <v>Mlle</v>
          </cell>
          <cell r="Y223" t="str">
            <v>ANTUNES Cristina</v>
          </cell>
          <cell r="Z223" t="str">
            <v>94450</v>
          </cell>
          <cell r="AA223" t="str">
            <v>LIMEIL BREVANNES</v>
          </cell>
          <cell r="AC223">
            <v>3882.96</v>
          </cell>
          <cell r="AD223">
            <v>1808.6399999999999</v>
          </cell>
          <cell r="AF223">
            <v>5691.6</v>
          </cell>
          <cell r="AI223">
            <v>232.55</v>
          </cell>
          <cell r="AJ223">
            <v>0.73217162584251183</v>
          </cell>
          <cell r="AN223">
            <v>232.55</v>
          </cell>
          <cell r="AO223">
            <v>325.57</v>
          </cell>
          <cell r="AP223">
            <v>-0.94279815868999928</v>
          </cell>
          <cell r="AQ223" t="str">
            <v>024-G-91BONICOM</v>
          </cell>
          <cell r="AR223" t="str">
            <v>024-L-91BONICOM</v>
          </cell>
          <cell r="AS223">
            <v>39553</v>
          </cell>
          <cell r="AZ223">
            <v>279.06</v>
          </cell>
          <cell r="BA223">
            <v>0</v>
          </cell>
          <cell r="BB223">
            <v>0</v>
          </cell>
        </row>
        <row r="224">
          <cell r="A224">
            <v>361220</v>
          </cell>
          <cell r="B224" t="str">
            <v>ESCALADE INTERNATIONAL LTD</v>
          </cell>
          <cell r="H224" t="str">
            <v>INCONNU</v>
          </cell>
          <cell r="I224">
            <v>0</v>
          </cell>
          <cell r="K224">
            <v>0</v>
          </cell>
          <cell r="M224" t="str">
            <v>NON</v>
          </cell>
          <cell r="P224" t="str">
            <v>Non affecté</v>
          </cell>
          <cell r="Q224" t="str">
            <v>SM</v>
          </cell>
          <cell r="R224" t="str">
            <v>Ok mon client</v>
          </cell>
          <cell r="S224" t="str">
            <v>MOISSY CRAMAYEL</v>
          </cell>
          <cell r="T224" t="str">
            <v>SA</v>
          </cell>
          <cell r="Z224" t="str">
            <v>SA5 4HS</v>
          </cell>
          <cell r="AA224" t="str">
            <v>FFORESTFACH</v>
          </cell>
          <cell r="AF224">
            <v>0</v>
          </cell>
          <cell r="AK224">
            <v>232.17</v>
          </cell>
          <cell r="AN224">
            <v>232.17</v>
          </cell>
          <cell r="AO224">
            <v>325.03799999999995</v>
          </cell>
          <cell r="AZ224">
            <v>0</v>
          </cell>
          <cell r="BA224">
            <v>232.17</v>
          </cell>
          <cell r="BB224">
            <v>0</v>
          </cell>
        </row>
        <row r="225">
          <cell r="A225">
            <v>685021</v>
          </cell>
          <cell r="B225" t="str">
            <v>SOCIETE A. FOY</v>
          </cell>
          <cell r="H225" t="str">
            <v>HORS SERVICE</v>
          </cell>
          <cell r="I225">
            <v>0</v>
          </cell>
          <cell r="K225">
            <v>0</v>
          </cell>
          <cell r="M225" t="str">
            <v>NON</v>
          </cell>
          <cell r="P225" t="str">
            <v>Non affecté</v>
          </cell>
          <cell r="Q225" t="str">
            <v>FR</v>
          </cell>
          <cell r="R225" t="str">
            <v>Ok mon client</v>
          </cell>
          <cell r="S225" t="str">
            <v>MOISSY CRAMAYEL</v>
          </cell>
          <cell r="T225" t="str">
            <v>77</v>
          </cell>
          <cell r="U225" t="str">
            <v>4 Rue du Fours</v>
          </cell>
          <cell r="V225" t="str">
            <v>77230</v>
          </cell>
          <cell r="W225" t="str">
            <v>THIEUX</v>
          </cell>
          <cell r="X225" t="str">
            <v>Mme</v>
          </cell>
          <cell r="Y225" t="str">
            <v>CAROLINE BOURCIER</v>
          </cell>
          <cell r="Z225" t="str">
            <v>77230</v>
          </cell>
          <cell r="AA225" t="str">
            <v>THIEUX</v>
          </cell>
          <cell r="AB225">
            <v>7570.8</v>
          </cell>
          <cell r="AC225">
            <v>1137.24</v>
          </cell>
          <cell r="AD225">
            <v>106.84</v>
          </cell>
          <cell r="AF225">
            <v>8814.880000000001</v>
          </cell>
          <cell r="AG225">
            <v>133</v>
          </cell>
          <cell r="AH225">
            <v>0.17293233082706766</v>
          </cell>
          <cell r="AI225">
            <v>99.09</v>
          </cell>
          <cell r="AJ225">
            <v>0.83520032293874258</v>
          </cell>
          <cell r="AN225">
            <v>232.09</v>
          </cell>
          <cell r="AO225">
            <v>324.92599999999999</v>
          </cell>
          <cell r="AP225">
            <v>-0.96313891964496401</v>
          </cell>
          <cell r="AQ225" t="str">
            <v>024-G-77FOY</v>
          </cell>
          <cell r="AS225">
            <v>39575</v>
          </cell>
          <cell r="AZ225">
            <v>99.09</v>
          </cell>
          <cell r="BA225">
            <v>0</v>
          </cell>
          <cell r="BB225">
            <v>133</v>
          </cell>
        </row>
        <row r="226">
          <cell r="A226">
            <v>499134</v>
          </cell>
          <cell r="B226" t="str">
            <v>EUROSORB</v>
          </cell>
          <cell r="H226" t="str">
            <v>AGENCE GERANTE 042</v>
          </cell>
          <cell r="I226">
            <v>0</v>
          </cell>
          <cell r="K226">
            <v>0</v>
          </cell>
          <cell r="M226" t="str">
            <v>NON</v>
          </cell>
          <cell r="P226" t="str">
            <v>Non affecté</v>
          </cell>
          <cell r="Q226" t="str">
            <v>SM</v>
          </cell>
          <cell r="R226" t="str">
            <v>Ok mon client</v>
          </cell>
          <cell r="S226" t="str">
            <v>MOISSY CRAMAYEL</v>
          </cell>
          <cell r="T226" t="str">
            <v>60</v>
          </cell>
          <cell r="Z226" t="str">
            <v>60400</v>
          </cell>
          <cell r="AA226" t="str">
            <v>PASSEL</v>
          </cell>
          <cell r="AC226">
            <v>213.57999999999998</v>
          </cell>
          <cell r="AF226">
            <v>213.57999999999998</v>
          </cell>
          <cell r="AI226">
            <v>188.08999999999997</v>
          </cell>
          <cell r="AJ226">
            <v>-0.25397667020148457</v>
          </cell>
          <cell r="AK226">
            <v>39.159999999999997</v>
          </cell>
          <cell r="AN226">
            <v>227.25</v>
          </cell>
          <cell r="AO226">
            <v>318.14999999999998</v>
          </cell>
          <cell r="AP226">
            <v>0.48960576833036806</v>
          </cell>
          <cell r="AZ226">
            <v>188.08999999999997</v>
          </cell>
          <cell r="BA226">
            <v>39.159999999999997</v>
          </cell>
          <cell r="BB226">
            <v>0</v>
          </cell>
        </row>
        <row r="227">
          <cell r="A227">
            <v>845418</v>
          </cell>
          <cell r="B227" t="str">
            <v>LOXAM</v>
          </cell>
          <cell r="C227">
            <v>0.2</v>
          </cell>
          <cell r="D227">
            <v>0.1</v>
          </cell>
          <cell r="E227">
            <v>0.02</v>
          </cell>
          <cell r="F227">
            <v>41306</v>
          </cell>
          <cell r="I227">
            <v>0</v>
          </cell>
          <cell r="K227">
            <v>0</v>
          </cell>
          <cell r="L227" t="str">
            <v>OK</v>
          </cell>
          <cell r="M227" t="str">
            <v>OK</v>
          </cell>
          <cell r="P227" t="str">
            <v>Non affecté</v>
          </cell>
          <cell r="Q227" t="str">
            <v>FR</v>
          </cell>
          <cell r="R227" t="str">
            <v>Ok mon client</v>
          </cell>
          <cell r="S227" t="str">
            <v>MOISSY CRAMAYEL</v>
          </cell>
          <cell r="T227" t="str">
            <v>77</v>
          </cell>
          <cell r="U227" t="str">
            <v>2 RUE DE MONTARGIS</v>
          </cell>
          <cell r="V227">
            <v>77140</v>
          </cell>
          <cell r="W227" t="str">
            <v>NEMOURS</v>
          </cell>
          <cell r="Y227" t="str">
            <v>Directeur Logistique et Transports</v>
          </cell>
          <cell r="Z227" t="str">
            <v>77140</v>
          </cell>
          <cell r="AA227" t="str">
            <v>NEMOURS</v>
          </cell>
          <cell r="AC227">
            <v>314.3</v>
          </cell>
          <cell r="AF227">
            <v>314.3</v>
          </cell>
          <cell r="AI227">
            <v>217.32</v>
          </cell>
          <cell r="AJ227">
            <v>0.10749292093225883</v>
          </cell>
          <cell r="AN227">
            <v>217.32</v>
          </cell>
          <cell r="AO227">
            <v>304.24799999999999</v>
          </cell>
          <cell r="AP227">
            <v>-3.1982182628062406E-2</v>
          </cell>
          <cell r="AQ227" t="str">
            <v>024-G-77LOXAM</v>
          </cell>
          <cell r="AS227">
            <v>40647</v>
          </cell>
          <cell r="AZ227">
            <v>260.78399999999999</v>
          </cell>
          <cell r="BA227">
            <v>0</v>
          </cell>
          <cell r="BB227">
            <v>0</v>
          </cell>
        </row>
        <row r="228">
          <cell r="A228">
            <v>583927</v>
          </cell>
          <cell r="B228" t="str">
            <v>SDP ENGINEERING</v>
          </cell>
          <cell r="C228">
            <v>0.2</v>
          </cell>
          <cell r="D228">
            <v>0.1</v>
          </cell>
          <cell r="E228">
            <v>0.02</v>
          </cell>
          <cell r="F228">
            <v>41334</v>
          </cell>
          <cell r="I228">
            <v>0</v>
          </cell>
          <cell r="K228">
            <v>0</v>
          </cell>
          <cell r="L228" t="str">
            <v>OK</v>
          </cell>
          <cell r="M228" t="str">
            <v>OK</v>
          </cell>
          <cell r="P228" t="str">
            <v>Non affecté</v>
          </cell>
          <cell r="Q228" t="str">
            <v>FR</v>
          </cell>
          <cell r="R228" t="str">
            <v>Ok mon client</v>
          </cell>
          <cell r="S228" t="str">
            <v>MOISSY CRAMAYEL</v>
          </cell>
          <cell r="T228" t="str">
            <v>77</v>
          </cell>
          <cell r="U228" t="str">
            <v>7 RUE RENE CASSIN</v>
          </cell>
          <cell r="V228">
            <v>77173</v>
          </cell>
          <cell r="W228" t="str">
            <v>CHEVRY COSSIGNY</v>
          </cell>
          <cell r="Y228" t="str">
            <v>Directeur Logistique et Transports</v>
          </cell>
          <cell r="Z228" t="str">
            <v>77173</v>
          </cell>
          <cell r="AA228" t="str">
            <v>CHEVRY COSSIGNY</v>
          </cell>
          <cell r="AB228">
            <v>450</v>
          </cell>
          <cell r="AC228">
            <v>66.78</v>
          </cell>
          <cell r="AF228">
            <v>516.78</v>
          </cell>
          <cell r="AI228">
            <v>197.89999999999998</v>
          </cell>
          <cell r="AJ228">
            <v>0.8199961185146849</v>
          </cell>
          <cell r="AN228">
            <v>197.89999999999998</v>
          </cell>
          <cell r="AO228">
            <v>277.05999999999995</v>
          </cell>
          <cell r="AP228">
            <v>-0.4638724408839352</v>
          </cell>
          <cell r="AQ228" t="str">
            <v>024-G-77SDP</v>
          </cell>
          <cell r="AZ228">
            <v>237.47999999999996</v>
          </cell>
          <cell r="BA228">
            <v>0</v>
          </cell>
          <cell r="BB228">
            <v>0</v>
          </cell>
        </row>
        <row r="229">
          <cell r="A229">
            <v>592364</v>
          </cell>
          <cell r="B229" t="str">
            <v>SELTECH</v>
          </cell>
          <cell r="C229">
            <v>0.2</v>
          </cell>
          <cell r="D229">
            <v>0.1</v>
          </cell>
          <cell r="E229">
            <v>0.02</v>
          </cell>
          <cell r="F229">
            <v>41334</v>
          </cell>
          <cell r="I229">
            <v>0</v>
          </cell>
          <cell r="K229">
            <v>0</v>
          </cell>
          <cell r="L229" t="str">
            <v>OK</v>
          </cell>
          <cell r="M229" t="str">
            <v>OK</v>
          </cell>
          <cell r="P229" t="str">
            <v>Non affecté</v>
          </cell>
          <cell r="Q229" t="str">
            <v>FP</v>
          </cell>
          <cell r="R229" t="str">
            <v>Ok mon client</v>
          </cell>
          <cell r="S229" t="str">
            <v>MOISSY CRAMAYEL</v>
          </cell>
          <cell r="T229" t="str">
            <v>94</v>
          </cell>
          <cell r="U229" t="str">
            <v>34/36 Avenue de la Victoire</v>
          </cell>
          <cell r="V229" t="str">
            <v>94310</v>
          </cell>
          <cell r="W229" t="str">
            <v>ORLY</v>
          </cell>
          <cell r="X229" t="str">
            <v>Mme</v>
          </cell>
          <cell r="Y229" t="str">
            <v>CASTAGNE</v>
          </cell>
          <cell r="Z229" t="str">
            <v>94310</v>
          </cell>
          <cell r="AA229" t="str">
            <v>ORLY</v>
          </cell>
          <cell r="AK229">
            <v>195.29</v>
          </cell>
          <cell r="AN229">
            <v>195.29</v>
          </cell>
          <cell r="AO229">
            <v>273.40599999999995</v>
          </cell>
          <cell r="AQ229" t="str">
            <v>024-G-94SELTECH</v>
          </cell>
          <cell r="AZ229">
            <v>0</v>
          </cell>
          <cell r="BA229">
            <v>214.81900000000002</v>
          </cell>
          <cell r="BB229">
            <v>0</v>
          </cell>
        </row>
        <row r="230">
          <cell r="A230">
            <v>376241</v>
          </cell>
          <cell r="B230" t="str">
            <v>PERSEE</v>
          </cell>
          <cell r="H230" t="str">
            <v>AGENCE GERANTE 002</v>
          </cell>
          <cell r="I230">
            <v>0</v>
          </cell>
          <cell r="K230">
            <v>0</v>
          </cell>
          <cell r="M230" t="str">
            <v>NON</v>
          </cell>
          <cell r="P230" t="str">
            <v>Non affecté</v>
          </cell>
          <cell r="Q230" t="str">
            <v>SM</v>
          </cell>
          <cell r="R230" t="str">
            <v>Ok mon client</v>
          </cell>
          <cell r="S230" t="str">
            <v>MOISSY CRAMAYEL</v>
          </cell>
          <cell r="T230" t="str">
            <v>90</v>
          </cell>
          <cell r="Z230" t="str">
            <v>90010</v>
          </cell>
          <cell r="AA230" t="str">
            <v>BELFORT</v>
          </cell>
          <cell r="AF230">
            <v>0</v>
          </cell>
          <cell r="AI230">
            <v>191.97</v>
          </cell>
          <cell r="AJ230">
            <v>0.71251402218621462</v>
          </cell>
          <cell r="AN230">
            <v>191.97</v>
          </cell>
          <cell r="AO230">
            <v>268.75799999999998</v>
          </cell>
          <cell r="AZ230">
            <v>191.97</v>
          </cell>
          <cell r="BA230">
            <v>0</v>
          </cell>
          <cell r="BB230">
            <v>0</v>
          </cell>
        </row>
        <row r="231">
          <cell r="A231">
            <v>641306</v>
          </cell>
          <cell r="B231" t="str">
            <v>DEMETER SARL</v>
          </cell>
          <cell r="H231" t="str">
            <v>AGENCE GERANTE 091</v>
          </cell>
          <cell r="I231">
            <v>0</v>
          </cell>
          <cell r="K231">
            <v>0</v>
          </cell>
          <cell r="M231" t="str">
            <v>NON</v>
          </cell>
          <cell r="P231" t="str">
            <v>Non affecté</v>
          </cell>
          <cell r="Q231" t="str">
            <v>SM</v>
          </cell>
          <cell r="R231" t="str">
            <v>Ok mon client</v>
          </cell>
          <cell r="S231" t="str">
            <v>MOISSY CRAMAYEL</v>
          </cell>
          <cell r="T231" t="str">
            <v>81</v>
          </cell>
          <cell r="Z231" t="str">
            <v>81200</v>
          </cell>
          <cell r="AA231" t="str">
            <v>MAZAMET</v>
          </cell>
          <cell r="AI231">
            <v>184.57999999999998</v>
          </cell>
          <cell r="AJ231">
            <v>0.64356918409361796</v>
          </cell>
          <cell r="AN231">
            <v>184.57999999999998</v>
          </cell>
          <cell r="AO231">
            <v>258.41199999999998</v>
          </cell>
          <cell r="AZ231">
            <v>184.57999999999998</v>
          </cell>
          <cell r="BA231">
            <v>0</v>
          </cell>
          <cell r="BB231">
            <v>0</v>
          </cell>
        </row>
        <row r="232">
          <cell r="A232">
            <v>563666</v>
          </cell>
          <cell r="B232" t="str">
            <v>AUTOGYRE</v>
          </cell>
          <cell r="C232">
            <v>0.2</v>
          </cell>
          <cell r="D232">
            <v>0.1</v>
          </cell>
          <cell r="E232">
            <v>0.02</v>
          </cell>
          <cell r="F232">
            <v>41306</v>
          </cell>
          <cell r="I232">
            <v>0</v>
          </cell>
          <cell r="K232">
            <v>0</v>
          </cell>
          <cell r="L232" t="str">
            <v>OK</v>
          </cell>
          <cell r="M232" t="str">
            <v>OK</v>
          </cell>
          <cell r="P232" t="str">
            <v>Non affecté</v>
          </cell>
          <cell r="Q232" t="str">
            <v>FR</v>
          </cell>
          <cell r="R232" t="str">
            <v>Ok mon client</v>
          </cell>
          <cell r="S232" t="str">
            <v>MOISSY CRAMAYEL</v>
          </cell>
          <cell r="T232" t="str">
            <v>77</v>
          </cell>
          <cell r="U232" t="str">
            <v>31 AVENUE DE LA JUSTICE</v>
          </cell>
          <cell r="V232" t="str">
            <v>77016</v>
          </cell>
          <cell r="W232" t="str">
            <v>MELUN</v>
          </cell>
          <cell r="X232" t="str">
            <v>M.</v>
          </cell>
          <cell r="Y232" t="str">
            <v>AMAT</v>
          </cell>
          <cell r="Z232" t="str">
            <v>77016</v>
          </cell>
          <cell r="AA232" t="str">
            <v>MELUN CEDEX</v>
          </cell>
          <cell r="AB232">
            <v>46037</v>
          </cell>
          <cell r="AF232">
            <v>46037</v>
          </cell>
          <cell r="AG232">
            <v>170</v>
          </cell>
          <cell r="AH232">
            <v>0.17647058823529413</v>
          </cell>
          <cell r="AN232">
            <v>170</v>
          </cell>
          <cell r="AO232">
            <v>237.99999999999997</v>
          </cell>
          <cell r="AP232">
            <v>-0.99483024523752639</v>
          </cell>
          <cell r="AQ232" t="str">
            <v>024-G-77AUTOGYRE</v>
          </cell>
          <cell r="AZ232">
            <v>0</v>
          </cell>
          <cell r="BA232">
            <v>0</v>
          </cell>
          <cell r="BB232">
            <v>173.4</v>
          </cell>
        </row>
        <row r="233">
          <cell r="A233">
            <v>599211</v>
          </cell>
          <cell r="B233" t="str">
            <v>SAI</v>
          </cell>
          <cell r="C233">
            <v>0.1</v>
          </cell>
          <cell r="D233">
            <v>0.1</v>
          </cell>
          <cell r="E233">
            <v>0.02</v>
          </cell>
          <cell r="F233">
            <v>41334</v>
          </cell>
          <cell r="H233" t="str">
            <v>VU AVEC SERGIO</v>
          </cell>
          <cell r="I233">
            <v>0</v>
          </cell>
          <cell r="K233">
            <v>0</v>
          </cell>
          <cell r="L233" t="str">
            <v>OK</v>
          </cell>
          <cell r="M233" t="str">
            <v>OK</v>
          </cell>
          <cell r="P233" t="str">
            <v>DCM</v>
          </cell>
          <cell r="S233" t="str">
            <v>MOISSY CRAMAYEL</v>
          </cell>
          <cell r="T233" t="str">
            <v>91</v>
          </cell>
          <cell r="U233" t="str">
            <v>ZA Du Moulin de Massy</v>
          </cell>
          <cell r="V233" t="str">
            <v>91300</v>
          </cell>
          <cell r="W233" t="str">
            <v>MASSY</v>
          </cell>
          <cell r="X233" t="str">
            <v>Mme</v>
          </cell>
          <cell r="Y233" t="str">
            <v>SEMBAR</v>
          </cell>
          <cell r="Z233" t="str">
            <v>91300</v>
          </cell>
          <cell r="AA233" t="str">
            <v>MASSY</v>
          </cell>
          <cell r="AB233">
            <v>360</v>
          </cell>
          <cell r="AC233">
            <v>745.33999999999992</v>
          </cell>
          <cell r="AD233">
            <v>822.54</v>
          </cell>
          <cell r="AF233">
            <v>1927.8799999999999</v>
          </cell>
          <cell r="AI233">
            <v>48.300000000000004</v>
          </cell>
          <cell r="AK233">
            <v>114.11000000000001</v>
          </cell>
          <cell r="AN233">
            <v>162.41000000000003</v>
          </cell>
          <cell r="AO233">
            <v>227.37400000000002</v>
          </cell>
          <cell r="AP233">
            <v>-0.88206008672738967</v>
          </cell>
          <cell r="AQ233" t="str">
            <v>024-G-91SAI</v>
          </cell>
          <cell r="AZ233">
            <v>53.13000000000001</v>
          </cell>
          <cell r="BA233">
            <v>125.52100000000003</v>
          </cell>
          <cell r="BB233">
            <v>0</v>
          </cell>
        </row>
        <row r="234">
          <cell r="A234">
            <v>381465</v>
          </cell>
          <cell r="B234" t="str">
            <v>STYRIA RESSORTS VEHICULES INDUSTRIE</v>
          </cell>
          <cell r="H234" t="str">
            <v>AGENCE GERANTE 002</v>
          </cell>
          <cell r="I234">
            <v>0</v>
          </cell>
          <cell r="K234">
            <v>0</v>
          </cell>
          <cell r="M234" t="str">
            <v>NON</v>
          </cell>
          <cell r="P234" t="str">
            <v>Non affecté</v>
          </cell>
          <cell r="Q234" t="str">
            <v>SM</v>
          </cell>
          <cell r="R234" t="str">
            <v>Ok mon client</v>
          </cell>
          <cell r="S234" t="str">
            <v>MOISSY CRAMAYEL</v>
          </cell>
          <cell r="T234" t="str">
            <v>90</v>
          </cell>
          <cell r="Z234" t="str">
            <v>90700</v>
          </cell>
          <cell r="AA234" t="str">
            <v>CHATENOIS LES FORGES</v>
          </cell>
          <cell r="AF234">
            <v>0</v>
          </cell>
          <cell r="AI234">
            <v>152.81</v>
          </cell>
          <cell r="AJ234">
            <v>0.56826623087208439</v>
          </cell>
          <cell r="AN234">
            <v>152.81</v>
          </cell>
          <cell r="AO234">
            <v>213.934</v>
          </cell>
          <cell r="AZ234">
            <v>152.81</v>
          </cell>
          <cell r="BA234">
            <v>0</v>
          </cell>
          <cell r="BB234">
            <v>0</v>
          </cell>
        </row>
        <row r="235">
          <cell r="A235">
            <v>399449</v>
          </cell>
          <cell r="B235" t="str">
            <v>SOCIETE COMMERCIAL BELLOUIN</v>
          </cell>
          <cell r="C235">
            <v>0.2</v>
          </cell>
          <cell r="D235">
            <v>0.1</v>
          </cell>
          <cell r="E235">
            <v>0.02</v>
          </cell>
          <cell r="F235">
            <v>41334</v>
          </cell>
          <cell r="I235">
            <v>0</v>
          </cell>
          <cell r="K235">
            <v>0</v>
          </cell>
          <cell r="L235" t="str">
            <v>OK</v>
          </cell>
          <cell r="M235" t="str">
            <v>OK</v>
          </cell>
          <cell r="P235" t="str">
            <v>Non affecté</v>
          </cell>
          <cell r="Q235" t="str">
            <v>FP</v>
          </cell>
          <cell r="R235" t="str">
            <v>Ok mon client</v>
          </cell>
          <cell r="S235" t="str">
            <v>MOISSY CRAMAYEL</v>
          </cell>
          <cell r="T235" t="str">
            <v>94</v>
          </cell>
          <cell r="U235" t="str">
            <v>53 QUAI DE BONNEUIL</v>
          </cell>
          <cell r="V235" t="str">
            <v>94210</v>
          </cell>
          <cell r="W235" t="str">
            <v>ST MAUR DES FOSSES</v>
          </cell>
          <cell r="X235">
            <v>0</v>
          </cell>
          <cell r="Y235" t="str">
            <v>Directeur Logistique et Transports</v>
          </cell>
          <cell r="Z235" t="str">
            <v>94210</v>
          </cell>
          <cell r="AA235" t="str">
            <v>ST MAUR DES FOSSES</v>
          </cell>
          <cell r="AB235">
            <v>0</v>
          </cell>
          <cell r="AC235">
            <v>959.31999999999994</v>
          </cell>
          <cell r="AD235">
            <v>0</v>
          </cell>
          <cell r="AE235">
            <v>0</v>
          </cell>
          <cell r="AF235">
            <v>959.31999999999994</v>
          </cell>
          <cell r="AG235">
            <v>0</v>
          </cell>
          <cell r="AH235">
            <v>0</v>
          </cell>
          <cell r="AI235">
            <v>146.47</v>
          </cell>
          <cell r="AJ235">
            <v>0.83641701372294663</v>
          </cell>
          <cell r="AK235">
            <v>0</v>
          </cell>
          <cell r="AL235">
            <v>0</v>
          </cell>
          <cell r="AM235">
            <v>0</v>
          </cell>
          <cell r="AN235">
            <v>146.47</v>
          </cell>
          <cell r="AO235">
            <v>205.05799999999999</v>
          </cell>
          <cell r="AP235">
            <v>-0.78624650794312634</v>
          </cell>
          <cell r="AQ235" t="str">
            <v>024-G-94REDWOOD</v>
          </cell>
          <cell r="AR235">
            <v>0</v>
          </cell>
          <cell r="AS235">
            <v>38728</v>
          </cell>
          <cell r="AZ235">
            <v>175.76399999999998</v>
          </cell>
          <cell r="BA235">
            <v>0</v>
          </cell>
          <cell r="BB235">
            <v>0</v>
          </cell>
        </row>
        <row r="236">
          <cell r="A236">
            <v>14902</v>
          </cell>
          <cell r="B236" t="str">
            <v>CEGELEC NORD EST</v>
          </cell>
          <cell r="H236" t="str">
            <v>AGENCE GERANTE 009</v>
          </cell>
          <cell r="I236">
            <v>0</v>
          </cell>
          <cell r="K236">
            <v>0</v>
          </cell>
          <cell r="M236" t="str">
            <v>NON</v>
          </cell>
          <cell r="P236" t="str">
            <v>Non affecté</v>
          </cell>
          <cell r="Q236" t="str">
            <v>SM</v>
          </cell>
          <cell r="R236" t="str">
            <v>Ok mon client</v>
          </cell>
          <cell r="S236" t="str">
            <v>MOISSY CRAMAYEL</v>
          </cell>
          <cell r="T236" t="str">
            <v>25</v>
          </cell>
          <cell r="U236">
            <v>0</v>
          </cell>
          <cell r="V236">
            <v>0</v>
          </cell>
          <cell r="W236">
            <v>0</v>
          </cell>
          <cell r="X236">
            <v>0</v>
          </cell>
          <cell r="Y236">
            <v>0</v>
          </cell>
          <cell r="Z236" t="str">
            <v>25460</v>
          </cell>
          <cell r="AA236" t="str">
            <v>ETUPES</v>
          </cell>
          <cell r="AB236">
            <v>0</v>
          </cell>
          <cell r="AC236">
            <v>0</v>
          </cell>
          <cell r="AD236">
            <v>0</v>
          </cell>
          <cell r="AE236">
            <v>0</v>
          </cell>
          <cell r="AF236">
            <v>0</v>
          </cell>
          <cell r="AG236">
            <v>0</v>
          </cell>
          <cell r="AH236">
            <v>0</v>
          </cell>
          <cell r="AI236">
            <v>144.79000000000002</v>
          </cell>
          <cell r="AJ236">
            <v>0.53679447487497023</v>
          </cell>
          <cell r="AK236">
            <v>0</v>
          </cell>
          <cell r="AL236">
            <v>0</v>
          </cell>
          <cell r="AM236">
            <v>0</v>
          </cell>
          <cell r="AN236">
            <v>144.79000000000002</v>
          </cell>
          <cell r="AO236">
            <v>202.70600000000002</v>
          </cell>
          <cell r="AQ236">
            <v>0</v>
          </cell>
          <cell r="AR236">
            <v>0</v>
          </cell>
          <cell r="AS236">
            <v>0</v>
          </cell>
          <cell r="AZ236">
            <v>144.79000000000002</v>
          </cell>
          <cell r="BA236">
            <v>0</v>
          </cell>
          <cell r="BB236">
            <v>0</v>
          </cell>
        </row>
        <row r="237">
          <cell r="A237">
            <v>552680</v>
          </cell>
          <cell r="B237" t="str">
            <v>CLIMENT TRAVAUX PUBLICS</v>
          </cell>
          <cell r="H237" t="str">
            <v>AGENCE GERANTE 002</v>
          </cell>
          <cell r="I237">
            <v>0</v>
          </cell>
          <cell r="K237">
            <v>0</v>
          </cell>
          <cell r="M237" t="str">
            <v>NON</v>
          </cell>
          <cell r="P237" t="str">
            <v>Non affecté</v>
          </cell>
          <cell r="Q237" t="str">
            <v>SM</v>
          </cell>
          <cell r="R237" t="str">
            <v>Ok mon client</v>
          </cell>
          <cell r="S237" t="str">
            <v>MOISSY CRAMAYEL</v>
          </cell>
          <cell r="T237" t="str">
            <v>25</v>
          </cell>
          <cell r="U237">
            <v>0</v>
          </cell>
          <cell r="V237">
            <v>0</v>
          </cell>
          <cell r="W237">
            <v>0</v>
          </cell>
          <cell r="X237">
            <v>0</v>
          </cell>
          <cell r="Y237">
            <v>0</v>
          </cell>
          <cell r="Z237" t="str">
            <v>25420</v>
          </cell>
          <cell r="AA237" t="str">
            <v>VOUJEAUCOURT</v>
          </cell>
          <cell r="AB237">
            <v>0</v>
          </cell>
          <cell r="AC237">
            <v>0</v>
          </cell>
          <cell r="AD237">
            <v>0</v>
          </cell>
          <cell r="AE237">
            <v>0</v>
          </cell>
          <cell r="AF237">
            <v>0</v>
          </cell>
          <cell r="AG237">
            <v>0</v>
          </cell>
          <cell r="AH237">
            <v>0</v>
          </cell>
          <cell r="AI237">
            <v>143.49</v>
          </cell>
          <cell r="AJ237">
            <v>0.76185803074910041</v>
          </cell>
          <cell r="AK237">
            <v>0</v>
          </cell>
          <cell r="AL237">
            <v>0</v>
          </cell>
          <cell r="AM237">
            <v>0</v>
          </cell>
          <cell r="AN237">
            <v>143.49</v>
          </cell>
          <cell r="AO237">
            <v>200.886</v>
          </cell>
          <cell r="AQ237">
            <v>0</v>
          </cell>
          <cell r="AR237">
            <v>0</v>
          </cell>
          <cell r="AS237">
            <v>0</v>
          </cell>
          <cell r="AZ237">
            <v>143.49</v>
          </cell>
          <cell r="BA237">
            <v>0</v>
          </cell>
          <cell r="BB237">
            <v>0</v>
          </cell>
        </row>
        <row r="238">
          <cell r="A238">
            <v>679664</v>
          </cell>
          <cell r="B238" t="str">
            <v>SIGMA LOGISTICA SL</v>
          </cell>
          <cell r="H238" t="str">
            <v>AGENCE GERANTE 091</v>
          </cell>
          <cell r="I238">
            <v>0</v>
          </cell>
          <cell r="K238">
            <v>0</v>
          </cell>
          <cell r="M238" t="str">
            <v>NON</v>
          </cell>
          <cell r="P238" t="str">
            <v>Non affecté</v>
          </cell>
          <cell r="Q238" t="str">
            <v>SM</v>
          </cell>
          <cell r="R238" t="str">
            <v>Ok mon client</v>
          </cell>
          <cell r="S238" t="str">
            <v>MOISSY CRAMAYEL</v>
          </cell>
          <cell r="T238" t="str">
            <v>46</v>
          </cell>
          <cell r="U238">
            <v>0</v>
          </cell>
          <cell r="V238">
            <v>0</v>
          </cell>
          <cell r="W238">
            <v>0</v>
          </cell>
          <cell r="X238">
            <v>0</v>
          </cell>
          <cell r="Y238">
            <v>0</v>
          </cell>
          <cell r="Z238" t="str">
            <v>46520</v>
          </cell>
          <cell r="AA238" t="str">
            <v>PUERTO DE SAGUNTO    VALENCIA</v>
          </cell>
          <cell r="AB238">
            <v>0</v>
          </cell>
          <cell r="AC238">
            <v>0</v>
          </cell>
          <cell r="AD238">
            <v>0</v>
          </cell>
          <cell r="AE238">
            <v>0</v>
          </cell>
          <cell r="AF238">
            <v>0</v>
          </cell>
          <cell r="AG238">
            <v>140</v>
          </cell>
          <cell r="AH238">
            <v>0.42857142857142855</v>
          </cell>
          <cell r="AI238">
            <v>0</v>
          </cell>
          <cell r="AJ238">
            <v>0</v>
          </cell>
          <cell r="AK238">
            <v>0</v>
          </cell>
          <cell r="AL238">
            <v>0</v>
          </cell>
          <cell r="AM238">
            <v>0</v>
          </cell>
          <cell r="AN238">
            <v>140</v>
          </cell>
          <cell r="AO238">
            <v>196</v>
          </cell>
          <cell r="AQ238">
            <v>0</v>
          </cell>
          <cell r="AR238">
            <v>0</v>
          </cell>
          <cell r="AS238">
            <v>0</v>
          </cell>
          <cell r="AZ238">
            <v>0</v>
          </cell>
          <cell r="BA238">
            <v>0</v>
          </cell>
          <cell r="BB238">
            <v>140</v>
          </cell>
        </row>
        <row r="239">
          <cell r="A239">
            <v>386820</v>
          </cell>
          <cell r="B239" t="str">
            <v>LES EMAUX DE LA FONTAINE</v>
          </cell>
          <cell r="C239">
            <v>0.2</v>
          </cell>
          <cell r="D239">
            <v>0.1</v>
          </cell>
          <cell r="E239">
            <v>0.02</v>
          </cell>
          <cell r="F239">
            <v>41334</v>
          </cell>
          <cell r="I239">
            <v>0</v>
          </cell>
          <cell r="K239">
            <v>0</v>
          </cell>
          <cell r="L239" t="str">
            <v>OK</v>
          </cell>
          <cell r="M239" t="str">
            <v>OK</v>
          </cell>
          <cell r="P239" t="str">
            <v>Non affecté</v>
          </cell>
          <cell r="Q239" t="str">
            <v>FR</v>
          </cell>
          <cell r="R239" t="str">
            <v>Ok mon client</v>
          </cell>
          <cell r="S239" t="str">
            <v>MOISSY CRAMAYEL</v>
          </cell>
          <cell r="T239" t="str">
            <v>77</v>
          </cell>
          <cell r="U239" t="str">
            <v>21 RUE DES ABBESSES</v>
          </cell>
          <cell r="V239" t="str">
            <v>77580</v>
          </cell>
          <cell r="W239" t="str">
            <v>CRECY LA CHAPELLE</v>
          </cell>
          <cell r="X239">
            <v>0</v>
          </cell>
          <cell r="Y239" t="str">
            <v>N.DAMOISEAU</v>
          </cell>
          <cell r="Z239" t="str">
            <v>77580</v>
          </cell>
          <cell r="AA239" t="str">
            <v>CRECY LA CHAPELLE</v>
          </cell>
          <cell r="AB239">
            <v>0</v>
          </cell>
          <cell r="AC239">
            <v>107</v>
          </cell>
          <cell r="AD239">
            <v>140.94</v>
          </cell>
          <cell r="AE239">
            <v>0</v>
          </cell>
          <cell r="AF239">
            <v>247.94</v>
          </cell>
          <cell r="AG239">
            <v>0</v>
          </cell>
          <cell r="AH239">
            <v>0</v>
          </cell>
          <cell r="AI239">
            <v>0</v>
          </cell>
          <cell r="AJ239">
            <v>0</v>
          </cell>
          <cell r="AK239">
            <v>137.65</v>
          </cell>
          <cell r="AL239">
            <v>0.13219229801157825</v>
          </cell>
          <cell r="AM239">
            <v>0</v>
          </cell>
          <cell r="AN239">
            <v>137.65</v>
          </cell>
          <cell r="AO239">
            <v>192.71</v>
          </cell>
          <cell r="AP239">
            <v>-0.22275550536420097</v>
          </cell>
          <cell r="AQ239" t="str">
            <v>024-G-77EMAUX</v>
          </cell>
          <cell r="AR239" t="str">
            <v>024-L-77EMAUX</v>
          </cell>
          <cell r="AS239">
            <v>0</v>
          </cell>
          <cell r="AZ239">
            <v>0</v>
          </cell>
          <cell r="BA239">
            <v>151.41500000000002</v>
          </cell>
          <cell r="BB239">
            <v>0</v>
          </cell>
        </row>
        <row r="240">
          <cell r="A240">
            <v>488886</v>
          </cell>
          <cell r="B240" t="str">
            <v>ALLIAGES INDUSTRIES</v>
          </cell>
          <cell r="C240">
            <v>0.2</v>
          </cell>
          <cell r="D240">
            <v>0.1</v>
          </cell>
          <cell r="E240">
            <v>0.02</v>
          </cell>
          <cell r="F240">
            <v>41334</v>
          </cell>
          <cell r="I240">
            <v>0</v>
          </cell>
          <cell r="K240">
            <v>0</v>
          </cell>
          <cell r="L240" t="str">
            <v>OK</v>
          </cell>
          <cell r="M240" t="str">
            <v>OK</v>
          </cell>
          <cell r="P240" t="str">
            <v>Non affecté</v>
          </cell>
          <cell r="Q240" t="str">
            <v>SM</v>
          </cell>
          <cell r="R240" t="str">
            <v>Rajouté</v>
          </cell>
          <cell r="S240" t="str">
            <v>GENNEVILLIERS</v>
          </cell>
          <cell r="T240" t="str">
            <v>91</v>
          </cell>
          <cell r="U240" t="str">
            <v>8 RUE GUTENBERG 
ZI LA MARINIÈRE</v>
          </cell>
          <cell r="V240" t="str">
            <v>91919</v>
          </cell>
          <cell r="W240" t="str">
            <v>BONDOUFLE</v>
          </cell>
          <cell r="X240">
            <v>0</v>
          </cell>
          <cell r="Y240">
            <v>0</v>
          </cell>
          <cell r="Z240" t="str">
            <v>91919</v>
          </cell>
          <cell r="AA240" t="str">
            <v>BONDOUFLE</v>
          </cell>
          <cell r="AB240">
            <v>0</v>
          </cell>
          <cell r="AC240">
            <v>0</v>
          </cell>
          <cell r="AD240">
            <v>2938.5</v>
          </cell>
          <cell r="AE240">
            <v>0</v>
          </cell>
          <cell r="AF240">
            <v>2938.5</v>
          </cell>
          <cell r="AG240">
            <v>0</v>
          </cell>
          <cell r="AH240">
            <v>0</v>
          </cell>
          <cell r="AI240">
            <v>0</v>
          </cell>
          <cell r="AJ240">
            <v>0</v>
          </cell>
          <cell r="AK240">
            <v>136.79</v>
          </cell>
          <cell r="AL240">
            <v>0.75049345712405879</v>
          </cell>
          <cell r="AM240">
            <v>0</v>
          </cell>
          <cell r="AN240">
            <v>136.79</v>
          </cell>
          <cell r="AO240">
            <v>191.50599999999997</v>
          </cell>
          <cell r="AP240">
            <v>-0.93482865407520843</v>
          </cell>
          <cell r="AQ240" t="str">
            <v>024-G-91ALLIAGES</v>
          </cell>
          <cell r="AR240">
            <v>0</v>
          </cell>
          <cell r="AS240">
            <v>0</v>
          </cell>
          <cell r="AZ240">
            <v>0</v>
          </cell>
          <cell r="BA240">
            <v>150.46899999999999</v>
          </cell>
          <cell r="BB240">
            <v>0</v>
          </cell>
        </row>
        <row r="241">
          <cell r="A241">
            <v>491681</v>
          </cell>
          <cell r="B241" t="str">
            <v>AGB CONSEIL</v>
          </cell>
          <cell r="C241">
            <v>0.2</v>
          </cell>
          <cell r="D241">
            <v>0.1</v>
          </cell>
          <cell r="E241">
            <v>0.02</v>
          </cell>
          <cell r="F241">
            <v>41334</v>
          </cell>
          <cell r="I241">
            <v>0</v>
          </cell>
          <cell r="K241">
            <v>0</v>
          </cell>
          <cell r="L241" t="str">
            <v>OK</v>
          </cell>
          <cell r="M241" t="str">
            <v>OK</v>
          </cell>
          <cell r="P241" t="str">
            <v>Non affecté</v>
          </cell>
          <cell r="Q241" t="str">
            <v>FR</v>
          </cell>
          <cell r="R241" t="str">
            <v>Ok mon client</v>
          </cell>
          <cell r="S241" t="str">
            <v>MOISSY CRAMAYEL</v>
          </cell>
          <cell r="T241" t="str">
            <v>77</v>
          </cell>
          <cell r="U241" t="str">
            <v>26 RUE DU RU DES VAUX</v>
          </cell>
          <cell r="V241" t="str">
            <v>77000</v>
          </cell>
          <cell r="W241" t="str">
            <v>VAUX LE PENIL</v>
          </cell>
          <cell r="X241">
            <v>0</v>
          </cell>
          <cell r="Y241" t="str">
            <v>Directeur Logistique et Transports</v>
          </cell>
          <cell r="Z241" t="str">
            <v>77000</v>
          </cell>
          <cell r="AA241" t="str">
            <v>VAUX LE PENIL</v>
          </cell>
          <cell r="AB241">
            <v>0</v>
          </cell>
          <cell r="AC241">
            <v>0</v>
          </cell>
          <cell r="AD241">
            <v>110.93</v>
          </cell>
          <cell r="AE241">
            <v>0</v>
          </cell>
          <cell r="AF241">
            <v>110.93</v>
          </cell>
          <cell r="AG241">
            <v>0</v>
          </cell>
          <cell r="AH241">
            <v>0</v>
          </cell>
          <cell r="AI241">
            <v>135.29</v>
          </cell>
          <cell r="AJ241">
            <v>0.80782023800724367</v>
          </cell>
          <cell r="AK241">
            <v>0</v>
          </cell>
          <cell r="AL241">
            <v>0</v>
          </cell>
          <cell r="AM241">
            <v>0</v>
          </cell>
          <cell r="AN241">
            <v>135.29</v>
          </cell>
          <cell r="AO241">
            <v>189.40599999999998</v>
          </cell>
          <cell r="AP241">
            <v>0.70743712250969049</v>
          </cell>
          <cell r="AQ241" t="str">
            <v>024-G-77AGBCONSEIL</v>
          </cell>
          <cell r="AR241">
            <v>0</v>
          </cell>
          <cell r="AS241">
            <v>0</v>
          </cell>
          <cell r="AZ241">
            <v>162.34799999999998</v>
          </cell>
          <cell r="BA241">
            <v>0</v>
          </cell>
          <cell r="BB241">
            <v>0</v>
          </cell>
        </row>
        <row r="242">
          <cell r="A242">
            <v>875460</v>
          </cell>
          <cell r="B242" t="str">
            <v>CHR HANSEN FRANCE</v>
          </cell>
          <cell r="H242" t="str">
            <v>inconnu</v>
          </cell>
          <cell r="I242">
            <v>0</v>
          </cell>
          <cell r="K242">
            <v>0</v>
          </cell>
          <cell r="M242" t="str">
            <v>NON</v>
          </cell>
          <cell r="P242" t="str">
            <v>Non affecté</v>
          </cell>
          <cell r="Q242" t="str">
            <v>SM</v>
          </cell>
          <cell r="R242" t="str">
            <v>Rajouté</v>
          </cell>
          <cell r="S242" t="str">
            <v>GENNEVILLIERS</v>
          </cell>
          <cell r="T242" t="str">
            <v>91</v>
          </cell>
          <cell r="U242">
            <v>0</v>
          </cell>
          <cell r="V242">
            <v>0</v>
          </cell>
          <cell r="W242">
            <v>0</v>
          </cell>
          <cell r="X242">
            <v>0</v>
          </cell>
          <cell r="Y242">
            <v>0</v>
          </cell>
          <cell r="Z242" t="str">
            <v>91292</v>
          </cell>
          <cell r="AA242" t="str">
            <v>ARPAJON</v>
          </cell>
          <cell r="AB242">
            <v>0</v>
          </cell>
          <cell r="AC242">
            <v>0</v>
          </cell>
          <cell r="AD242">
            <v>0</v>
          </cell>
          <cell r="AE242">
            <v>0</v>
          </cell>
          <cell r="AF242">
            <v>0</v>
          </cell>
          <cell r="AG242">
            <v>0</v>
          </cell>
          <cell r="AH242">
            <v>0</v>
          </cell>
          <cell r="AI242">
            <v>0</v>
          </cell>
          <cell r="AJ242">
            <v>0</v>
          </cell>
          <cell r="AK242">
            <v>105</v>
          </cell>
          <cell r="AL242">
            <v>0</v>
          </cell>
          <cell r="AM242">
            <v>0</v>
          </cell>
          <cell r="AN242">
            <v>105</v>
          </cell>
          <cell r="AO242">
            <v>147</v>
          </cell>
          <cell r="AQ242">
            <v>0</v>
          </cell>
          <cell r="AR242">
            <v>0</v>
          </cell>
          <cell r="AS242">
            <v>0</v>
          </cell>
          <cell r="AZ242">
            <v>0</v>
          </cell>
          <cell r="BA242">
            <v>105</v>
          </cell>
          <cell r="BB242">
            <v>0</v>
          </cell>
        </row>
        <row r="243">
          <cell r="A243">
            <v>533470</v>
          </cell>
          <cell r="B243" t="str">
            <v>CASSESE</v>
          </cell>
          <cell r="H243" t="str">
            <v>démarrage</v>
          </cell>
          <cell r="I243">
            <v>0</v>
          </cell>
          <cell r="K243">
            <v>0</v>
          </cell>
          <cell r="M243" t="str">
            <v>NON</v>
          </cell>
          <cell r="P243" t="str">
            <v>Non affecté</v>
          </cell>
          <cell r="Q243" t="str">
            <v>FR</v>
          </cell>
          <cell r="R243" t="str">
            <v>Rajouté</v>
          </cell>
          <cell r="S243" t="str">
            <v>MOISSY CRAMAYEL</v>
          </cell>
          <cell r="T243" t="str">
            <v>77</v>
          </cell>
          <cell r="U243" t="str">
            <v>ZONE INDUSTRIELLE</v>
          </cell>
          <cell r="V243">
            <v>77390</v>
          </cell>
          <cell r="W243" t="str">
            <v>VERNEUIL L'ETANG</v>
          </cell>
          <cell r="X243">
            <v>0</v>
          </cell>
          <cell r="Y243">
            <v>0</v>
          </cell>
          <cell r="Z243" t="str">
            <v>77390</v>
          </cell>
          <cell r="AA243" t="str">
            <v>VERNEUIL L'ETANG</v>
          </cell>
          <cell r="AB243">
            <v>0</v>
          </cell>
          <cell r="AC243">
            <v>0</v>
          </cell>
          <cell r="AD243">
            <v>0</v>
          </cell>
          <cell r="AE243">
            <v>0</v>
          </cell>
          <cell r="AF243">
            <v>0</v>
          </cell>
          <cell r="AG243">
            <v>102</v>
          </cell>
          <cell r="AH243">
            <v>0</v>
          </cell>
          <cell r="AI243">
            <v>0</v>
          </cell>
          <cell r="AJ243">
            <v>0</v>
          </cell>
          <cell r="AK243">
            <v>0</v>
          </cell>
          <cell r="AL243">
            <v>0</v>
          </cell>
          <cell r="AM243">
            <v>0</v>
          </cell>
          <cell r="AN243">
            <v>102</v>
          </cell>
          <cell r="AO243">
            <v>142.79999999999998</v>
          </cell>
          <cell r="AQ243">
            <v>0</v>
          </cell>
          <cell r="AR243">
            <v>0</v>
          </cell>
          <cell r="AS243">
            <v>0</v>
          </cell>
          <cell r="AZ243">
            <v>0</v>
          </cell>
          <cell r="BA243">
            <v>0</v>
          </cell>
          <cell r="BB243">
            <v>102</v>
          </cell>
        </row>
        <row r="244">
          <cell r="A244">
            <v>617126</v>
          </cell>
          <cell r="B244" t="str">
            <v>APPLICATIONS GENERALES DES POLYESTE</v>
          </cell>
          <cell r="H244" t="str">
            <v>AGENCE GERANTE 006</v>
          </cell>
          <cell r="I244">
            <v>0</v>
          </cell>
          <cell r="K244">
            <v>0</v>
          </cell>
          <cell r="M244" t="str">
            <v>NON</v>
          </cell>
          <cell r="P244" t="str">
            <v>Non affecté</v>
          </cell>
          <cell r="Q244" t="str">
            <v>SM</v>
          </cell>
          <cell r="R244" t="str">
            <v>Ok mon client</v>
          </cell>
          <cell r="S244" t="str">
            <v>MOISSY CRAMAYEL</v>
          </cell>
          <cell r="T244" t="str">
            <v>57</v>
          </cell>
          <cell r="U244">
            <v>0</v>
          </cell>
          <cell r="V244">
            <v>0</v>
          </cell>
          <cell r="W244">
            <v>0</v>
          </cell>
          <cell r="X244">
            <v>0</v>
          </cell>
          <cell r="Y244">
            <v>0</v>
          </cell>
          <cell r="Z244" t="str">
            <v>57300</v>
          </cell>
          <cell r="AA244" t="str">
            <v>MONDELANGE</v>
          </cell>
          <cell r="AB244">
            <v>0</v>
          </cell>
          <cell r="AC244">
            <v>0</v>
          </cell>
          <cell r="AD244">
            <v>0</v>
          </cell>
          <cell r="AE244">
            <v>0</v>
          </cell>
          <cell r="AF244">
            <v>0</v>
          </cell>
          <cell r="AG244">
            <v>0</v>
          </cell>
          <cell r="AH244">
            <v>0</v>
          </cell>
          <cell r="AI244">
            <v>69.740000000000009</v>
          </cell>
          <cell r="AJ244">
            <v>0.20963579007743061</v>
          </cell>
          <cell r="AK244">
            <v>21.79</v>
          </cell>
          <cell r="AL244">
            <v>0</v>
          </cell>
          <cell r="AM244">
            <v>0</v>
          </cell>
          <cell r="AN244">
            <v>91.53</v>
          </cell>
          <cell r="AO244">
            <v>128.142</v>
          </cell>
          <cell r="AQ244">
            <v>0</v>
          </cell>
          <cell r="AR244">
            <v>0</v>
          </cell>
          <cell r="AS244">
            <v>0</v>
          </cell>
          <cell r="AZ244">
            <v>69.740000000000009</v>
          </cell>
          <cell r="BA244">
            <v>21.79</v>
          </cell>
          <cell r="BB244">
            <v>0</v>
          </cell>
        </row>
        <row r="245">
          <cell r="A245">
            <v>599663</v>
          </cell>
          <cell r="B245" t="str">
            <v>EUROMEDIA</v>
          </cell>
          <cell r="C245">
            <v>0.2</v>
          </cell>
          <cell r="D245">
            <v>0.1</v>
          </cell>
          <cell r="E245">
            <v>0.02</v>
          </cell>
          <cell r="F245">
            <v>41334</v>
          </cell>
          <cell r="I245">
            <v>0</v>
          </cell>
          <cell r="K245">
            <v>0</v>
          </cell>
          <cell r="L245" t="str">
            <v>OK</v>
          </cell>
          <cell r="M245" t="str">
            <v>OK</v>
          </cell>
          <cell r="P245" t="str">
            <v>Non affecté</v>
          </cell>
          <cell r="Q245" t="str">
            <v>FR</v>
          </cell>
          <cell r="R245" t="str">
            <v>Ok mon client</v>
          </cell>
          <cell r="S245" t="str">
            <v>MOISSY CRAMAYEL</v>
          </cell>
          <cell r="T245" t="str">
            <v>77</v>
          </cell>
          <cell r="U245" t="str">
            <v>19 BOULEVARD GEORGES BIDAULT</v>
          </cell>
          <cell r="V245" t="str">
            <v>77183</v>
          </cell>
          <cell r="W245" t="str">
            <v>CROISSY BEAUBOURG</v>
          </cell>
          <cell r="X245" t="str">
            <v>M.</v>
          </cell>
          <cell r="Y245" t="str">
            <v>WARGNIER</v>
          </cell>
          <cell r="Z245" t="str">
            <v>77183</v>
          </cell>
          <cell r="AA245" t="str">
            <v>CROISSY BEAUBOURG</v>
          </cell>
          <cell r="AB245">
            <v>0</v>
          </cell>
          <cell r="AC245">
            <v>0</v>
          </cell>
          <cell r="AD245">
            <v>501.82</v>
          </cell>
          <cell r="AE245">
            <v>0</v>
          </cell>
          <cell r="AF245">
            <v>501.82</v>
          </cell>
          <cell r="AG245">
            <v>0</v>
          </cell>
          <cell r="AH245">
            <v>0</v>
          </cell>
          <cell r="AI245">
            <v>0</v>
          </cell>
          <cell r="AJ245">
            <v>0</v>
          </cell>
          <cell r="AK245">
            <v>89.57</v>
          </cell>
          <cell r="AL245">
            <v>0.76398347661047228</v>
          </cell>
          <cell r="AM245">
            <v>0</v>
          </cell>
          <cell r="AN245">
            <v>89.57</v>
          </cell>
          <cell r="AO245">
            <v>125.39799999999998</v>
          </cell>
          <cell r="AP245">
            <v>-0.75011358654497629</v>
          </cell>
          <cell r="AQ245" t="str">
            <v>024-G-77EUROMEDIA</v>
          </cell>
          <cell r="AR245">
            <v>0</v>
          </cell>
          <cell r="AS245">
            <v>0</v>
          </cell>
          <cell r="AZ245">
            <v>0</v>
          </cell>
          <cell r="BA245">
            <v>98.527000000000001</v>
          </cell>
          <cell r="BB245">
            <v>0</v>
          </cell>
        </row>
        <row r="246">
          <cell r="A246">
            <v>827647</v>
          </cell>
          <cell r="B246" t="str">
            <v>ALLIANCES COMMUNICATION</v>
          </cell>
          <cell r="H246" t="str">
            <v>AGENCE GERANTE 003</v>
          </cell>
          <cell r="I246">
            <v>0</v>
          </cell>
          <cell r="K246">
            <v>0</v>
          </cell>
          <cell r="M246" t="str">
            <v>NON</v>
          </cell>
          <cell r="P246" t="str">
            <v>Non affecté</v>
          </cell>
          <cell r="Q246" t="str">
            <v>SM</v>
          </cell>
          <cell r="R246" t="str">
            <v>Ok mon client</v>
          </cell>
          <cell r="S246" t="str">
            <v>MOISSY CRAMAYEL</v>
          </cell>
          <cell r="T246" t="str">
            <v>69</v>
          </cell>
          <cell r="U246">
            <v>0</v>
          </cell>
          <cell r="V246">
            <v>0</v>
          </cell>
          <cell r="W246">
            <v>0</v>
          </cell>
          <cell r="X246">
            <v>0</v>
          </cell>
          <cell r="Y246">
            <v>0</v>
          </cell>
          <cell r="Z246" t="str">
            <v>69100</v>
          </cell>
          <cell r="AA246" t="str">
            <v>VILLEURBANNE</v>
          </cell>
          <cell r="AB246">
            <v>0</v>
          </cell>
          <cell r="AC246">
            <v>0</v>
          </cell>
          <cell r="AD246">
            <v>0</v>
          </cell>
          <cell r="AE246">
            <v>0</v>
          </cell>
          <cell r="AF246">
            <v>0</v>
          </cell>
          <cell r="AG246">
            <v>0</v>
          </cell>
          <cell r="AH246">
            <v>0</v>
          </cell>
          <cell r="AI246">
            <v>89.300000000000011</v>
          </cell>
          <cell r="AJ246">
            <v>-0.57602956705385444</v>
          </cell>
          <cell r="AK246">
            <v>0</v>
          </cell>
          <cell r="AL246">
            <v>0</v>
          </cell>
          <cell r="AM246">
            <v>0</v>
          </cell>
          <cell r="AN246">
            <v>89.300000000000011</v>
          </cell>
          <cell r="AO246">
            <v>125.02000000000001</v>
          </cell>
          <cell r="AQ246">
            <v>0</v>
          </cell>
          <cell r="AR246">
            <v>0</v>
          </cell>
          <cell r="AS246">
            <v>0</v>
          </cell>
          <cell r="AZ246">
            <v>89.300000000000011</v>
          </cell>
          <cell r="BA246">
            <v>0</v>
          </cell>
          <cell r="BB246">
            <v>0</v>
          </cell>
        </row>
        <row r="247">
          <cell r="A247">
            <v>538417</v>
          </cell>
          <cell r="B247" t="str">
            <v>LE PESAGE LORRAIN EN CONTINU ET DIS</v>
          </cell>
          <cell r="H247" t="str">
            <v>AGENCE GERANTE 006</v>
          </cell>
          <cell r="I247">
            <v>0</v>
          </cell>
          <cell r="K247">
            <v>0</v>
          </cell>
          <cell r="M247" t="str">
            <v>NON</v>
          </cell>
          <cell r="P247" t="str">
            <v>Non affecté</v>
          </cell>
          <cell r="Q247" t="str">
            <v>SM</v>
          </cell>
          <cell r="R247" t="str">
            <v>Ok mon client</v>
          </cell>
          <cell r="S247" t="str">
            <v>MOISSY CRAMAYEL</v>
          </cell>
          <cell r="T247" t="str">
            <v>57</v>
          </cell>
          <cell r="U247">
            <v>0</v>
          </cell>
          <cell r="V247">
            <v>0</v>
          </cell>
          <cell r="W247">
            <v>0</v>
          </cell>
          <cell r="X247">
            <v>0</v>
          </cell>
          <cell r="Y247">
            <v>0</v>
          </cell>
          <cell r="Z247" t="str">
            <v>57070</v>
          </cell>
          <cell r="AA247" t="str">
            <v>SAINT JULIEN LES METZ</v>
          </cell>
          <cell r="AB247">
            <v>0</v>
          </cell>
          <cell r="AC247">
            <v>0</v>
          </cell>
          <cell r="AD247">
            <v>0</v>
          </cell>
          <cell r="AE247">
            <v>0</v>
          </cell>
          <cell r="AF247">
            <v>0</v>
          </cell>
          <cell r="AG247">
            <v>0</v>
          </cell>
          <cell r="AH247">
            <v>0</v>
          </cell>
          <cell r="AI247">
            <v>83.55</v>
          </cell>
          <cell r="AJ247">
            <v>0.72004787552363847</v>
          </cell>
          <cell r="AK247">
            <v>0</v>
          </cell>
          <cell r="AL247">
            <v>0</v>
          </cell>
          <cell r="AM247">
            <v>0</v>
          </cell>
          <cell r="AN247">
            <v>83.55</v>
          </cell>
          <cell r="AO247">
            <v>116.96999999999998</v>
          </cell>
          <cell r="AQ247">
            <v>0</v>
          </cell>
          <cell r="AR247">
            <v>0</v>
          </cell>
          <cell r="AS247">
            <v>0</v>
          </cell>
          <cell r="AZ247">
            <v>83.55</v>
          </cell>
          <cell r="BA247">
            <v>0</v>
          </cell>
          <cell r="BB247">
            <v>0</v>
          </cell>
        </row>
        <row r="248">
          <cell r="A248">
            <v>496356</v>
          </cell>
          <cell r="B248" t="str">
            <v>MARKS-3ZET GMBH &amp; CO KG</v>
          </cell>
          <cell r="H248" t="str">
            <v>inconnu</v>
          </cell>
          <cell r="I248">
            <v>0</v>
          </cell>
          <cell r="K248">
            <v>0</v>
          </cell>
          <cell r="M248" t="str">
            <v>NON</v>
          </cell>
          <cell r="P248" t="str">
            <v>Non affecté</v>
          </cell>
          <cell r="Q248" t="str">
            <v>SM</v>
          </cell>
          <cell r="R248" t="str">
            <v>Ok mon client</v>
          </cell>
          <cell r="S248" t="str">
            <v>MOISSY CRAMAYEL</v>
          </cell>
          <cell r="T248" t="str">
            <v>45</v>
          </cell>
          <cell r="U248">
            <v>0</v>
          </cell>
          <cell r="V248">
            <v>0</v>
          </cell>
          <cell r="W248">
            <v>0</v>
          </cell>
          <cell r="X248">
            <v>0</v>
          </cell>
          <cell r="Y248">
            <v>0</v>
          </cell>
          <cell r="Z248" t="str">
            <v>45478</v>
          </cell>
          <cell r="AA248" t="str">
            <v>MUELHEIM AN DER RUHR</v>
          </cell>
          <cell r="AB248">
            <v>0</v>
          </cell>
          <cell r="AC248">
            <v>0</v>
          </cell>
          <cell r="AD248">
            <v>0</v>
          </cell>
          <cell r="AE248">
            <v>0</v>
          </cell>
          <cell r="AF248">
            <v>0</v>
          </cell>
          <cell r="AG248">
            <v>0</v>
          </cell>
          <cell r="AH248">
            <v>0</v>
          </cell>
          <cell r="AI248">
            <v>0</v>
          </cell>
          <cell r="AJ248">
            <v>0</v>
          </cell>
          <cell r="AK248">
            <v>78.820000000000007</v>
          </cell>
          <cell r="AL248">
            <v>0.46631685849695326</v>
          </cell>
          <cell r="AM248">
            <v>0</v>
          </cell>
          <cell r="AN248">
            <v>78.820000000000007</v>
          </cell>
          <cell r="AO248">
            <v>110.348</v>
          </cell>
          <cell r="AQ248">
            <v>0</v>
          </cell>
          <cell r="AR248">
            <v>0</v>
          </cell>
          <cell r="AS248">
            <v>0</v>
          </cell>
          <cell r="AZ248">
            <v>0</v>
          </cell>
          <cell r="BA248">
            <v>78.820000000000007</v>
          </cell>
          <cell r="BB248">
            <v>0</v>
          </cell>
        </row>
        <row r="249">
          <cell r="A249">
            <v>631604</v>
          </cell>
          <cell r="B249" t="str">
            <v>MACQUART   CIE</v>
          </cell>
          <cell r="H249" t="str">
            <v>HORS SERVICE DEPUIS LE 19/04/2012</v>
          </cell>
          <cell r="I249">
            <v>0</v>
          </cell>
          <cell r="K249">
            <v>0</v>
          </cell>
          <cell r="M249" t="str">
            <v>NON</v>
          </cell>
          <cell r="P249" t="str">
            <v>Non affecté</v>
          </cell>
          <cell r="Q249" t="str">
            <v>FR</v>
          </cell>
          <cell r="R249" t="str">
            <v>Ok mon client</v>
          </cell>
          <cell r="S249" t="str">
            <v>MOISSY CRAMAYEL</v>
          </cell>
          <cell r="T249" t="str">
            <v>77</v>
          </cell>
          <cell r="U249" t="str">
            <v>77 RUE PASTEUR</v>
          </cell>
          <cell r="V249" t="str">
            <v>77462</v>
          </cell>
          <cell r="W249" t="str">
            <v>ST THIBAULT DES VIGNES</v>
          </cell>
          <cell r="X249">
            <v>0</v>
          </cell>
          <cell r="Y249" t="str">
            <v>Directeur Logistique et Transports</v>
          </cell>
          <cell r="Z249" t="str">
            <v>77462</v>
          </cell>
          <cell r="AA249" t="str">
            <v>ST THIBAULT DES VIGNES</v>
          </cell>
          <cell r="AB249">
            <v>0</v>
          </cell>
          <cell r="AC249">
            <v>0</v>
          </cell>
          <cell r="AD249">
            <v>6583.0100000000011</v>
          </cell>
          <cell r="AE249">
            <v>0</v>
          </cell>
          <cell r="AF249">
            <v>6583.0100000000011</v>
          </cell>
          <cell r="AG249">
            <v>0</v>
          </cell>
          <cell r="AH249">
            <v>0</v>
          </cell>
          <cell r="AI249">
            <v>0</v>
          </cell>
          <cell r="AJ249">
            <v>0</v>
          </cell>
          <cell r="AK249">
            <v>77.06</v>
          </cell>
          <cell r="AL249">
            <v>0.11043342849727492</v>
          </cell>
          <cell r="AM249">
            <v>0</v>
          </cell>
          <cell r="AN249">
            <v>77.06</v>
          </cell>
          <cell r="AO249">
            <v>107.884</v>
          </cell>
          <cell r="AP249">
            <v>-0.98361175207086116</v>
          </cell>
          <cell r="AQ249" t="str">
            <v>024-G-77CONCEPT024</v>
          </cell>
          <cell r="AR249">
            <v>0</v>
          </cell>
          <cell r="AS249">
            <v>0</v>
          </cell>
          <cell r="AZ249">
            <v>0</v>
          </cell>
          <cell r="BA249">
            <v>77.06</v>
          </cell>
          <cell r="BB249">
            <v>0</v>
          </cell>
        </row>
        <row r="250">
          <cell r="A250">
            <v>869516</v>
          </cell>
          <cell r="B250" t="str">
            <v>SARTORIUS</v>
          </cell>
          <cell r="H250" t="str">
            <v>PAS DE DONNEUR D ORDRE</v>
          </cell>
          <cell r="I250">
            <v>0</v>
          </cell>
          <cell r="K250">
            <v>0</v>
          </cell>
          <cell r="M250" t="str">
            <v>NON</v>
          </cell>
          <cell r="P250" t="str">
            <v>Non affecté</v>
          </cell>
          <cell r="Q250" t="str">
            <v>FR</v>
          </cell>
          <cell r="R250" t="str">
            <v>Ok mon client</v>
          </cell>
          <cell r="S250" t="str">
            <v>MOISSY CRAMAYEL</v>
          </cell>
          <cell r="T250" t="str">
            <v>77</v>
          </cell>
          <cell r="U250" t="str">
            <v>ZAC DU HAINAULT - SEPT SORTS</v>
          </cell>
          <cell r="V250">
            <v>77260</v>
          </cell>
          <cell r="W250" t="str">
            <v>LA FERTE SOUS JOUARRE</v>
          </cell>
          <cell r="X250">
            <v>0</v>
          </cell>
          <cell r="Y250">
            <v>0</v>
          </cell>
          <cell r="Z250" t="str">
            <v>77260</v>
          </cell>
          <cell r="AA250" t="str">
            <v>LA FERTE SOUS JOUARRE</v>
          </cell>
          <cell r="AB250">
            <v>0</v>
          </cell>
          <cell r="AC250">
            <v>0</v>
          </cell>
          <cell r="AD250">
            <v>0</v>
          </cell>
          <cell r="AE250">
            <v>0</v>
          </cell>
          <cell r="AF250">
            <v>0</v>
          </cell>
          <cell r="AG250">
            <v>0</v>
          </cell>
          <cell r="AH250">
            <v>0</v>
          </cell>
          <cell r="AI250">
            <v>61.3</v>
          </cell>
          <cell r="AJ250">
            <v>0.52430668841761829</v>
          </cell>
          <cell r="AK250">
            <v>0</v>
          </cell>
          <cell r="AL250">
            <v>0</v>
          </cell>
          <cell r="AM250">
            <v>0</v>
          </cell>
          <cell r="AN250">
            <v>61.3</v>
          </cell>
          <cell r="AO250">
            <v>85.82</v>
          </cell>
          <cell r="AQ250" t="str">
            <v>024-G-77SARTORIUS</v>
          </cell>
          <cell r="AR250" t="str">
            <v>024-L-77SARTORIUS</v>
          </cell>
          <cell r="AS250">
            <v>40963</v>
          </cell>
          <cell r="AZ250">
            <v>61.3</v>
          </cell>
          <cell r="BA250">
            <v>0</v>
          </cell>
          <cell r="BB250">
            <v>0</v>
          </cell>
        </row>
        <row r="251">
          <cell r="A251">
            <v>626934</v>
          </cell>
          <cell r="B251" t="str">
            <v>KELLER DORIAN GRAPHICS</v>
          </cell>
          <cell r="H251" t="str">
            <v>AGENCE GERANTE 003</v>
          </cell>
          <cell r="I251">
            <v>0</v>
          </cell>
          <cell r="K251">
            <v>0</v>
          </cell>
          <cell r="M251" t="str">
            <v>NON</v>
          </cell>
          <cell r="P251" t="str">
            <v>Non affecté</v>
          </cell>
          <cell r="Q251" t="str">
            <v>SM</v>
          </cell>
          <cell r="R251" t="str">
            <v>Ok mon client</v>
          </cell>
          <cell r="S251" t="str">
            <v>MOISSY CRAMAYEL</v>
          </cell>
          <cell r="T251" t="str">
            <v>69</v>
          </cell>
          <cell r="U251">
            <v>0</v>
          </cell>
          <cell r="V251">
            <v>0</v>
          </cell>
          <cell r="W251">
            <v>0</v>
          </cell>
          <cell r="X251">
            <v>0</v>
          </cell>
          <cell r="Y251">
            <v>0</v>
          </cell>
          <cell r="Z251" t="str">
            <v>69330</v>
          </cell>
          <cell r="AA251" t="str">
            <v>JONAGE</v>
          </cell>
          <cell r="AB251">
            <v>0</v>
          </cell>
          <cell r="AC251">
            <v>0</v>
          </cell>
          <cell r="AD251">
            <v>0</v>
          </cell>
          <cell r="AE251">
            <v>0</v>
          </cell>
          <cell r="AF251">
            <v>0</v>
          </cell>
          <cell r="AG251">
            <v>0</v>
          </cell>
          <cell r="AH251">
            <v>0</v>
          </cell>
          <cell r="AI251">
            <v>59.46</v>
          </cell>
          <cell r="AJ251">
            <v>0.72115708039017823</v>
          </cell>
          <cell r="AK251">
            <v>0</v>
          </cell>
          <cell r="AL251">
            <v>0</v>
          </cell>
          <cell r="AM251">
            <v>0</v>
          </cell>
          <cell r="AN251">
            <v>59.46</v>
          </cell>
          <cell r="AO251">
            <v>83.244</v>
          </cell>
          <cell r="AQ251">
            <v>0</v>
          </cell>
          <cell r="AR251">
            <v>0</v>
          </cell>
          <cell r="AS251">
            <v>0</v>
          </cell>
          <cell r="AZ251">
            <v>59.46</v>
          </cell>
          <cell r="BA251">
            <v>0</v>
          </cell>
          <cell r="BB251">
            <v>0</v>
          </cell>
        </row>
        <row r="252">
          <cell r="A252">
            <v>578183</v>
          </cell>
          <cell r="B252" t="str">
            <v>AUDIO VIDEO COMMUNICATION</v>
          </cell>
          <cell r="C252">
            <v>0.2</v>
          </cell>
          <cell r="D252">
            <v>0.1</v>
          </cell>
          <cell r="E252">
            <v>0.02</v>
          </cell>
          <cell r="F252">
            <v>41334</v>
          </cell>
          <cell r="I252">
            <v>0</v>
          </cell>
          <cell r="K252">
            <v>0</v>
          </cell>
          <cell r="L252" t="str">
            <v>OK</v>
          </cell>
          <cell r="M252" t="str">
            <v>OK</v>
          </cell>
          <cell r="P252" t="str">
            <v>Non affecté</v>
          </cell>
          <cell r="Q252" t="str">
            <v>FP</v>
          </cell>
          <cell r="R252" t="str">
            <v>Ok mon client</v>
          </cell>
          <cell r="S252" t="str">
            <v>MOISSY CRAMAYEL</v>
          </cell>
          <cell r="T252" t="str">
            <v>91</v>
          </cell>
          <cell r="U252" t="str">
            <v>7 BD DU MARECHAL JUIN</v>
          </cell>
          <cell r="V252" t="str">
            <v>91370</v>
          </cell>
          <cell r="W252" t="str">
            <v>VERRIERES LE BUISSON</v>
          </cell>
          <cell r="X252">
            <v>0</v>
          </cell>
          <cell r="Y252" t="str">
            <v>Directeur Logistique et Transports</v>
          </cell>
          <cell r="Z252" t="str">
            <v>91370</v>
          </cell>
          <cell r="AA252" t="str">
            <v>VERRIERES LE BUISSON</v>
          </cell>
          <cell r="AB252">
            <v>0</v>
          </cell>
          <cell r="AC252">
            <v>274.92</v>
          </cell>
          <cell r="AD252">
            <v>0</v>
          </cell>
          <cell r="AE252">
            <v>0</v>
          </cell>
          <cell r="AF252">
            <v>274.92</v>
          </cell>
          <cell r="AG252">
            <v>0</v>
          </cell>
          <cell r="AH252">
            <v>0</v>
          </cell>
          <cell r="AI252">
            <v>58.23</v>
          </cell>
          <cell r="AJ252">
            <v>0.77365619096685556</v>
          </cell>
          <cell r="AK252">
            <v>0</v>
          </cell>
          <cell r="AL252">
            <v>0</v>
          </cell>
          <cell r="AM252">
            <v>0</v>
          </cell>
          <cell r="AN252">
            <v>58.23</v>
          </cell>
          <cell r="AO252">
            <v>81.521999999999991</v>
          </cell>
          <cell r="AP252">
            <v>-0.70347010039284164</v>
          </cell>
          <cell r="AQ252" t="str">
            <v>024-G-91AVC</v>
          </cell>
          <cell r="AR252" t="str">
            <v>024-L-91AVC</v>
          </cell>
          <cell r="AS252">
            <v>0</v>
          </cell>
          <cell r="AZ252">
            <v>69.875999999999991</v>
          </cell>
          <cell r="BA252">
            <v>0</v>
          </cell>
          <cell r="BB252">
            <v>0</v>
          </cell>
        </row>
        <row r="253">
          <cell r="A253">
            <v>600532</v>
          </cell>
          <cell r="B253" t="str">
            <v>TNT SERGE BLANCO</v>
          </cell>
          <cell r="H253" t="str">
            <v>AGENCE GERANTE 091</v>
          </cell>
          <cell r="I253">
            <v>0</v>
          </cell>
          <cell r="K253">
            <v>0</v>
          </cell>
          <cell r="M253" t="str">
            <v>NON</v>
          </cell>
          <cell r="P253" t="str">
            <v>Non affecté</v>
          </cell>
          <cell r="Q253" t="str">
            <v>SM</v>
          </cell>
          <cell r="R253" t="str">
            <v>Ok mon client</v>
          </cell>
          <cell r="S253" t="str">
            <v>MOISSY CRAMAYEL</v>
          </cell>
          <cell r="T253" t="str">
            <v>31</v>
          </cell>
          <cell r="U253">
            <v>0</v>
          </cell>
          <cell r="V253">
            <v>0</v>
          </cell>
          <cell r="W253">
            <v>0</v>
          </cell>
          <cell r="X253">
            <v>0</v>
          </cell>
          <cell r="Y253">
            <v>0</v>
          </cell>
          <cell r="Z253" t="str">
            <v>31500</v>
          </cell>
          <cell r="AA253" t="str">
            <v>TOULOUSE</v>
          </cell>
          <cell r="AB253">
            <v>0</v>
          </cell>
          <cell r="AC253">
            <v>0</v>
          </cell>
          <cell r="AD253">
            <v>0</v>
          </cell>
          <cell r="AE253">
            <v>0</v>
          </cell>
          <cell r="AF253">
            <v>0</v>
          </cell>
          <cell r="AG253">
            <v>0</v>
          </cell>
          <cell r="AH253">
            <v>0</v>
          </cell>
          <cell r="AI253">
            <v>56.24</v>
          </cell>
          <cell r="AJ253">
            <v>-0.42525930445393545</v>
          </cell>
          <cell r="AK253">
            <v>0</v>
          </cell>
          <cell r="AL253">
            <v>0</v>
          </cell>
          <cell r="AM253">
            <v>0</v>
          </cell>
          <cell r="AN253">
            <v>56.24</v>
          </cell>
          <cell r="AO253">
            <v>78.736000000000004</v>
          </cell>
          <cell r="AQ253">
            <v>0</v>
          </cell>
          <cell r="AR253">
            <v>0</v>
          </cell>
          <cell r="AS253">
            <v>0</v>
          </cell>
          <cell r="AZ253">
            <v>56.24</v>
          </cell>
          <cell r="BA253">
            <v>0</v>
          </cell>
          <cell r="BB253">
            <v>0</v>
          </cell>
        </row>
        <row r="254">
          <cell r="A254">
            <v>442295</v>
          </cell>
          <cell r="B254" t="str">
            <v>MAUROUSSET FRERES</v>
          </cell>
          <cell r="H254" t="str">
            <v>AGENCE GERANTE 251</v>
          </cell>
          <cell r="I254">
            <v>0</v>
          </cell>
          <cell r="K254">
            <v>0</v>
          </cell>
          <cell r="M254" t="str">
            <v>NON</v>
          </cell>
          <cell r="P254" t="str">
            <v>Non affecté</v>
          </cell>
          <cell r="Q254" t="str">
            <v>SM</v>
          </cell>
          <cell r="R254" t="str">
            <v>Ok mon client</v>
          </cell>
          <cell r="S254" t="str">
            <v>MOISSY CRAMAYEL</v>
          </cell>
          <cell r="T254" t="str">
            <v>36</v>
          </cell>
          <cell r="U254">
            <v>0</v>
          </cell>
          <cell r="V254">
            <v>0</v>
          </cell>
          <cell r="W254">
            <v>0</v>
          </cell>
          <cell r="X254">
            <v>0</v>
          </cell>
          <cell r="Y254">
            <v>0</v>
          </cell>
          <cell r="Z254" t="str">
            <v>36220</v>
          </cell>
          <cell r="AA254" t="str">
            <v>FONTGOMBAULT</v>
          </cell>
          <cell r="AB254">
            <v>0</v>
          </cell>
          <cell r="AC254">
            <v>0</v>
          </cell>
          <cell r="AD254">
            <v>0</v>
          </cell>
          <cell r="AE254">
            <v>0</v>
          </cell>
          <cell r="AF254">
            <v>0</v>
          </cell>
          <cell r="AG254">
            <v>0</v>
          </cell>
          <cell r="AH254">
            <v>0</v>
          </cell>
          <cell r="AI254">
            <v>48.55</v>
          </cell>
          <cell r="AJ254">
            <v>0.52946127946127952</v>
          </cell>
          <cell r="AK254">
            <v>0</v>
          </cell>
          <cell r="AL254">
            <v>0</v>
          </cell>
          <cell r="AM254">
            <v>0</v>
          </cell>
          <cell r="AN254">
            <v>48.55</v>
          </cell>
          <cell r="AO254">
            <v>67.969999999999985</v>
          </cell>
          <cell r="AQ254">
            <v>0</v>
          </cell>
          <cell r="AR254">
            <v>0</v>
          </cell>
          <cell r="AS254">
            <v>0</v>
          </cell>
          <cell r="AZ254">
            <v>48.55</v>
          </cell>
          <cell r="BA254">
            <v>0</v>
          </cell>
          <cell r="BB254">
            <v>0</v>
          </cell>
        </row>
        <row r="255">
          <cell r="A255">
            <v>698001</v>
          </cell>
          <cell r="B255" t="str">
            <v>PREFILEC</v>
          </cell>
          <cell r="H255" t="str">
            <v>AGENCE GERANTE 091</v>
          </cell>
          <cell r="I255">
            <v>0</v>
          </cell>
          <cell r="K255">
            <v>0</v>
          </cell>
          <cell r="M255" t="str">
            <v>NON</v>
          </cell>
          <cell r="P255" t="str">
            <v>Non affecté</v>
          </cell>
          <cell r="Q255" t="str">
            <v>SM</v>
          </cell>
          <cell r="R255" t="str">
            <v>Ok mon client</v>
          </cell>
          <cell r="S255" t="str">
            <v>MOISSY CRAMAYEL</v>
          </cell>
          <cell r="T255" t="str">
            <v>31</v>
          </cell>
          <cell r="U255">
            <v>0</v>
          </cell>
          <cell r="V255">
            <v>0</v>
          </cell>
          <cell r="W255">
            <v>0</v>
          </cell>
          <cell r="X255">
            <v>0</v>
          </cell>
          <cell r="Y255">
            <v>0</v>
          </cell>
          <cell r="Z255" t="str">
            <v>31100</v>
          </cell>
          <cell r="AA255" t="str">
            <v>TOULOUSE</v>
          </cell>
          <cell r="AB255">
            <v>0</v>
          </cell>
          <cell r="AC255">
            <v>0</v>
          </cell>
          <cell r="AD255">
            <v>0</v>
          </cell>
          <cell r="AE255">
            <v>0</v>
          </cell>
          <cell r="AF255">
            <v>0</v>
          </cell>
          <cell r="AG255">
            <v>0</v>
          </cell>
          <cell r="AH255">
            <v>0</v>
          </cell>
          <cell r="AI255">
            <v>48.11</v>
          </cell>
          <cell r="AJ255">
            <v>0.76574516732488052</v>
          </cell>
          <cell r="AK255">
            <v>0</v>
          </cell>
          <cell r="AL255">
            <v>0</v>
          </cell>
          <cell r="AM255">
            <v>0</v>
          </cell>
          <cell r="AN255">
            <v>48.11</v>
          </cell>
          <cell r="AO255">
            <v>67.353999999999999</v>
          </cell>
          <cell r="AQ255">
            <v>0</v>
          </cell>
          <cell r="AR255">
            <v>0</v>
          </cell>
          <cell r="AS255">
            <v>0</v>
          </cell>
          <cell r="AZ255">
            <v>48.11</v>
          </cell>
          <cell r="BA255">
            <v>0</v>
          </cell>
          <cell r="BB255">
            <v>0</v>
          </cell>
        </row>
        <row r="256">
          <cell r="A256">
            <v>37391</v>
          </cell>
          <cell r="B256" t="str">
            <v>SOC PROVINOISE DIFFUS AUTO</v>
          </cell>
          <cell r="C256">
            <v>0.2</v>
          </cell>
          <cell r="D256">
            <v>0.1</v>
          </cell>
          <cell r="E256">
            <v>0.02</v>
          </cell>
          <cell r="F256">
            <v>41334</v>
          </cell>
          <cell r="I256">
            <v>0</v>
          </cell>
          <cell r="K256">
            <v>0</v>
          </cell>
          <cell r="L256" t="str">
            <v>OK</v>
          </cell>
          <cell r="M256" t="str">
            <v>OK</v>
          </cell>
          <cell r="P256" t="str">
            <v>Non affecté</v>
          </cell>
          <cell r="Q256" t="str">
            <v>FR</v>
          </cell>
          <cell r="R256" t="str">
            <v>Ok mon client</v>
          </cell>
          <cell r="S256" t="str">
            <v>MOISSY CRAMAYEL</v>
          </cell>
          <cell r="T256" t="str">
            <v>77</v>
          </cell>
          <cell r="U256" t="str">
            <v>33 ROUTE DE BRAY</v>
          </cell>
          <cell r="V256" t="str">
            <v>77160</v>
          </cell>
          <cell r="W256" t="str">
            <v>PROVINS</v>
          </cell>
          <cell r="X256">
            <v>0</v>
          </cell>
          <cell r="Y256" t="str">
            <v>Directeur Logistique et Transports</v>
          </cell>
          <cell r="Z256" t="str">
            <v>77160</v>
          </cell>
          <cell r="AA256" t="str">
            <v>PROVINS</v>
          </cell>
          <cell r="AB256">
            <v>0</v>
          </cell>
          <cell r="AC256">
            <v>128.06</v>
          </cell>
          <cell r="AD256">
            <v>0</v>
          </cell>
          <cell r="AE256">
            <v>0</v>
          </cell>
          <cell r="AF256">
            <v>128.06</v>
          </cell>
          <cell r="AG256">
            <v>0</v>
          </cell>
          <cell r="AH256">
            <v>0</v>
          </cell>
          <cell r="AI256">
            <v>48</v>
          </cell>
          <cell r="AJ256">
            <v>0.80312499999999998</v>
          </cell>
          <cell r="AK256">
            <v>0</v>
          </cell>
          <cell r="AL256">
            <v>0</v>
          </cell>
          <cell r="AM256">
            <v>0</v>
          </cell>
          <cell r="AN256">
            <v>48</v>
          </cell>
          <cell r="AO256">
            <v>67.199999999999989</v>
          </cell>
          <cell r="AP256">
            <v>-0.47524597844760275</v>
          </cell>
          <cell r="AQ256" t="str">
            <v>024-G-77ACPROVINS</v>
          </cell>
          <cell r="AR256">
            <v>0</v>
          </cell>
          <cell r="AS256">
            <v>0</v>
          </cell>
          <cell r="AZ256">
            <v>57.599999999999994</v>
          </cell>
          <cell r="BA256">
            <v>0</v>
          </cell>
          <cell r="BB256">
            <v>0</v>
          </cell>
        </row>
        <row r="257">
          <cell r="A257">
            <v>476404</v>
          </cell>
          <cell r="B257" t="str">
            <v>BERNIER ESSONNE SAS</v>
          </cell>
          <cell r="C257">
            <v>0.2</v>
          </cell>
          <cell r="D257">
            <v>0.1</v>
          </cell>
          <cell r="E257">
            <v>0.02</v>
          </cell>
          <cell r="F257">
            <v>41334</v>
          </cell>
          <cell r="I257">
            <v>0</v>
          </cell>
          <cell r="K257">
            <v>0</v>
          </cell>
          <cell r="L257" t="str">
            <v>OK</v>
          </cell>
          <cell r="M257" t="str">
            <v>OK</v>
          </cell>
          <cell r="P257" t="str">
            <v>Non affecté</v>
          </cell>
          <cell r="Q257" t="str">
            <v>FP</v>
          </cell>
          <cell r="R257" t="str">
            <v>Ok mon client</v>
          </cell>
          <cell r="S257" t="str">
            <v>MOISSY CRAMAYEL</v>
          </cell>
          <cell r="T257">
            <v>91</v>
          </cell>
          <cell r="U257" t="str">
            <v>12  RUE DE LA REUNION</v>
          </cell>
          <cell r="V257">
            <v>91940</v>
          </cell>
          <cell r="W257" t="str">
            <v>LES ULIS</v>
          </cell>
          <cell r="X257">
            <v>0</v>
          </cell>
          <cell r="Y257" t="str">
            <v>Directeur Logistique et Transports</v>
          </cell>
          <cell r="Z257" t="str">
            <v>91940</v>
          </cell>
          <cell r="AA257" t="str">
            <v>LES ULIS</v>
          </cell>
          <cell r="AB257">
            <v>0</v>
          </cell>
          <cell r="AC257">
            <v>34.01</v>
          </cell>
          <cell r="AD257">
            <v>0</v>
          </cell>
          <cell r="AE257">
            <v>0</v>
          </cell>
          <cell r="AF257">
            <v>34.01</v>
          </cell>
          <cell r="AG257">
            <v>0</v>
          </cell>
          <cell r="AH257">
            <v>0</v>
          </cell>
          <cell r="AI257">
            <v>47.29</v>
          </cell>
          <cell r="AJ257">
            <v>0.75174455487418057</v>
          </cell>
          <cell r="AK257">
            <v>0</v>
          </cell>
          <cell r="AL257">
            <v>0</v>
          </cell>
          <cell r="AM257">
            <v>0</v>
          </cell>
          <cell r="AN257">
            <v>47.29</v>
          </cell>
          <cell r="AO257">
            <v>66.205999999999989</v>
          </cell>
          <cell r="AP257">
            <v>0.94666274625110236</v>
          </cell>
          <cell r="AQ257" t="str">
            <v>024-G-91APULIS</v>
          </cell>
          <cell r="AR257">
            <v>0</v>
          </cell>
          <cell r="AS257">
            <v>0</v>
          </cell>
          <cell r="AZ257">
            <v>56.747999999999998</v>
          </cell>
          <cell r="BA257">
            <v>0</v>
          </cell>
          <cell r="BB257">
            <v>0</v>
          </cell>
        </row>
        <row r="258">
          <cell r="A258">
            <v>11371</v>
          </cell>
          <cell r="B258" t="str">
            <v>STRAPEX</v>
          </cell>
          <cell r="H258" t="str">
            <v>AGENCE GERANTE 009</v>
          </cell>
          <cell r="I258">
            <v>0</v>
          </cell>
          <cell r="K258">
            <v>0</v>
          </cell>
          <cell r="M258" t="str">
            <v>NON</v>
          </cell>
          <cell r="P258" t="str">
            <v>Non affecté</v>
          </cell>
          <cell r="Q258" t="str">
            <v>FP</v>
          </cell>
          <cell r="R258" t="str">
            <v>Rajouté</v>
          </cell>
          <cell r="S258" t="str">
            <v>GENNEVILLIERS</v>
          </cell>
          <cell r="T258" t="str">
            <v>94</v>
          </cell>
          <cell r="U258" t="str">
            <v>31 RUE J J ROUSSEAU</v>
          </cell>
          <cell r="V258">
            <v>94204</v>
          </cell>
          <cell r="W258" t="str">
            <v>IVRY SUR SEINE CEDEX</v>
          </cell>
          <cell r="X258">
            <v>0</v>
          </cell>
          <cell r="Y258">
            <v>0</v>
          </cell>
          <cell r="Z258" t="str">
            <v>94204</v>
          </cell>
          <cell r="AA258" t="str">
            <v>IVRY SUR SEINE CEDEX</v>
          </cell>
          <cell r="AB258">
            <v>0</v>
          </cell>
          <cell r="AC258">
            <v>0</v>
          </cell>
          <cell r="AD258">
            <v>0</v>
          </cell>
          <cell r="AE258">
            <v>0</v>
          </cell>
          <cell r="AF258">
            <v>0</v>
          </cell>
          <cell r="AG258">
            <v>0</v>
          </cell>
          <cell r="AH258">
            <v>0</v>
          </cell>
          <cell r="AI258">
            <v>0</v>
          </cell>
          <cell r="AJ258">
            <v>0</v>
          </cell>
          <cell r="AK258">
            <v>46.25</v>
          </cell>
          <cell r="AL258">
            <v>0.7165405405405405</v>
          </cell>
          <cell r="AM258">
            <v>0</v>
          </cell>
          <cell r="AN258">
            <v>46.25</v>
          </cell>
          <cell r="AO258">
            <v>64.75</v>
          </cell>
          <cell r="AQ258">
            <v>0</v>
          </cell>
          <cell r="AR258">
            <v>0</v>
          </cell>
          <cell r="AS258">
            <v>0</v>
          </cell>
          <cell r="AZ258">
            <v>0</v>
          </cell>
          <cell r="BA258">
            <v>46.25</v>
          </cell>
          <cell r="BB258">
            <v>0</v>
          </cell>
        </row>
        <row r="259">
          <cell r="A259">
            <v>531967</v>
          </cell>
          <cell r="B259" t="str">
            <v>MODUL  SYSTEM SA</v>
          </cell>
          <cell r="H259" t="str">
            <v>INCONNU</v>
          </cell>
          <cell r="I259">
            <v>0</v>
          </cell>
          <cell r="K259">
            <v>0</v>
          </cell>
          <cell r="M259" t="str">
            <v>NON</v>
          </cell>
          <cell r="P259" t="str">
            <v>Non affecté</v>
          </cell>
          <cell r="Q259" t="str">
            <v>FR</v>
          </cell>
          <cell r="R259" t="str">
            <v>Ok mon client</v>
          </cell>
          <cell r="S259" t="str">
            <v>MOISSY CRAMAYEL</v>
          </cell>
          <cell r="T259" t="str">
            <v>77</v>
          </cell>
          <cell r="U259" t="str">
            <v>204 PARC DU MANDINET // 1-3 RUE DES CAMPANULES</v>
          </cell>
          <cell r="V259" t="str">
            <v>77185</v>
          </cell>
          <cell r="W259" t="str">
            <v>LOGNES</v>
          </cell>
          <cell r="X259" t="str">
            <v>Mme</v>
          </cell>
          <cell r="Y259" t="str">
            <v>MUNOZ</v>
          </cell>
          <cell r="Z259" t="str">
            <v>77185</v>
          </cell>
          <cell r="AA259" t="str">
            <v>LOGNES</v>
          </cell>
          <cell r="AB259">
            <v>0</v>
          </cell>
          <cell r="AC259">
            <v>0</v>
          </cell>
          <cell r="AD259">
            <v>349.27</v>
          </cell>
          <cell r="AE259">
            <v>0</v>
          </cell>
          <cell r="AF259">
            <v>349.27</v>
          </cell>
          <cell r="AG259">
            <v>0</v>
          </cell>
          <cell r="AH259">
            <v>0</v>
          </cell>
          <cell r="AI259">
            <v>0</v>
          </cell>
          <cell r="AJ259">
            <v>0</v>
          </cell>
          <cell r="AK259">
            <v>43.77</v>
          </cell>
          <cell r="AL259">
            <v>0</v>
          </cell>
          <cell r="AM259">
            <v>0</v>
          </cell>
          <cell r="AN259">
            <v>43.77</v>
          </cell>
          <cell r="AO259">
            <v>61.277999999999999</v>
          </cell>
          <cell r="AP259">
            <v>-0.82455406991725599</v>
          </cell>
          <cell r="AQ259">
            <v>0</v>
          </cell>
          <cell r="AR259">
            <v>0</v>
          </cell>
          <cell r="AS259">
            <v>0</v>
          </cell>
          <cell r="AZ259">
            <v>0</v>
          </cell>
          <cell r="BA259">
            <v>43.77</v>
          </cell>
          <cell r="BB259">
            <v>0</v>
          </cell>
        </row>
        <row r="260">
          <cell r="A260">
            <v>607589</v>
          </cell>
          <cell r="B260" t="str">
            <v>TELEMECA SARL</v>
          </cell>
          <cell r="C260">
            <v>0.2</v>
          </cell>
          <cell r="D260">
            <v>0.1</v>
          </cell>
          <cell r="E260">
            <v>0.02</v>
          </cell>
          <cell r="F260">
            <v>41334</v>
          </cell>
          <cell r="I260">
            <v>0</v>
          </cell>
          <cell r="K260">
            <v>0</v>
          </cell>
          <cell r="L260" t="str">
            <v>OK</v>
          </cell>
          <cell r="M260" t="str">
            <v>OK</v>
          </cell>
          <cell r="P260" t="str">
            <v>Non affecté</v>
          </cell>
          <cell r="Q260" t="str">
            <v>FR</v>
          </cell>
          <cell r="R260" t="str">
            <v>Ok mon client</v>
          </cell>
          <cell r="S260" t="str">
            <v>MOISSY CRAMAYEL</v>
          </cell>
          <cell r="T260" t="str">
            <v>77</v>
          </cell>
          <cell r="U260" t="str">
            <v>RUE JEAN BAPTISTE COLBERT</v>
          </cell>
          <cell r="V260">
            <v>77350</v>
          </cell>
          <cell r="W260" t="str">
            <v>LE MEE SUR SEINE</v>
          </cell>
          <cell r="X260">
            <v>0</v>
          </cell>
          <cell r="Y260" t="str">
            <v>Directeur Logistique et Transports</v>
          </cell>
          <cell r="Z260" t="str">
            <v>77350</v>
          </cell>
          <cell r="AA260" t="str">
            <v>LE MEE SUR SEINE</v>
          </cell>
          <cell r="AB260">
            <v>0</v>
          </cell>
          <cell r="AC260">
            <v>0</v>
          </cell>
          <cell r="AD260">
            <v>75.050000000000011</v>
          </cell>
          <cell r="AE260">
            <v>0</v>
          </cell>
          <cell r="AF260">
            <v>75.050000000000011</v>
          </cell>
          <cell r="AG260">
            <v>0</v>
          </cell>
          <cell r="AH260">
            <v>0</v>
          </cell>
          <cell r="AI260">
            <v>0</v>
          </cell>
          <cell r="AJ260">
            <v>0</v>
          </cell>
          <cell r="AK260">
            <v>39.770000000000003</v>
          </cell>
          <cell r="AL260">
            <v>0.47447824993713861</v>
          </cell>
          <cell r="AM260">
            <v>0</v>
          </cell>
          <cell r="AN260">
            <v>39.770000000000003</v>
          </cell>
          <cell r="AO260">
            <v>55.678000000000004</v>
          </cell>
          <cell r="AP260">
            <v>-0.25812125249833451</v>
          </cell>
          <cell r="AQ260" t="str">
            <v>024-G-77TELEMECA</v>
          </cell>
          <cell r="AR260" t="str">
            <v>024-L-77TELEMECA</v>
          </cell>
          <cell r="AS260">
            <v>0</v>
          </cell>
          <cell r="AZ260">
            <v>0</v>
          </cell>
          <cell r="BA260">
            <v>43.747000000000007</v>
          </cell>
          <cell r="BB260">
            <v>0</v>
          </cell>
        </row>
        <row r="261">
          <cell r="A261">
            <v>379</v>
          </cell>
          <cell r="B261" t="str">
            <v>F W F</v>
          </cell>
          <cell r="H261" t="str">
            <v>AGENCE GERANTE 034</v>
          </cell>
          <cell r="I261">
            <v>0</v>
          </cell>
          <cell r="K261">
            <v>0</v>
          </cell>
          <cell r="M261" t="str">
            <v>NON</v>
          </cell>
          <cell r="P261" t="str">
            <v>Non affecté</v>
          </cell>
          <cell r="Q261" t="str">
            <v>SM</v>
          </cell>
          <cell r="R261" t="str">
            <v>Ok mon client</v>
          </cell>
          <cell r="S261" t="str">
            <v>MOISSY CRAMAYEL</v>
          </cell>
          <cell r="T261" t="str">
            <v>25</v>
          </cell>
          <cell r="U261">
            <v>0</v>
          </cell>
          <cell r="V261">
            <v>0</v>
          </cell>
          <cell r="W261">
            <v>0</v>
          </cell>
          <cell r="X261">
            <v>0</v>
          </cell>
          <cell r="Y261">
            <v>0</v>
          </cell>
          <cell r="Z261" t="str">
            <v>25630</v>
          </cell>
          <cell r="AA261" t="str">
            <v>SAINTE-SUZANNE</v>
          </cell>
          <cell r="AB261">
            <v>0</v>
          </cell>
          <cell r="AC261">
            <v>0</v>
          </cell>
          <cell r="AD261">
            <v>0</v>
          </cell>
          <cell r="AE261">
            <v>0</v>
          </cell>
          <cell r="AF261">
            <v>0</v>
          </cell>
          <cell r="AG261">
            <v>0</v>
          </cell>
          <cell r="AH261">
            <v>0</v>
          </cell>
          <cell r="AI261">
            <v>37.36</v>
          </cell>
          <cell r="AJ261">
            <v>0.65444325481798715</v>
          </cell>
          <cell r="AK261">
            <v>0</v>
          </cell>
          <cell r="AL261">
            <v>0</v>
          </cell>
          <cell r="AM261">
            <v>0</v>
          </cell>
          <cell r="AN261">
            <v>37.36</v>
          </cell>
          <cell r="AO261">
            <v>52.303999999999995</v>
          </cell>
          <cell r="AQ261">
            <v>0</v>
          </cell>
          <cell r="AR261">
            <v>0</v>
          </cell>
          <cell r="AS261">
            <v>0</v>
          </cell>
          <cell r="AZ261">
            <v>37.36</v>
          </cell>
          <cell r="BA261">
            <v>0</v>
          </cell>
          <cell r="BB261">
            <v>0</v>
          </cell>
        </row>
        <row r="262">
          <cell r="A262">
            <v>614960</v>
          </cell>
          <cell r="B262" t="str">
            <v>FLORCZAK TRANSPORTS</v>
          </cell>
          <cell r="H262" t="str">
            <v>AGENCE GERANTE 026</v>
          </cell>
          <cell r="I262">
            <v>0</v>
          </cell>
          <cell r="K262">
            <v>0</v>
          </cell>
          <cell r="M262" t="str">
            <v>NON</v>
          </cell>
          <cell r="P262" t="str">
            <v>Non affecté</v>
          </cell>
          <cell r="Q262" t="str">
            <v>SM</v>
          </cell>
          <cell r="R262" t="str">
            <v>Ok mon client</v>
          </cell>
          <cell r="S262" t="str">
            <v>MOISSY CRAMAYEL</v>
          </cell>
          <cell r="T262" t="str">
            <v>32</v>
          </cell>
          <cell r="U262">
            <v>0</v>
          </cell>
          <cell r="V262">
            <v>0</v>
          </cell>
          <cell r="W262">
            <v>0</v>
          </cell>
          <cell r="X262">
            <v>0</v>
          </cell>
          <cell r="Y262">
            <v>0</v>
          </cell>
          <cell r="Z262" t="str">
            <v>32200</v>
          </cell>
          <cell r="AA262" t="str">
            <v>GIMONT</v>
          </cell>
          <cell r="AB262">
            <v>0</v>
          </cell>
          <cell r="AC262">
            <v>9.84</v>
          </cell>
          <cell r="AD262">
            <v>0</v>
          </cell>
          <cell r="AE262">
            <v>0</v>
          </cell>
          <cell r="AF262">
            <v>9.84</v>
          </cell>
          <cell r="AG262">
            <v>0</v>
          </cell>
          <cell r="AH262">
            <v>0</v>
          </cell>
          <cell r="AI262">
            <v>33.79</v>
          </cell>
          <cell r="AJ262">
            <v>-1.3964098728496641</v>
          </cell>
          <cell r="AK262">
            <v>0</v>
          </cell>
          <cell r="AL262">
            <v>0</v>
          </cell>
          <cell r="AM262">
            <v>0</v>
          </cell>
          <cell r="AN262">
            <v>33.79</v>
          </cell>
          <cell r="AO262">
            <v>47.305999999999997</v>
          </cell>
          <cell r="AP262">
            <v>3.8075203252032521</v>
          </cell>
          <cell r="AQ262">
            <v>0</v>
          </cell>
          <cell r="AR262">
            <v>0</v>
          </cell>
          <cell r="AS262">
            <v>0</v>
          </cell>
          <cell r="AZ262">
            <v>33.79</v>
          </cell>
          <cell r="BA262">
            <v>0</v>
          </cell>
          <cell r="BB262">
            <v>0</v>
          </cell>
        </row>
        <row r="263">
          <cell r="A263">
            <v>34743</v>
          </cell>
          <cell r="B263" t="str">
            <v>INTERNATIONAL DESIGN</v>
          </cell>
          <cell r="C263">
            <v>0.2</v>
          </cell>
          <cell r="D263">
            <v>0.1</v>
          </cell>
          <cell r="E263">
            <v>0.02</v>
          </cell>
          <cell r="F263">
            <v>41334</v>
          </cell>
          <cell r="I263">
            <v>0</v>
          </cell>
          <cell r="K263">
            <v>0</v>
          </cell>
          <cell r="L263" t="str">
            <v>OK</v>
          </cell>
          <cell r="M263" t="str">
            <v>OK</v>
          </cell>
          <cell r="O263" t="str">
            <v>Porte Feuille</v>
          </cell>
          <cell r="P263" t="str">
            <v>Non affecté</v>
          </cell>
          <cell r="Q263" t="str">
            <v>FR</v>
          </cell>
          <cell r="R263" t="str">
            <v>Ok mon client</v>
          </cell>
          <cell r="S263" t="str">
            <v>MOISSY CRAMAYEL</v>
          </cell>
          <cell r="T263" t="str">
            <v>77</v>
          </cell>
          <cell r="U263" t="str">
            <v>60/10 RUE AMPERE</v>
          </cell>
          <cell r="V263" t="str">
            <v>77400</v>
          </cell>
          <cell r="W263" t="str">
            <v>LAGNY SUR MARNE</v>
          </cell>
          <cell r="X263" t="str">
            <v>Mme</v>
          </cell>
          <cell r="Y263" t="str">
            <v>DOS SANTOS</v>
          </cell>
          <cell r="Z263" t="str">
            <v>77400</v>
          </cell>
          <cell r="AA263" t="str">
            <v>LAGNY SUR MARNE</v>
          </cell>
          <cell r="AB263">
            <v>23373.22</v>
          </cell>
          <cell r="AC263">
            <v>0</v>
          </cell>
          <cell r="AD263">
            <v>1627.28</v>
          </cell>
          <cell r="AE263">
            <v>0</v>
          </cell>
          <cell r="AF263">
            <v>25000.5</v>
          </cell>
          <cell r="AG263">
            <v>0</v>
          </cell>
          <cell r="AH263">
            <v>0</v>
          </cell>
          <cell r="AI263">
            <v>0</v>
          </cell>
          <cell r="AJ263">
            <v>0</v>
          </cell>
          <cell r="AK263">
            <v>30.4</v>
          </cell>
          <cell r="AL263">
            <v>0.95493421052631577</v>
          </cell>
          <cell r="AM263">
            <v>0</v>
          </cell>
          <cell r="AN263">
            <v>30.4</v>
          </cell>
          <cell r="AO263">
            <v>42.559999999999995</v>
          </cell>
          <cell r="AP263">
            <v>-0.99829763404731908</v>
          </cell>
          <cell r="AQ263" t="str">
            <v>024-G-77INTERDESIGN</v>
          </cell>
          <cell r="AR263" t="str">
            <v>024-L-77INTERDESIGN</v>
          </cell>
          <cell r="AS263">
            <v>40392</v>
          </cell>
          <cell r="AZ263">
            <v>0</v>
          </cell>
          <cell r="BA263">
            <v>33.44</v>
          </cell>
          <cell r="BB263">
            <v>0</v>
          </cell>
        </row>
        <row r="264">
          <cell r="A264">
            <v>358305</v>
          </cell>
          <cell r="B264" t="str">
            <v>TEXTILE SHAPES + ASSEMBLIES</v>
          </cell>
          <cell r="H264" t="str">
            <v>INCONNU</v>
          </cell>
          <cell r="I264">
            <v>0</v>
          </cell>
          <cell r="K264">
            <v>0</v>
          </cell>
          <cell r="M264" t="str">
            <v>NON</v>
          </cell>
          <cell r="P264" t="str">
            <v>Non affecté</v>
          </cell>
          <cell r="Q264" t="str">
            <v>SM</v>
          </cell>
          <cell r="R264" t="str">
            <v>Ok mon client</v>
          </cell>
          <cell r="S264" t="str">
            <v>MOISSY CRAMAYEL</v>
          </cell>
          <cell r="T264" t="str">
            <v>NP</v>
          </cell>
          <cell r="U264">
            <v>0</v>
          </cell>
          <cell r="V264">
            <v>0</v>
          </cell>
          <cell r="W264">
            <v>0</v>
          </cell>
          <cell r="X264">
            <v>0</v>
          </cell>
          <cell r="Y264">
            <v>0</v>
          </cell>
          <cell r="Z264" t="str">
            <v>NP3 4BX</v>
          </cell>
          <cell r="AA264" t="str">
            <v>BRYNMAWR</v>
          </cell>
          <cell r="AB264">
            <v>0</v>
          </cell>
          <cell r="AC264">
            <v>0</v>
          </cell>
          <cell r="AD264">
            <v>0</v>
          </cell>
          <cell r="AE264">
            <v>0</v>
          </cell>
          <cell r="AF264">
            <v>0</v>
          </cell>
          <cell r="AG264">
            <v>0</v>
          </cell>
          <cell r="AH264">
            <v>0</v>
          </cell>
          <cell r="AI264">
            <v>0</v>
          </cell>
          <cell r="AJ264">
            <v>0</v>
          </cell>
          <cell r="AK264">
            <v>29.35</v>
          </cell>
          <cell r="AL264">
            <v>0</v>
          </cell>
          <cell r="AM264">
            <v>0</v>
          </cell>
          <cell r="AN264">
            <v>29.35</v>
          </cell>
          <cell r="AO264">
            <v>41.089999999999996</v>
          </cell>
          <cell r="AQ264">
            <v>0</v>
          </cell>
          <cell r="AR264">
            <v>0</v>
          </cell>
          <cell r="AS264">
            <v>0</v>
          </cell>
          <cell r="AZ264">
            <v>0</v>
          </cell>
          <cell r="BA264">
            <v>29.35</v>
          </cell>
          <cell r="BB264">
            <v>0</v>
          </cell>
        </row>
        <row r="265">
          <cell r="A265">
            <v>516279</v>
          </cell>
          <cell r="B265" t="str">
            <v>NOVETUD DISTRIBUTION</v>
          </cell>
          <cell r="H265" t="str">
            <v>AGENCE GERANTE 003</v>
          </cell>
          <cell r="I265">
            <v>0</v>
          </cell>
          <cell r="K265">
            <v>0</v>
          </cell>
          <cell r="M265" t="str">
            <v>NON</v>
          </cell>
          <cell r="P265" t="str">
            <v>Non affecté</v>
          </cell>
          <cell r="Q265" t="str">
            <v>FR</v>
          </cell>
          <cell r="R265" t="str">
            <v>Rajouté</v>
          </cell>
          <cell r="S265" t="str">
            <v>MOISSY CRAMAYEL</v>
          </cell>
          <cell r="T265" t="str">
            <v>77</v>
          </cell>
          <cell r="U265" t="str">
            <v>22 RUE DE LA MAISON ROUGE</v>
          </cell>
          <cell r="V265">
            <v>77185</v>
          </cell>
          <cell r="W265" t="str">
            <v>LOGNES</v>
          </cell>
          <cell r="X265">
            <v>0</v>
          </cell>
          <cell r="Y265">
            <v>0</v>
          </cell>
          <cell r="Z265" t="str">
            <v>77185</v>
          </cell>
          <cell r="AA265" t="str">
            <v>LOGNES</v>
          </cell>
          <cell r="AB265">
            <v>0</v>
          </cell>
          <cell r="AC265">
            <v>0</v>
          </cell>
          <cell r="AD265">
            <v>0</v>
          </cell>
          <cell r="AE265">
            <v>0</v>
          </cell>
          <cell r="AF265">
            <v>0</v>
          </cell>
          <cell r="AG265">
            <v>0</v>
          </cell>
          <cell r="AH265">
            <v>0</v>
          </cell>
          <cell r="AI265">
            <v>25.96</v>
          </cell>
          <cell r="AJ265">
            <v>0.42565485362095534</v>
          </cell>
          <cell r="AK265">
            <v>0</v>
          </cell>
          <cell r="AL265">
            <v>0</v>
          </cell>
          <cell r="AM265">
            <v>0</v>
          </cell>
          <cell r="AN265">
            <v>25.96</v>
          </cell>
          <cell r="AO265">
            <v>36.344000000000001</v>
          </cell>
          <cell r="AQ265">
            <v>0</v>
          </cell>
          <cell r="AR265">
            <v>0</v>
          </cell>
          <cell r="AS265">
            <v>0</v>
          </cell>
          <cell r="AZ265">
            <v>25.96</v>
          </cell>
          <cell r="BA265">
            <v>0</v>
          </cell>
          <cell r="BB265">
            <v>0</v>
          </cell>
        </row>
        <row r="266">
          <cell r="A266">
            <v>819833</v>
          </cell>
          <cell r="B266" t="str">
            <v>ITALCAN</v>
          </cell>
          <cell r="H266" t="str">
            <v>AGENCE GERANTE 011</v>
          </cell>
          <cell r="I266">
            <v>0</v>
          </cell>
          <cell r="K266">
            <v>0</v>
          </cell>
          <cell r="M266" t="str">
            <v>NON</v>
          </cell>
          <cell r="P266" t="str">
            <v>Non affecté</v>
          </cell>
          <cell r="Q266" t="str">
            <v>SM</v>
          </cell>
          <cell r="R266" t="str">
            <v>Ok mon client</v>
          </cell>
          <cell r="S266" t="str">
            <v>MOISSY CRAMAYEL</v>
          </cell>
          <cell r="T266" t="str">
            <v>06</v>
          </cell>
          <cell r="U266">
            <v>0</v>
          </cell>
          <cell r="V266">
            <v>0</v>
          </cell>
          <cell r="W266">
            <v>0</v>
          </cell>
          <cell r="X266">
            <v>0</v>
          </cell>
          <cell r="Y266">
            <v>0</v>
          </cell>
          <cell r="Z266" t="str">
            <v>06150</v>
          </cell>
          <cell r="AA266" t="str">
            <v>CANNES LA BOCCA</v>
          </cell>
          <cell r="AB266">
            <v>0</v>
          </cell>
          <cell r="AC266">
            <v>0</v>
          </cell>
          <cell r="AD266">
            <v>0</v>
          </cell>
          <cell r="AE266">
            <v>0</v>
          </cell>
          <cell r="AF266">
            <v>0</v>
          </cell>
          <cell r="AG266">
            <v>0</v>
          </cell>
          <cell r="AH266">
            <v>0</v>
          </cell>
          <cell r="AI266">
            <v>22.950000000000003</v>
          </cell>
          <cell r="AJ266">
            <v>-5.969498910675386E-2</v>
          </cell>
          <cell r="AK266">
            <v>0</v>
          </cell>
          <cell r="AL266">
            <v>0</v>
          </cell>
          <cell r="AM266">
            <v>0</v>
          </cell>
          <cell r="AN266">
            <v>22.950000000000003</v>
          </cell>
          <cell r="AO266">
            <v>32.130000000000003</v>
          </cell>
          <cell r="AQ266">
            <v>0</v>
          </cell>
          <cell r="AR266">
            <v>0</v>
          </cell>
          <cell r="AS266">
            <v>0</v>
          </cell>
          <cell r="AZ266">
            <v>22.950000000000003</v>
          </cell>
          <cell r="BA266">
            <v>0</v>
          </cell>
          <cell r="BB266">
            <v>0</v>
          </cell>
        </row>
        <row r="267">
          <cell r="A267">
            <v>612782</v>
          </cell>
          <cell r="B267" t="str">
            <v>ASCO JOUCOMATIC</v>
          </cell>
          <cell r="H267" t="str">
            <v>PERDU VU AVEC JOHN NE RIEN FAIRE SUITE MAIL DE M SEUMOIS</v>
          </cell>
          <cell r="I267">
            <v>0</v>
          </cell>
          <cell r="K267">
            <v>0</v>
          </cell>
          <cell r="M267" t="str">
            <v>NON</v>
          </cell>
          <cell r="O267" t="str">
            <v>Porte Feuille</v>
          </cell>
          <cell r="P267" t="str">
            <v>Non affecté</v>
          </cell>
          <cell r="Q267" t="str">
            <v>FP</v>
          </cell>
          <cell r="R267" t="str">
            <v>Rajouté</v>
          </cell>
          <cell r="S267" t="str">
            <v>GENNEVILLIERS</v>
          </cell>
          <cell r="T267" t="str">
            <v>28</v>
          </cell>
          <cell r="U267" t="str">
            <v>53 RUE DE LA BEAUCE</v>
          </cell>
          <cell r="V267" t="str">
            <v>28111</v>
          </cell>
          <cell r="W267" t="str">
            <v>LUCE</v>
          </cell>
          <cell r="X267" t="str">
            <v>M.</v>
          </cell>
          <cell r="Y267" t="str">
            <v>RENARD DIDIER</v>
          </cell>
          <cell r="Z267" t="str">
            <v>28111</v>
          </cell>
          <cell r="AA267" t="str">
            <v>LUCE</v>
          </cell>
          <cell r="AB267">
            <v>0</v>
          </cell>
          <cell r="AC267">
            <v>48.29</v>
          </cell>
          <cell r="AD267">
            <v>0</v>
          </cell>
          <cell r="AE267">
            <v>0</v>
          </cell>
          <cell r="AF267">
            <v>48.29</v>
          </cell>
          <cell r="AG267">
            <v>0</v>
          </cell>
          <cell r="AH267">
            <v>0</v>
          </cell>
          <cell r="AI267">
            <v>0</v>
          </cell>
          <cell r="AJ267">
            <v>0</v>
          </cell>
          <cell r="AK267">
            <v>21.23</v>
          </cell>
          <cell r="AL267">
            <v>0.18739205526770292</v>
          </cell>
          <cell r="AM267">
            <v>0</v>
          </cell>
          <cell r="AN267">
            <v>21.23</v>
          </cell>
          <cell r="AO267">
            <v>29.721999999999998</v>
          </cell>
          <cell r="AP267">
            <v>-0.38451025056947608</v>
          </cell>
          <cell r="AQ267" t="str">
            <v>028-G-28ASCO</v>
          </cell>
          <cell r="AR267">
            <v>0</v>
          </cell>
          <cell r="AS267">
            <v>39015</v>
          </cell>
          <cell r="AZ267">
            <v>0</v>
          </cell>
          <cell r="BA267">
            <v>21.23</v>
          </cell>
          <cell r="BB267">
            <v>0</v>
          </cell>
        </row>
        <row r="268">
          <cell r="A268">
            <v>544369</v>
          </cell>
          <cell r="B268" t="str">
            <v>GLOBAL TRANSPORT LOGISTIC INTERNAT</v>
          </cell>
          <cell r="H268" t="str">
            <v>PAS AGENCE GERANTE</v>
          </cell>
          <cell r="I268">
            <v>0</v>
          </cell>
          <cell r="K268">
            <v>0</v>
          </cell>
          <cell r="M268" t="str">
            <v>NON</v>
          </cell>
          <cell r="P268" t="str">
            <v>Non affecté</v>
          </cell>
          <cell r="Q268" t="str">
            <v>SM</v>
          </cell>
          <cell r="R268" t="str">
            <v>Ok mon client</v>
          </cell>
          <cell r="S268" t="str">
            <v>MOISSY CRAMAYEL</v>
          </cell>
          <cell r="T268" t="str">
            <v>38</v>
          </cell>
          <cell r="U268">
            <v>0</v>
          </cell>
          <cell r="V268">
            <v>0</v>
          </cell>
          <cell r="W268">
            <v>0</v>
          </cell>
          <cell r="X268">
            <v>0</v>
          </cell>
          <cell r="Y268">
            <v>0</v>
          </cell>
          <cell r="Z268" t="str">
            <v>38430</v>
          </cell>
          <cell r="AA268" t="str">
            <v>MOIRANS</v>
          </cell>
          <cell r="AB268">
            <v>0</v>
          </cell>
          <cell r="AC268">
            <v>0</v>
          </cell>
          <cell r="AD268">
            <v>0</v>
          </cell>
          <cell r="AE268">
            <v>0</v>
          </cell>
          <cell r="AF268">
            <v>0</v>
          </cell>
          <cell r="AG268">
            <v>0</v>
          </cell>
          <cell r="AH268">
            <v>0</v>
          </cell>
          <cell r="AI268">
            <v>20.490000000000002</v>
          </cell>
          <cell r="AJ268">
            <v>3.3186920448999326E-2</v>
          </cell>
          <cell r="AK268">
            <v>0</v>
          </cell>
          <cell r="AL268">
            <v>0</v>
          </cell>
          <cell r="AM268">
            <v>0</v>
          </cell>
          <cell r="AN268">
            <v>20.490000000000002</v>
          </cell>
          <cell r="AO268">
            <v>28.686</v>
          </cell>
          <cell r="AQ268">
            <v>0</v>
          </cell>
          <cell r="AR268">
            <v>0</v>
          </cell>
          <cell r="AS268">
            <v>0</v>
          </cell>
          <cell r="AZ268">
            <v>20.490000000000002</v>
          </cell>
          <cell r="BA268">
            <v>0</v>
          </cell>
          <cell r="BB268">
            <v>0</v>
          </cell>
        </row>
        <row r="269">
          <cell r="A269">
            <v>383435</v>
          </cell>
          <cell r="B269" t="str">
            <v>EREM SARL</v>
          </cell>
          <cell r="H269" t="str">
            <v>AGENCE GERANTE 042</v>
          </cell>
          <cell r="I269">
            <v>0</v>
          </cell>
          <cell r="K269">
            <v>0</v>
          </cell>
          <cell r="M269" t="str">
            <v>NON</v>
          </cell>
          <cell r="P269" t="str">
            <v>Non affecté</v>
          </cell>
          <cell r="Q269" t="str">
            <v>SM</v>
          </cell>
          <cell r="R269" t="str">
            <v>Ok mon client</v>
          </cell>
          <cell r="S269" t="str">
            <v>MOISSY CRAMAYEL</v>
          </cell>
          <cell r="T269" t="str">
            <v>60</v>
          </cell>
          <cell r="U269">
            <v>0</v>
          </cell>
          <cell r="V269">
            <v>0</v>
          </cell>
          <cell r="W269">
            <v>0</v>
          </cell>
          <cell r="X269">
            <v>0</v>
          </cell>
          <cell r="Y269">
            <v>0</v>
          </cell>
          <cell r="Z269" t="str">
            <v>60130</v>
          </cell>
          <cell r="AA269" t="str">
            <v>WAVIGNIES</v>
          </cell>
          <cell r="AB269">
            <v>0</v>
          </cell>
          <cell r="AC269">
            <v>0</v>
          </cell>
          <cell r="AD269">
            <v>0</v>
          </cell>
          <cell r="AE269">
            <v>0</v>
          </cell>
          <cell r="AF269">
            <v>0</v>
          </cell>
          <cell r="AG269">
            <v>0</v>
          </cell>
          <cell r="AH269">
            <v>0</v>
          </cell>
          <cell r="AI269">
            <v>17.7</v>
          </cell>
          <cell r="AJ269">
            <v>-0.56892655367231637</v>
          </cell>
          <cell r="AK269">
            <v>0</v>
          </cell>
          <cell r="AL269">
            <v>0</v>
          </cell>
          <cell r="AM269">
            <v>0</v>
          </cell>
          <cell r="AN269">
            <v>17.7</v>
          </cell>
          <cell r="AO269">
            <v>24.779999999999998</v>
          </cell>
          <cell r="AQ269">
            <v>0</v>
          </cell>
          <cell r="AR269">
            <v>0</v>
          </cell>
          <cell r="AS269">
            <v>0</v>
          </cell>
          <cell r="AZ269">
            <v>17.7</v>
          </cell>
          <cell r="BA269">
            <v>0</v>
          </cell>
          <cell r="BB269">
            <v>0</v>
          </cell>
        </row>
        <row r="270">
          <cell r="A270">
            <v>695109</v>
          </cell>
          <cell r="B270" t="str">
            <v>FRANCE MARQUES INTERNATIONAL</v>
          </cell>
          <cell r="H270" t="str">
            <v>idem europ cosmetic</v>
          </cell>
          <cell r="I270">
            <v>0</v>
          </cell>
          <cell r="K270">
            <v>0</v>
          </cell>
          <cell r="M270" t="str">
            <v>NON</v>
          </cell>
          <cell r="P270" t="str">
            <v>Non affecté</v>
          </cell>
          <cell r="Q270" t="str">
            <v>FR</v>
          </cell>
          <cell r="R270" t="str">
            <v>Ok mon client</v>
          </cell>
          <cell r="S270" t="str">
            <v>MOISSY CRAMAYEL</v>
          </cell>
          <cell r="T270" t="str">
            <v>77</v>
          </cell>
          <cell r="U270" t="str">
            <v>315 RUE DES EPINETTES</v>
          </cell>
          <cell r="V270">
            <v>77200</v>
          </cell>
          <cell r="W270" t="str">
            <v>TORCY</v>
          </cell>
          <cell r="X270" t="str">
            <v>Mme</v>
          </cell>
          <cell r="Y270" t="str">
            <v>Fatima,Sonia, Nadia</v>
          </cell>
          <cell r="Z270" t="str">
            <v>77200</v>
          </cell>
          <cell r="AA270" t="str">
            <v>TORCY</v>
          </cell>
          <cell r="AB270">
            <v>0</v>
          </cell>
          <cell r="AC270">
            <v>732.74000000000012</v>
          </cell>
          <cell r="AD270">
            <v>0</v>
          </cell>
          <cell r="AE270">
            <v>0</v>
          </cell>
          <cell r="AF270">
            <v>732.74000000000012</v>
          </cell>
          <cell r="AG270">
            <v>0</v>
          </cell>
          <cell r="AH270">
            <v>0</v>
          </cell>
          <cell r="AI270">
            <v>13.25</v>
          </cell>
          <cell r="AJ270">
            <v>0.51094339622641505</v>
          </cell>
          <cell r="AK270">
            <v>0</v>
          </cell>
          <cell r="AL270">
            <v>0</v>
          </cell>
          <cell r="AM270">
            <v>0</v>
          </cell>
          <cell r="AN270">
            <v>13.25</v>
          </cell>
          <cell r="AO270">
            <v>18.549999999999997</v>
          </cell>
          <cell r="AP270">
            <v>-0.97468406255970741</v>
          </cell>
          <cell r="AQ270" t="str">
            <v>024-G-77FMI</v>
          </cell>
          <cell r="AR270">
            <v>0</v>
          </cell>
          <cell r="AS270">
            <v>0</v>
          </cell>
          <cell r="AZ270">
            <v>13.25</v>
          </cell>
          <cell r="BA270">
            <v>0</v>
          </cell>
          <cell r="BB270">
            <v>0</v>
          </cell>
        </row>
        <row r="271">
          <cell r="A271">
            <v>523746</v>
          </cell>
          <cell r="B271" t="str">
            <v>SANIAL MESSAGERIES</v>
          </cell>
          <cell r="H271" t="str">
            <v>PAS AGENCE GERANTE</v>
          </cell>
          <cell r="I271">
            <v>0</v>
          </cell>
          <cell r="K271">
            <v>0</v>
          </cell>
          <cell r="M271" t="str">
            <v>NON</v>
          </cell>
          <cell r="P271" t="str">
            <v>Non affecté</v>
          </cell>
          <cell r="Q271" t="str">
            <v>SM</v>
          </cell>
          <cell r="R271" t="str">
            <v>Ok mon client</v>
          </cell>
          <cell r="S271" t="str">
            <v>MOISSY CRAMAYEL</v>
          </cell>
          <cell r="T271" t="str">
            <v>43</v>
          </cell>
          <cell r="U271">
            <v>0</v>
          </cell>
          <cell r="V271">
            <v>0</v>
          </cell>
          <cell r="W271">
            <v>0</v>
          </cell>
          <cell r="X271">
            <v>0</v>
          </cell>
          <cell r="Y271">
            <v>0</v>
          </cell>
          <cell r="Z271" t="str">
            <v>43700</v>
          </cell>
          <cell r="AA271" t="str">
            <v>SAINT GERMAIN LAPRADE</v>
          </cell>
          <cell r="AB271">
            <v>0</v>
          </cell>
          <cell r="AC271">
            <v>0</v>
          </cell>
          <cell r="AD271">
            <v>0</v>
          </cell>
          <cell r="AE271">
            <v>0</v>
          </cell>
          <cell r="AF271">
            <v>0</v>
          </cell>
          <cell r="AG271">
            <v>0</v>
          </cell>
          <cell r="AH271">
            <v>0</v>
          </cell>
          <cell r="AI271">
            <v>8.24</v>
          </cell>
          <cell r="AJ271">
            <v>-5.6990291262135919</v>
          </cell>
          <cell r="AK271">
            <v>0</v>
          </cell>
          <cell r="AL271">
            <v>0</v>
          </cell>
          <cell r="AM271">
            <v>0</v>
          </cell>
          <cell r="AN271">
            <v>8.24</v>
          </cell>
          <cell r="AO271">
            <v>11.536</v>
          </cell>
          <cell r="AQ271">
            <v>0</v>
          </cell>
          <cell r="AR271">
            <v>0</v>
          </cell>
          <cell r="AS271">
            <v>0</v>
          </cell>
          <cell r="AZ271">
            <v>8.24</v>
          </cell>
          <cell r="BA271">
            <v>0</v>
          </cell>
          <cell r="BB271">
            <v>0</v>
          </cell>
        </row>
        <row r="272">
          <cell r="A272">
            <v>585756</v>
          </cell>
          <cell r="B272" t="str">
            <v>EUROPA ROLLERS SELECTION</v>
          </cell>
          <cell r="H272" t="str">
            <v>AGENCE GERANTE 004</v>
          </cell>
          <cell r="I272">
            <v>0</v>
          </cell>
          <cell r="K272">
            <v>0</v>
          </cell>
          <cell r="M272" t="str">
            <v>NON</v>
          </cell>
          <cell r="P272" t="str">
            <v>Non affecté</v>
          </cell>
          <cell r="Q272" t="str">
            <v>FR</v>
          </cell>
          <cell r="R272" t="str">
            <v>Rajouté</v>
          </cell>
          <cell r="S272" t="str">
            <v>MOISSY CRAMAYEL</v>
          </cell>
          <cell r="T272" t="str">
            <v>77</v>
          </cell>
          <cell r="U272">
            <v>0</v>
          </cell>
          <cell r="V272">
            <v>0</v>
          </cell>
          <cell r="W272">
            <v>0</v>
          </cell>
          <cell r="X272">
            <v>0</v>
          </cell>
          <cell r="Y272">
            <v>0</v>
          </cell>
          <cell r="Z272" t="str">
            <v>7700</v>
          </cell>
          <cell r="AA272" t="str">
            <v>MOUSCRON</v>
          </cell>
          <cell r="AB272">
            <v>0</v>
          </cell>
          <cell r="AC272">
            <v>0</v>
          </cell>
          <cell r="AD272">
            <v>0</v>
          </cell>
          <cell r="AE272">
            <v>0</v>
          </cell>
          <cell r="AF272">
            <v>0</v>
          </cell>
          <cell r="AG272">
            <v>0</v>
          </cell>
          <cell r="AH272">
            <v>0</v>
          </cell>
          <cell r="AI272">
            <v>0</v>
          </cell>
          <cell r="AJ272">
            <v>0</v>
          </cell>
          <cell r="AK272">
            <v>1.9300000000000002</v>
          </cell>
          <cell r="AL272">
            <v>0</v>
          </cell>
          <cell r="AM272">
            <v>0</v>
          </cell>
          <cell r="AN272">
            <v>1.9300000000000002</v>
          </cell>
          <cell r="AO272">
            <v>2.702</v>
          </cell>
          <cell r="AQ272">
            <v>0</v>
          </cell>
          <cell r="AR272">
            <v>0</v>
          </cell>
          <cell r="AS272">
            <v>0</v>
          </cell>
          <cell r="AZ272">
            <v>0</v>
          </cell>
          <cell r="BA272">
            <v>1.9300000000000002</v>
          </cell>
          <cell r="BB272">
            <v>0</v>
          </cell>
        </row>
        <row r="273">
          <cell r="A273">
            <v>378772</v>
          </cell>
          <cell r="B273" t="str">
            <v>SME DISTRIBUTION</v>
          </cell>
          <cell r="H273" t="str">
            <v>PLUS DE CA /PAS DE HAUSSE</v>
          </cell>
          <cell r="I273">
            <v>0</v>
          </cell>
          <cell r="K273">
            <v>0</v>
          </cell>
          <cell r="M273" t="str">
            <v>NON</v>
          </cell>
          <cell r="P273" t="str">
            <v>DCM</v>
          </cell>
          <cell r="S273" t="str">
            <v>MOISSY CRAMAYEL</v>
          </cell>
          <cell r="T273" t="str">
            <v>77</v>
          </cell>
          <cell r="U273" t="str">
            <v>8 AVENUE DE L'EUROPE</v>
          </cell>
          <cell r="V273">
            <v>77600</v>
          </cell>
          <cell r="W273" t="str">
            <v>BUSSY ST GEORGES</v>
          </cell>
          <cell r="Z273" t="str">
            <v>77600</v>
          </cell>
          <cell r="AA273" t="str">
            <v>BUSSY ST GEORGES</v>
          </cell>
          <cell r="AO273">
            <v>0</v>
          </cell>
          <cell r="AZ273">
            <v>0</v>
          </cell>
          <cell r="BA273">
            <v>0</v>
          </cell>
          <cell r="BB273">
            <v>0</v>
          </cell>
        </row>
        <row r="274">
          <cell r="A274">
            <v>495308</v>
          </cell>
          <cell r="B274" t="str">
            <v>MEUBLES IKEA FRANCE</v>
          </cell>
          <cell r="H274" t="str">
            <v>PLUS DE CA /PAS DE HAUSSE</v>
          </cell>
          <cell r="I274">
            <v>0</v>
          </cell>
          <cell r="K274">
            <v>0</v>
          </cell>
          <cell r="M274" t="str">
            <v>NON</v>
          </cell>
          <cell r="P274" t="str">
            <v>DCM</v>
          </cell>
          <cell r="S274" t="str">
            <v>MOISSY CRAMAYEL</v>
          </cell>
          <cell r="T274" t="str">
            <v>78</v>
          </cell>
          <cell r="U274" t="str">
            <v>425 RUE HENRI BARBUSSE</v>
          </cell>
          <cell r="V274" t="str">
            <v>78375</v>
          </cell>
          <cell r="W274" t="str">
            <v>PLAISIR</v>
          </cell>
          <cell r="Z274" t="str">
            <v>78375</v>
          </cell>
          <cell r="AA274" t="str">
            <v>PLAISIR</v>
          </cell>
          <cell r="AB274">
            <v>575</v>
          </cell>
          <cell r="AF274">
            <v>575</v>
          </cell>
          <cell r="AO274">
            <v>0</v>
          </cell>
          <cell r="AP274">
            <v>-1</v>
          </cell>
          <cell r="AQ274" t="str">
            <v>024-G-G-M-KG</v>
          </cell>
          <cell r="AZ274">
            <v>0</v>
          </cell>
          <cell r="BA274">
            <v>0</v>
          </cell>
          <cell r="BB274">
            <v>0</v>
          </cell>
        </row>
        <row r="275">
          <cell r="A275">
            <v>521520</v>
          </cell>
          <cell r="B275" t="str">
            <v>REXEL FRANCE IDFC</v>
          </cell>
          <cell r="H275" t="str">
            <v>PLUS DE CA /PAS DE HAUSSE</v>
          </cell>
          <cell r="I275">
            <v>0</v>
          </cell>
          <cell r="K275">
            <v>0</v>
          </cell>
          <cell r="M275" t="str">
            <v>NON</v>
          </cell>
          <cell r="P275" t="str">
            <v>DCM</v>
          </cell>
          <cell r="S275" t="str">
            <v>MOISSY CRAMAYEL</v>
          </cell>
          <cell r="T275" t="str">
            <v>93</v>
          </cell>
          <cell r="U275" t="str">
            <v>6 / 8 RUE PAUL CEZANNE</v>
          </cell>
          <cell r="V275" t="str">
            <v>93365</v>
          </cell>
          <cell r="W275" t="str">
            <v>NEUILLY PLAISANCE</v>
          </cell>
          <cell r="Y275" t="str">
            <v>Directeur Logistique et Transports</v>
          </cell>
          <cell r="Z275" t="str">
            <v>93365</v>
          </cell>
          <cell r="AA275" t="str">
            <v>NEUILLY PLAISANCE</v>
          </cell>
          <cell r="AC275">
            <v>4094.42</v>
          </cell>
          <cell r="AF275">
            <v>4094.42</v>
          </cell>
          <cell r="AO275">
            <v>0</v>
          </cell>
          <cell r="AP275">
            <v>-1</v>
          </cell>
          <cell r="AQ275" t="str">
            <v>024-G-77AFEGROUP</v>
          </cell>
          <cell r="AZ275">
            <v>0</v>
          </cell>
          <cell r="BA275">
            <v>0</v>
          </cell>
          <cell r="BB275">
            <v>0</v>
          </cell>
        </row>
        <row r="276">
          <cell r="A276">
            <v>828505</v>
          </cell>
          <cell r="B276" t="str">
            <v>MARJIC MOTORS FRANCE</v>
          </cell>
          <cell r="H276" t="str">
            <v>PLUS DE CA /PAS DE HAUSSE</v>
          </cell>
          <cell r="I276">
            <v>0</v>
          </cell>
          <cell r="K276">
            <v>0</v>
          </cell>
          <cell r="M276" t="str">
            <v>NON</v>
          </cell>
          <cell r="P276" t="str">
            <v>DCM</v>
          </cell>
          <cell r="S276" t="str">
            <v>MOISSY CRAMAYEL</v>
          </cell>
          <cell r="T276" t="str">
            <v>77</v>
          </cell>
          <cell r="U276" t="str">
            <v>1 ALLEE DES LAURIERS</v>
          </cell>
          <cell r="V276">
            <v>77930</v>
          </cell>
          <cell r="W276" t="str">
            <v>CHAILLY EN BIERE</v>
          </cell>
          <cell r="Y276" t="str">
            <v>Directeur Logistique et Transports</v>
          </cell>
          <cell r="Z276" t="str">
            <v>77930</v>
          </cell>
          <cell r="AA276" t="str">
            <v>CHAILLY EN BIERE</v>
          </cell>
          <cell r="AC276">
            <v>40.869999999999997</v>
          </cell>
          <cell r="AF276">
            <v>40.869999999999997</v>
          </cell>
          <cell r="AO276">
            <v>0</v>
          </cell>
          <cell r="AP276">
            <v>-1</v>
          </cell>
          <cell r="AQ276" t="str">
            <v>024-G-77 MARJICMOTOR</v>
          </cell>
          <cell r="AR276" t="str">
            <v>024-L-77MARJICMOTOR</v>
          </cell>
          <cell r="AZ276">
            <v>0</v>
          </cell>
          <cell r="BA276">
            <v>0</v>
          </cell>
          <cell r="BB276">
            <v>0</v>
          </cell>
        </row>
        <row r="277">
          <cell r="A277">
            <v>841118</v>
          </cell>
          <cell r="B277" t="str">
            <v>LEROY MERLIN VALLAURIS</v>
          </cell>
          <cell r="H277" t="str">
            <v>PLUS DE CA /PAS DE HAUSSE</v>
          </cell>
          <cell r="I277">
            <v>0</v>
          </cell>
          <cell r="K277">
            <v>0</v>
          </cell>
          <cell r="M277" t="str">
            <v>NON</v>
          </cell>
          <cell r="P277" t="str">
            <v>DCM</v>
          </cell>
          <cell r="S277" t="str">
            <v>MOISSY CRAMAYEL</v>
          </cell>
          <cell r="T277" t="str">
            <v>06</v>
          </cell>
          <cell r="Z277" t="str">
            <v>06220</v>
          </cell>
          <cell r="AA277" t="str">
            <v>VALLAURIS</v>
          </cell>
          <cell r="AO277">
            <v>0</v>
          </cell>
          <cell r="AZ277">
            <v>0</v>
          </cell>
          <cell r="BA277">
            <v>0</v>
          </cell>
          <cell r="BB277">
            <v>0</v>
          </cell>
        </row>
        <row r="278">
          <cell r="A278">
            <v>202974</v>
          </cell>
          <cell r="B278" t="str">
            <v>T S E FRANCE</v>
          </cell>
          <cell r="H278" t="str">
            <v>PAS DE CONTRAT DANS INES</v>
          </cell>
          <cell r="I278">
            <v>0</v>
          </cell>
          <cell r="K278">
            <v>0</v>
          </cell>
          <cell r="M278" t="str">
            <v>NON</v>
          </cell>
          <cell r="P278" t="str">
            <v>Non affecté</v>
          </cell>
          <cell r="Q278" t="str">
            <v>FP</v>
          </cell>
          <cell r="R278" t="str">
            <v>Rajouté</v>
          </cell>
          <cell r="S278" t="str">
            <v>GENNEVILLIERS</v>
          </cell>
          <cell r="T278" t="str">
            <v>94</v>
          </cell>
          <cell r="U278" t="str">
            <v>27 A 29 RUE GAY LUSSAC</v>
          </cell>
          <cell r="V278">
            <v>94430</v>
          </cell>
          <cell r="W278" t="str">
            <v>CHENNEVIERES S/MARNE</v>
          </cell>
          <cell r="X278">
            <v>0</v>
          </cell>
          <cell r="Y278">
            <v>0</v>
          </cell>
          <cell r="Z278" t="str">
            <v>94430</v>
          </cell>
          <cell r="AA278" t="str">
            <v>CHENNEVIERES S/MARNE</v>
          </cell>
          <cell r="AB278">
            <v>-725</v>
          </cell>
          <cell r="AC278">
            <v>0</v>
          </cell>
          <cell r="AD278">
            <v>0</v>
          </cell>
          <cell r="AE278">
            <v>0</v>
          </cell>
          <cell r="AF278">
            <v>-725</v>
          </cell>
          <cell r="AG278">
            <v>0</v>
          </cell>
          <cell r="AH278">
            <v>0</v>
          </cell>
          <cell r="AI278">
            <v>0</v>
          </cell>
          <cell r="AJ278">
            <v>0</v>
          </cell>
          <cell r="AK278">
            <v>0</v>
          </cell>
          <cell r="AL278">
            <v>0</v>
          </cell>
          <cell r="AM278">
            <v>0</v>
          </cell>
          <cell r="AN278">
            <v>0</v>
          </cell>
          <cell r="AO278">
            <v>0</v>
          </cell>
          <cell r="AP278">
            <v>-1</v>
          </cell>
          <cell r="AQ278">
            <v>0</v>
          </cell>
          <cell r="AR278">
            <v>0</v>
          </cell>
          <cell r="AS278">
            <v>0</v>
          </cell>
          <cell r="AZ278">
            <v>0</v>
          </cell>
          <cell r="BA278">
            <v>0</v>
          </cell>
          <cell r="BB278">
            <v>0</v>
          </cell>
        </row>
        <row r="279">
          <cell r="A279">
            <v>505249</v>
          </cell>
          <cell r="B279" t="str">
            <v>ESPACE CENTURY</v>
          </cell>
          <cell r="H279" t="str">
            <v>PAS DE CONTRAT DANS INES</v>
          </cell>
          <cell r="I279">
            <v>0</v>
          </cell>
          <cell r="K279">
            <v>0</v>
          </cell>
          <cell r="M279" t="str">
            <v>NON</v>
          </cell>
          <cell r="P279" t="str">
            <v>Non affecté</v>
          </cell>
          <cell r="Q279" t="str">
            <v>SM</v>
          </cell>
          <cell r="R279" t="str">
            <v>Rajouté</v>
          </cell>
          <cell r="S279" t="str">
            <v>GENNEVILLIERS</v>
          </cell>
          <cell r="T279" t="str">
            <v>91</v>
          </cell>
          <cell r="U279" t="str">
            <v>1 B RUE ATHIS</v>
          </cell>
          <cell r="V279" t="str">
            <v>91380</v>
          </cell>
          <cell r="W279" t="str">
            <v>CHILLY MAZARIN</v>
          </cell>
          <cell r="X279">
            <v>0</v>
          </cell>
          <cell r="Y279">
            <v>0</v>
          </cell>
          <cell r="Z279" t="str">
            <v>91380</v>
          </cell>
          <cell r="AA279" t="str">
            <v>CHILLY MAZARIN</v>
          </cell>
          <cell r="AB279">
            <v>0</v>
          </cell>
          <cell r="AC279">
            <v>0</v>
          </cell>
          <cell r="AD279">
            <v>51.02</v>
          </cell>
          <cell r="AE279">
            <v>0</v>
          </cell>
          <cell r="AF279">
            <v>51.02</v>
          </cell>
          <cell r="AG279">
            <v>0</v>
          </cell>
          <cell r="AH279">
            <v>0</v>
          </cell>
          <cell r="AI279">
            <v>0</v>
          </cell>
          <cell r="AJ279">
            <v>0</v>
          </cell>
          <cell r="AK279">
            <v>0</v>
          </cell>
          <cell r="AL279">
            <v>0</v>
          </cell>
          <cell r="AM279">
            <v>0</v>
          </cell>
          <cell r="AN279">
            <v>0</v>
          </cell>
          <cell r="AO279">
            <v>0</v>
          </cell>
          <cell r="AP279">
            <v>-1</v>
          </cell>
          <cell r="AQ279">
            <v>0</v>
          </cell>
          <cell r="AR279">
            <v>0</v>
          </cell>
          <cell r="AS279">
            <v>0</v>
          </cell>
          <cell r="AZ279">
            <v>0</v>
          </cell>
          <cell r="BA279">
            <v>0</v>
          </cell>
          <cell r="BB279">
            <v>0</v>
          </cell>
        </row>
        <row r="280">
          <cell r="A280">
            <v>585969</v>
          </cell>
          <cell r="B280" t="str">
            <v>EPI D'OR DIFFUSION SARL</v>
          </cell>
          <cell r="H280" t="str">
            <v>HORS SERVICE 01/04/2010</v>
          </cell>
          <cell r="I280">
            <v>0</v>
          </cell>
          <cell r="K280">
            <v>0</v>
          </cell>
          <cell r="M280" t="str">
            <v>NON</v>
          </cell>
          <cell r="P280" t="str">
            <v>Non affecté</v>
          </cell>
          <cell r="Q280" t="str">
            <v>FP</v>
          </cell>
          <cell r="R280" t="str">
            <v>Rajouté</v>
          </cell>
          <cell r="S280" t="str">
            <v>GENNEVILLIERS</v>
          </cell>
          <cell r="T280" t="str">
            <v>94</v>
          </cell>
          <cell r="U280" t="str">
            <v>3 AV DE L'EPI D'OR</v>
          </cell>
          <cell r="V280">
            <v>94800</v>
          </cell>
          <cell r="W280" t="str">
            <v>VILLEJUIF</v>
          </cell>
          <cell r="X280">
            <v>0</v>
          </cell>
          <cell r="Y280">
            <v>0</v>
          </cell>
          <cell r="Z280" t="str">
            <v>94800</v>
          </cell>
          <cell r="AA280" t="str">
            <v>VILLEJUIF</v>
          </cell>
          <cell r="AB280">
            <v>0</v>
          </cell>
          <cell r="AC280">
            <v>0</v>
          </cell>
          <cell r="AD280">
            <v>1693.33</v>
          </cell>
          <cell r="AE280">
            <v>0</v>
          </cell>
          <cell r="AF280">
            <v>1693.33</v>
          </cell>
          <cell r="AG280">
            <v>0</v>
          </cell>
          <cell r="AH280">
            <v>0</v>
          </cell>
          <cell r="AI280">
            <v>0</v>
          </cell>
          <cell r="AJ280">
            <v>0</v>
          </cell>
          <cell r="AK280">
            <v>0</v>
          </cell>
          <cell r="AL280">
            <v>0</v>
          </cell>
          <cell r="AM280">
            <v>0</v>
          </cell>
          <cell r="AN280">
            <v>0</v>
          </cell>
          <cell r="AO280">
            <v>0</v>
          </cell>
          <cell r="AP280">
            <v>-1</v>
          </cell>
          <cell r="AQ280" t="str">
            <v>024-G-94EPI</v>
          </cell>
          <cell r="AR280" t="str">
            <v>024-L-94EPI</v>
          </cell>
          <cell r="AS280">
            <v>0</v>
          </cell>
          <cell r="AZ280">
            <v>0</v>
          </cell>
          <cell r="BA280">
            <v>0</v>
          </cell>
          <cell r="BB280">
            <v>0</v>
          </cell>
        </row>
        <row r="281">
          <cell r="A281">
            <v>624076</v>
          </cell>
          <cell r="B281" t="str">
            <v>PROTEC CROSNE</v>
          </cell>
          <cell r="C281">
            <v>0.2</v>
          </cell>
          <cell r="D281">
            <v>0.1</v>
          </cell>
          <cell r="E281">
            <v>0.02</v>
          </cell>
          <cell r="F281">
            <v>41334</v>
          </cell>
          <cell r="I281">
            <v>0</v>
          </cell>
          <cell r="K281">
            <v>0</v>
          </cell>
          <cell r="L281" t="str">
            <v>OK</v>
          </cell>
          <cell r="M281" t="str">
            <v>OK</v>
          </cell>
          <cell r="P281" t="str">
            <v>Non affecté</v>
          </cell>
          <cell r="Q281" t="str">
            <v>SM</v>
          </cell>
          <cell r="R281" t="str">
            <v>Rajouté</v>
          </cell>
          <cell r="S281" t="str">
            <v>GENNEVILLIERS</v>
          </cell>
          <cell r="T281" t="str">
            <v>91</v>
          </cell>
          <cell r="U281" t="str">
            <v>46 RUE DES ENTREPRENEURS</v>
          </cell>
          <cell r="V281">
            <v>91560</v>
          </cell>
          <cell r="W281" t="str">
            <v>CROSNE</v>
          </cell>
          <cell r="X281">
            <v>0</v>
          </cell>
          <cell r="Y281">
            <v>0</v>
          </cell>
          <cell r="Z281" t="str">
            <v>91560</v>
          </cell>
          <cell r="AA281" t="str">
            <v>CROSNE</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Q281" t="str">
            <v>024-G-91PROTEC</v>
          </cell>
          <cell r="AR281">
            <v>0</v>
          </cell>
          <cell r="AS281">
            <v>39070</v>
          </cell>
          <cell r="AZ281">
            <v>0</v>
          </cell>
          <cell r="BA281">
            <v>0</v>
          </cell>
          <cell r="BB281">
            <v>0</v>
          </cell>
        </row>
        <row r="282">
          <cell r="A282">
            <v>819205</v>
          </cell>
          <cell r="B282" t="str">
            <v>ADER SARL</v>
          </cell>
          <cell r="H282" t="str">
            <v>INCONNU</v>
          </cell>
          <cell r="I282">
            <v>0</v>
          </cell>
          <cell r="K282">
            <v>0</v>
          </cell>
          <cell r="M282" t="str">
            <v>NON</v>
          </cell>
          <cell r="P282" t="str">
            <v>Non affecté</v>
          </cell>
          <cell r="Q282" t="str">
            <v>SM</v>
          </cell>
          <cell r="R282" t="str">
            <v>Rajouté</v>
          </cell>
          <cell r="S282" t="str">
            <v>GENNEVILLIERS</v>
          </cell>
          <cell r="T282" t="str">
            <v>91</v>
          </cell>
          <cell r="U282" t="str">
            <v>45 RUE BOELDIEU</v>
          </cell>
          <cell r="V282">
            <v>91480</v>
          </cell>
          <cell r="W282" t="str">
            <v>VARENNES JARCY</v>
          </cell>
          <cell r="X282">
            <v>0</v>
          </cell>
          <cell r="Y282">
            <v>0</v>
          </cell>
          <cell r="Z282" t="str">
            <v>91480</v>
          </cell>
          <cell r="AA282" t="str">
            <v>VARENNES JARCY</v>
          </cell>
          <cell r="AB282">
            <v>0</v>
          </cell>
          <cell r="AC282">
            <v>517.98</v>
          </cell>
          <cell r="AD282">
            <v>0</v>
          </cell>
          <cell r="AE282">
            <v>0</v>
          </cell>
          <cell r="AF282">
            <v>517.98</v>
          </cell>
          <cell r="AG282">
            <v>0</v>
          </cell>
          <cell r="AH282">
            <v>0</v>
          </cell>
          <cell r="AI282">
            <v>0</v>
          </cell>
          <cell r="AJ282">
            <v>0</v>
          </cell>
          <cell r="AK282">
            <v>0</v>
          </cell>
          <cell r="AL282">
            <v>0</v>
          </cell>
          <cell r="AM282">
            <v>0</v>
          </cell>
          <cell r="AN282">
            <v>0</v>
          </cell>
          <cell r="AO282">
            <v>0</v>
          </cell>
          <cell r="AP282">
            <v>-1</v>
          </cell>
          <cell r="AQ282">
            <v>0</v>
          </cell>
          <cell r="AR282">
            <v>0</v>
          </cell>
          <cell r="AS282">
            <v>0</v>
          </cell>
          <cell r="AZ282">
            <v>0</v>
          </cell>
          <cell r="BA282">
            <v>0</v>
          </cell>
          <cell r="BB282">
            <v>0</v>
          </cell>
        </row>
        <row r="283">
          <cell r="A283">
            <v>846578</v>
          </cell>
          <cell r="B283" t="str">
            <v>GEOMATECH</v>
          </cell>
          <cell r="H283" t="str">
            <v>PAS DE CONTRAT DANS INES</v>
          </cell>
          <cell r="I283">
            <v>0</v>
          </cell>
          <cell r="K283">
            <v>0</v>
          </cell>
          <cell r="M283" t="str">
            <v>NON</v>
          </cell>
          <cell r="P283" t="str">
            <v>Non affecté</v>
          </cell>
          <cell r="Q283" t="str">
            <v>SM</v>
          </cell>
          <cell r="R283" t="str">
            <v>Rajouté</v>
          </cell>
          <cell r="S283" t="str">
            <v>GENNEVILLIERS</v>
          </cell>
          <cell r="T283" t="str">
            <v>91</v>
          </cell>
          <cell r="U283" t="str">
            <v>ZA DES CLOTAIS</v>
          </cell>
          <cell r="V283">
            <v>91160</v>
          </cell>
          <cell r="W283" t="str">
            <v>CHAMPLAN</v>
          </cell>
          <cell r="X283">
            <v>0</v>
          </cell>
          <cell r="Y283" t="str">
            <v>Directeur Logistique et Transports</v>
          </cell>
          <cell r="Z283" t="str">
            <v>91160</v>
          </cell>
          <cell r="AA283" t="str">
            <v>CHAMPLAN</v>
          </cell>
          <cell r="AB283">
            <v>1410</v>
          </cell>
          <cell r="AC283">
            <v>0</v>
          </cell>
          <cell r="AD283">
            <v>0</v>
          </cell>
          <cell r="AE283">
            <v>0</v>
          </cell>
          <cell r="AF283">
            <v>1410</v>
          </cell>
          <cell r="AG283">
            <v>0</v>
          </cell>
          <cell r="AH283">
            <v>0</v>
          </cell>
          <cell r="AI283">
            <v>0</v>
          </cell>
          <cell r="AJ283">
            <v>0</v>
          </cell>
          <cell r="AK283">
            <v>0</v>
          </cell>
          <cell r="AL283">
            <v>0</v>
          </cell>
          <cell r="AM283">
            <v>0</v>
          </cell>
          <cell r="AN283">
            <v>0</v>
          </cell>
          <cell r="AO283">
            <v>0</v>
          </cell>
          <cell r="AP283">
            <v>-1</v>
          </cell>
          <cell r="AQ283">
            <v>0</v>
          </cell>
          <cell r="AR283">
            <v>0</v>
          </cell>
          <cell r="AS283">
            <v>40682</v>
          </cell>
          <cell r="AZ283">
            <v>0</v>
          </cell>
          <cell r="BA283">
            <v>0</v>
          </cell>
          <cell r="BB283">
            <v>0</v>
          </cell>
        </row>
        <row r="284">
          <cell r="A284">
            <v>9004</v>
          </cell>
          <cell r="B284" t="str">
            <v>FACOM  (SERVICE TRANSPORT)</v>
          </cell>
          <cell r="H284" t="str">
            <v>PAS DE CONTRAT DANS INES</v>
          </cell>
          <cell r="I284">
            <v>0</v>
          </cell>
          <cell r="K284">
            <v>0</v>
          </cell>
          <cell r="M284" t="str">
            <v>NON</v>
          </cell>
          <cell r="P284" t="str">
            <v>Non affecté</v>
          </cell>
          <cell r="Q284" t="str">
            <v>SM</v>
          </cell>
          <cell r="R284" t="str">
            <v>Rajouté</v>
          </cell>
          <cell r="S284" t="str">
            <v>GENNEVILLIERS</v>
          </cell>
          <cell r="T284" t="str">
            <v>91</v>
          </cell>
          <cell r="U284" t="str">
            <v>6 RUE G EIFFEL    BP 33</v>
          </cell>
          <cell r="V284">
            <v>91420</v>
          </cell>
          <cell r="W284" t="str">
            <v>MORANGIS</v>
          </cell>
          <cell r="X284">
            <v>0</v>
          </cell>
          <cell r="Y284">
            <v>0</v>
          </cell>
          <cell r="Z284" t="str">
            <v>91420</v>
          </cell>
          <cell r="AA284" t="str">
            <v>MORANGIS</v>
          </cell>
          <cell r="AB284">
            <v>0</v>
          </cell>
          <cell r="AC284">
            <v>0</v>
          </cell>
          <cell r="AD284">
            <v>99.12</v>
          </cell>
          <cell r="AE284">
            <v>0</v>
          </cell>
          <cell r="AF284">
            <v>99.12</v>
          </cell>
          <cell r="AG284">
            <v>0</v>
          </cell>
          <cell r="AH284">
            <v>0</v>
          </cell>
          <cell r="AI284">
            <v>0</v>
          </cell>
          <cell r="AJ284">
            <v>0</v>
          </cell>
          <cell r="AK284">
            <v>0</v>
          </cell>
          <cell r="AL284">
            <v>0</v>
          </cell>
          <cell r="AM284">
            <v>0</v>
          </cell>
          <cell r="AN284">
            <v>0</v>
          </cell>
          <cell r="AO284">
            <v>0</v>
          </cell>
          <cell r="AP284">
            <v>-1</v>
          </cell>
          <cell r="AQ284" t="str">
            <v>024-G-91FACOM024</v>
          </cell>
          <cell r="AR284" t="str">
            <v>024-L-91FACOMALL</v>
          </cell>
          <cell r="AS284">
            <v>0</v>
          </cell>
          <cell r="AZ284">
            <v>0</v>
          </cell>
          <cell r="BA284">
            <v>0</v>
          </cell>
          <cell r="BB284">
            <v>0</v>
          </cell>
        </row>
        <row r="285">
          <cell r="A285">
            <v>35861</v>
          </cell>
          <cell r="B285" t="str">
            <v>MARECHAL JEAN CLAUDE</v>
          </cell>
          <cell r="H285" t="str">
            <v>PAS DE CONTRAT DANS INES</v>
          </cell>
          <cell r="I285">
            <v>0</v>
          </cell>
          <cell r="K285">
            <v>0</v>
          </cell>
          <cell r="M285" t="str">
            <v>NON</v>
          </cell>
          <cell r="P285" t="str">
            <v>Non affecté</v>
          </cell>
          <cell r="Q285" t="str">
            <v>FP</v>
          </cell>
          <cell r="R285" t="str">
            <v>Rajouté</v>
          </cell>
          <cell r="S285" t="str">
            <v>GENNEVILLIERS</v>
          </cell>
          <cell r="T285" t="str">
            <v>94</v>
          </cell>
          <cell r="U285" t="str">
            <v>24 RUE GARNIER PAGES</v>
          </cell>
          <cell r="V285">
            <v>94100</v>
          </cell>
          <cell r="W285" t="str">
            <v>ST MAUR DES FOSSES</v>
          </cell>
          <cell r="Z285" t="str">
            <v>94100</v>
          </cell>
          <cell r="AA285" t="str">
            <v>ST MAUR DES FOSSES</v>
          </cell>
          <cell r="AB285">
            <v>80</v>
          </cell>
          <cell r="AF285">
            <v>80</v>
          </cell>
          <cell r="AG285">
            <v>-80</v>
          </cell>
          <cell r="AN285">
            <v>-80</v>
          </cell>
          <cell r="AO285">
            <v>-112</v>
          </cell>
          <cell r="AP285">
            <v>-2.4</v>
          </cell>
          <cell r="AZ285">
            <v>0</v>
          </cell>
          <cell r="BA285">
            <v>0</v>
          </cell>
          <cell r="BB285">
            <v>-80</v>
          </cell>
        </row>
        <row r="326">
          <cell r="I326">
            <v>0</v>
          </cell>
          <cell r="K326">
            <v>0</v>
          </cell>
        </row>
        <row r="327">
          <cell r="I327">
            <v>0</v>
          </cell>
          <cell r="K327">
            <v>0</v>
          </cell>
        </row>
        <row r="328">
          <cell r="I328">
            <v>0</v>
          </cell>
          <cell r="K328">
            <v>0</v>
          </cell>
        </row>
        <row r="329">
          <cell r="I329">
            <v>0</v>
          </cell>
          <cell r="K329">
            <v>0</v>
          </cell>
        </row>
        <row r="330">
          <cell r="I330">
            <v>0</v>
          </cell>
          <cell r="K330">
            <v>0</v>
          </cell>
        </row>
        <row r="331">
          <cell r="I331">
            <v>0</v>
          </cell>
          <cell r="K331">
            <v>0</v>
          </cell>
        </row>
        <row r="332">
          <cell r="I332">
            <v>0</v>
          </cell>
          <cell r="K332">
            <v>0</v>
          </cell>
        </row>
        <row r="333">
          <cell r="I333">
            <v>0</v>
          </cell>
          <cell r="K333">
            <v>0</v>
          </cell>
        </row>
        <row r="334">
          <cell r="I334">
            <v>0</v>
          </cell>
          <cell r="K334">
            <v>0</v>
          </cell>
        </row>
        <row r="335">
          <cell r="I335">
            <v>0</v>
          </cell>
          <cell r="K335">
            <v>0</v>
          </cell>
        </row>
        <row r="336">
          <cell r="I336">
            <v>0</v>
          </cell>
          <cell r="K336">
            <v>0</v>
          </cell>
        </row>
        <row r="337">
          <cell r="I337">
            <v>0</v>
          </cell>
          <cell r="K337">
            <v>0</v>
          </cell>
        </row>
        <row r="338">
          <cell r="I338">
            <v>0</v>
          </cell>
          <cell r="K338">
            <v>0</v>
          </cell>
        </row>
        <row r="339">
          <cell r="I339">
            <v>0</v>
          </cell>
          <cell r="K339">
            <v>0</v>
          </cell>
        </row>
        <row r="340">
          <cell r="I340">
            <v>0</v>
          </cell>
          <cell r="K340">
            <v>0</v>
          </cell>
        </row>
        <row r="341">
          <cell r="I341">
            <v>0</v>
          </cell>
          <cell r="K341">
            <v>0</v>
          </cell>
        </row>
        <row r="342">
          <cell r="I342">
            <v>0</v>
          </cell>
          <cell r="K342">
            <v>0</v>
          </cell>
        </row>
        <row r="343">
          <cell r="I343">
            <v>0</v>
          </cell>
          <cell r="K343">
            <v>0</v>
          </cell>
        </row>
        <row r="344">
          <cell r="I344">
            <v>0</v>
          </cell>
          <cell r="K344">
            <v>0</v>
          </cell>
        </row>
        <row r="345">
          <cell r="I345">
            <v>0</v>
          </cell>
          <cell r="K345">
            <v>0</v>
          </cell>
        </row>
        <row r="346">
          <cell r="I346">
            <v>0</v>
          </cell>
          <cell r="K346">
            <v>0</v>
          </cell>
        </row>
        <row r="347">
          <cell r="I347">
            <v>0</v>
          </cell>
          <cell r="K347">
            <v>0</v>
          </cell>
        </row>
        <row r="348">
          <cell r="I348">
            <v>0</v>
          </cell>
          <cell r="K348">
            <v>0</v>
          </cell>
        </row>
        <row r="349">
          <cell r="I349">
            <v>0</v>
          </cell>
          <cell r="K349">
            <v>0</v>
          </cell>
        </row>
        <row r="350">
          <cell r="I350">
            <v>0</v>
          </cell>
          <cell r="K350">
            <v>0</v>
          </cell>
        </row>
        <row r="351">
          <cell r="I351">
            <v>0</v>
          </cell>
          <cell r="K351">
            <v>0</v>
          </cell>
        </row>
        <row r="352">
          <cell r="I352">
            <v>0</v>
          </cell>
          <cell r="K352">
            <v>0</v>
          </cell>
        </row>
        <row r="353">
          <cell r="I353">
            <v>0</v>
          </cell>
          <cell r="K353">
            <v>0</v>
          </cell>
        </row>
        <row r="354">
          <cell r="I354">
            <v>0</v>
          </cell>
          <cell r="K354">
            <v>0</v>
          </cell>
        </row>
        <row r="355">
          <cell r="I355">
            <v>0</v>
          </cell>
          <cell r="K355">
            <v>0</v>
          </cell>
        </row>
        <row r="356">
          <cell r="I356">
            <v>0</v>
          </cell>
          <cell r="K356">
            <v>0</v>
          </cell>
        </row>
        <row r="357">
          <cell r="I357">
            <v>0</v>
          </cell>
          <cell r="K357">
            <v>0</v>
          </cell>
        </row>
        <row r="358">
          <cell r="I358">
            <v>0</v>
          </cell>
          <cell r="K358">
            <v>0</v>
          </cell>
        </row>
        <row r="359">
          <cell r="I359">
            <v>0</v>
          </cell>
          <cell r="K359">
            <v>0</v>
          </cell>
        </row>
        <row r="360">
          <cell r="I360">
            <v>0</v>
          </cell>
          <cell r="K360">
            <v>0</v>
          </cell>
        </row>
        <row r="361">
          <cell r="I361">
            <v>0</v>
          </cell>
          <cell r="K361">
            <v>0</v>
          </cell>
        </row>
        <row r="362">
          <cell r="I362">
            <v>0</v>
          </cell>
          <cell r="K362">
            <v>0</v>
          </cell>
        </row>
        <row r="363">
          <cell r="I363">
            <v>0</v>
          </cell>
          <cell r="K363">
            <v>0</v>
          </cell>
        </row>
        <row r="364">
          <cell r="I364">
            <v>0</v>
          </cell>
          <cell r="K364">
            <v>0</v>
          </cell>
        </row>
        <row r="365">
          <cell r="I365">
            <v>0</v>
          </cell>
          <cell r="K365">
            <v>0</v>
          </cell>
        </row>
        <row r="366">
          <cell r="I366">
            <v>0</v>
          </cell>
          <cell r="K366">
            <v>0</v>
          </cell>
        </row>
        <row r="367">
          <cell r="I367">
            <v>0</v>
          </cell>
          <cell r="K367">
            <v>0</v>
          </cell>
        </row>
        <row r="368">
          <cell r="I368">
            <v>0</v>
          </cell>
          <cell r="K368">
            <v>0</v>
          </cell>
        </row>
        <row r="369">
          <cell r="I369">
            <v>0</v>
          </cell>
          <cell r="K369">
            <v>0</v>
          </cell>
        </row>
        <row r="370">
          <cell r="I370">
            <v>0</v>
          </cell>
          <cell r="K370">
            <v>0</v>
          </cell>
        </row>
        <row r="371">
          <cell r="I371">
            <v>0</v>
          </cell>
          <cell r="K371">
            <v>0</v>
          </cell>
        </row>
        <row r="372">
          <cell r="I372">
            <v>0</v>
          </cell>
          <cell r="K372">
            <v>0</v>
          </cell>
        </row>
        <row r="373">
          <cell r="I373">
            <v>0</v>
          </cell>
          <cell r="K373">
            <v>0</v>
          </cell>
        </row>
        <row r="374">
          <cell r="I374">
            <v>0</v>
          </cell>
          <cell r="K374">
            <v>0</v>
          </cell>
        </row>
        <row r="375">
          <cell r="I375">
            <v>0</v>
          </cell>
          <cell r="K375">
            <v>0</v>
          </cell>
        </row>
        <row r="376">
          <cell r="I376">
            <v>0</v>
          </cell>
          <cell r="K376">
            <v>0</v>
          </cell>
        </row>
        <row r="377">
          <cell r="I377">
            <v>0</v>
          </cell>
          <cell r="K377">
            <v>0</v>
          </cell>
        </row>
        <row r="378">
          <cell r="I378">
            <v>0</v>
          </cell>
          <cell r="K378">
            <v>0</v>
          </cell>
        </row>
        <row r="379">
          <cell r="I379">
            <v>0</v>
          </cell>
          <cell r="K379">
            <v>0</v>
          </cell>
        </row>
        <row r="380">
          <cell r="I380">
            <v>0</v>
          </cell>
          <cell r="K380">
            <v>0</v>
          </cell>
        </row>
        <row r="381">
          <cell r="I381">
            <v>0</v>
          </cell>
          <cell r="K381">
            <v>0</v>
          </cell>
        </row>
        <row r="382">
          <cell r="I382">
            <v>0</v>
          </cell>
          <cell r="K382">
            <v>0</v>
          </cell>
        </row>
        <row r="383">
          <cell r="I383">
            <v>0</v>
          </cell>
          <cell r="K383">
            <v>0</v>
          </cell>
        </row>
        <row r="384">
          <cell r="I384">
            <v>0</v>
          </cell>
          <cell r="K384">
            <v>0</v>
          </cell>
        </row>
        <row r="385">
          <cell r="I385">
            <v>0</v>
          </cell>
          <cell r="K385">
            <v>0</v>
          </cell>
        </row>
        <row r="386">
          <cell r="I386">
            <v>0</v>
          </cell>
          <cell r="K386">
            <v>0</v>
          </cell>
        </row>
        <row r="387">
          <cell r="I387">
            <v>0</v>
          </cell>
          <cell r="K387">
            <v>0</v>
          </cell>
        </row>
        <row r="388">
          <cell r="I388">
            <v>0</v>
          </cell>
          <cell r="K388">
            <v>0</v>
          </cell>
        </row>
        <row r="389">
          <cell r="I389">
            <v>0</v>
          </cell>
          <cell r="K389">
            <v>0</v>
          </cell>
        </row>
        <row r="390">
          <cell r="I390">
            <v>0</v>
          </cell>
          <cell r="K390">
            <v>0</v>
          </cell>
        </row>
        <row r="391">
          <cell r="I391">
            <v>0</v>
          </cell>
          <cell r="K391">
            <v>0</v>
          </cell>
        </row>
        <row r="392">
          <cell r="I392">
            <v>0</v>
          </cell>
          <cell r="K392">
            <v>0</v>
          </cell>
        </row>
        <row r="393">
          <cell r="I393">
            <v>0</v>
          </cell>
          <cell r="K393">
            <v>0</v>
          </cell>
        </row>
        <row r="394">
          <cell r="I394">
            <v>0</v>
          </cell>
          <cell r="K394">
            <v>0</v>
          </cell>
        </row>
        <row r="395">
          <cell r="I395">
            <v>0</v>
          </cell>
          <cell r="K395">
            <v>0</v>
          </cell>
        </row>
      </sheetData>
      <sheetData sheetId="5">
        <row r="1">
          <cell r="A1">
            <v>41585</v>
          </cell>
          <cell r="C1" t="str">
            <v>TAUX</v>
          </cell>
          <cell r="J1" t="str">
            <v>Suivi</v>
          </cell>
          <cell r="L1" t="str">
            <v>ATMA</v>
          </cell>
          <cell r="N1" t="str">
            <v>Doublon</v>
          </cell>
          <cell r="AB1" t="str">
            <v>2011 Janv à Dec</v>
          </cell>
          <cell r="AG1" t="str">
            <v>2012 Janv-Août</v>
          </cell>
          <cell r="AQ1">
            <v>11.2</v>
          </cell>
          <cell r="AY1" t="str">
            <v>Prévision 2013</v>
          </cell>
        </row>
        <row r="2">
          <cell r="A2" t="str">
            <v>Client payeur</v>
          </cell>
          <cell r="B2" t="str">
            <v>Libellé Client payeur</v>
          </cell>
          <cell r="C2" t="str">
            <v>Taux groupage Nat</v>
          </cell>
          <cell r="D2" t="str">
            <v>Taux groupage Inter</v>
          </cell>
          <cell r="E2" t="str">
            <v>Taux lot</v>
          </cell>
          <cell r="F2" t="str">
            <v>Date d'application</v>
          </cell>
          <cell r="G2" t="str">
            <v>Envoi des tarifs par courrier</v>
          </cell>
          <cell r="H2" t="str">
            <v>Commentaire</v>
          </cell>
          <cell r="I2" t="str">
            <v>Préconisation en TS</v>
          </cell>
          <cell r="J2" t="str">
            <v>A envoyer</v>
          </cell>
          <cell r="K2" t="str">
            <v>A rensigner dans INES</v>
          </cell>
          <cell r="L2" t="str">
            <v>ENVOI OK</v>
          </cell>
          <cell r="M2" t="str">
            <v>INES OK</v>
          </cell>
          <cell r="N2" t="str">
            <v>INFO</v>
          </cell>
          <cell r="O2" t="str">
            <v>Direction</v>
          </cell>
          <cell r="P2" t="str">
            <v>Commerciaux</v>
          </cell>
          <cell r="Q2" t="str">
            <v>Commentaire</v>
          </cell>
          <cell r="R2" t="str">
            <v>Agence</v>
          </cell>
          <cell r="S2" t="str">
            <v>CP</v>
          </cell>
          <cell r="T2" t="str">
            <v>Adresse</v>
          </cell>
          <cell r="U2" t="str">
            <v>Code CP</v>
          </cell>
          <cell r="V2" t="str">
            <v>Ville</v>
          </cell>
          <cell r="W2" t="str">
            <v>Civilité</v>
          </cell>
          <cell r="X2" t="str">
            <v>Nom</v>
          </cell>
          <cell r="Y2" t="str">
            <v>Pays</v>
          </cell>
          <cell r="Z2" t="str">
            <v>Code postal</v>
          </cell>
          <cell r="AA2" t="str">
            <v>Localité</v>
          </cell>
          <cell r="AB2" t="str">
            <v>501</v>
          </cell>
          <cell r="AC2" t="str">
            <v>551</v>
          </cell>
          <cell r="AD2" t="str">
            <v>553</v>
          </cell>
          <cell r="AE2" t="str">
            <v>Autre prestation</v>
          </cell>
          <cell r="AF2" t="str">
            <v>Total 2011</v>
          </cell>
          <cell r="AG2" t="str">
            <v>501</v>
          </cell>
          <cell r="AH2" t="str">
            <v>501 Renta</v>
          </cell>
          <cell r="AI2" t="str">
            <v>551</v>
          </cell>
          <cell r="AJ2" t="str">
            <v>551 Renta</v>
          </cell>
          <cell r="AK2" t="str">
            <v>553</v>
          </cell>
          <cell r="AL2" t="str">
            <v>553 Renta</v>
          </cell>
          <cell r="AM2" t="str">
            <v>Autre prestation</v>
          </cell>
          <cell r="AN2" t="str">
            <v>Total cumulé Août 2012</v>
          </cell>
          <cell r="AO2" t="str">
            <v>Prévision fin 2012</v>
          </cell>
          <cell r="AP2" t="str">
            <v>Taux d'évoluation 2012/2011</v>
          </cell>
          <cell r="AQ2" t="str">
            <v>Contrat INES G</v>
          </cell>
          <cell r="AR2" t="str">
            <v>Contrat INES LOT</v>
          </cell>
          <cell r="AS2" t="str">
            <v>Date d'ouverture de compte dans INES</v>
          </cell>
          <cell r="AY2" t="str">
            <v>Taux groupage National</v>
          </cell>
          <cell r="AZ2" t="str">
            <v>Taux groupage International</v>
          </cell>
          <cell r="BA2" t="str">
            <v>Taux lot</v>
          </cell>
        </row>
        <row r="3">
          <cell r="A3">
            <v>517346</v>
          </cell>
          <cell r="B3" t="str">
            <v>FIMM</v>
          </cell>
          <cell r="C3">
            <v>0.03</v>
          </cell>
          <cell r="D3">
            <v>0.03</v>
          </cell>
          <cell r="E3">
            <v>0.03</v>
          </cell>
          <cell r="F3">
            <v>41275</v>
          </cell>
          <cell r="G3" t="str">
            <v>oui par mail le 19/11/2012</v>
          </cell>
          <cell r="J3">
            <v>0</v>
          </cell>
          <cell r="K3">
            <v>0</v>
          </cell>
          <cell r="L3" t="str">
            <v>ok</v>
          </cell>
          <cell r="M3" t="str">
            <v>ok</v>
          </cell>
          <cell r="N3" t="str">
            <v>Porte Feuille</v>
          </cell>
          <cell r="O3" t="str">
            <v>Non affecté</v>
          </cell>
          <cell r="P3" t="str">
            <v>FM</v>
          </cell>
          <cell r="Q3" t="str">
            <v>Ok mon client</v>
          </cell>
          <cell r="R3" t="str">
            <v>TROYES / LA CHAPELLE</v>
          </cell>
          <cell r="S3" t="str">
            <v>89</v>
          </cell>
          <cell r="T3" t="str">
            <v>Parc d'Activités
2 rue de l'Industrie B.P 123</v>
          </cell>
          <cell r="U3">
            <v>89303</v>
          </cell>
          <cell r="V3" t="str">
            <v>JOIGNY CEDEX</v>
          </cell>
          <cell r="X3" t="str">
            <v>Directeur Logistique et Transports</v>
          </cell>
          <cell r="Y3" t="str">
            <v>France</v>
          </cell>
          <cell r="Z3" t="str">
            <v>89303</v>
          </cell>
          <cell r="AA3" t="str">
            <v>JOIGNY CEDEX</v>
          </cell>
          <cell r="AB3">
            <v>156279.9</v>
          </cell>
          <cell r="AC3">
            <v>-5799.0099999999975</v>
          </cell>
          <cell r="AD3">
            <v>2502.81</v>
          </cell>
          <cell r="AF3">
            <v>152983.69999999998</v>
          </cell>
          <cell r="AG3">
            <v>86892.7</v>
          </cell>
          <cell r="AH3">
            <v>0.26937959115092597</v>
          </cell>
          <cell r="AI3">
            <v>144247.86000000002</v>
          </cell>
          <cell r="AJ3">
            <v>0.25286872354237611</v>
          </cell>
          <cell r="AK3">
            <v>1695.5299999999997</v>
          </cell>
          <cell r="AL3">
            <v>0.22361149611036121</v>
          </cell>
          <cell r="AN3">
            <v>232836.09</v>
          </cell>
          <cell r="AO3">
            <v>325970.52599999995</v>
          </cell>
          <cell r="AP3">
            <v>1.1307533155493035</v>
          </cell>
          <cell r="AQ3" t="str">
            <v>033-G-89FIMM</v>
          </cell>
          <cell r="AR3" t="str">
            <v>033-L-89FIMM89MANUTAN</v>
          </cell>
          <cell r="AY3">
            <v>148575.29580000002</v>
          </cell>
          <cell r="AZ3">
            <v>1746.3958999999998</v>
          </cell>
          <cell r="BA3">
            <v>89499.481</v>
          </cell>
          <cell r="BJ3" t="str">
            <v>Autre titulaire NM</v>
          </cell>
        </row>
        <row r="4">
          <cell r="A4">
            <v>51690</v>
          </cell>
          <cell r="B4" t="str">
            <v>MANUTAN</v>
          </cell>
          <cell r="H4" t="str">
            <v>NEGO AVEC GENNEVILLIERS</v>
          </cell>
          <cell r="J4">
            <v>0</v>
          </cell>
          <cell r="K4">
            <v>0</v>
          </cell>
          <cell r="M4" t="str">
            <v>En attente</v>
          </cell>
          <cell r="N4" t="str">
            <v>Porte Feuille</v>
          </cell>
          <cell r="O4" t="str">
            <v>Non affecté</v>
          </cell>
          <cell r="P4" t="str">
            <v>FM</v>
          </cell>
          <cell r="Q4" t="str">
            <v>Ok mon client</v>
          </cell>
          <cell r="R4" t="str">
            <v>TROYES / LA CHAPELLE</v>
          </cell>
          <cell r="T4" t="str">
            <v>2, rue de l'industrie ZI</v>
          </cell>
          <cell r="U4">
            <v>89300</v>
          </cell>
          <cell r="V4" t="str">
            <v>JOIGNY</v>
          </cell>
          <cell r="W4" t="str">
            <v>Mme</v>
          </cell>
          <cell r="X4" t="str">
            <v>RENARD</v>
          </cell>
          <cell r="Y4" t="str">
            <v>France</v>
          </cell>
          <cell r="AB4">
            <v>79791.7</v>
          </cell>
          <cell r="AC4">
            <v>241588.07</v>
          </cell>
          <cell r="AD4">
            <v>135.42000000000002</v>
          </cell>
          <cell r="AF4">
            <v>321515.19</v>
          </cell>
          <cell r="AG4">
            <v>55024.3</v>
          </cell>
          <cell r="AH4">
            <v>0.26339347931235207</v>
          </cell>
          <cell r="AI4">
            <v>146894.65</v>
          </cell>
          <cell r="AJ4">
            <v>0.51130808662656146</v>
          </cell>
          <cell r="AK4">
            <v>-98.98</v>
          </cell>
          <cell r="AL4">
            <v>-0.2517742585303871</v>
          </cell>
          <cell r="AN4">
            <v>201819.97</v>
          </cell>
          <cell r="AO4">
            <v>282547.95799999998</v>
          </cell>
          <cell r="AP4">
            <v>-0.12119872781127394</v>
          </cell>
          <cell r="AS4">
            <v>39622</v>
          </cell>
          <cell r="AY4">
            <v>146894.65</v>
          </cell>
          <cell r="AZ4">
            <v>-98.98</v>
          </cell>
          <cell r="BA4">
            <v>55024.3</v>
          </cell>
          <cell r="BJ4" t="str">
            <v>Autre Agence 255</v>
          </cell>
        </row>
        <row r="5">
          <cell r="A5">
            <v>627289</v>
          </cell>
          <cell r="B5" t="str">
            <v>ELAP</v>
          </cell>
          <cell r="C5">
            <v>0.03</v>
          </cell>
          <cell r="D5">
            <v>0.03</v>
          </cell>
          <cell r="E5">
            <v>0.03</v>
          </cell>
          <cell r="F5">
            <v>41275</v>
          </cell>
          <cell r="G5" t="str">
            <v>oui</v>
          </cell>
          <cell r="J5">
            <v>0</v>
          </cell>
          <cell r="K5">
            <v>0</v>
          </cell>
          <cell r="L5" t="str">
            <v>ok</v>
          </cell>
          <cell r="M5" t="str">
            <v>ok</v>
          </cell>
          <cell r="N5" t="str">
            <v>Porte Feuille</v>
          </cell>
          <cell r="O5" t="str">
            <v>Non affecté</v>
          </cell>
          <cell r="P5" t="str">
            <v>FM</v>
          </cell>
          <cell r="Q5" t="str">
            <v>Ok mon client</v>
          </cell>
          <cell r="R5" t="str">
            <v>TROYES / LA CHAPELLE</v>
          </cell>
          <cell r="S5" t="str">
            <v>10</v>
          </cell>
          <cell r="T5" t="str">
            <v>RD 52</v>
          </cell>
          <cell r="U5">
            <v>10400</v>
          </cell>
          <cell r="V5" t="str">
            <v>PONT SUR SEINE</v>
          </cell>
          <cell r="X5" t="str">
            <v>Directeur Logistique et Transports</v>
          </cell>
          <cell r="Y5" t="str">
            <v>France</v>
          </cell>
          <cell r="Z5" t="str">
            <v>10400</v>
          </cell>
          <cell r="AA5" t="str">
            <v>PONT SUR SEINE</v>
          </cell>
          <cell r="AB5">
            <v>14743.999999999998</v>
          </cell>
          <cell r="AC5">
            <v>209441.87999999998</v>
          </cell>
          <cell r="AD5">
            <v>159.13</v>
          </cell>
          <cell r="AF5">
            <v>224345.00999999998</v>
          </cell>
          <cell r="AG5">
            <v>9775.42</v>
          </cell>
          <cell r="AH5">
            <v>0.2532290172698462</v>
          </cell>
          <cell r="AI5">
            <v>162486.41</v>
          </cell>
          <cell r="AJ5">
            <v>0.23882076282225428</v>
          </cell>
          <cell r="AK5">
            <v>164.73</v>
          </cell>
          <cell r="AL5">
            <v>-8.1952285558186122E-2</v>
          </cell>
          <cell r="AN5">
            <v>172426.56000000003</v>
          </cell>
          <cell r="AO5">
            <v>241397.18400000001</v>
          </cell>
          <cell r="AP5">
            <v>7.6008706411611504E-2</v>
          </cell>
          <cell r="AQ5" t="str">
            <v>033-G-10ELAP</v>
          </cell>
          <cell r="AR5" t="str">
            <v>033-L-10ELAP</v>
          </cell>
          <cell r="AY5">
            <v>167361.00230000002</v>
          </cell>
          <cell r="AZ5">
            <v>169.67189999999999</v>
          </cell>
          <cell r="BA5">
            <v>10068.6826</v>
          </cell>
        </row>
        <row r="6">
          <cell r="A6">
            <v>16301</v>
          </cell>
          <cell r="B6" t="str">
            <v>SAS CHAMPAGNE ANDRE DRAPPIER</v>
          </cell>
          <cell r="J6">
            <v>0</v>
          </cell>
          <cell r="K6">
            <v>0</v>
          </cell>
          <cell r="N6" t="str">
            <v>Porte Feuille</v>
          </cell>
          <cell r="O6" t="str">
            <v>Non affecté</v>
          </cell>
          <cell r="P6" t="str">
            <v>FM</v>
          </cell>
          <cell r="Q6" t="str">
            <v>Ok mon client</v>
          </cell>
          <cell r="R6" t="str">
            <v>TROYES / LA CHAPELLE</v>
          </cell>
          <cell r="S6" t="str">
            <v>10</v>
          </cell>
          <cell r="T6" t="str">
            <v>RUE DES VIGNES</v>
          </cell>
          <cell r="U6">
            <v>10200</v>
          </cell>
          <cell r="V6" t="str">
            <v>URVILLE</v>
          </cell>
          <cell r="X6" t="str">
            <v>Directeur Logistique et Transports</v>
          </cell>
          <cell r="Y6" t="str">
            <v>France</v>
          </cell>
          <cell r="Z6" t="str">
            <v>10200</v>
          </cell>
          <cell r="AA6" t="str">
            <v>URVILLE</v>
          </cell>
          <cell r="AB6">
            <v>8289.5300000000007</v>
          </cell>
          <cell r="AC6">
            <v>254408.22000000003</v>
          </cell>
          <cell r="AD6">
            <v>3903.08</v>
          </cell>
          <cell r="AF6">
            <v>266600.83000000007</v>
          </cell>
          <cell r="AG6">
            <v>2274.96</v>
          </cell>
          <cell r="AH6">
            <v>0.317658332454197</v>
          </cell>
          <cell r="AI6">
            <v>143191.15000000002</v>
          </cell>
          <cell r="AJ6">
            <v>0.29873837596838348</v>
          </cell>
          <cell r="AK6">
            <v>2697.2900000000004</v>
          </cell>
          <cell r="AL6">
            <v>0.34313329304598333</v>
          </cell>
          <cell r="AN6">
            <v>148163.40000000002</v>
          </cell>
          <cell r="AO6">
            <v>207428.76</v>
          </cell>
          <cell r="AP6">
            <v>-0.2219500591952398</v>
          </cell>
          <cell r="AQ6" t="str">
            <v>033-G-10DRAPPIER</v>
          </cell>
          <cell r="AR6" t="str">
            <v>033-L-10DRAPPIER</v>
          </cell>
          <cell r="AY6">
            <v>143191.15000000002</v>
          </cell>
          <cell r="AZ6">
            <v>2697.2900000000004</v>
          </cell>
          <cell r="BA6">
            <v>2274.96</v>
          </cell>
        </row>
        <row r="7">
          <cell r="A7">
            <v>481345</v>
          </cell>
          <cell r="B7" t="str">
            <v>ARIANE INTERNATIONAL</v>
          </cell>
          <cell r="H7" t="str">
            <v>Pas de hausse suite mail du 12/02/2013</v>
          </cell>
          <cell r="J7">
            <v>0</v>
          </cell>
          <cell r="K7">
            <v>0</v>
          </cell>
          <cell r="L7" t="str">
            <v>NON</v>
          </cell>
          <cell r="M7" t="str">
            <v>NON</v>
          </cell>
          <cell r="N7" t="str">
            <v>Porte Feuille</v>
          </cell>
          <cell r="O7" t="str">
            <v>Non affecté</v>
          </cell>
          <cell r="P7" t="str">
            <v>FM</v>
          </cell>
          <cell r="Q7" t="str">
            <v>Ok mon client</v>
          </cell>
          <cell r="R7" t="str">
            <v>TROYES / LA CHAPELLE</v>
          </cell>
          <cell r="S7" t="str">
            <v>78</v>
          </cell>
          <cell r="T7" t="str">
            <v>29, AVENUE L.R. DUCHESNE</v>
          </cell>
          <cell r="U7">
            <v>78170</v>
          </cell>
          <cell r="V7" t="str">
            <v>LA CELLE ST CLOUD</v>
          </cell>
          <cell r="X7" t="str">
            <v>Directeur Logistique et Transports</v>
          </cell>
          <cell r="Y7" t="str">
            <v>France</v>
          </cell>
          <cell r="Z7" t="str">
            <v>78170</v>
          </cell>
          <cell r="AA7" t="str">
            <v>LA CELLE SAINT CLOUD</v>
          </cell>
          <cell r="AC7">
            <v>234253.82</v>
          </cell>
          <cell r="AD7">
            <v>14461.15</v>
          </cell>
          <cell r="AF7">
            <v>248714.97</v>
          </cell>
          <cell r="AI7">
            <v>131794.81</v>
          </cell>
          <cell r="AJ7">
            <v>6.6301416995383597E-2</v>
          </cell>
          <cell r="AK7">
            <v>14907.67</v>
          </cell>
          <cell r="AL7">
            <v>0.44754241659786398</v>
          </cell>
          <cell r="AN7">
            <v>146702.48000000001</v>
          </cell>
          <cell r="AO7">
            <v>205383.47200000001</v>
          </cell>
          <cell r="AP7">
            <v>-0.17422151147556575</v>
          </cell>
          <cell r="AQ7" t="str">
            <v>033-G-52ARIANEINTER</v>
          </cell>
          <cell r="AY7">
            <v>131794.81</v>
          </cell>
          <cell r="AZ7">
            <v>14907.67</v>
          </cell>
          <cell r="BA7">
            <v>0</v>
          </cell>
        </row>
        <row r="8">
          <cell r="A8">
            <v>24736</v>
          </cell>
          <cell r="B8" t="str">
            <v>TIMBO</v>
          </cell>
          <cell r="C8">
            <v>0.03</v>
          </cell>
          <cell r="D8">
            <v>0.03</v>
          </cell>
          <cell r="F8">
            <v>41306</v>
          </cell>
          <cell r="J8">
            <v>0</v>
          </cell>
          <cell r="K8">
            <v>0</v>
          </cell>
          <cell r="L8" t="str">
            <v>ok</v>
          </cell>
          <cell r="M8" t="str">
            <v>ok</v>
          </cell>
          <cell r="O8" t="str">
            <v>Non affecté</v>
          </cell>
          <cell r="P8" t="str">
            <v>FM</v>
          </cell>
          <cell r="Q8" t="str">
            <v>Ok mon client</v>
          </cell>
          <cell r="R8" t="str">
            <v>TROYES / LA CHAPELLE</v>
          </cell>
          <cell r="S8" t="str">
            <v>10</v>
          </cell>
          <cell r="T8" t="str">
            <v>route de Montreuil</v>
          </cell>
          <cell r="U8">
            <v>10270</v>
          </cell>
          <cell r="V8" t="str">
            <v>LUSIGNY / BARSE</v>
          </cell>
          <cell r="W8" t="str">
            <v>M</v>
          </cell>
          <cell r="X8" t="str">
            <v>TULLU</v>
          </cell>
          <cell r="Y8" t="str">
            <v>France</v>
          </cell>
          <cell r="Z8" t="str">
            <v>10271</v>
          </cell>
          <cell r="AA8" t="str">
            <v>LUSIGNY SUR BARSE</v>
          </cell>
          <cell r="AB8">
            <v>9532.92</v>
          </cell>
          <cell r="AC8">
            <v>310539.51</v>
          </cell>
          <cell r="AD8">
            <v>3114.41</v>
          </cell>
          <cell r="AF8">
            <v>323186.83999999997</v>
          </cell>
          <cell r="AG8">
            <v>8568.4600000000009</v>
          </cell>
          <cell r="AH8">
            <v>0.174396566010695</v>
          </cell>
          <cell r="AI8">
            <v>121068.74</v>
          </cell>
          <cell r="AJ8">
            <v>0.29303625324024446</v>
          </cell>
          <cell r="AK8">
            <v>1615.54</v>
          </cell>
          <cell r="AL8">
            <v>0.40590762221919613</v>
          </cell>
          <cell r="AN8">
            <v>131252.74</v>
          </cell>
          <cell r="AO8">
            <v>183753.83599999998</v>
          </cell>
          <cell r="AP8">
            <v>-0.43143156447830611</v>
          </cell>
          <cell r="AQ8" t="str">
            <v>033-G-10TIMBO</v>
          </cell>
          <cell r="AR8" t="str">
            <v>033-L-10TIMBO</v>
          </cell>
          <cell r="AU8" t="str">
            <v>AVANCEMENT</v>
          </cell>
          <cell r="AY8">
            <v>124700.80220000001</v>
          </cell>
          <cell r="AZ8">
            <v>1664.0062</v>
          </cell>
          <cell r="BA8">
            <v>8568.4600000000009</v>
          </cell>
        </row>
        <row r="9">
          <cell r="A9">
            <v>687269</v>
          </cell>
          <cell r="B9" t="str">
            <v>TONNA ELECTRONIQUE</v>
          </cell>
          <cell r="C9">
            <v>0.03</v>
          </cell>
          <cell r="D9">
            <v>0.03</v>
          </cell>
          <cell r="E9">
            <v>0.03</v>
          </cell>
          <cell r="F9">
            <v>41275</v>
          </cell>
          <cell r="G9" t="str">
            <v>oui</v>
          </cell>
          <cell r="J9">
            <v>0</v>
          </cell>
          <cell r="K9">
            <v>0</v>
          </cell>
          <cell r="L9" t="str">
            <v>ok</v>
          </cell>
          <cell r="M9" t="str">
            <v>ok</v>
          </cell>
          <cell r="N9" t="str">
            <v>Porte Feuille</v>
          </cell>
          <cell r="O9" t="str">
            <v>Non affecté</v>
          </cell>
          <cell r="P9" t="str">
            <v>FM</v>
          </cell>
          <cell r="Q9" t="str">
            <v>Ok mon client</v>
          </cell>
          <cell r="R9" t="str">
            <v>TROYES / LA CHAPELLE</v>
          </cell>
          <cell r="S9" t="str">
            <v>51</v>
          </cell>
          <cell r="T9" t="str">
            <v>ROUTE DEPARTEMENTALE 52</v>
          </cell>
          <cell r="U9">
            <v>10400</v>
          </cell>
          <cell r="V9" t="str">
            <v>PONT SUR SEINE</v>
          </cell>
          <cell r="X9" t="str">
            <v>Directeur Logistique et Transports</v>
          </cell>
          <cell r="Y9" t="str">
            <v>France</v>
          </cell>
          <cell r="Z9" t="str">
            <v>51100</v>
          </cell>
          <cell r="AA9" t="str">
            <v>REIMS</v>
          </cell>
          <cell r="AB9">
            <v>879.45</v>
          </cell>
          <cell r="AC9">
            <v>179204.43</v>
          </cell>
          <cell r="AD9">
            <v>947.99</v>
          </cell>
          <cell r="AF9">
            <v>181031.87</v>
          </cell>
          <cell r="AG9">
            <v>1266.95</v>
          </cell>
          <cell r="AH9">
            <v>0.12388018469552867</v>
          </cell>
          <cell r="AI9">
            <v>104685.89</v>
          </cell>
          <cell r="AJ9">
            <v>0.14632262602874666</v>
          </cell>
          <cell r="AK9">
            <v>1773.2799999999997</v>
          </cell>
          <cell r="AL9">
            <v>0.43613529730217465</v>
          </cell>
          <cell r="AN9">
            <v>107726.12</v>
          </cell>
          <cell r="AO9">
            <v>150816.56799999997</v>
          </cell>
          <cell r="AP9">
            <v>-0.16690598180309368</v>
          </cell>
          <cell r="AQ9" t="str">
            <v>033-G-10ELAP</v>
          </cell>
          <cell r="AR9" t="str">
            <v>033-L-10ELAP</v>
          </cell>
          <cell r="AU9" t="str">
            <v>Nombre de OK</v>
          </cell>
          <cell r="AV9">
            <v>90</v>
          </cell>
          <cell r="AY9">
            <v>107826.4667</v>
          </cell>
          <cell r="AZ9">
            <v>1826.4783999999997</v>
          </cell>
          <cell r="BA9">
            <v>1304.9585000000002</v>
          </cell>
        </row>
        <row r="10">
          <cell r="A10">
            <v>20559</v>
          </cell>
          <cell r="B10" t="str">
            <v>DES FORGES DE BOLOGNE</v>
          </cell>
          <cell r="C10">
            <v>0.03</v>
          </cell>
          <cell r="D10">
            <v>0.03</v>
          </cell>
          <cell r="E10">
            <v>0.03</v>
          </cell>
          <cell r="F10">
            <v>41275</v>
          </cell>
          <cell r="J10">
            <v>0</v>
          </cell>
          <cell r="K10">
            <v>0</v>
          </cell>
          <cell r="L10" t="str">
            <v>ok</v>
          </cell>
          <cell r="M10" t="str">
            <v>ok</v>
          </cell>
          <cell r="N10" t="str">
            <v>Porte Feuille</v>
          </cell>
          <cell r="O10" t="str">
            <v>Non affecté</v>
          </cell>
          <cell r="P10" t="str">
            <v>FM</v>
          </cell>
          <cell r="Q10" t="str">
            <v>Ok mon client</v>
          </cell>
          <cell r="R10" t="str">
            <v>TROYES / LA CHAPELLE</v>
          </cell>
          <cell r="S10" t="str">
            <v>52</v>
          </cell>
          <cell r="T10" t="str">
            <v>39 ROUTE FARGES</v>
          </cell>
          <cell r="U10">
            <v>52310</v>
          </cell>
          <cell r="V10" t="str">
            <v>BOLOGNE</v>
          </cell>
          <cell r="X10" t="str">
            <v>Directeur Logistique et Transports</v>
          </cell>
          <cell r="Y10" t="str">
            <v>France</v>
          </cell>
          <cell r="Z10" t="str">
            <v>52310</v>
          </cell>
          <cell r="AA10" t="str">
            <v>BOLOGNE</v>
          </cell>
          <cell r="AB10">
            <v>47981.229999999996</v>
          </cell>
          <cell r="AC10">
            <v>71620.179999999978</v>
          </cell>
          <cell r="AD10">
            <v>6931.86</v>
          </cell>
          <cell r="AF10">
            <v>126533.26999999997</v>
          </cell>
          <cell r="AG10">
            <v>29970.28</v>
          </cell>
          <cell r="AH10">
            <v>0.28778009414660183</v>
          </cell>
          <cell r="AI10">
            <v>50987.62</v>
          </cell>
          <cell r="AJ10">
            <v>0.25445165485376153</v>
          </cell>
          <cell r="AK10">
            <v>5081.1299999999992</v>
          </cell>
          <cell r="AL10">
            <v>0.37185626032004743</v>
          </cell>
          <cell r="AN10">
            <v>86039.03</v>
          </cell>
          <cell r="AO10">
            <v>120454.64199999999</v>
          </cell>
          <cell r="AP10">
            <v>-4.803976060999593E-2</v>
          </cell>
          <cell r="AQ10" t="str">
            <v>033-G-52FORGESDEBOLOGNE</v>
          </cell>
          <cell r="AU10" t="str">
            <v>Nombre de En attente</v>
          </cell>
          <cell r="AV10">
            <v>8</v>
          </cell>
          <cell r="AY10">
            <v>52517.248600000006</v>
          </cell>
          <cell r="AZ10">
            <v>5233.5638999999992</v>
          </cell>
          <cell r="BA10">
            <v>30869.3884</v>
          </cell>
        </row>
        <row r="11">
          <cell r="A11">
            <v>12798</v>
          </cell>
          <cell r="B11" t="str">
            <v>GRUHIER JEAN PAUL</v>
          </cell>
          <cell r="J11">
            <v>0</v>
          </cell>
          <cell r="K11">
            <v>0</v>
          </cell>
          <cell r="N11" t="str">
            <v>Porte Feuille</v>
          </cell>
          <cell r="O11" t="str">
            <v>Non affecté</v>
          </cell>
          <cell r="P11" t="str">
            <v>FM</v>
          </cell>
          <cell r="Q11" t="str">
            <v>Ok mon client</v>
          </cell>
          <cell r="R11" t="str">
            <v>TROYES / LA CHAPELLE</v>
          </cell>
          <cell r="S11" t="str">
            <v>89</v>
          </cell>
          <cell r="T11" t="str">
            <v>ZONE INDUSTRIELLE</v>
          </cell>
          <cell r="U11">
            <v>89700</v>
          </cell>
          <cell r="V11" t="str">
            <v>TONNERRE</v>
          </cell>
          <cell r="X11" t="str">
            <v>Directeur Logistique et Transports</v>
          </cell>
          <cell r="Y11" t="str">
            <v>France</v>
          </cell>
          <cell r="Z11" t="str">
            <v>89700</v>
          </cell>
          <cell r="AA11" t="str">
            <v>TONNERRE</v>
          </cell>
          <cell r="AB11">
            <v>82253.25</v>
          </cell>
          <cell r="AF11">
            <v>82253.25</v>
          </cell>
          <cell r="AG11">
            <v>78130.070000000007</v>
          </cell>
          <cell r="AH11">
            <v>0.14441520403091904</v>
          </cell>
          <cell r="AN11">
            <v>78130.070000000007</v>
          </cell>
          <cell r="AO11">
            <v>109382.098</v>
          </cell>
          <cell r="AP11">
            <v>0.32982098579691388</v>
          </cell>
          <cell r="AQ11" t="str">
            <v>033-G-GENERAL-KG</v>
          </cell>
          <cell r="AU11" t="str">
            <v>Nombre de non</v>
          </cell>
          <cell r="AV11">
            <v>25</v>
          </cell>
          <cell r="AY11">
            <v>0</v>
          </cell>
          <cell r="AZ11">
            <v>0</v>
          </cell>
          <cell r="BA11">
            <v>78130.070000000007</v>
          </cell>
        </row>
        <row r="12">
          <cell r="A12">
            <v>564008</v>
          </cell>
          <cell r="B12" t="str">
            <v>AGC IVB</v>
          </cell>
          <cell r="J12">
            <v>0</v>
          </cell>
          <cell r="K12">
            <v>0</v>
          </cell>
          <cell r="N12" t="str">
            <v>Porte Feuille</v>
          </cell>
          <cell r="O12" t="str">
            <v>Non affecté</v>
          </cell>
          <cell r="P12" t="str">
            <v>FM</v>
          </cell>
          <cell r="Q12" t="str">
            <v>Ok mon client</v>
          </cell>
          <cell r="R12" t="str">
            <v>TROYES / LA CHAPELLE</v>
          </cell>
          <cell r="S12" t="str">
            <v>10</v>
          </cell>
          <cell r="T12" t="str">
            <v>ZI route d'Arcis</v>
          </cell>
          <cell r="U12">
            <v>10170</v>
          </cell>
          <cell r="V12" t="str">
            <v>MERY / SEINE</v>
          </cell>
          <cell r="W12" t="str">
            <v>M</v>
          </cell>
          <cell r="X12" t="str">
            <v>BERGERON</v>
          </cell>
          <cell r="Y12" t="str">
            <v>France</v>
          </cell>
          <cell r="Z12" t="str">
            <v>10170</v>
          </cell>
          <cell r="AA12" t="str">
            <v>MERY SUR SEINE</v>
          </cell>
          <cell r="AB12">
            <v>132718.84</v>
          </cell>
          <cell r="AF12">
            <v>132718.84</v>
          </cell>
          <cell r="AG12">
            <v>72536.87999999999</v>
          </cell>
          <cell r="AH12">
            <v>0.11766207755282523</v>
          </cell>
          <cell r="AI12">
            <v>489.42999999999995</v>
          </cell>
          <cell r="AJ12">
            <v>1</v>
          </cell>
          <cell r="AN12">
            <v>73026.309999999983</v>
          </cell>
          <cell r="AO12">
            <v>102236.83399999997</v>
          </cell>
          <cell r="AP12">
            <v>-0.22967354145048302</v>
          </cell>
          <cell r="AQ12" t="str">
            <v>033-G-GENERAL-KG</v>
          </cell>
          <cell r="AU12" t="str">
            <v>Nombre de données rensignées</v>
          </cell>
          <cell r="AV12">
            <v>90</v>
          </cell>
          <cell r="AW12">
            <v>1.2777777777777777</v>
          </cell>
          <cell r="AY12">
            <v>489.42999999999995</v>
          </cell>
          <cell r="AZ12">
            <v>0</v>
          </cell>
          <cell r="BA12">
            <v>72536.87999999999</v>
          </cell>
        </row>
        <row r="13">
          <cell r="A13">
            <v>531606</v>
          </cell>
          <cell r="B13" t="str">
            <v>EFIRACK</v>
          </cell>
          <cell r="H13" t="str">
            <v>Pas de hausse suite mail du 12/02/2013</v>
          </cell>
          <cell r="J13">
            <v>0</v>
          </cell>
          <cell r="K13">
            <v>0</v>
          </cell>
          <cell r="L13" t="str">
            <v>non</v>
          </cell>
          <cell r="M13" t="str">
            <v>non</v>
          </cell>
          <cell r="N13" t="str">
            <v>Porte Feuille</v>
          </cell>
          <cell r="O13" t="str">
            <v>Non affecté</v>
          </cell>
          <cell r="P13" t="str">
            <v>FM</v>
          </cell>
          <cell r="Q13" t="str">
            <v>Ok mon client</v>
          </cell>
          <cell r="R13" t="str">
            <v>TROYES / LA CHAPELLE</v>
          </cell>
          <cell r="S13" t="str">
            <v>89</v>
          </cell>
          <cell r="T13" t="str">
            <v>rue Georges Mandel</v>
          </cell>
          <cell r="U13">
            <v>89400</v>
          </cell>
          <cell r="V13" t="str">
            <v>MIGENNES</v>
          </cell>
          <cell r="X13" t="str">
            <v>Directeur Logistique et Transports</v>
          </cell>
          <cell r="Y13" t="str">
            <v>France</v>
          </cell>
          <cell r="Z13" t="str">
            <v>89400</v>
          </cell>
          <cell r="AA13" t="str">
            <v>MIGENNES</v>
          </cell>
          <cell r="AB13">
            <v>22271</v>
          </cell>
          <cell r="AC13">
            <v>91310.010000000009</v>
          </cell>
          <cell r="AD13">
            <v>1014.25</v>
          </cell>
          <cell r="AF13">
            <v>114595.26000000001</v>
          </cell>
          <cell r="AG13">
            <v>23362</v>
          </cell>
          <cell r="AH13">
            <v>0.1809130211454498</v>
          </cell>
          <cell r="AI13">
            <v>44163.95</v>
          </cell>
          <cell r="AJ13">
            <v>0.36795100415394766</v>
          </cell>
          <cell r="AK13">
            <v>353.11</v>
          </cell>
          <cell r="AL13">
            <v>0.14440259409249245</v>
          </cell>
          <cell r="AN13">
            <v>67879.06</v>
          </cell>
          <cell r="AO13">
            <v>95030.683999999994</v>
          </cell>
          <cell r="AP13">
            <v>-0.17072761997311248</v>
          </cell>
          <cell r="AQ13" t="str">
            <v>033-G-89EFIRACK</v>
          </cell>
          <cell r="AU13" t="str">
            <v>Nombre traité :</v>
          </cell>
          <cell r="AV13">
            <v>115</v>
          </cell>
          <cell r="AW13">
            <v>0.81560283687943258</v>
          </cell>
          <cell r="AY13">
            <v>44163.95</v>
          </cell>
          <cell r="AZ13">
            <v>353.11</v>
          </cell>
          <cell r="BA13">
            <v>23362</v>
          </cell>
        </row>
        <row r="14">
          <cell r="A14">
            <v>5941</v>
          </cell>
          <cell r="B14" t="str">
            <v>GRAVOTECH MARKING</v>
          </cell>
          <cell r="H14" t="str">
            <v>Pas de hausse suite mail du 12/02/2013</v>
          </cell>
          <cell r="J14">
            <v>0</v>
          </cell>
          <cell r="K14">
            <v>0</v>
          </cell>
          <cell r="L14" t="str">
            <v>non</v>
          </cell>
          <cell r="M14" t="str">
            <v>non</v>
          </cell>
          <cell r="O14" t="str">
            <v>Non affecté</v>
          </cell>
          <cell r="P14" t="str">
            <v>FM</v>
          </cell>
          <cell r="Q14" t="str">
            <v>Ok mon client</v>
          </cell>
          <cell r="R14" t="str">
            <v>TROYES / LA CHAPELLE</v>
          </cell>
          <cell r="S14" t="str">
            <v>69</v>
          </cell>
          <cell r="T14" t="str">
            <v>466 RUE DES MERCIERES</v>
          </cell>
          <cell r="U14">
            <v>10600</v>
          </cell>
          <cell r="V14" t="str">
            <v>LA CHAPELLE ST LUC</v>
          </cell>
          <cell r="X14" t="str">
            <v>Directeur Logistique et Transports</v>
          </cell>
          <cell r="Y14" t="str">
            <v>France</v>
          </cell>
          <cell r="Z14" t="str">
            <v>69140</v>
          </cell>
          <cell r="AA14" t="str">
            <v>RILLIEUX LA PAPE</v>
          </cell>
          <cell r="AB14">
            <v>24355.080000000005</v>
          </cell>
          <cell r="AC14">
            <v>4321.28</v>
          </cell>
          <cell r="AD14">
            <v>41776.519999999997</v>
          </cell>
          <cell r="AF14">
            <v>70452.87999999999</v>
          </cell>
          <cell r="AG14">
            <v>19344.770000000004</v>
          </cell>
          <cell r="AH14">
            <v>0.41959247900078406</v>
          </cell>
          <cell r="AI14">
            <v>24804.880000000001</v>
          </cell>
          <cell r="AJ14">
            <v>0.3828859482488946</v>
          </cell>
          <cell r="AK14">
            <v>23401.039999999997</v>
          </cell>
          <cell r="AL14">
            <v>0.35343573829842317</v>
          </cell>
          <cell r="AN14">
            <v>67550.69</v>
          </cell>
          <cell r="AO14">
            <v>94570.966</v>
          </cell>
          <cell r="AP14">
            <v>0.3423293128684024</v>
          </cell>
          <cell r="AQ14" t="str">
            <v>033-G-10GRAVOGRAPH</v>
          </cell>
          <cell r="AR14" t="str">
            <v>033-L-10GRAVOGRAPH</v>
          </cell>
          <cell r="AU14" t="str">
            <v>Nombre total :</v>
          </cell>
          <cell r="AV14">
            <v>141</v>
          </cell>
          <cell r="AY14">
            <v>24804.880000000001</v>
          </cell>
          <cell r="AZ14">
            <v>23401.039999999997</v>
          </cell>
          <cell r="BA14">
            <v>19344.770000000004</v>
          </cell>
        </row>
        <row r="15">
          <cell r="A15">
            <v>52118</v>
          </cell>
          <cell r="B15" t="str">
            <v>DUMAS</v>
          </cell>
          <cell r="C15">
            <v>0.03</v>
          </cell>
          <cell r="D15">
            <v>0.03</v>
          </cell>
          <cell r="F15">
            <v>41306</v>
          </cell>
          <cell r="J15">
            <v>0</v>
          </cell>
          <cell r="K15">
            <v>0</v>
          </cell>
          <cell r="L15" t="str">
            <v>OK</v>
          </cell>
          <cell r="M15" t="str">
            <v>OK</v>
          </cell>
          <cell r="N15" t="str">
            <v>Porte Feuille</v>
          </cell>
          <cell r="O15" t="str">
            <v>Non affecté</v>
          </cell>
          <cell r="P15" t="str">
            <v>FM</v>
          </cell>
          <cell r="Q15" t="str">
            <v>Ok mon client</v>
          </cell>
          <cell r="R15" t="str">
            <v>TROYES / LA CHAPELLE</v>
          </cell>
          <cell r="S15" t="str">
            <v>89</v>
          </cell>
          <cell r="T15" t="str">
            <v>138 rue du general Camperon</v>
          </cell>
          <cell r="U15">
            <v>89700</v>
          </cell>
          <cell r="V15" t="str">
            <v>TONNERRE</v>
          </cell>
          <cell r="W15" t="str">
            <v>M</v>
          </cell>
          <cell r="X15" t="str">
            <v>DUMAS</v>
          </cell>
          <cell r="Y15" t="str">
            <v>France</v>
          </cell>
          <cell r="Z15" t="str">
            <v>89700</v>
          </cell>
          <cell r="AA15" t="str">
            <v>TONNERRE</v>
          </cell>
          <cell r="AB15">
            <v>5406.37</v>
          </cell>
          <cell r="AC15">
            <v>85077.900000000009</v>
          </cell>
          <cell r="AD15">
            <v>1867.11</v>
          </cell>
          <cell r="AF15">
            <v>92351.38</v>
          </cell>
          <cell r="AG15">
            <v>6808.04</v>
          </cell>
          <cell r="AH15">
            <v>0.21166738150774672</v>
          </cell>
          <cell r="AI15">
            <v>53883.87</v>
          </cell>
          <cell r="AJ15">
            <v>9.4597465830432562E-2</v>
          </cell>
          <cell r="AK15">
            <v>248.89</v>
          </cell>
          <cell r="AL15">
            <v>-0.87086664791675039</v>
          </cell>
          <cell r="AN15">
            <v>60940.800000000003</v>
          </cell>
          <cell r="AO15">
            <v>85317.119999999995</v>
          </cell>
          <cell r="AP15">
            <v>-7.6168434082955816E-2</v>
          </cell>
          <cell r="AQ15" t="str">
            <v>033-G-89DUMAS</v>
          </cell>
          <cell r="AY15">
            <v>55500.386100000003</v>
          </cell>
          <cell r="AZ15">
            <v>256.35669999999999</v>
          </cell>
          <cell r="BA15">
            <v>6808.04</v>
          </cell>
        </row>
        <row r="16">
          <cell r="A16">
            <v>489638</v>
          </cell>
          <cell r="B16" t="str">
            <v>TISZA TEXTIL PACKAGING SARL</v>
          </cell>
          <cell r="C16">
            <v>0.03</v>
          </cell>
          <cell r="D16">
            <v>0.03</v>
          </cell>
          <cell r="E16">
            <v>0.03</v>
          </cell>
          <cell r="F16">
            <v>41214</v>
          </cell>
          <cell r="G16" t="str">
            <v>Par mail le 26/10/12</v>
          </cell>
          <cell r="J16">
            <v>0</v>
          </cell>
          <cell r="K16">
            <v>0</v>
          </cell>
          <cell r="L16" t="str">
            <v>ok</v>
          </cell>
          <cell r="M16" t="str">
            <v>ok</v>
          </cell>
          <cell r="N16" t="str">
            <v>Porte Feuille</v>
          </cell>
          <cell r="O16" t="str">
            <v>Non affecté</v>
          </cell>
          <cell r="P16" t="str">
            <v>FM</v>
          </cell>
          <cell r="Q16" t="str">
            <v>Ok mon client</v>
          </cell>
          <cell r="R16" t="str">
            <v>TROYES / LA CHAPELLE</v>
          </cell>
          <cell r="S16" t="str">
            <v>52</v>
          </cell>
          <cell r="T16" t="str">
            <v>8 RUE DECOMBLE</v>
          </cell>
          <cell r="U16">
            <v>52000</v>
          </cell>
          <cell r="V16" t="str">
            <v>CHAUMONT</v>
          </cell>
          <cell r="X16" t="str">
            <v>Directeur Logistique et Transports</v>
          </cell>
          <cell r="Y16" t="str">
            <v>France</v>
          </cell>
          <cell r="Z16" t="str">
            <v>52000</v>
          </cell>
          <cell r="AA16" t="str">
            <v>CHAUMONT</v>
          </cell>
          <cell r="AB16">
            <v>40814.49</v>
          </cell>
          <cell r="AC16">
            <v>27025.61</v>
          </cell>
          <cell r="AD16">
            <v>8789.23</v>
          </cell>
          <cell r="AF16">
            <v>76629.33</v>
          </cell>
          <cell r="AG16">
            <v>22964.460000000003</v>
          </cell>
          <cell r="AH16">
            <v>0.17300080210899782</v>
          </cell>
          <cell r="AI16">
            <v>21594.2</v>
          </cell>
          <cell r="AJ16">
            <v>0.3491215381860554</v>
          </cell>
          <cell r="AK16">
            <v>1899.35</v>
          </cell>
          <cell r="AL16">
            <v>0.52968647168768268</v>
          </cell>
          <cell r="AN16">
            <v>46458.01</v>
          </cell>
          <cell r="AO16">
            <v>65041.214</v>
          </cell>
          <cell r="AP16">
            <v>-0.15122298472399542</v>
          </cell>
          <cell r="AQ16" t="str">
            <v>033-G-52TISZATEXTIL</v>
          </cell>
          <cell r="AR16" t="str">
            <v>033-L-52TISZATEXTIL</v>
          </cell>
          <cell r="AY16">
            <v>22242.026000000002</v>
          </cell>
          <cell r="AZ16">
            <v>1956.3305</v>
          </cell>
          <cell r="BA16">
            <v>23653.393800000002</v>
          </cell>
        </row>
        <row r="17">
          <cell r="A17">
            <v>32726</v>
          </cell>
          <cell r="B17" t="str">
            <v>MAYR MELNHOF PACKAGING FRANCE</v>
          </cell>
          <cell r="J17">
            <v>0</v>
          </cell>
          <cell r="K17">
            <v>0</v>
          </cell>
          <cell r="N17" t="str">
            <v>Porte Feuille</v>
          </cell>
          <cell r="O17" t="str">
            <v>Non affecté</v>
          </cell>
          <cell r="P17" t="str">
            <v>FM</v>
          </cell>
          <cell r="Q17" t="str">
            <v>Ok mon client</v>
          </cell>
          <cell r="R17" t="str">
            <v>TROYES / LA CHAPELLE</v>
          </cell>
          <cell r="S17" t="str">
            <v>89</v>
          </cell>
          <cell r="T17" t="str">
            <v>ZI PLAINE DES ILES</v>
          </cell>
          <cell r="U17">
            <v>89470</v>
          </cell>
          <cell r="V17" t="str">
            <v>MONETEAU</v>
          </cell>
          <cell r="X17" t="str">
            <v>Directeur Logistique et Transports</v>
          </cell>
          <cell r="Y17" t="str">
            <v>France</v>
          </cell>
          <cell r="Z17" t="str">
            <v>89470</v>
          </cell>
          <cell r="AA17" t="str">
            <v>MONETEAU</v>
          </cell>
          <cell r="AB17">
            <v>24240</v>
          </cell>
          <cell r="AF17">
            <v>24240</v>
          </cell>
          <cell r="AG17">
            <v>44100</v>
          </cell>
          <cell r="AH17">
            <v>0.19183673469387755</v>
          </cell>
          <cell r="AN17">
            <v>44100</v>
          </cell>
          <cell r="AO17">
            <v>61739.999999999993</v>
          </cell>
          <cell r="AP17">
            <v>1.5470297029702968</v>
          </cell>
          <cell r="AY17">
            <v>0</v>
          </cell>
          <cell r="AZ17">
            <v>0</v>
          </cell>
          <cell r="BA17">
            <v>44100</v>
          </cell>
        </row>
        <row r="18">
          <cell r="A18">
            <v>483044</v>
          </cell>
          <cell r="B18" t="str">
            <v>GRAVOGRAPH LTD</v>
          </cell>
          <cell r="H18" t="str">
            <v>Pas de hausse suite mail du 12/02/2013</v>
          </cell>
          <cell r="J18">
            <v>0</v>
          </cell>
          <cell r="K18">
            <v>0</v>
          </cell>
          <cell r="L18" t="str">
            <v>non</v>
          </cell>
          <cell r="M18" t="str">
            <v>non</v>
          </cell>
          <cell r="N18" t="str">
            <v>Porte Feuille</v>
          </cell>
          <cell r="O18" t="str">
            <v>Non affecté</v>
          </cell>
          <cell r="P18" t="str">
            <v>FM</v>
          </cell>
          <cell r="Q18" t="str">
            <v>Ok mon client</v>
          </cell>
          <cell r="R18" t="str">
            <v>TROYES / LA CHAPELLE</v>
          </cell>
          <cell r="S18" t="str">
            <v>CV</v>
          </cell>
          <cell r="T18" t="str">
            <v>UNIT 3 TROJAN BUSINESS CENTRE</v>
          </cell>
          <cell r="U18" t="str">
            <v>CV34 6RH</v>
          </cell>
          <cell r="V18" t="str">
            <v>WARWICKSHIRE</v>
          </cell>
          <cell r="X18" t="str">
            <v>Directeur Logistique et Transports</v>
          </cell>
          <cell r="Y18" t="str">
            <v>Grande Bretagne</v>
          </cell>
          <cell r="Z18" t="str">
            <v>CV34 6RH</v>
          </cell>
          <cell r="AA18" t="str">
            <v>WARWICKSHIRE</v>
          </cell>
          <cell r="AB18">
            <v>40130.019999999997</v>
          </cell>
          <cell r="AD18">
            <v>10542.140000000003</v>
          </cell>
          <cell r="AF18">
            <v>50672.160000000003</v>
          </cell>
          <cell r="AG18">
            <v>33907.21</v>
          </cell>
          <cell r="AH18">
            <v>0.29697518610348667</v>
          </cell>
          <cell r="AK18">
            <v>7756.57</v>
          </cell>
          <cell r="AL18">
            <v>0.59022609220312561</v>
          </cell>
          <cell r="AN18">
            <v>41663.78</v>
          </cell>
          <cell r="AO18">
            <v>58329.291999999994</v>
          </cell>
          <cell r="AP18">
            <v>0.15111122162544466</v>
          </cell>
          <cell r="AQ18" t="str">
            <v>033-G-CVGRAVOGRAPH</v>
          </cell>
          <cell r="AR18" t="str">
            <v>033-L-10GRAVOGRAPH</v>
          </cell>
          <cell r="AY18">
            <v>0</v>
          </cell>
          <cell r="AZ18">
            <v>7756.57</v>
          </cell>
          <cell r="BA18">
            <v>33907.21</v>
          </cell>
        </row>
        <row r="19">
          <cell r="A19">
            <v>872532</v>
          </cell>
          <cell r="B19" t="str">
            <v>FRAENKISCHE FRANCE</v>
          </cell>
          <cell r="J19">
            <v>0</v>
          </cell>
          <cell r="K19">
            <v>0</v>
          </cell>
          <cell r="O19" t="str">
            <v>Non affecté</v>
          </cell>
          <cell r="P19" t="str">
            <v>FM</v>
          </cell>
          <cell r="Q19" t="str">
            <v>Ok mon client</v>
          </cell>
          <cell r="R19" t="str">
            <v>TROYES / LA CHAPELLE</v>
          </cell>
          <cell r="S19" t="str">
            <v>10</v>
          </cell>
          <cell r="T19" t="str">
            <v>ROUTE DE BRIENNE LES GRANDS CHAMPS</v>
          </cell>
          <cell r="U19">
            <v>10700</v>
          </cell>
          <cell r="V19" t="str">
            <v>TORCY LE GRAND</v>
          </cell>
          <cell r="X19" t="str">
            <v>Directeur Logistique et Transports</v>
          </cell>
          <cell r="Y19" t="str">
            <v>France</v>
          </cell>
          <cell r="Z19" t="str">
            <v>10700</v>
          </cell>
          <cell r="AA19" t="str">
            <v>TORCY LE GRAND</v>
          </cell>
          <cell r="AG19">
            <v>40971.32</v>
          </cell>
          <cell r="AH19">
            <v>0.14916092525210317</v>
          </cell>
          <cell r="AN19">
            <v>40971.32</v>
          </cell>
          <cell r="AO19">
            <v>57359.847999999998</v>
          </cell>
          <cell r="AR19" t="str">
            <v>033-L-10FRAENKISCHEFRAN</v>
          </cell>
          <cell r="AS19">
            <v>41031</v>
          </cell>
          <cell r="AY19">
            <v>0</v>
          </cell>
          <cell r="AZ19">
            <v>0</v>
          </cell>
          <cell r="BA19">
            <v>40971.32</v>
          </cell>
        </row>
        <row r="20">
          <cell r="A20">
            <v>615817</v>
          </cell>
          <cell r="B20" t="str">
            <v>TOTEM MENUISERIE</v>
          </cell>
          <cell r="J20">
            <v>0</v>
          </cell>
          <cell r="K20">
            <v>0</v>
          </cell>
          <cell r="O20" t="str">
            <v>Non affecté</v>
          </cell>
          <cell r="P20" t="str">
            <v>FM</v>
          </cell>
          <cell r="Q20" t="str">
            <v>Ok mon client</v>
          </cell>
          <cell r="R20" t="str">
            <v>TROYES / LA CHAPELLE</v>
          </cell>
          <cell r="S20" t="str">
            <v>10</v>
          </cell>
          <cell r="T20" t="str">
            <v>28 RUE DE MARMORET</v>
          </cell>
          <cell r="U20">
            <v>10220</v>
          </cell>
          <cell r="V20" t="str">
            <v>BREVONNES</v>
          </cell>
          <cell r="X20" t="str">
            <v>Directeur Logistique et Transports</v>
          </cell>
          <cell r="Y20" t="str">
            <v>France</v>
          </cell>
          <cell r="Z20" t="str">
            <v>10220</v>
          </cell>
          <cell r="AA20" t="str">
            <v>BREVONNES</v>
          </cell>
          <cell r="AB20">
            <v>17785</v>
          </cell>
          <cell r="AF20">
            <v>17785</v>
          </cell>
          <cell r="AG20">
            <v>35860</v>
          </cell>
          <cell r="AH20">
            <v>0.1953369181650142</v>
          </cell>
          <cell r="AI20">
            <v>307.35000000000002</v>
          </cell>
          <cell r="AJ20">
            <v>0.45290385553928747</v>
          </cell>
          <cell r="AN20">
            <v>36167.35</v>
          </cell>
          <cell r="AO20">
            <v>50634.289999999994</v>
          </cell>
          <cell r="AP20">
            <v>1.8470222097272981</v>
          </cell>
          <cell r="AQ20" t="str">
            <v>033-G-GENERAL-KG</v>
          </cell>
          <cell r="AY20">
            <v>307.35000000000002</v>
          </cell>
          <cell r="AZ20">
            <v>0</v>
          </cell>
          <cell r="BA20">
            <v>35860</v>
          </cell>
        </row>
        <row r="21">
          <cell r="A21">
            <v>845941</v>
          </cell>
          <cell r="B21" t="str">
            <v>SAS SP SERVICES</v>
          </cell>
          <cell r="J21">
            <v>0</v>
          </cell>
          <cell r="K21">
            <v>0</v>
          </cell>
          <cell r="N21" t="str">
            <v>Porte Feuille</v>
          </cell>
          <cell r="O21" t="str">
            <v>Non affecté</v>
          </cell>
          <cell r="P21" t="str">
            <v>FM</v>
          </cell>
          <cell r="Q21" t="str">
            <v>Ok mon client</v>
          </cell>
          <cell r="R21" t="str">
            <v>TROYES / LA CHAPELLE</v>
          </cell>
          <cell r="S21" t="str">
            <v>52</v>
          </cell>
          <cell r="T21" t="str">
            <v>RUE DU CDT MAX CHAUVET</v>
          </cell>
          <cell r="U21">
            <v>52000</v>
          </cell>
          <cell r="V21" t="str">
            <v>CHAUMONT</v>
          </cell>
          <cell r="X21" t="str">
            <v>Directeur Logistique et Transports</v>
          </cell>
          <cell r="Y21" t="str">
            <v>France</v>
          </cell>
          <cell r="Z21" t="str">
            <v>52000</v>
          </cell>
          <cell r="AA21" t="str">
            <v>CHAUMONT</v>
          </cell>
          <cell r="AB21">
            <v>52979.3</v>
          </cell>
          <cell r="AF21">
            <v>52979.3</v>
          </cell>
          <cell r="AG21">
            <v>29398</v>
          </cell>
          <cell r="AH21">
            <v>0.31417744972058692</v>
          </cell>
          <cell r="AN21">
            <v>29398</v>
          </cell>
          <cell r="AO21">
            <v>41157.199999999997</v>
          </cell>
          <cell r="AP21">
            <v>-0.22314564367592638</v>
          </cell>
          <cell r="AQ21" t="str">
            <v>033-G-GENERAL-KG</v>
          </cell>
          <cell r="AY21">
            <v>0</v>
          </cell>
          <cell r="AZ21">
            <v>0</v>
          </cell>
          <cell r="BA21">
            <v>29398</v>
          </cell>
        </row>
        <row r="22">
          <cell r="A22">
            <v>531405</v>
          </cell>
          <cell r="B22" t="str">
            <v>ERTOP</v>
          </cell>
          <cell r="C22">
            <v>2.5000000000000001E-2</v>
          </cell>
          <cell r="D22">
            <v>2.5000000000000001E-2</v>
          </cell>
          <cell r="E22">
            <v>2.5000000000000001E-2</v>
          </cell>
          <cell r="F22">
            <v>41306</v>
          </cell>
          <cell r="J22">
            <v>0</v>
          </cell>
          <cell r="K22">
            <v>0</v>
          </cell>
          <cell r="L22" t="str">
            <v>ok</v>
          </cell>
          <cell r="M22" t="str">
            <v>ok</v>
          </cell>
          <cell r="N22" t="str">
            <v>Porte Feuille</v>
          </cell>
          <cell r="O22" t="str">
            <v>Non affecté</v>
          </cell>
          <cell r="P22" t="str">
            <v>FM</v>
          </cell>
          <cell r="Q22" t="str">
            <v>Ok mon client</v>
          </cell>
          <cell r="R22" t="str">
            <v>TROYES / LA CHAPELLE</v>
          </cell>
          <cell r="S22" t="str">
            <v>89</v>
          </cell>
          <cell r="T22" t="str">
            <v>12 route de Montargis</v>
          </cell>
          <cell r="U22">
            <v>89304</v>
          </cell>
          <cell r="V22" t="str">
            <v>JOIGNY</v>
          </cell>
          <cell r="W22" t="str">
            <v>M</v>
          </cell>
          <cell r="X22" t="str">
            <v>GREUIN</v>
          </cell>
          <cell r="Y22" t="str">
            <v>France</v>
          </cell>
          <cell r="Z22" t="str">
            <v>89304</v>
          </cell>
          <cell r="AA22" t="str">
            <v>JOIGNY CEDEX</v>
          </cell>
          <cell r="AB22">
            <v>1226.1999999999998</v>
          </cell>
          <cell r="AC22">
            <v>38045.410000000003</v>
          </cell>
          <cell r="AD22">
            <v>3023.08</v>
          </cell>
          <cell r="AF22">
            <v>42294.69</v>
          </cell>
          <cell r="AG22">
            <v>764.98</v>
          </cell>
          <cell r="AH22">
            <v>0.12416010876101338</v>
          </cell>
          <cell r="AI22">
            <v>25320.65</v>
          </cell>
          <cell r="AJ22">
            <v>0.30701115344405638</v>
          </cell>
          <cell r="AK22">
            <v>1722.38</v>
          </cell>
          <cell r="AL22">
            <v>0.35746467097852991</v>
          </cell>
          <cell r="AN22">
            <v>27808.010000000002</v>
          </cell>
          <cell r="AO22">
            <v>38931.214</v>
          </cell>
          <cell r="AP22">
            <v>-7.9524781952533541E-2</v>
          </cell>
          <cell r="AQ22" t="str">
            <v>033-G-89ERTOP</v>
          </cell>
          <cell r="AY22">
            <v>25953.666249999998</v>
          </cell>
          <cell r="AZ22">
            <v>1765.4395</v>
          </cell>
          <cell r="BA22">
            <v>784.10449999999992</v>
          </cell>
        </row>
        <row r="23">
          <cell r="A23">
            <v>697528</v>
          </cell>
          <cell r="B23" t="str">
            <v>LARBALETIER</v>
          </cell>
          <cell r="J23">
            <v>0</v>
          </cell>
          <cell r="K23">
            <v>0</v>
          </cell>
          <cell r="N23" t="str">
            <v>Porte Feuille</v>
          </cell>
          <cell r="O23" t="str">
            <v>Non affecté</v>
          </cell>
          <cell r="P23" t="str">
            <v>FM</v>
          </cell>
          <cell r="Q23" t="str">
            <v>Ok mon client</v>
          </cell>
          <cell r="R23" t="str">
            <v>TROYES / LA CHAPELLE</v>
          </cell>
          <cell r="S23" t="str">
            <v>10</v>
          </cell>
          <cell r="T23" t="str">
            <v>ROUTE D'ECHEMINES BP 1</v>
          </cell>
          <cell r="U23">
            <v>10280</v>
          </cell>
          <cell r="V23" t="str">
            <v>FONTAINE LES GRES</v>
          </cell>
          <cell r="X23" t="str">
            <v>Directeur Logistique et Transports</v>
          </cell>
          <cell r="Y23" t="str">
            <v>France</v>
          </cell>
          <cell r="Z23" t="str">
            <v>10280</v>
          </cell>
          <cell r="AA23" t="str">
            <v>FONTAINE LES GRES</v>
          </cell>
          <cell r="AB23">
            <v>46161.18</v>
          </cell>
          <cell r="AF23">
            <v>46161.18</v>
          </cell>
          <cell r="AG23">
            <v>27130.25</v>
          </cell>
          <cell r="AH23">
            <v>0.27671141990951059</v>
          </cell>
          <cell r="AK23">
            <v>43.09</v>
          </cell>
          <cell r="AL23">
            <v>0.77512183801346024</v>
          </cell>
          <cell r="AN23">
            <v>27173.34</v>
          </cell>
          <cell r="AO23">
            <v>38042.675999999999</v>
          </cell>
          <cell r="AP23">
            <v>-0.17587297378446565</v>
          </cell>
          <cell r="AQ23" t="str">
            <v>033-G-GENERAL-KG</v>
          </cell>
          <cell r="AY23">
            <v>0</v>
          </cell>
          <cell r="AZ23">
            <v>43.09</v>
          </cell>
          <cell r="BA23">
            <v>27130.25</v>
          </cell>
        </row>
        <row r="24">
          <cell r="A24">
            <v>576451</v>
          </cell>
          <cell r="B24" t="str">
            <v>RPC TEDECO-GIZEH TROYES</v>
          </cell>
          <cell r="J24">
            <v>0</v>
          </cell>
          <cell r="K24">
            <v>0</v>
          </cell>
          <cell r="N24" t="str">
            <v>Porte Feuille</v>
          </cell>
          <cell r="O24" t="str">
            <v>Non affecté</v>
          </cell>
          <cell r="P24" t="str">
            <v>FM</v>
          </cell>
          <cell r="Q24" t="str">
            <v>Ok mon client</v>
          </cell>
          <cell r="R24" t="str">
            <v>TROYES / LA CHAPELLE</v>
          </cell>
          <cell r="S24" t="str">
            <v>10</v>
          </cell>
          <cell r="T24" t="str">
            <v>199 avenue Pierre Brossolette</v>
          </cell>
          <cell r="U24">
            <v>10800</v>
          </cell>
          <cell r="V24" t="str">
            <v>TROYES</v>
          </cell>
          <cell r="W24" t="str">
            <v>M</v>
          </cell>
          <cell r="X24" t="str">
            <v>JEANSON</v>
          </cell>
          <cell r="Y24" t="str">
            <v>France</v>
          </cell>
          <cell r="Z24" t="str">
            <v>10800</v>
          </cell>
          <cell r="AA24" t="str">
            <v>SAINT THIBAULT</v>
          </cell>
          <cell r="AB24">
            <v>96230.6</v>
          </cell>
          <cell r="AC24">
            <v>2841.84</v>
          </cell>
          <cell r="AF24">
            <v>99072.44</v>
          </cell>
          <cell r="AG24">
            <v>26781.73</v>
          </cell>
          <cell r="AH24">
            <v>0.25284886375898713</v>
          </cell>
          <cell r="AI24">
            <v>157.22999999999999</v>
          </cell>
          <cell r="AJ24">
            <v>0.23774088914329339</v>
          </cell>
          <cell r="AN24">
            <v>26938.959999999999</v>
          </cell>
          <cell r="AO24">
            <v>37714.543999999994</v>
          </cell>
          <cell r="AP24">
            <v>-0.61932355759078916</v>
          </cell>
          <cell r="AQ24" t="str">
            <v>033-G-10RPCTEDECO</v>
          </cell>
          <cell r="AR24" t="str">
            <v>033-L-10RPCTEDECO</v>
          </cell>
          <cell r="AY24">
            <v>157.22999999999999</v>
          </cell>
          <cell r="AZ24">
            <v>0</v>
          </cell>
          <cell r="BA24">
            <v>26781.73</v>
          </cell>
        </row>
        <row r="25">
          <cell r="A25">
            <v>576485</v>
          </cell>
          <cell r="B25" t="str">
            <v>SOTRALINOX</v>
          </cell>
          <cell r="J25">
            <v>0</v>
          </cell>
          <cell r="K25">
            <v>0</v>
          </cell>
          <cell r="O25" t="str">
            <v>Non affecté</v>
          </cell>
          <cell r="P25" t="str">
            <v>FM</v>
          </cell>
          <cell r="Q25" t="str">
            <v>Ok mon client</v>
          </cell>
          <cell r="R25" t="str">
            <v>TROYES / LA CHAPELLE</v>
          </cell>
          <cell r="S25" t="str">
            <v>10</v>
          </cell>
          <cell r="T25" t="str">
            <v>8 rue Alexandre Yersin</v>
          </cell>
          <cell r="U25">
            <v>10450</v>
          </cell>
          <cell r="V25" t="str">
            <v>BREVIANDES</v>
          </cell>
          <cell r="W25" t="str">
            <v>M</v>
          </cell>
          <cell r="X25" t="str">
            <v>GENNEVRIERS</v>
          </cell>
          <cell r="Y25" t="str">
            <v>France</v>
          </cell>
          <cell r="Z25" t="str">
            <v>10450</v>
          </cell>
          <cell r="AA25" t="str">
            <v>BREVIANDES</v>
          </cell>
          <cell r="AB25">
            <v>15079</v>
          </cell>
          <cell r="AC25">
            <v>211.92000000000002</v>
          </cell>
          <cell r="AF25">
            <v>15290.92</v>
          </cell>
          <cell r="AG25">
            <v>25724</v>
          </cell>
          <cell r="AH25">
            <v>0.19571800653086605</v>
          </cell>
          <cell r="AI25">
            <v>639.53</v>
          </cell>
          <cell r="AJ25">
            <v>0.966978709303289</v>
          </cell>
          <cell r="AN25">
            <v>26363.53</v>
          </cell>
          <cell r="AO25">
            <v>36908.941999999995</v>
          </cell>
          <cell r="AP25">
            <v>1.4137816429619665</v>
          </cell>
          <cell r="AY25">
            <v>639.53</v>
          </cell>
          <cell r="AZ25">
            <v>0</v>
          </cell>
          <cell r="BA25">
            <v>25724</v>
          </cell>
        </row>
        <row r="26">
          <cell r="A26">
            <v>567612</v>
          </cell>
          <cell r="B26" t="str">
            <v>CARBONEX</v>
          </cell>
          <cell r="J26">
            <v>0</v>
          </cell>
          <cell r="K26">
            <v>0</v>
          </cell>
          <cell r="O26" t="str">
            <v>Non affecté</v>
          </cell>
          <cell r="P26" t="str">
            <v>FM</v>
          </cell>
          <cell r="Q26" t="str">
            <v>Ok mon client</v>
          </cell>
          <cell r="R26" t="str">
            <v>TROYES / LA CHAPELLE</v>
          </cell>
          <cell r="S26" t="str">
            <v>10</v>
          </cell>
          <cell r="T26" t="str">
            <v>LIEU DIT CORDELON</v>
          </cell>
          <cell r="U26">
            <v>10250</v>
          </cell>
          <cell r="V26" t="str">
            <v>GYE SUR SEINE</v>
          </cell>
          <cell r="X26" t="str">
            <v>Directeur Logistique et Transports</v>
          </cell>
          <cell r="Y26" t="str">
            <v>France</v>
          </cell>
          <cell r="Z26" t="str">
            <v>10250</v>
          </cell>
          <cell r="AA26" t="str">
            <v>GYE SUR SEINE</v>
          </cell>
          <cell r="AG26">
            <v>25820</v>
          </cell>
          <cell r="AH26">
            <v>0.20204122137404579</v>
          </cell>
          <cell r="AN26">
            <v>25820</v>
          </cell>
          <cell r="AO26">
            <v>36148</v>
          </cell>
          <cell r="AY26">
            <v>0</v>
          </cell>
          <cell r="AZ26">
            <v>0</v>
          </cell>
          <cell r="BA26">
            <v>25820</v>
          </cell>
        </row>
        <row r="27">
          <cell r="A27">
            <v>532932</v>
          </cell>
          <cell r="B27" t="str">
            <v>I B C C</v>
          </cell>
          <cell r="C27">
            <v>0.05</v>
          </cell>
          <cell r="D27">
            <v>0.05</v>
          </cell>
          <cell r="E27">
            <v>0.05</v>
          </cell>
          <cell r="F27">
            <v>41275</v>
          </cell>
          <cell r="J27">
            <v>0</v>
          </cell>
          <cell r="K27">
            <v>0</v>
          </cell>
          <cell r="L27" t="str">
            <v>ok</v>
          </cell>
          <cell r="M27" t="str">
            <v>ok</v>
          </cell>
          <cell r="N27" t="str">
            <v>Porte Feuille</v>
          </cell>
          <cell r="O27" t="str">
            <v>Non affecté</v>
          </cell>
          <cell r="P27" t="str">
            <v>FM</v>
          </cell>
          <cell r="Q27" t="str">
            <v>Ok mon client</v>
          </cell>
          <cell r="R27" t="str">
            <v>TROYES / LA CHAPELLE</v>
          </cell>
          <cell r="S27" t="str">
            <v>10</v>
          </cell>
          <cell r="T27" t="str">
            <v>10 rue Moulin Leroy</v>
          </cell>
          <cell r="U27">
            <v>10800</v>
          </cell>
          <cell r="V27" t="str">
            <v>ST JULIEN LES VILLAS</v>
          </cell>
          <cell r="W27" t="str">
            <v>Mme</v>
          </cell>
          <cell r="X27" t="str">
            <v>VISSEQ</v>
          </cell>
          <cell r="Y27" t="str">
            <v>France</v>
          </cell>
          <cell r="Z27" t="str">
            <v>10800</v>
          </cell>
          <cell r="AA27" t="str">
            <v>ST JULIEN LES VILLAS</v>
          </cell>
          <cell r="AB27">
            <v>5002.7299999999996</v>
          </cell>
          <cell r="AC27">
            <v>27209.519999999997</v>
          </cell>
          <cell r="AD27">
            <v>409.75</v>
          </cell>
          <cell r="AF27">
            <v>32621.999999999996</v>
          </cell>
          <cell r="AG27">
            <v>4732.41</v>
          </cell>
          <cell r="AH27">
            <v>0.3016243309434305</v>
          </cell>
          <cell r="AI27">
            <v>19330.329999999998</v>
          </cell>
          <cell r="AJ27">
            <v>0.43363926016782811</v>
          </cell>
          <cell r="AK27">
            <v>112.43</v>
          </cell>
          <cell r="AL27">
            <v>0.6819354264875922</v>
          </cell>
          <cell r="AN27">
            <v>24175.17</v>
          </cell>
          <cell r="AO27">
            <v>33845.237999999998</v>
          </cell>
          <cell r="AP27">
            <v>3.7497333088100104E-2</v>
          </cell>
          <cell r="AQ27" t="str">
            <v>033-G-10IBCC</v>
          </cell>
          <cell r="AY27">
            <v>20296.8465</v>
          </cell>
          <cell r="AZ27">
            <v>118.05150000000002</v>
          </cell>
          <cell r="BA27">
            <v>4969.0304999999998</v>
          </cell>
        </row>
        <row r="28">
          <cell r="A28">
            <v>845922</v>
          </cell>
          <cell r="B28" t="str">
            <v>ACODI</v>
          </cell>
          <cell r="J28">
            <v>0</v>
          </cell>
          <cell r="K28">
            <v>0</v>
          </cell>
          <cell r="N28" t="str">
            <v>Porte Feuille</v>
          </cell>
          <cell r="O28" t="str">
            <v>Non affecté</v>
          </cell>
          <cell r="P28" t="str">
            <v>FM</v>
          </cell>
          <cell r="Q28" t="str">
            <v>Ok mon client</v>
          </cell>
          <cell r="R28" t="str">
            <v>TROYES / LA CHAPELLE</v>
          </cell>
          <cell r="S28" t="str">
            <v>10</v>
          </cell>
          <cell r="T28" t="str">
            <v>ZI DE TORVILLIERS - RUE JEAN COLAS</v>
          </cell>
          <cell r="U28">
            <v>10440</v>
          </cell>
          <cell r="V28" t="str">
            <v>TORVILLIERS</v>
          </cell>
          <cell r="X28" t="str">
            <v>Directeur Logistique et Transports</v>
          </cell>
          <cell r="Y28" t="str">
            <v>France</v>
          </cell>
          <cell r="Z28" t="str">
            <v>10440</v>
          </cell>
          <cell r="AA28" t="str">
            <v>TORVILLIERS</v>
          </cell>
          <cell r="AB28">
            <v>18864</v>
          </cell>
          <cell r="AC28">
            <v>257.07</v>
          </cell>
          <cell r="AF28">
            <v>19121.07</v>
          </cell>
          <cell r="AG28">
            <v>21660</v>
          </cell>
          <cell r="AH28">
            <v>0.27180747922437676</v>
          </cell>
          <cell r="AI28">
            <v>29.52</v>
          </cell>
          <cell r="AJ28">
            <v>0.64397018970189701</v>
          </cell>
          <cell r="AK28">
            <v>37.79</v>
          </cell>
          <cell r="AL28">
            <v>0.81741201376025407</v>
          </cell>
          <cell r="AN28">
            <v>21727.31</v>
          </cell>
          <cell r="AO28">
            <v>30418.234</v>
          </cell>
          <cell r="AP28">
            <v>0.59082279391268377</v>
          </cell>
          <cell r="AQ28" t="str">
            <v>033-G-GENERAL-KG</v>
          </cell>
          <cell r="AY28">
            <v>29.52</v>
          </cell>
          <cell r="AZ28">
            <v>37.79</v>
          </cell>
          <cell r="BA28">
            <v>21660</v>
          </cell>
        </row>
        <row r="29">
          <cell r="A29">
            <v>575434</v>
          </cell>
          <cell r="B29" t="str">
            <v>CHARLATTE MANUTENTION</v>
          </cell>
          <cell r="C29">
            <v>2.5000000000000001E-2</v>
          </cell>
          <cell r="D29">
            <v>2.5000000000000001E-2</v>
          </cell>
          <cell r="E29">
            <v>2.5000000000000001E-2</v>
          </cell>
          <cell r="F29">
            <v>41275</v>
          </cell>
          <cell r="J29">
            <v>0</v>
          </cell>
          <cell r="K29">
            <v>0</v>
          </cell>
          <cell r="L29" t="str">
            <v>ok</v>
          </cell>
          <cell r="M29" t="str">
            <v>ok</v>
          </cell>
          <cell r="N29" t="str">
            <v>Porte Feuille</v>
          </cell>
          <cell r="O29" t="str">
            <v>Non affecté</v>
          </cell>
          <cell r="P29" t="str">
            <v>FM</v>
          </cell>
          <cell r="Q29" t="str">
            <v>Ok mon client</v>
          </cell>
          <cell r="R29" t="str">
            <v>TROYES / LA CHAPELLE</v>
          </cell>
          <cell r="S29" t="str">
            <v>89</v>
          </cell>
          <cell r="T29" t="str">
            <v>ZI route du Boutoir</v>
          </cell>
          <cell r="U29">
            <v>89210</v>
          </cell>
          <cell r="V29" t="str">
            <v>BRIENNON / AMANCON</v>
          </cell>
          <cell r="W29" t="str">
            <v>Mme</v>
          </cell>
          <cell r="X29" t="str">
            <v>RENAUDIN Florence</v>
          </cell>
          <cell r="Y29" t="str">
            <v>France</v>
          </cell>
          <cell r="Z29" t="str">
            <v>89210</v>
          </cell>
          <cell r="AA29" t="str">
            <v>BRIENON SUR ARMENCON</v>
          </cell>
          <cell r="AB29">
            <v>2662</v>
          </cell>
          <cell r="AC29">
            <v>17156.990000000002</v>
          </cell>
          <cell r="AD29">
            <v>15453.140000000001</v>
          </cell>
          <cell r="AF29">
            <v>35272.130000000005</v>
          </cell>
          <cell r="AG29">
            <v>1446</v>
          </cell>
          <cell r="AH29">
            <v>0.6319917012448133</v>
          </cell>
          <cell r="AI29">
            <v>9424.8000000000011</v>
          </cell>
          <cell r="AJ29">
            <v>0.1689389764072749</v>
          </cell>
          <cell r="AK29">
            <v>9231.4599999999991</v>
          </cell>
          <cell r="AL29">
            <v>0.51317862497004874</v>
          </cell>
          <cell r="AN29">
            <v>20102.260000000002</v>
          </cell>
          <cell r="AO29">
            <v>28143.164000000001</v>
          </cell>
          <cell r="AP29">
            <v>-0.20211328320688327</v>
          </cell>
          <cell r="AY29">
            <v>9660.42</v>
          </cell>
          <cell r="AZ29">
            <v>9462.2464999999975</v>
          </cell>
          <cell r="BA29">
            <v>1482.1499999999999</v>
          </cell>
        </row>
        <row r="30">
          <cell r="A30">
            <v>580921</v>
          </cell>
          <cell r="B30" t="str">
            <v>DROUOT INNOVATION</v>
          </cell>
          <cell r="J30">
            <v>0</v>
          </cell>
          <cell r="K30">
            <v>0</v>
          </cell>
          <cell r="O30" t="str">
            <v>Non affecté</v>
          </cell>
          <cell r="P30" t="str">
            <v>FM</v>
          </cell>
          <cell r="Q30" t="str">
            <v>Ok mon client</v>
          </cell>
          <cell r="R30" t="str">
            <v>TROYES / LA CHAPELLE</v>
          </cell>
          <cell r="S30" t="str">
            <v>10</v>
          </cell>
          <cell r="T30" t="str">
            <v xml:space="preserve">28 rue de Marmoret </v>
          </cell>
          <cell r="U30">
            <v>10500</v>
          </cell>
          <cell r="V30" t="str">
            <v>BREVONNES</v>
          </cell>
          <cell r="W30" t="str">
            <v>Mme</v>
          </cell>
          <cell r="X30" t="str">
            <v>DROUOT</v>
          </cell>
          <cell r="Y30" t="str">
            <v>France</v>
          </cell>
          <cell r="Z30" t="str">
            <v>10500</v>
          </cell>
          <cell r="AA30" t="str">
            <v>SAINT LEGER SOUS BRIENNE</v>
          </cell>
          <cell r="AB30">
            <v>6083</v>
          </cell>
          <cell r="AF30">
            <v>6083</v>
          </cell>
          <cell r="AG30">
            <v>19859</v>
          </cell>
          <cell r="AH30">
            <v>0.25405008330388246</v>
          </cell>
          <cell r="AN30">
            <v>19859</v>
          </cell>
          <cell r="AO30">
            <v>27802.6</v>
          </cell>
          <cell r="AP30">
            <v>3.5705408515535098</v>
          </cell>
          <cell r="AY30">
            <v>0</v>
          </cell>
          <cell r="AZ30">
            <v>0</v>
          </cell>
          <cell r="BA30">
            <v>19859</v>
          </cell>
        </row>
        <row r="31">
          <cell r="A31">
            <v>802682</v>
          </cell>
          <cell r="B31" t="str">
            <v>WHITE AND BROWN</v>
          </cell>
          <cell r="J31">
            <v>0</v>
          </cell>
          <cell r="K31">
            <v>0</v>
          </cell>
          <cell r="M31" t="str">
            <v>En attente</v>
          </cell>
          <cell r="N31" t="str">
            <v>Porte Feuille</v>
          </cell>
          <cell r="O31" t="str">
            <v>Non affecté</v>
          </cell>
          <cell r="P31" t="str">
            <v>FM</v>
          </cell>
          <cell r="Q31" t="str">
            <v>Ok mon client</v>
          </cell>
          <cell r="R31" t="str">
            <v>TROYES / LA CHAPELLE</v>
          </cell>
          <cell r="S31" t="str">
            <v>89</v>
          </cell>
          <cell r="T31" t="str">
            <v>6 RUE DE L'INDUSTRIE</v>
          </cell>
          <cell r="U31">
            <v>89100</v>
          </cell>
          <cell r="V31" t="str">
            <v>SENS</v>
          </cell>
          <cell r="X31" t="str">
            <v>Directeur Logistique et Transports</v>
          </cell>
          <cell r="Y31" t="str">
            <v>France</v>
          </cell>
          <cell r="Z31" t="str">
            <v>89100</v>
          </cell>
          <cell r="AA31" t="str">
            <v>SENS</v>
          </cell>
          <cell r="AB31">
            <v>1638.12</v>
          </cell>
          <cell r="AC31">
            <v>30672.029999999995</v>
          </cell>
          <cell r="AD31">
            <v>63.34</v>
          </cell>
          <cell r="AF31">
            <v>32373.489999999994</v>
          </cell>
          <cell r="AI31">
            <v>19625.32</v>
          </cell>
          <cell r="AJ31">
            <v>0.11200827931351071</v>
          </cell>
          <cell r="AL31">
            <v>0.84350007098575552</v>
          </cell>
          <cell r="AN31">
            <v>19625.32</v>
          </cell>
          <cell r="AO31">
            <v>27475.447999999997</v>
          </cell>
          <cell r="AP31">
            <v>-0.15129792926249219</v>
          </cell>
          <cell r="AY31">
            <v>19625.32</v>
          </cell>
          <cell r="AZ31">
            <v>0</v>
          </cell>
          <cell r="BA31">
            <v>0</v>
          </cell>
        </row>
        <row r="32">
          <cell r="A32">
            <v>571050</v>
          </cell>
          <cell r="B32" t="str">
            <v>INTER FARINE</v>
          </cell>
          <cell r="J32">
            <v>0</v>
          </cell>
          <cell r="K32">
            <v>0</v>
          </cell>
          <cell r="O32" t="str">
            <v>Non affecté</v>
          </cell>
          <cell r="P32" t="str">
            <v>FM</v>
          </cell>
          <cell r="Q32" t="str">
            <v>Ok mon client</v>
          </cell>
          <cell r="R32" t="str">
            <v>TROYES / LA CHAPELLE</v>
          </cell>
          <cell r="S32" t="str">
            <v>10</v>
          </cell>
          <cell r="T32" t="str">
            <v>24 CHAUSSEE DU VOULDY</v>
          </cell>
          <cell r="U32">
            <v>10000</v>
          </cell>
          <cell r="V32" t="str">
            <v>TROYES</v>
          </cell>
          <cell r="X32" t="str">
            <v>Directeur Logistique et Transports</v>
          </cell>
          <cell r="Y32" t="str">
            <v>France</v>
          </cell>
          <cell r="Z32" t="str">
            <v>10000</v>
          </cell>
          <cell r="AA32" t="str">
            <v>TROYES</v>
          </cell>
          <cell r="AB32">
            <v>7955</v>
          </cell>
          <cell r="AF32">
            <v>7955</v>
          </cell>
          <cell r="AG32">
            <v>18725</v>
          </cell>
          <cell r="AH32">
            <v>0.16971855807743655</v>
          </cell>
          <cell r="AN32">
            <v>18725</v>
          </cell>
          <cell r="AO32">
            <v>26215</v>
          </cell>
          <cell r="AP32">
            <v>2.295411690760528</v>
          </cell>
          <cell r="AQ32" t="str">
            <v>033-G-GENERAL-KG</v>
          </cell>
          <cell r="AY32">
            <v>0</v>
          </cell>
          <cell r="AZ32">
            <v>0</v>
          </cell>
          <cell r="BA32">
            <v>18725</v>
          </cell>
        </row>
        <row r="33">
          <cell r="A33">
            <v>14343</v>
          </cell>
          <cell r="B33" t="str">
            <v>SALZ GITTER MANNESMANN PRECISION ET</v>
          </cell>
          <cell r="J33">
            <v>0</v>
          </cell>
          <cell r="K33">
            <v>0</v>
          </cell>
          <cell r="O33" t="str">
            <v>Non affecté</v>
          </cell>
          <cell r="P33" t="str">
            <v>FM</v>
          </cell>
          <cell r="Q33" t="str">
            <v>Ok mon client</v>
          </cell>
          <cell r="R33" t="str">
            <v>TROYES / LA CHAPELLE</v>
          </cell>
          <cell r="S33" t="str">
            <v>89</v>
          </cell>
          <cell r="T33" t="str">
            <v>ZI route de Tanlay</v>
          </cell>
          <cell r="U33">
            <v>89600</v>
          </cell>
          <cell r="V33" t="str">
            <v>TONNERRE</v>
          </cell>
          <cell r="X33" t="str">
            <v>Directeur Logistique et Transports</v>
          </cell>
          <cell r="Y33" t="str">
            <v>France</v>
          </cell>
          <cell r="Z33" t="str">
            <v>89600</v>
          </cell>
          <cell r="AA33" t="str">
            <v>SAINT FLORENTIN</v>
          </cell>
          <cell r="AB33">
            <v>17290.25</v>
          </cell>
          <cell r="AC33">
            <v>5421.56</v>
          </cell>
          <cell r="AD33">
            <v>4736.1000000000004</v>
          </cell>
          <cell r="AE33">
            <v>2096.79</v>
          </cell>
          <cell r="AF33">
            <v>29544.700000000004</v>
          </cell>
          <cell r="AG33">
            <v>8140.2900000000009</v>
          </cell>
          <cell r="AH33">
            <v>0.29912262516284432</v>
          </cell>
          <cell r="AI33">
            <v>4651.7700000000004</v>
          </cell>
          <cell r="AJ33">
            <v>-7.8361059864282157E-2</v>
          </cell>
          <cell r="AK33">
            <v>3260.2200000000003</v>
          </cell>
          <cell r="AL33">
            <v>0.36823027146040865</v>
          </cell>
          <cell r="AM33">
            <v>1194.75</v>
          </cell>
          <cell r="AN33">
            <v>17247.030000000002</v>
          </cell>
          <cell r="AO33">
            <v>24145.842000000001</v>
          </cell>
          <cell r="AP33">
            <v>-0.18273524523857076</v>
          </cell>
          <cell r="AQ33" t="str">
            <v>033-G-89SALZGITTERTONN</v>
          </cell>
          <cell r="AR33" t="str">
            <v>033-L-89SALZGITTERTONN</v>
          </cell>
          <cell r="AY33">
            <v>4651.7700000000004</v>
          </cell>
          <cell r="AZ33">
            <v>3260.2200000000003</v>
          </cell>
          <cell r="BA33">
            <v>8140.2900000000009</v>
          </cell>
        </row>
        <row r="34">
          <cell r="A34">
            <v>9708</v>
          </cell>
          <cell r="B34" t="str">
            <v>FONTES DE PARIS</v>
          </cell>
          <cell r="C34">
            <v>0.02</v>
          </cell>
          <cell r="D34">
            <v>0.02</v>
          </cell>
          <cell r="E34">
            <v>0</v>
          </cell>
          <cell r="F34">
            <v>41365</v>
          </cell>
          <cell r="H34" t="str">
            <v>PORTEFEUILLE A NEGOCIER IDEM FONTES DE PARIS FONDERIE DU DER CHROMETAL ET FABRILOR MEME INTERLOCUTEUR</v>
          </cell>
          <cell r="J34">
            <v>0</v>
          </cell>
          <cell r="K34">
            <v>0</v>
          </cell>
          <cell r="L34" t="str">
            <v>OK</v>
          </cell>
          <cell r="M34" t="str">
            <v>OK</v>
          </cell>
          <cell r="N34" t="str">
            <v>Porte Feuille</v>
          </cell>
          <cell r="O34" t="str">
            <v>Non affecté</v>
          </cell>
          <cell r="P34" t="str">
            <v>FM</v>
          </cell>
          <cell r="Q34" t="str">
            <v>Ok mon client</v>
          </cell>
          <cell r="R34" t="str">
            <v>TROYES / LA CHAPELLE</v>
          </cell>
          <cell r="S34" t="str">
            <v>10</v>
          </cell>
          <cell r="T34" t="str">
            <v>ZI</v>
          </cell>
          <cell r="U34">
            <v>10330</v>
          </cell>
          <cell r="V34" t="str">
            <v>CHAVANGES</v>
          </cell>
          <cell r="X34" t="str">
            <v>Directeur Logistique et Transports</v>
          </cell>
          <cell r="Y34" t="str">
            <v>France</v>
          </cell>
          <cell r="Z34" t="str">
            <v>10330</v>
          </cell>
          <cell r="AA34" t="str">
            <v>CHAVANGES</v>
          </cell>
          <cell r="AC34">
            <v>20691.86</v>
          </cell>
          <cell r="AD34">
            <v>334.77</v>
          </cell>
          <cell r="AF34">
            <v>21026.63</v>
          </cell>
          <cell r="AG34">
            <v>927.06000000000006</v>
          </cell>
          <cell r="AH34">
            <v>0.30314111276508537</v>
          </cell>
          <cell r="AI34">
            <v>15908.49</v>
          </cell>
          <cell r="AJ34">
            <v>0.21207427745761617</v>
          </cell>
          <cell r="AK34">
            <v>268.40999999999997</v>
          </cell>
          <cell r="AL34">
            <v>0.12134421221265962</v>
          </cell>
          <cell r="AN34">
            <v>17103.96</v>
          </cell>
          <cell r="AO34">
            <v>23945.543999999998</v>
          </cell>
          <cell r="AP34">
            <v>0.13881986794840628</v>
          </cell>
          <cell r="AQ34" t="str">
            <v>033-G-10PARISFONTE</v>
          </cell>
          <cell r="AY34">
            <v>16226.659799999999</v>
          </cell>
          <cell r="AZ34">
            <v>273.77819999999997</v>
          </cell>
          <cell r="BA34">
            <v>927.06000000000006</v>
          </cell>
        </row>
        <row r="35">
          <cell r="A35">
            <v>696004</v>
          </cell>
          <cell r="B35" t="str">
            <v>GRAVOTECH GMBH</v>
          </cell>
          <cell r="H35" t="str">
            <v>Pas de hausse suite mail du 12/02/2013</v>
          </cell>
          <cell r="J35">
            <v>0</v>
          </cell>
          <cell r="K35">
            <v>0</v>
          </cell>
          <cell r="L35" t="str">
            <v>non</v>
          </cell>
          <cell r="M35" t="str">
            <v>non</v>
          </cell>
          <cell r="N35" t="str">
            <v>Porte Feuille</v>
          </cell>
          <cell r="O35" t="str">
            <v>Non affecté</v>
          </cell>
          <cell r="P35" t="str">
            <v>FM</v>
          </cell>
          <cell r="Q35" t="str">
            <v>Ok mon client</v>
          </cell>
          <cell r="R35" t="str">
            <v>TROYES / LA CHAPELLE</v>
          </cell>
          <cell r="S35" t="str">
            <v>79</v>
          </cell>
          <cell r="T35" t="str">
            <v>ZI  56,AVENUE J JAURES</v>
          </cell>
          <cell r="U35">
            <v>10600</v>
          </cell>
          <cell r="V35" t="str">
            <v>LA CHAPELLE ST LUC</v>
          </cell>
          <cell r="X35" t="str">
            <v>Directeur Logistique et Transports</v>
          </cell>
          <cell r="Y35" t="str">
            <v>France</v>
          </cell>
          <cell r="Z35" t="str">
            <v>79224</v>
          </cell>
          <cell r="AA35" t="str">
            <v>UMKIRCH</v>
          </cell>
          <cell r="AB35">
            <v>22940.429999999997</v>
          </cell>
          <cell r="AD35">
            <v>4785.79</v>
          </cell>
          <cell r="AF35">
            <v>27726.219999999998</v>
          </cell>
          <cell r="AG35">
            <v>15855.46</v>
          </cell>
          <cell r="AH35">
            <v>0.338777935171859</v>
          </cell>
          <cell r="AK35">
            <v>1143.6100000000001</v>
          </cell>
          <cell r="AL35">
            <v>0.52057082396970999</v>
          </cell>
          <cell r="AN35">
            <v>16999.07</v>
          </cell>
          <cell r="AO35">
            <v>23798.697999999997</v>
          </cell>
          <cell r="AP35">
            <v>-0.14165371262292525</v>
          </cell>
          <cell r="AQ35" t="str">
            <v>033-G-79GRAVOTECH</v>
          </cell>
          <cell r="AR35" t="str">
            <v>033-L-10GRAVOGRAPH</v>
          </cell>
          <cell r="AY35">
            <v>0</v>
          </cell>
          <cell r="AZ35">
            <v>1143.6100000000001</v>
          </cell>
          <cell r="BA35">
            <v>15855.46</v>
          </cell>
        </row>
        <row r="36">
          <cell r="A36">
            <v>847903</v>
          </cell>
          <cell r="B36" t="str">
            <v>DEBREF PHILIPPE JACQUES</v>
          </cell>
          <cell r="C36">
            <v>0.05</v>
          </cell>
          <cell r="D36">
            <v>0.05</v>
          </cell>
          <cell r="E36">
            <v>0.02</v>
          </cell>
          <cell r="F36">
            <v>41275</v>
          </cell>
          <cell r="J36">
            <v>0</v>
          </cell>
          <cell r="K36">
            <v>0</v>
          </cell>
          <cell r="L36" t="str">
            <v>ok</v>
          </cell>
          <cell r="M36" t="str">
            <v>ok</v>
          </cell>
          <cell r="O36" t="str">
            <v>Non affecté</v>
          </cell>
          <cell r="P36" t="str">
            <v>FM</v>
          </cell>
          <cell r="Q36" t="str">
            <v>Ok mon client</v>
          </cell>
          <cell r="R36" t="str">
            <v>TROYES / LA CHAPELLE</v>
          </cell>
          <cell r="S36" t="str">
            <v>52</v>
          </cell>
          <cell r="T36" t="str">
            <v>19 RUE DE L'HIPPODROME</v>
          </cell>
          <cell r="U36">
            <v>52000</v>
          </cell>
          <cell r="V36" t="str">
            <v>CHAUMONT</v>
          </cell>
          <cell r="X36" t="str">
            <v>Directeur Logistique et Transports</v>
          </cell>
          <cell r="Y36" t="str">
            <v>France</v>
          </cell>
          <cell r="Z36" t="str">
            <v>52000</v>
          </cell>
          <cell r="AA36" t="str">
            <v>CHAUMONT</v>
          </cell>
          <cell r="AC36">
            <v>6955.9500000000007</v>
          </cell>
          <cell r="AF36">
            <v>6955.9500000000007</v>
          </cell>
          <cell r="AI36">
            <v>15042.18</v>
          </cell>
          <cell r="AJ36">
            <v>0.45759500016710597</v>
          </cell>
          <cell r="AK36">
            <v>566.72</v>
          </cell>
          <cell r="AL36">
            <v>0.86594791078486733</v>
          </cell>
          <cell r="AN36">
            <v>15608.9</v>
          </cell>
          <cell r="AO36">
            <v>21852.46</v>
          </cell>
          <cell r="AP36">
            <v>2.1415493210848262</v>
          </cell>
          <cell r="AY36">
            <v>15794.289000000001</v>
          </cell>
          <cell r="AZ36">
            <v>595.05600000000004</v>
          </cell>
          <cell r="BA36">
            <v>0</v>
          </cell>
        </row>
        <row r="37">
          <cell r="A37">
            <v>483045</v>
          </cell>
          <cell r="B37" t="str">
            <v>GRAVOGRAPH A.G.</v>
          </cell>
          <cell r="H37" t="str">
            <v>Pas de hausse suite mail du 12/02/2013</v>
          </cell>
          <cell r="J37">
            <v>0</v>
          </cell>
          <cell r="K37">
            <v>0</v>
          </cell>
          <cell r="L37" t="str">
            <v>non</v>
          </cell>
          <cell r="M37" t="str">
            <v>non</v>
          </cell>
          <cell r="N37" t="str">
            <v>Porte Feuille</v>
          </cell>
          <cell r="O37" t="str">
            <v>Non affecté</v>
          </cell>
          <cell r="P37" t="str">
            <v>FM</v>
          </cell>
          <cell r="Q37" t="str">
            <v>Ok mon client</v>
          </cell>
          <cell r="R37" t="str">
            <v>TROYES / LA CHAPELLE</v>
          </cell>
          <cell r="S37" t="str">
            <v>32</v>
          </cell>
          <cell r="T37" t="str">
            <v>CH CHAMP OLIVIER 2</v>
          </cell>
          <cell r="U37">
            <v>3280</v>
          </cell>
          <cell r="V37" t="str">
            <v>MURTEN MORAT</v>
          </cell>
          <cell r="X37" t="str">
            <v>Directeur Logistique et Transports</v>
          </cell>
          <cell r="Y37" t="str">
            <v>Suisse</v>
          </cell>
          <cell r="Z37" t="str">
            <v>3280</v>
          </cell>
          <cell r="AA37" t="str">
            <v>MURTEN MORAT</v>
          </cell>
          <cell r="AB37">
            <v>22172.17</v>
          </cell>
          <cell r="AC37">
            <v>86.27</v>
          </cell>
          <cell r="AD37">
            <v>228.86</v>
          </cell>
          <cell r="AF37">
            <v>22487.3</v>
          </cell>
          <cell r="AG37">
            <v>14643.87</v>
          </cell>
          <cell r="AH37">
            <v>0.22097095917950654</v>
          </cell>
          <cell r="AK37">
            <v>75.42</v>
          </cell>
          <cell r="AL37">
            <v>0.57536842105263164</v>
          </cell>
          <cell r="AN37">
            <v>14719.29</v>
          </cell>
          <cell r="AO37">
            <v>20607.006000000001</v>
          </cell>
          <cell r="AP37">
            <v>-8.3615818706558764E-2</v>
          </cell>
          <cell r="AQ37" t="str">
            <v>033-G-32GRAVOGRAPH</v>
          </cell>
          <cell r="AR37" t="str">
            <v>033-L-10GRAVOGRAPH</v>
          </cell>
          <cell r="AY37">
            <v>0</v>
          </cell>
          <cell r="AZ37">
            <v>75.42</v>
          </cell>
          <cell r="BA37">
            <v>14643.87</v>
          </cell>
        </row>
        <row r="38">
          <cell r="A38">
            <v>583220</v>
          </cell>
          <cell r="B38" t="str">
            <v>PONT SUR SEINE INDUSTRIES</v>
          </cell>
          <cell r="C38">
            <v>0.03</v>
          </cell>
          <cell r="D38">
            <v>0.03</v>
          </cell>
          <cell r="E38">
            <v>0.03</v>
          </cell>
          <cell r="F38">
            <v>41275</v>
          </cell>
          <cell r="G38" t="str">
            <v>oui</v>
          </cell>
          <cell r="J38">
            <v>0</v>
          </cell>
          <cell r="K38">
            <v>0</v>
          </cell>
          <cell r="L38" t="str">
            <v>ok</v>
          </cell>
          <cell r="M38" t="str">
            <v>ok</v>
          </cell>
          <cell r="N38" t="str">
            <v>Porte Feuille</v>
          </cell>
          <cell r="O38" t="str">
            <v>Non affecté</v>
          </cell>
          <cell r="P38" t="str">
            <v>FM</v>
          </cell>
          <cell r="Q38" t="str">
            <v>Ok mon client</v>
          </cell>
          <cell r="R38" t="str">
            <v>TROYES / LA CHAPELLE</v>
          </cell>
          <cell r="S38" t="str">
            <v>10</v>
          </cell>
          <cell r="T38" t="str">
            <v>rue Monte a Regret</v>
          </cell>
          <cell r="U38">
            <v>10400</v>
          </cell>
          <cell r="V38" t="str">
            <v>PONT SUR SEINE</v>
          </cell>
          <cell r="X38" t="str">
            <v>Directeur Logistique et Transports</v>
          </cell>
          <cell r="Y38" t="str">
            <v>France</v>
          </cell>
          <cell r="Z38" t="str">
            <v>10400</v>
          </cell>
          <cell r="AA38" t="str">
            <v>PONT SUR SEINE</v>
          </cell>
          <cell r="AB38">
            <v>20107.550000000003</v>
          </cell>
          <cell r="AC38">
            <v>15891.15</v>
          </cell>
          <cell r="AD38">
            <v>602.20000000000005</v>
          </cell>
          <cell r="AF38">
            <v>36600.9</v>
          </cell>
          <cell r="AG38">
            <v>5501.52</v>
          </cell>
          <cell r="AH38">
            <v>9.3523244485160542E-2</v>
          </cell>
          <cell r="AI38">
            <v>8694.7200000000012</v>
          </cell>
          <cell r="AJ38">
            <v>9.3110483939938635E-2</v>
          </cell>
          <cell r="AK38">
            <v>101.58</v>
          </cell>
          <cell r="AL38">
            <v>0.58889545186060244</v>
          </cell>
          <cell r="AN38">
            <v>14297.820000000002</v>
          </cell>
          <cell r="AO38">
            <v>20016.948</v>
          </cell>
          <cell r="AP38">
            <v>-0.45310230076309599</v>
          </cell>
          <cell r="AQ38" t="str">
            <v>033-G-10ELAP</v>
          </cell>
          <cell r="AR38" t="str">
            <v>033-L-10ELAP</v>
          </cell>
          <cell r="AY38">
            <v>8955.5616000000009</v>
          </cell>
          <cell r="AZ38">
            <v>104.62739999999999</v>
          </cell>
          <cell r="BA38">
            <v>5666.5656000000008</v>
          </cell>
        </row>
        <row r="39">
          <cell r="A39">
            <v>449146</v>
          </cell>
          <cell r="B39" t="str">
            <v>SLICOM AERO</v>
          </cell>
          <cell r="J39">
            <v>0</v>
          </cell>
          <cell r="K39">
            <v>0</v>
          </cell>
          <cell r="N39" t="str">
            <v>Porte Feuille</v>
          </cell>
          <cell r="O39" t="str">
            <v>Non affecté</v>
          </cell>
          <cell r="P39" t="str">
            <v>FM</v>
          </cell>
          <cell r="Q39" t="str">
            <v>Ok mon client</v>
          </cell>
          <cell r="R39" t="str">
            <v>TROYES / LA CHAPELLE</v>
          </cell>
          <cell r="S39" t="str">
            <v>63</v>
          </cell>
          <cell r="T39" t="str">
            <v>149 AVENUE DU BREZET</v>
          </cell>
          <cell r="U39">
            <v>63100</v>
          </cell>
          <cell r="V39" t="str">
            <v>CLERMONT FERRAND</v>
          </cell>
          <cell r="X39" t="str">
            <v>Directeur Logistique et Transports</v>
          </cell>
          <cell r="Y39" t="str">
            <v>France</v>
          </cell>
          <cell r="Z39" t="str">
            <v>63050</v>
          </cell>
          <cell r="AA39" t="str">
            <v>CLERMONT FERRAND</v>
          </cell>
          <cell r="AB39">
            <v>525.22</v>
          </cell>
          <cell r="AC39">
            <v>23903.630000000005</v>
          </cell>
          <cell r="AD39">
            <v>29.2</v>
          </cell>
          <cell r="AF39">
            <v>24458.050000000007</v>
          </cell>
          <cell r="AG39">
            <v>351</v>
          </cell>
          <cell r="AH39">
            <v>0.28774928774928776</v>
          </cell>
          <cell r="AI39">
            <v>12341.910000000002</v>
          </cell>
          <cell r="AJ39">
            <v>5.8080089673723953E-2</v>
          </cell>
          <cell r="AK39">
            <v>62.57</v>
          </cell>
          <cell r="AL39">
            <v>0.6156304938468915</v>
          </cell>
          <cell r="AN39">
            <v>12755.480000000001</v>
          </cell>
          <cell r="AO39">
            <v>17857.672000000002</v>
          </cell>
          <cell r="AP39">
            <v>-0.26986525908647674</v>
          </cell>
          <cell r="AQ39" t="str">
            <v>033-G-89SM2A</v>
          </cell>
          <cell r="AY39">
            <v>12341.910000000002</v>
          </cell>
          <cell r="AZ39">
            <v>62.57</v>
          </cell>
          <cell r="BA39">
            <v>351</v>
          </cell>
        </row>
        <row r="40">
          <cell r="A40">
            <v>546192</v>
          </cell>
          <cell r="B40" t="str">
            <v>MATREX PRODUCTION</v>
          </cell>
          <cell r="J40">
            <v>0</v>
          </cell>
          <cell r="K40">
            <v>0</v>
          </cell>
          <cell r="O40" t="str">
            <v>Non affecté</v>
          </cell>
          <cell r="P40" t="str">
            <v>FM</v>
          </cell>
          <cell r="Q40" t="str">
            <v>Ok mon client</v>
          </cell>
          <cell r="R40" t="str">
            <v>TROYES / LA CHAPELLE</v>
          </cell>
          <cell r="S40" t="str">
            <v>89</v>
          </cell>
          <cell r="T40" t="str">
            <v>route de Rousson</v>
          </cell>
          <cell r="U40">
            <v>89500</v>
          </cell>
          <cell r="V40" t="str">
            <v>VILLENEUVE / YONNE</v>
          </cell>
          <cell r="W40" t="str">
            <v>M</v>
          </cell>
          <cell r="X40" t="str">
            <v>HADJ GUEDILI</v>
          </cell>
          <cell r="Y40" t="str">
            <v>France</v>
          </cell>
          <cell r="Z40" t="str">
            <v>89500</v>
          </cell>
          <cell r="AA40" t="str">
            <v>VILLENEUVE SUR YONNE</v>
          </cell>
          <cell r="AB40">
            <v>17238.71</v>
          </cell>
          <cell r="AC40">
            <v>8491.84</v>
          </cell>
          <cell r="AD40">
            <v>118.05000000000001</v>
          </cell>
          <cell r="AF40">
            <v>25848.6</v>
          </cell>
          <cell r="AG40">
            <v>7097.8000000000011</v>
          </cell>
          <cell r="AH40">
            <v>0.27906393530389695</v>
          </cell>
          <cell r="AI40">
            <v>4927.93</v>
          </cell>
          <cell r="AJ40">
            <v>5.5109278725298826E-2</v>
          </cell>
          <cell r="AK40">
            <v>132.49</v>
          </cell>
          <cell r="AL40">
            <v>0.55755151332176023</v>
          </cell>
          <cell r="AN40">
            <v>12158.220000000001</v>
          </cell>
          <cell r="AO40">
            <v>17021.508000000002</v>
          </cell>
          <cell r="AP40">
            <v>-0.34149207307165563</v>
          </cell>
          <cell r="AQ40" t="str">
            <v>033-G-89MATREX</v>
          </cell>
          <cell r="AR40" t="str">
            <v>033-L-89MATREXLOT</v>
          </cell>
          <cell r="AY40">
            <v>4927.93</v>
          </cell>
          <cell r="AZ40">
            <v>132.49</v>
          </cell>
          <cell r="BA40">
            <v>7097.8000000000011</v>
          </cell>
        </row>
        <row r="41">
          <cell r="A41">
            <v>67243</v>
          </cell>
          <cell r="B41" t="str">
            <v>J P J</v>
          </cell>
          <cell r="J41">
            <v>0</v>
          </cell>
          <cell r="K41">
            <v>0</v>
          </cell>
          <cell r="N41" t="str">
            <v>Porte Feuille</v>
          </cell>
          <cell r="O41" t="str">
            <v>Non affecté</v>
          </cell>
          <cell r="P41" t="str">
            <v>FM</v>
          </cell>
          <cell r="Q41" t="str">
            <v>Ok mon client</v>
          </cell>
          <cell r="R41" t="str">
            <v>TROYES / LA CHAPELLE</v>
          </cell>
          <cell r="S41" t="str">
            <v>89</v>
          </cell>
          <cell r="T41" t="str">
            <v>24 route de Joigny</v>
          </cell>
          <cell r="U41">
            <v>89300</v>
          </cell>
          <cell r="V41" t="str">
            <v>LOOZE</v>
          </cell>
          <cell r="W41" t="str">
            <v>M</v>
          </cell>
          <cell r="X41" t="str">
            <v>LAGRUE</v>
          </cell>
          <cell r="Y41" t="str">
            <v>France</v>
          </cell>
          <cell r="Z41" t="str">
            <v>89300</v>
          </cell>
          <cell r="AA41" t="str">
            <v>LOOZE</v>
          </cell>
          <cell r="AB41">
            <v>2848.2000000000003</v>
          </cell>
          <cell r="AC41">
            <v>18553.909999999996</v>
          </cell>
          <cell r="AD41">
            <v>2049.3500000000004</v>
          </cell>
          <cell r="AF41">
            <v>23451.46</v>
          </cell>
          <cell r="AG41">
            <v>455</v>
          </cell>
          <cell r="AH41">
            <v>0.27472527472527475</v>
          </cell>
          <cell r="AI41">
            <v>9461.59</v>
          </cell>
          <cell r="AJ41">
            <v>0.41536539133565631</v>
          </cell>
          <cell r="AK41">
            <v>1513.67</v>
          </cell>
          <cell r="AL41">
            <v>0.34233819426309497</v>
          </cell>
          <cell r="AN41">
            <v>11430.26</v>
          </cell>
          <cell r="AO41">
            <v>16002.364</v>
          </cell>
          <cell r="AP41">
            <v>-0.31763890179971732</v>
          </cell>
          <cell r="AQ41" t="str">
            <v>033-G-89JPJ</v>
          </cell>
          <cell r="AY41">
            <v>9461.59</v>
          </cell>
          <cell r="AZ41">
            <v>1513.67</v>
          </cell>
          <cell r="BA41">
            <v>455</v>
          </cell>
        </row>
        <row r="42">
          <cell r="A42">
            <v>626516</v>
          </cell>
          <cell r="B42" t="str">
            <v>MILBOX NESPOLI</v>
          </cell>
          <cell r="C42">
            <v>0.1</v>
          </cell>
          <cell r="D42">
            <v>0.1</v>
          </cell>
          <cell r="E42">
            <v>0.02</v>
          </cell>
          <cell r="F42">
            <v>41275</v>
          </cell>
          <cell r="H42" t="str">
            <v>OK</v>
          </cell>
          <cell r="I42">
            <v>0.75</v>
          </cell>
          <cell r="J42">
            <v>0</v>
          </cell>
          <cell r="K42">
            <v>0</v>
          </cell>
          <cell r="L42" t="str">
            <v>ok</v>
          </cell>
          <cell r="M42" t="str">
            <v>ok</v>
          </cell>
          <cell r="O42" t="str">
            <v>Non affecté</v>
          </cell>
          <cell r="P42" t="str">
            <v>FM</v>
          </cell>
          <cell r="Q42" t="str">
            <v>Ok mon client</v>
          </cell>
          <cell r="R42" t="str">
            <v>TROYES / LA CHAPELLE</v>
          </cell>
          <cell r="S42" t="str">
            <v>89</v>
          </cell>
          <cell r="T42" t="str">
            <v>ZI LES PLANTES JACQUES</v>
          </cell>
          <cell r="U42">
            <v>89210</v>
          </cell>
          <cell r="V42" t="str">
            <v>BRIENON SUR ARMANCON</v>
          </cell>
          <cell r="X42" t="str">
            <v>Directeur Logistique et Transports</v>
          </cell>
          <cell r="Y42" t="str">
            <v>France</v>
          </cell>
          <cell r="Z42" t="str">
            <v>89210</v>
          </cell>
          <cell r="AA42" t="str">
            <v>BRIENON SUR ARMANCON</v>
          </cell>
          <cell r="AB42">
            <v>2526.39</v>
          </cell>
          <cell r="AD42">
            <v>5985.25</v>
          </cell>
          <cell r="AF42">
            <v>8511.64</v>
          </cell>
          <cell r="AG42">
            <v>6658</v>
          </cell>
          <cell r="AH42">
            <v>0.14279963953139085</v>
          </cell>
          <cell r="AK42">
            <v>3609.41</v>
          </cell>
          <cell r="AL42">
            <v>0.522353891016482</v>
          </cell>
          <cell r="AN42">
            <v>10267.41</v>
          </cell>
          <cell r="AO42">
            <v>14374.373999999998</v>
          </cell>
          <cell r="AP42">
            <v>0.6887901743964735</v>
          </cell>
          <cell r="AQ42" t="str">
            <v>033-G-89MILBOX</v>
          </cell>
          <cell r="AY42">
            <v>0</v>
          </cell>
          <cell r="AZ42">
            <v>3970.3510000000001</v>
          </cell>
          <cell r="BA42">
            <v>6791.16</v>
          </cell>
        </row>
        <row r="43">
          <cell r="A43">
            <v>483240</v>
          </cell>
          <cell r="B43" t="str">
            <v>GRAVOTECH ITALIA SRL</v>
          </cell>
          <cell r="H43" t="str">
            <v>Pas de hausse suite mail du 12/02/2013</v>
          </cell>
          <cell r="J43">
            <v>0</v>
          </cell>
          <cell r="K43">
            <v>0</v>
          </cell>
          <cell r="L43" t="str">
            <v>non</v>
          </cell>
          <cell r="M43" t="str">
            <v>non</v>
          </cell>
          <cell r="N43" t="str">
            <v>Porte Feuille</v>
          </cell>
          <cell r="O43" t="str">
            <v>Non affecté</v>
          </cell>
          <cell r="P43" t="str">
            <v>FM</v>
          </cell>
          <cell r="Q43" t="str">
            <v>Ok mon client</v>
          </cell>
          <cell r="R43" t="str">
            <v>TROYES / LA CHAPELLE</v>
          </cell>
          <cell r="S43" t="str">
            <v>20</v>
          </cell>
          <cell r="T43" t="str">
            <v>VIA FERRANTE APORTI  26</v>
          </cell>
          <cell r="U43">
            <v>20125</v>
          </cell>
          <cell r="V43" t="str">
            <v>MILANO</v>
          </cell>
          <cell r="X43" t="str">
            <v>Directeur Logistique et Transports</v>
          </cell>
          <cell r="Y43" t="str">
            <v>Italie</v>
          </cell>
          <cell r="Z43" t="str">
            <v>20125</v>
          </cell>
          <cell r="AA43" t="str">
            <v>MILANO</v>
          </cell>
          <cell r="AD43">
            <v>14487.23</v>
          </cell>
          <cell r="AF43">
            <v>14487.23</v>
          </cell>
          <cell r="AK43">
            <v>9478.9599999999991</v>
          </cell>
          <cell r="AL43">
            <v>0.66604353220184498</v>
          </cell>
          <cell r="AN43">
            <v>9478.9599999999991</v>
          </cell>
          <cell r="AO43">
            <v>13270.543999999998</v>
          </cell>
          <cell r="AP43">
            <v>-8.3983342571354314E-2</v>
          </cell>
          <cell r="AQ43" t="str">
            <v>033-G-20GRAVOGRAPH</v>
          </cell>
          <cell r="AR43" t="str">
            <v>033-L-10GRAVOGRAPH</v>
          </cell>
          <cell r="AY43">
            <v>0</v>
          </cell>
          <cell r="AZ43">
            <v>9478.9599999999991</v>
          </cell>
          <cell r="BA43">
            <v>0</v>
          </cell>
        </row>
        <row r="44">
          <cell r="A44">
            <v>1871</v>
          </cell>
          <cell r="B44" t="str">
            <v>FABRILOR</v>
          </cell>
          <cell r="C44">
            <v>0.02</v>
          </cell>
          <cell r="D44">
            <v>0.02</v>
          </cell>
          <cell r="E44">
            <v>0</v>
          </cell>
          <cell r="F44">
            <v>41365</v>
          </cell>
          <cell r="H44" t="str">
            <v>PORTEFEUILLE A NEGOCIER IDEM FONTES DE PARIS FONDERIE DU DER CHROMETAL ET FABRILOR MEME INTERLOCUTEUR</v>
          </cell>
          <cell r="J44">
            <v>0</v>
          </cell>
          <cell r="K44">
            <v>0</v>
          </cell>
          <cell r="L44" t="str">
            <v>OK</v>
          </cell>
          <cell r="M44" t="str">
            <v>OK</v>
          </cell>
          <cell r="N44" t="str">
            <v>Porte Feuille</v>
          </cell>
          <cell r="O44" t="str">
            <v>Non affecté</v>
          </cell>
          <cell r="P44" t="str">
            <v>FM</v>
          </cell>
          <cell r="Q44" t="str">
            <v>Ok mon client</v>
          </cell>
          <cell r="R44" t="str">
            <v>TROYES / LA CHAPELLE</v>
          </cell>
          <cell r="S44" t="str">
            <v>10</v>
          </cell>
          <cell r="T44" t="str">
            <v>Zone Industrielle</v>
          </cell>
          <cell r="U44">
            <v>10330</v>
          </cell>
          <cell r="V44" t="str">
            <v>CHAVANGES</v>
          </cell>
          <cell r="W44" t="str">
            <v>Mme</v>
          </cell>
          <cell r="X44" t="str">
            <v>Muryel SZATAPASK</v>
          </cell>
          <cell r="Y44" t="str">
            <v>France</v>
          </cell>
          <cell r="Z44" t="str">
            <v>10330</v>
          </cell>
          <cell r="AA44" t="str">
            <v>CHAVANGES</v>
          </cell>
          <cell r="AC44">
            <v>10445.67</v>
          </cell>
          <cell r="AD44">
            <v>193.37</v>
          </cell>
          <cell r="AF44">
            <v>10639.04</v>
          </cell>
          <cell r="AI44">
            <v>9115.31</v>
          </cell>
          <cell r="AJ44">
            <v>0.19878706719775691</v>
          </cell>
          <cell r="AK44">
            <v>144.41</v>
          </cell>
          <cell r="AL44">
            <v>0.56325739214735826</v>
          </cell>
          <cell r="AN44">
            <v>9259.7199999999993</v>
          </cell>
          <cell r="AO44">
            <v>12963.607999999998</v>
          </cell>
          <cell r="AP44">
            <v>0.21849414984810633</v>
          </cell>
          <cell r="AQ44" t="str">
            <v>033-G-10FABRILOR</v>
          </cell>
          <cell r="AY44">
            <v>9297.6162000000004</v>
          </cell>
          <cell r="AZ44">
            <v>147.29820000000001</v>
          </cell>
          <cell r="BA44">
            <v>0</v>
          </cell>
        </row>
        <row r="45">
          <cell r="A45">
            <v>202967</v>
          </cell>
          <cell r="B45" t="str">
            <v>LA FORESTIERE DU NORD</v>
          </cell>
          <cell r="H45" t="str">
            <v>Pas de contrat pas de tarif</v>
          </cell>
          <cell r="J45">
            <v>0</v>
          </cell>
          <cell r="K45">
            <v>0</v>
          </cell>
          <cell r="L45" t="str">
            <v>non</v>
          </cell>
          <cell r="M45" t="str">
            <v>non</v>
          </cell>
          <cell r="N45" t="str">
            <v>Porte Feuille</v>
          </cell>
          <cell r="O45" t="str">
            <v>Non affecté</v>
          </cell>
          <cell r="P45" t="str">
            <v>FM</v>
          </cell>
          <cell r="Q45" t="str">
            <v>Ok mon client</v>
          </cell>
          <cell r="R45" t="str">
            <v>TROYES / LA CHAPELLE</v>
          </cell>
          <cell r="S45" t="str">
            <v>91</v>
          </cell>
          <cell r="T45" t="str">
            <v>CHARBON DE BOIS-BOIS DE CHAFFAGE</v>
          </cell>
          <cell r="U45">
            <v>91430</v>
          </cell>
          <cell r="V45" t="str">
            <v>IGNY</v>
          </cell>
          <cell r="X45" t="str">
            <v>Directeur Logistique et Transports</v>
          </cell>
          <cell r="Y45" t="str">
            <v>France</v>
          </cell>
          <cell r="Z45" t="str">
            <v>91430</v>
          </cell>
          <cell r="AA45" t="str">
            <v>IGNY</v>
          </cell>
          <cell r="AB45">
            <v>11639</v>
          </cell>
          <cell r="AF45">
            <v>11639</v>
          </cell>
          <cell r="AG45">
            <v>9180</v>
          </cell>
          <cell r="AN45">
            <v>9180</v>
          </cell>
          <cell r="AO45">
            <v>12852</v>
          </cell>
          <cell r="AP45">
            <v>0.10421857547899305</v>
          </cell>
          <cell r="AY45">
            <v>0</v>
          </cell>
          <cell r="AZ45">
            <v>0</v>
          </cell>
          <cell r="BA45">
            <v>9180</v>
          </cell>
        </row>
        <row r="46">
          <cell r="A46">
            <v>825135</v>
          </cell>
          <cell r="B46" t="str">
            <v>SAVIPLAST</v>
          </cell>
          <cell r="C46">
            <v>0.1</v>
          </cell>
          <cell r="D46">
            <v>0.1</v>
          </cell>
          <cell r="E46">
            <v>0.02</v>
          </cell>
          <cell r="F46">
            <v>41275</v>
          </cell>
          <cell r="J46">
            <v>0</v>
          </cell>
          <cell r="K46">
            <v>0</v>
          </cell>
          <cell r="L46" t="str">
            <v>ok</v>
          </cell>
          <cell r="M46" t="str">
            <v>ok</v>
          </cell>
          <cell r="O46" t="str">
            <v>Non affecté</v>
          </cell>
          <cell r="P46" t="str">
            <v>FM</v>
          </cell>
          <cell r="Q46" t="str">
            <v>Ok mon client</v>
          </cell>
          <cell r="R46" t="str">
            <v>TROYES / LA CHAPELLE</v>
          </cell>
          <cell r="S46" t="str">
            <v>10</v>
          </cell>
          <cell r="T46" t="str">
            <v>172 AVENUE DU GENERAL LECLERC</v>
          </cell>
          <cell r="U46">
            <v>10300</v>
          </cell>
          <cell r="V46" t="str">
            <v>STE SAVINE</v>
          </cell>
          <cell r="X46" t="str">
            <v>Directeur Logistique et Transports</v>
          </cell>
          <cell r="Y46" t="str">
            <v>France</v>
          </cell>
          <cell r="Z46" t="str">
            <v>10300</v>
          </cell>
          <cell r="AA46" t="str">
            <v>STE SAVINE</v>
          </cell>
          <cell r="AB46">
            <v>178.36</v>
          </cell>
          <cell r="AC46">
            <v>7046.54</v>
          </cell>
          <cell r="AF46">
            <v>7224.9</v>
          </cell>
          <cell r="AG46">
            <v>880</v>
          </cell>
          <cell r="AH46">
            <v>0.18181818181818182</v>
          </cell>
          <cell r="AI46">
            <v>8247.73</v>
          </cell>
          <cell r="AJ46">
            <v>0.36358246450841641</v>
          </cell>
          <cell r="AN46">
            <v>9127.73</v>
          </cell>
          <cell r="AO46">
            <v>12778.821999999998</v>
          </cell>
          <cell r="AP46">
            <v>0.76871956705283107</v>
          </cell>
          <cell r="AQ46" t="str">
            <v>033-G-10SAVIPLAST</v>
          </cell>
          <cell r="AY46">
            <v>9072.5030000000006</v>
          </cell>
          <cell r="AZ46">
            <v>0</v>
          </cell>
          <cell r="BA46">
            <v>897.6</v>
          </cell>
        </row>
        <row r="47">
          <cell r="A47">
            <v>508202</v>
          </cell>
          <cell r="B47" t="str">
            <v>NOBEL PLASTIQUES</v>
          </cell>
          <cell r="H47" t="str">
            <v>IDEM NOBEL PLASTIK SUR REIMS = NEGO COMMUNE ENTRE REIMS ET TROYES</v>
          </cell>
          <cell r="J47">
            <v>0</v>
          </cell>
          <cell r="K47">
            <v>0</v>
          </cell>
          <cell r="M47" t="str">
            <v>En attente</v>
          </cell>
          <cell r="O47" t="str">
            <v>Non affecté</v>
          </cell>
          <cell r="P47" t="str">
            <v>FM</v>
          </cell>
          <cell r="Q47" t="str">
            <v>Ok mon client</v>
          </cell>
          <cell r="R47" t="str">
            <v>TROYES / LA CHAPELLE</v>
          </cell>
          <cell r="S47" t="str">
            <v>51</v>
          </cell>
          <cell r="T47" t="str">
            <v>ZI de l'Europe</v>
          </cell>
          <cell r="U47">
            <v>51300</v>
          </cell>
          <cell r="V47" t="str">
            <v>VITRY LE FRANCOIS</v>
          </cell>
          <cell r="W47" t="str">
            <v>M</v>
          </cell>
          <cell r="X47" t="str">
            <v>CHEVALIER</v>
          </cell>
          <cell r="Y47" t="str">
            <v>France</v>
          </cell>
          <cell r="Z47" t="str">
            <v>51364</v>
          </cell>
          <cell r="AA47" t="str">
            <v>MAROLLES</v>
          </cell>
          <cell r="AB47">
            <v>1133.33</v>
          </cell>
          <cell r="AC47">
            <v>4976.6099999999997</v>
          </cell>
          <cell r="AD47">
            <v>272.39</v>
          </cell>
          <cell r="AF47">
            <v>6382.33</v>
          </cell>
          <cell r="AG47">
            <v>220</v>
          </cell>
          <cell r="AH47">
            <v>0.18181818181818182</v>
          </cell>
          <cell r="AI47">
            <v>6921.7999999999993</v>
          </cell>
          <cell r="AJ47">
            <v>0.45077558656169625</v>
          </cell>
          <cell r="AK47">
            <v>1533.31</v>
          </cell>
          <cell r="AL47">
            <v>0.73738821254993669</v>
          </cell>
          <cell r="AM47">
            <v>150</v>
          </cell>
          <cell r="AN47">
            <v>8825.1099999999988</v>
          </cell>
          <cell r="AO47">
            <v>12355.153999999997</v>
          </cell>
          <cell r="AP47">
            <v>0.93583753895520871</v>
          </cell>
          <cell r="AQ47" t="str">
            <v>033-G-51NOBEL</v>
          </cell>
          <cell r="AY47">
            <v>6921.7999999999993</v>
          </cell>
          <cell r="AZ47">
            <v>1533.31</v>
          </cell>
          <cell r="BA47">
            <v>220</v>
          </cell>
        </row>
        <row r="48">
          <cell r="A48">
            <v>872591</v>
          </cell>
          <cell r="B48" t="str">
            <v>TOUT POUR LE GRAIN</v>
          </cell>
          <cell r="C48">
            <v>0.05</v>
          </cell>
          <cell r="D48">
            <v>0.05</v>
          </cell>
          <cell r="E48">
            <v>0.02</v>
          </cell>
          <cell r="F48">
            <v>41275</v>
          </cell>
          <cell r="H48" t="str">
            <v>NOUVEAUX CLIENT A NEGOCIER</v>
          </cell>
          <cell r="J48">
            <v>0</v>
          </cell>
          <cell r="K48">
            <v>0</v>
          </cell>
          <cell r="L48" t="str">
            <v>ok</v>
          </cell>
          <cell r="M48" t="str">
            <v>ok</v>
          </cell>
          <cell r="O48" t="str">
            <v>Non affecté</v>
          </cell>
          <cell r="P48" t="str">
            <v>FM</v>
          </cell>
          <cell r="Q48" t="str">
            <v>Ok mon client</v>
          </cell>
          <cell r="R48" t="str">
            <v>TROYES / LA CHAPELLE</v>
          </cell>
          <cell r="S48" t="str">
            <v>89</v>
          </cell>
          <cell r="T48" t="str">
            <v>2 RUE DES JONQUILLES</v>
          </cell>
          <cell r="U48">
            <v>89260</v>
          </cell>
          <cell r="V48" t="str">
            <v>PERCENEIGE</v>
          </cell>
          <cell r="W48" t="str">
            <v>M</v>
          </cell>
          <cell r="X48" t="str">
            <v>DENIOT</v>
          </cell>
          <cell r="Y48" t="str">
            <v>France</v>
          </cell>
          <cell r="Z48" t="str">
            <v>89260</v>
          </cell>
          <cell r="AA48" t="str">
            <v>PERCENEIGE</v>
          </cell>
          <cell r="AG48">
            <v>7513</v>
          </cell>
          <cell r="AH48">
            <v>0.11582457074404373</v>
          </cell>
          <cell r="AI48">
            <v>393.72</v>
          </cell>
          <cell r="AJ48">
            <v>0.40145280910291609</v>
          </cell>
          <cell r="AK48">
            <v>655.61</v>
          </cell>
          <cell r="AL48">
            <v>0.58934427479751672</v>
          </cell>
          <cell r="AN48">
            <v>8562.33</v>
          </cell>
          <cell r="AO48">
            <v>11987.261999999999</v>
          </cell>
          <cell r="AQ48" t="str">
            <v>033-G-89TOUTPOURLEGRAIN</v>
          </cell>
          <cell r="AS48">
            <v>41026</v>
          </cell>
          <cell r="AY48">
            <v>413.40600000000006</v>
          </cell>
          <cell r="AZ48">
            <v>688.39050000000009</v>
          </cell>
          <cell r="BA48">
            <v>7663.26</v>
          </cell>
        </row>
        <row r="49">
          <cell r="A49">
            <v>604821</v>
          </cell>
          <cell r="B49" t="str">
            <v>MILLOT PERE ET FILS</v>
          </cell>
          <cell r="C49">
            <v>0.1</v>
          </cell>
          <cell r="D49">
            <v>0.1</v>
          </cell>
          <cell r="E49">
            <v>0.02</v>
          </cell>
          <cell r="F49">
            <v>41275</v>
          </cell>
          <cell r="H49" t="str">
            <v>EN PORTEFEUILLE A NEGOCIER</v>
          </cell>
          <cell r="J49">
            <v>0</v>
          </cell>
          <cell r="K49">
            <v>0</v>
          </cell>
          <cell r="L49" t="str">
            <v>ok</v>
          </cell>
          <cell r="M49" t="str">
            <v>ok</v>
          </cell>
          <cell r="N49" t="str">
            <v>Porte Feuille</v>
          </cell>
          <cell r="O49" t="str">
            <v>Non affecté</v>
          </cell>
          <cell r="P49" t="str">
            <v>FM</v>
          </cell>
          <cell r="Q49" t="str">
            <v>Ok mon client</v>
          </cell>
          <cell r="R49" t="str">
            <v>TROYES / LA CHAPELLE</v>
          </cell>
          <cell r="S49" t="str">
            <v>10</v>
          </cell>
          <cell r="T49" t="str">
            <v>55 GRANDE RUE</v>
          </cell>
          <cell r="U49">
            <v>10360</v>
          </cell>
          <cell r="V49" t="str">
            <v>VERPILLIERES SUR OURCE</v>
          </cell>
          <cell r="X49" t="str">
            <v>Directeur Logistique et Transports</v>
          </cell>
          <cell r="Y49" t="str">
            <v>France</v>
          </cell>
          <cell r="Z49" t="str">
            <v>10360</v>
          </cell>
          <cell r="AA49" t="str">
            <v>VERPILLIERES SUR OURCE</v>
          </cell>
          <cell r="AC49">
            <v>16483.93</v>
          </cell>
          <cell r="AF49">
            <v>16483.93</v>
          </cell>
          <cell r="AI49">
            <v>8076.5499999999993</v>
          </cell>
          <cell r="AJ49">
            <v>0.66511815069553204</v>
          </cell>
          <cell r="AN49">
            <v>8076.5499999999993</v>
          </cell>
          <cell r="AO49">
            <v>11307.169999999998</v>
          </cell>
          <cell r="AP49">
            <v>-0.31404889489339027</v>
          </cell>
          <cell r="AQ49" t="str">
            <v>033-G-10MILLOT</v>
          </cell>
          <cell r="AY49">
            <v>8884.2049999999999</v>
          </cell>
          <cell r="AZ49">
            <v>0</v>
          </cell>
          <cell r="BA49">
            <v>0</v>
          </cell>
        </row>
        <row r="50">
          <cell r="A50">
            <v>871284</v>
          </cell>
          <cell r="B50" t="str">
            <v>SCOT</v>
          </cell>
          <cell r="C50">
            <v>0.05</v>
          </cell>
          <cell r="D50">
            <v>0.05</v>
          </cell>
          <cell r="E50">
            <v>0.02</v>
          </cell>
          <cell r="F50">
            <v>41275</v>
          </cell>
          <cell r="H50" t="str">
            <v>NOUVEAUX CLIENT A NEGOCIER</v>
          </cell>
          <cell r="J50">
            <v>0</v>
          </cell>
          <cell r="K50">
            <v>0</v>
          </cell>
          <cell r="L50" t="str">
            <v>OK</v>
          </cell>
          <cell r="M50" t="str">
            <v>OK</v>
          </cell>
          <cell r="O50" t="str">
            <v>Non affecté</v>
          </cell>
          <cell r="P50" t="str">
            <v>FM</v>
          </cell>
          <cell r="Q50" t="str">
            <v>Ok mon client</v>
          </cell>
          <cell r="R50" t="str">
            <v>TROYES / LA CHAPELLE</v>
          </cell>
          <cell r="S50" t="str">
            <v>89</v>
          </cell>
          <cell r="T50" t="str">
            <v>9 RUE DE LA JONCHERE</v>
          </cell>
          <cell r="U50">
            <v>89570</v>
          </cell>
          <cell r="V50" t="str">
            <v>NEUVY SAUTOUR</v>
          </cell>
          <cell r="W50" t="str">
            <v>M</v>
          </cell>
          <cell r="X50" t="str">
            <v>DOIN Fabrice</v>
          </cell>
          <cell r="Y50" t="str">
            <v>France</v>
          </cell>
          <cell r="Z50" t="str">
            <v>89570</v>
          </cell>
          <cell r="AA50" t="str">
            <v>NEUVY SAUTOUR</v>
          </cell>
          <cell r="AG50">
            <v>7019</v>
          </cell>
          <cell r="AH50">
            <v>0.12995725886878473</v>
          </cell>
          <cell r="AN50">
            <v>7019</v>
          </cell>
          <cell r="AO50">
            <v>9826.5999999999985</v>
          </cell>
          <cell r="AQ50" t="str">
            <v>033-G-89SCOT</v>
          </cell>
          <cell r="AS50">
            <v>41005</v>
          </cell>
          <cell r="AY50">
            <v>0</v>
          </cell>
          <cell r="AZ50">
            <v>0</v>
          </cell>
          <cell r="BA50">
            <v>7159.38</v>
          </cell>
        </row>
        <row r="51">
          <cell r="A51">
            <v>483046</v>
          </cell>
          <cell r="B51" t="str">
            <v>GRAVOGRAPH BENELUX</v>
          </cell>
          <cell r="H51" t="str">
            <v>Pas de hausse suite mail du 12/02/2013</v>
          </cell>
          <cell r="J51">
            <v>0</v>
          </cell>
          <cell r="K51">
            <v>0</v>
          </cell>
          <cell r="L51" t="str">
            <v>non</v>
          </cell>
          <cell r="M51" t="str">
            <v>non</v>
          </cell>
          <cell r="N51" t="str">
            <v>Porte Feuille</v>
          </cell>
          <cell r="O51" t="str">
            <v>Non affecté</v>
          </cell>
          <cell r="P51" t="str">
            <v>FM</v>
          </cell>
          <cell r="Q51" t="str">
            <v>Ok mon client</v>
          </cell>
          <cell r="R51" t="str">
            <v>TROYES / LA CHAPELLE</v>
          </cell>
          <cell r="S51" t="str">
            <v>26</v>
          </cell>
          <cell r="T51" t="str">
            <v>MOLENBERGLEI 16</v>
          </cell>
          <cell r="U51">
            <v>2627</v>
          </cell>
          <cell r="V51" t="str">
            <v>SCHELLE</v>
          </cell>
          <cell r="X51" t="str">
            <v>Directeur Logistique et Transports</v>
          </cell>
          <cell r="Y51" t="str">
            <v>Belgique</v>
          </cell>
          <cell r="Z51" t="str">
            <v>2627</v>
          </cell>
          <cell r="AA51" t="str">
            <v>SCHELLE</v>
          </cell>
          <cell r="AD51">
            <v>11317.93</v>
          </cell>
          <cell r="AF51">
            <v>11317.93</v>
          </cell>
          <cell r="AK51">
            <v>6888.43</v>
          </cell>
          <cell r="AL51">
            <v>0.4726127724314535</v>
          </cell>
          <cell r="AN51">
            <v>6888.43</v>
          </cell>
          <cell r="AO51">
            <v>9643.8019999999997</v>
          </cell>
          <cell r="AP51">
            <v>-0.14791821472654454</v>
          </cell>
          <cell r="AY51">
            <v>0</v>
          </cell>
          <cell r="AZ51">
            <v>6888.43</v>
          </cell>
          <cell r="BA51">
            <v>0</v>
          </cell>
        </row>
        <row r="52">
          <cell r="A52">
            <v>807611</v>
          </cell>
          <cell r="B52" t="str">
            <v>EUROSTYLE SYSTEMS SENS</v>
          </cell>
          <cell r="C52">
            <v>0.1</v>
          </cell>
          <cell r="D52">
            <v>0.1</v>
          </cell>
          <cell r="E52">
            <v>0.02</v>
          </cell>
          <cell r="F52">
            <v>41275</v>
          </cell>
          <cell r="H52" t="str">
            <v>Passage sur un TS plein</v>
          </cell>
          <cell r="I52">
            <v>0.75</v>
          </cell>
          <cell r="J52">
            <v>0</v>
          </cell>
          <cell r="K52">
            <v>0</v>
          </cell>
          <cell r="L52" t="str">
            <v>ok</v>
          </cell>
          <cell r="M52" t="str">
            <v>ok</v>
          </cell>
          <cell r="O52" t="str">
            <v>Non affecté</v>
          </cell>
          <cell r="P52" t="str">
            <v>FM</v>
          </cell>
          <cell r="Q52" t="str">
            <v>Ok mon client</v>
          </cell>
          <cell r="R52" t="str">
            <v>TROYES / LA CHAPELLE</v>
          </cell>
          <cell r="S52" t="str">
            <v>89</v>
          </cell>
          <cell r="T52" t="str">
            <v>5 RUE DE LA FONTAINE D'AZON</v>
          </cell>
          <cell r="U52">
            <v>89100</v>
          </cell>
          <cell r="V52" t="str">
            <v>ST CLEMENT</v>
          </cell>
          <cell r="X52" t="str">
            <v>Directeur Logistique et Transports</v>
          </cell>
          <cell r="Y52" t="str">
            <v>France</v>
          </cell>
          <cell r="Z52" t="str">
            <v>89100</v>
          </cell>
          <cell r="AA52" t="str">
            <v>ST CLEMENT</v>
          </cell>
          <cell r="AC52">
            <v>3398.0499999999997</v>
          </cell>
          <cell r="AD52">
            <v>593.04999999999995</v>
          </cell>
          <cell r="AE52">
            <v>236.94</v>
          </cell>
          <cell r="AF52">
            <v>4228.04</v>
          </cell>
          <cell r="AG52">
            <v>402</v>
          </cell>
          <cell r="AH52">
            <v>0.12935323383084577</v>
          </cell>
          <cell r="AI52">
            <v>5937.88</v>
          </cell>
          <cell r="AJ52">
            <v>0.77107991404339571</v>
          </cell>
          <cell r="AK52">
            <v>438.17</v>
          </cell>
          <cell r="AL52">
            <v>0.50854691101627225</v>
          </cell>
          <cell r="AN52">
            <v>6778.05</v>
          </cell>
          <cell r="AO52">
            <v>9489.27</v>
          </cell>
          <cell r="AP52">
            <v>1.2443661838582418</v>
          </cell>
          <cell r="AQ52" t="str">
            <v>033-G-GENERAL-KG-TXP</v>
          </cell>
          <cell r="AY52">
            <v>6531.6680000000006</v>
          </cell>
          <cell r="AZ52">
            <v>481.98700000000008</v>
          </cell>
          <cell r="BA52">
            <v>410.04</v>
          </cell>
        </row>
        <row r="53">
          <cell r="A53">
            <v>538497</v>
          </cell>
          <cell r="B53" t="str">
            <v>RIDORAIL</v>
          </cell>
          <cell r="C53">
            <v>0.05</v>
          </cell>
          <cell r="D53">
            <v>0.05</v>
          </cell>
          <cell r="E53">
            <v>0.02</v>
          </cell>
          <cell r="F53">
            <v>41275</v>
          </cell>
          <cell r="J53">
            <v>0</v>
          </cell>
          <cell r="K53">
            <v>0</v>
          </cell>
          <cell r="L53" t="str">
            <v>ok</v>
          </cell>
          <cell r="M53" t="str">
            <v>ok</v>
          </cell>
          <cell r="N53" t="str">
            <v>Porte Feuille</v>
          </cell>
          <cell r="O53" t="str">
            <v>Non affecté</v>
          </cell>
          <cell r="P53" t="str">
            <v>FM</v>
          </cell>
          <cell r="Q53" t="str">
            <v>Ok mon client</v>
          </cell>
          <cell r="R53" t="str">
            <v>TROYES / LA CHAPELLE</v>
          </cell>
          <cell r="S53" t="str">
            <v>10</v>
          </cell>
          <cell r="T53" t="str">
            <v>Zone Industrielle RD 23</v>
          </cell>
          <cell r="U53">
            <v>10190</v>
          </cell>
          <cell r="V53" t="str">
            <v>ESTISSAC</v>
          </cell>
          <cell r="X53" t="str">
            <v>Directeur Logistique et Transports</v>
          </cell>
          <cell r="Y53" t="str">
            <v>France</v>
          </cell>
          <cell r="Z53" t="str">
            <v>10190</v>
          </cell>
          <cell r="AA53" t="str">
            <v>ESTISSAC</v>
          </cell>
          <cell r="AB53">
            <v>10788.43</v>
          </cell>
          <cell r="AC53">
            <v>30.93</v>
          </cell>
          <cell r="AD53">
            <v>5665.42</v>
          </cell>
          <cell r="AF53">
            <v>16484.78</v>
          </cell>
          <cell r="AG53">
            <v>3612.31</v>
          </cell>
          <cell r="AH53">
            <v>0.31982581782848113</v>
          </cell>
          <cell r="AI53">
            <v>222.78</v>
          </cell>
          <cell r="AJ53">
            <v>0.63277673040667926</v>
          </cell>
          <cell r="AK53">
            <v>2654.46</v>
          </cell>
          <cell r="AL53">
            <v>0.4754714706569319</v>
          </cell>
          <cell r="AN53">
            <v>6489.55</v>
          </cell>
          <cell r="AO53">
            <v>9085.369999999999</v>
          </cell>
          <cell r="AP53">
            <v>-0.448863133144634</v>
          </cell>
          <cell r="AQ53" t="str">
            <v>033-G-10RIDORAIL</v>
          </cell>
          <cell r="AY53">
            <v>233.91900000000001</v>
          </cell>
          <cell r="AZ53">
            <v>2787.183</v>
          </cell>
          <cell r="BA53">
            <v>3684.5562</v>
          </cell>
        </row>
        <row r="54">
          <cell r="A54">
            <v>847815</v>
          </cell>
          <cell r="B54" t="str">
            <v>SPARE PARTS INTERNATIONAL DISTRIBUT</v>
          </cell>
          <cell r="C54">
            <v>0.05</v>
          </cell>
          <cell r="D54">
            <v>0.05</v>
          </cell>
          <cell r="E54">
            <v>0.02</v>
          </cell>
          <cell r="F54">
            <v>41275</v>
          </cell>
          <cell r="J54">
            <v>0</v>
          </cell>
          <cell r="K54">
            <v>0</v>
          </cell>
          <cell r="L54" t="str">
            <v>ok</v>
          </cell>
          <cell r="M54" t="str">
            <v>ok</v>
          </cell>
          <cell r="O54" t="str">
            <v>Non affecté</v>
          </cell>
          <cell r="P54" t="str">
            <v>FM</v>
          </cell>
          <cell r="Q54" t="str">
            <v>Ok mon client</v>
          </cell>
          <cell r="R54" t="str">
            <v>TROYES / LA CHAPELLE</v>
          </cell>
          <cell r="S54" t="str">
            <v>10</v>
          </cell>
          <cell r="T54" t="str">
            <v>RUE DE L'ECLUSE</v>
          </cell>
          <cell r="U54">
            <v>10800</v>
          </cell>
          <cell r="V54" t="str">
            <v>SAINT THIBAULT</v>
          </cell>
          <cell r="X54" t="str">
            <v>Directeur Logistique et Transports</v>
          </cell>
          <cell r="Y54" t="str">
            <v>France</v>
          </cell>
          <cell r="Z54" t="str">
            <v>10800</v>
          </cell>
          <cell r="AA54" t="str">
            <v>SAINT THIBAULT</v>
          </cell>
          <cell r="AB54">
            <v>2488.31</v>
          </cell>
          <cell r="AC54">
            <v>1418.2600000000002</v>
          </cell>
          <cell r="AD54">
            <v>2008.06</v>
          </cell>
          <cell r="AF54">
            <v>5914.63</v>
          </cell>
          <cell r="AG54">
            <v>1982.9699999999998</v>
          </cell>
          <cell r="AH54">
            <v>0.25364478534723162</v>
          </cell>
          <cell r="AI54">
            <v>3772.7</v>
          </cell>
          <cell r="AJ54">
            <v>0.30330387346071064</v>
          </cell>
          <cell r="AK54">
            <v>713.06000000000006</v>
          </cell>
          <cell r="AL54">
            <v>0.49980366308585533</v>
          </cell>
          <cell r="AN54">
            <v>6468.7300000000005</v>
          </cell>
          <cell r="AO54">
            <v>9056.2219999999998</v>
          </cell>
          <cell r="AP54">
            <v>0.53115613318161903</v>
          </cell>
          <cell r="AY54">
            <v>3961.335</v>
          </cell>
          <cell r="AZ54">
            <v>748.71300000000008</v>
          </cell>
          <cell r="BA54">
            <v>2022.6293999999998</v>
          </cell>
        </row>
        <row r="55">
          <cell r="A55">
            <v>461861</v>
          </cell>
          <cell r="B55" t="str">
            <v>ADI SAS</v>
          </cell>
          <cell r="C55">
            <v>0.1</v>
          </cell>
          <cell r="D55">
            <v>0.1</v>
          </cell>
          <cell r="E55">
            <v>0.02</v>
          </cell>
          <cell r="F55">
            <v>41275</v>
          </cell>
          <cell r="I55">
            <v>0.75</v>
          </cell>
          <cell r="J55">
            <v>0</v>
          </cell>
          <cell r="K55">
            <v>0</v>
          </cell>
          <cell r="L55" t="str">
            <v>ok</v>
          </cell>
          <cell r="M55" t="str">
            <v>ok</v>
          </cell>
          <cell r="O55" t="str">
            <v>Non affecté</v>
          </cell>
          <cell r="P55" t="str">
            <v>FM</v>
          </cell>
          <cell r="Q55" t="str">
            <v>Ok mon client</v>
          </cell>
          <cell r="R55" t="str">
            <v>TROYES / LA CHAPELLE</v>
          </cell>
          <cell r="S55" t="str">
            <v>89</v>
          </cell>
          <cell r="T55" t="str">
            <v>ZA DE LA COTE RENARD</v>
          </cell>
          <cell r="U55">
            <v>89120</v>
          </cell>
          <cell r="V55" t="str">
            <v>VILLEFRANCHE ST PHAL</v>
          </cell>
          <cell r="X55" t="str">
            <v>Directeur Logistique et Transports</v>
          </cell>
          <cell r="Y55" t="str">
            <v>France</v>
          </cell>
          <cell r="Z55" t="str">
            <v>89120</v>
          </cell>
          <cell r="AA55" t="str">
            <v>VILLEFRANCHE ST PHAL</v>
          </cell>
          <cell r="AC55">
            <v>4749.7899999999991</v>
          </cell>
          <cell r="AF55">
            <v>4749.7899999999991</v>
          </cell>
          <cell r="AI55">
            <v>6330.0099999999993</v>
          </cell>
          <cell r="AJ55">
            <v>0.51977327050036282</v>
          </cell>
          <cell r="AN55">
            <v>6330.0099999999993</v>
          </cell>
          <cell r="AO55">
            <v>8862.0139999999992</v>
          </cell>
          <cell r="AP55">
            <v>0.86576964455270677</v>
          </cell>
          <cell r="AQ55" t="str">
            <v>033-G-GENERAL-KG-TXP</v>
          </cell>
          <cell r="AY55">
            <v>6963.0109999999995</v>
          </cell>
          <cell r="AZ55">
            <v>0</v>
          </cell>
          <cell r="BA55">
            <v>0</v>
          </cell>
        </row>
        <row r="56">
          <cell r="A56">
            <v>1799</v>
          </cell>
          <cell r="B56" t="str">
            <v>CHROMETAL-GIDER</v>
          </cell>
          <cell r="C56">
            <v>0.02</v>
          </cell>
          <cell r="D56">
            <v>0.02</v>
          </cell>
          <cell r="E56">
            <v>0</v>
          </cell>
          <cell r="F56">
            <v>41365</v>
          </cell>
          <cell r="H56" t="str">
            <v>PORTEFEUILLE A NEGOCIER IDEM FONTES DE PARIS FONDERIE DU DER CHROMETAL ET FABRILOR MEME INTERLOCUTEUR</v>
          </cell>
          <cell r="J56">
            <v>0</v>
          </cell>
          <cell r="K56">
            <v>0</v>
          </cell>
          <cell r="L56" t="str">
            <v>OK</v>
          </cell>
          <cell r="M56" t="str">
            <v>OK</v>
          </cell>
          <cell r="N56" t="str">
            <v>Porte Feuille</v>
          </cell>
          <cell r="O56" t="str">
            <v>Non affecté</v>
          </cell>
          <cell r="P56" t="str">
            <v>FM</v>
          </cell>
          <cell r="Q56" t="str">
            <v>Ok mon client</v>
          </cell>
          <cell r="R56" t="str">
            <v>TROYES / LA CHAPELLE</v>
          </cell>
          <cell r="S56" t="str">
            <v>10</v>
          </cell>
          <cell r="T56" t="str">
            <v>Zone Industrielle</v>
          </cell>
          <cell r="U56">
            <v>10330</v>
          </cell>
          <cell r="V56" t="str">
            <v>CHAVANGES</v>
          </cell>
          <cell r="W56" t="str">
            <v>Mme</v>
          </cell>
          <cell r="X56" t="str">
            <v>Muryel SZATAPASK</v>
          </cell>
          <cell r="Y56" t="str">
            <v>France</v>
          </cell>
          <cell r="Z56" t="str">
            <v>10330</v>
          </cell>
          <cell r="AA56" t="str">
            <v>CHAVANGES</v>
          </cell>
          <cell r="AC56">
            <v>9117.1</v>
          </cell>
          <cell r="AD56">
            <v>93.94</v>
          </cell>
          <cell r="AF56">
            <v>9211.0400000000009</v>
          </cell>
          <cell r="AI56">
            <v>6198.95</v>
          </cell>
          <cell r="AJ56">
            <v>8.1985588204479293E-2</v>
          </cell>
          <cell r="AK56">
            <v>74.06</v>
          </cell>
          <cell r="AL56">
            <v>0.33608790410461331</v>
          </cell>
          <cell r="AN56">
            <v>6273.01</v>
          </cell>
          <cell r="AO56">
            <v>8782.2139999999999</v>
          </cell>
          <cell r="AP56">
            <v>-4.6555654953186698E-2</v>
          </cell>
          <cell r="AQ56" t="str">
            <v>033-G-10CHROMETAL</v>
          </cell>
          <cell r="AY56">
            <v>6322.9290000000001</v>
          </cell>
          <cell r="AZ56">
            <v>75.541200000000003</v>
          </cell>
          <cell r="BA56">
            <v>0</v>
          </cell>
        </row>
        <row r="57">
          <cell r="A57">
            <v>6151</v>
          </cell>
          <cell r="B57" t="str">
            <v>NORELEM SAS</v>
          </cell>
          <cell r="C57">
            <v>0.05</v>
          </cell>
          <cell r="D57">
            <v>0.05</v>
          </cell>
          <cell r="E57">
            <v>0.02</v>
          </cell>
          <cell r="F57">
            <v>41275</v>
          </cell>
          <cell r="J57">
            <v>0</v>
          </cell>
          <cell r="K57">
            <v>0</v>
          </cell>
          <cell r="L57" t="str">
            <v>ok</v>
          </cell>
          <cell r="M57" t="str">
            <v>ok</v>
          </cell>
          <cell r="O57" t="str">
            <v>Non affecté</v>
          </cell>
          <cell r="P57" t="str">
            <v>FM</v>
          </cell>
          <cell r="Q57" t="str">
            <v>Ok mon client</v>
          </cell>
          <cell r="R57" t="str">
            <v>TROYES / LA CHAPELLE</v>
          </cell>
          <cell r="S57" t="str">
            <v>10</v>
          </cell>
          <cell r="T57" t="str">
            <v>106 AVENUE DU GENERAL LECLERC</v>
          </cell>
          <cell r="U57">
            <v>10300</v>
          </cell>
          <cell r="V57" t="str">
            <v>STE SAVINE</v>
          </cell>
          <cell r="X57" t="str">
            <v>Directeur Logistique et Transports</v>
          </cell>
          <cell r="Y57" t="str">
            <v>France</v>
          </cell>
          <cell r="Z57" t="str">
            <v>10300</v>
          </cell>
          <cell r="AA57" t="str">
            <v>SAINTE SAVINE</v>
          </cell>
          <cell r="AG57">
            <v>6112</v>
          </cell>
          <cell r="AH57">
            <v>0.24058900523560203</v>
          </cell>
          <cell r="AK57">
            <v>153.16999999999999</v>
          </cell>
          <cell r="AL57">
            <v>0.50662662401253511</v>
          </cell>
          <cell r="AN57">
            <v>6265.17</v>
          </cell>
          <cell r="AO57">
            <v>8771.2379999999994</v>
          </cell>
          <cell r="AQ57" t="str">
            <v>033-G-10NORELEM</v>
          </cell>
          <cell r="AY57">
            <v>0</v>
          </cell>
          <cell r="AZ57">
            <v>160.82849999999999</v>
          </cell>
          <cell r="BA57">
            <v>6234.24</v>
          </cell>
        </row>
        <row r="58">
          <cell r="A58">
            <v>504455</v>
          </cell>
          <cell r="B58" t="str">
            <v>FREUDENBERG SAS</v>
          </cell>
          <cell r="H58" t="str">
            <v>Passage sur un TS plein</v>
          </cell>
          <cell r="J58">
            <v>0</v>
          </cell>
          <cell r="K58">
            <v>0</v>
          </cell>
          <cell r="L58" t="str">
            <v>non</v>
          </cell>
          <cell r="M58" t="str">
            <v>non</v>
          </cell>
          <cell r="O58" t="str">
            <v>Non affecté</v>
          </cell>
          <cell r="P58" t="str">
            <v>FM</v>
          </cell>
          <cell r="Q58" t="str">
            <v>Ok mon client</v>
          </cell>
          <cell r="R58" t="str">
            <v>TROYES / LA CHAPELLE</v>
          </cell>
          <cell r="S58" t="str">
            <v>52</v>
          </cell>
          <cell r="T58" t="str">
            <v>ZI les Franchises</v>
          </cell>
          <cell r="U58">
            <v>52200</v>
          </cell>
          <cell r="V58" t="str">
            <v>LANGRES CEDEX</v>
          </cell>
          <cell r="X58" t="str">
            <v>Directeur Logistique et Transports</v>
          </cell>
          <cell r="Y58" t="str">
            <v>France</v>
          </cell>
          <cell r="Z58" t="str">
            <v>52200</v>
          </cell>
          <cell r="AA58" t="str">
            <v>LANGRES CEDEX</v>
          </cell>
          <cell r="AC58">
            <v>306.90999999999997</v>
          </cell>
          <cell r="AD58">
            <v>5389.32</v>
          </cell>
          <cell r="AF58">
            <v>5696.23</v>
          </cell>
          <cell r="AI58">
            <v>680.37</v>
          </cell>
          <cell r="AJ58">
            <v>0.5896497494010613</v>
          </cell>
          <cell r="AK58">
            <v>5218.6499999999996</v>
          </cell>
          <cell r="AL58">
            <v>0.31532385896721921</v>
          </cell>
          <cell r="AN58">
            <v>5899.0199999999995</v>
          </cell>
          <cell r="AO58">
            <v>8258.6279999999988</v>
          </cell>
          <cell r="AP58">
            <v>0.44984103521100782</v>
          </cell>
          <cell r="AQ58" t="str">
            <v>033-G-52FREUDENBERG</v>
          </cell>
          <cell r="AY58">
            <v>680.37</v>
          </cell>
          <cell r="AZ58">
            <v>5218.6499999999996</v>
          </cell>
          <cell r="BA58">
            <v>0</v>
          </cell>
        </row>
        <row r="59">
          <cell r="A59">
            <v>572890</v>
          </cell>
          <cell r="B59" t="str">
            <v>JACQUES DEFRANCE</v>
          </cell>
          <cell r="C59">
            <v>0.1</v>
          </cell>
          <cell r="D59">
            <v>0.1</v>
          </cell>
          <cell r="E59">
            <v>0.02</v>
          </cell>
          <cell r="F59">
            <v>41275</v>
          </cell>
          <cell r="J59">
            <v>0</v>
          </cell>
          <cell r="K59">
            <v>0</v>
          </cell>
          <cell r="L59" t="str">
            <v>ok</v>
          </cell>
          <cell r="M59" t="str">
            <v>ok</v>
          </cell>
          <cell r="O59" t="str">
            <v>Non affecté</v>
          </cell>
          <cell r="P59" t="str">
            <v>FM</v>
          </cell>
          <cell r="Q59" t="str">
            <v>Ok mon client</v>
          </cell>
          <cell r="R59" t="str">
            <v>TROYES / LA CHAPELLE</v>
          </cell>
          <cell r="S59" t="str">
            <v>10</v>
          </cell>
          <cell r="T59" t="str">
            <v>28  RUE DE LA PLANTE</v>
          </cell>
          <cell r="U59">
            <v>10340</v>
          </cell>
          <cell r="V59" t="str">
            <v>LES RICEYS BAS</v>
          </cell>
          <cell r="X59" t="str">
            <v>Directeur Logistique et Transports</v>
          </cell>
          <cell r="Y59" t="str">
            <v>France</v>
          </cell>
          <cell r="Z59" t="str">
            <v>10340</v>
          </cell>
          <cell r="AA59" t="str">
            <v>LES RICEYS BAS</v>
          </cell>
          <cell r="AB59">
            <v>441.04</v>
          </cell>
          <cell r="AC59">
            <v>14707.300000000001</v>
          </cell>
          <cell r="AF59">
            <v>15148.340000000002</v>
          </cell>
          <cell r="AI59">
            <v>5396.9400000000005</v>
          </cell>
          <cell r="AJ59">
            <v>0.60275267095798701</v>
          </cell>
          <cell r="AN59">
            <v>5396.9400000000005</v>
          </cell>
          <cell r="AO59">
            <v>7555.7160000000003</v>
          </cell>
          <cell r="AP59">
            <v>-0.50121821929003452</v>
          </cell>
          <cell r="AQ59" t="str">
            <v>033-G-10DEFRANCEJACQUE</v>
          </cell>
          <cell r="AY59">
            <v>5936.6340000000009</v>
          </cell>
          <cell r="AZ59">
            <v>0</v>
          </cell>
          <cell r="BA59">
            <v>0</v>
          </cell>
        </row>
        <row r="60">
          <cell r="A60">
            <v>63334</v>
          </cell>
          <cell r="B60" t="str">
            <v>SIRLAM</v>
          </cell>
          <cell r="C60">
            <v>0.05</v>
          </cell>
          <cell r="D60">
            <v>0.05</v>
          </cell>
          <cell r="E60">
            <v>0.05</v>
          </cell>
          <cell r="H60" t="str">
            <v>NOUVEAUX CLIENT A NEGOCIER  IDEM TOURSOR</v>
          </cell>
          <cell r="J60" t="str">
            <v>A faire</v>
          </cell>
          <cell r="K60">
            <v>0</v>
          </cell>
          <cell r="M60" t="str">
            <v>En attente</v>
          </cell>
          <cell r="O60" t="str">
            <v>Non affecté</v>
          </cell>
          <cell r="P60" t="str">
            <v>FM</v>
          </cell>
          <cell r="Q60" t="str">
            <v>Ok mon client</v>
          </cell>
          <cell r="R60" t="str">
            <v>TROYES / LA CHAPELLE</v>
          </cell>
          <cell r="S60" t="str">
            <v>89</v>
          </cell>
          <cell r="T60" t="str">
            <v>ZI Allée de Passy</v>
          </cell>
          <cell r="U60">
            <v>89510</v>
          </cell>
          <cell r="V60" t="str">
            <v>VERON</v>
          </cell>
          <cell r="W60" t="str">
            <v>M</v>
          </cell>
          <cell r="X60" t="str">
            <v>DELHOMME</v>
          </cell>
          <cell r="Y60" t="str">
            <v>France</v>
          </cell>
          <cell r="Z60" t="str">
            <v>89510</v>
          </cell>
          <cell r="AA60" t="str">
            <v>VERON</v>
          </cell>
          <cell r="AG60">
            <v>4699</v>
          </cell>
          <cell r="AH60">
            <v>0.11044903170887423</v>
          </cell>
          <cell r="AI60">
            <v>210.91</v>
          </cell>
          <cell r="AJ60">
            <v>-0.24218861125598604</v>
          </cell>
          <cell r="AK60">
            <v>137.58000000000001</v>
          </cell>
          <cell r="AL60">
            <v>0.67393516499491213</v>
          </cell>
          <cell r="AN60">
            <v>5047.49</v>
          </cell>
          <cell r="AO60">
            <v>7066.485999999999</v>
          </cell>
          <cell r="AQ60" t="str">
            <v>033-G-89SIRLAM</v>
          </cell>
          <cell r="AY60">
            <v>210.91</v>
          </cell>
          <cell r="AZ60">
            <v>137.58000000000001</v>
          </cell>
          <cell r="BA60">
            <v>4699</v>
          </cell>
        </row>
        <row r="61">
          <cell r="A61">
            <v>302438</v>
          </cell>
          <cell r="B61" t="str">
            <v>ELEC AUTOMATISME</v>
          </cell>
          <cell r="C61">
            <v>0.1</v>
          </cell>
          <cell r="D61">
            <v>0.1</v>
          </cell>
          <cell r="E61">
            <v>0.02</v>
          </cell>
          <cell r="F61">
            <v>41275</v>
          </cell>
          <cell r="I61">
            <v>0.75</v>
          </cell>
          <cell r="J61">
            <v>0</v>
          </cell>
          <cell r="K61">
            <v>0</v>
          </cell>
          <cell r="L61" t="str">
            <v>ok</v>
          </cell>
          <cell r="M61" t="str">
            <v>ok</v>
          </cell>
          <cell r="O61" t="str">
            <v>Non affecté</v>
          </cell>
          <cell r="P61" t="str">
            <v>FM</v>
          </cell>
          <cell r="Q61" t="str">
            <v>Ok mon client</v>
          </cell>
          <cell r="R61" t="str">
            <v>TROYES / LA CHAPELLE</v>
          </cell>
          <cell r="S61" t="str">
            <v>45</v>
          </cell>
          <cell r="T61" t="str">
            <v>10 RUE JEAN NICOT</v>
          </cell>
          <cell r="U61">
            <v>45140</v>
          </cell>
          <cell r="V61" t="str">
            <v>ST JEAN DE LA RUELLE</v>
          </cell>
          <cell r="X61" t="str">
            <v>Directeur Logistique et Transports</v>
          </cell>
          <cell r="Y61" t="str">
            <v>France</v>
          </cell>
          <cell r="AC61">
            <v>4348.4799999999996</v>
          </cell>
          <cell r="AF61">
            <v>4348.4799999999996</v>
          </cell>
          <cell r="AI61">
            <v>5002.92</v>
          </cell>
          <cell r="AJ61">
            <v>0.70953980230426539</v>
          </cell>
          <cell r="AN61">
            <v>5002.92</v>
          </cell>
          <cell r="AO61">
            <v>7004.0879999999997</v>
          </cell>
          <cell r="AP61">
            <v>0.61069799102215039</v>
          </cell>
          <cell r="AQ61" t="str">
            <v>033-G-GENERAL-KG-TXP</v>
          </cell>
          <cell r="AY61">
            <v>5503.2120000000004</v>
          </cell>
          <cell r="AZ61">
            <v>0</v>
          </cell>
          <cell r="BA61">
            <v>0</v>
          </cell>
        </row>
        <row r="62">
          <cell r="A62">
            <v>463983</v>
          </cell>
          <cell r="B62" t="str">
            <v>EVINOX</v>
          </cell>
          <cell r="C62">
            <v>0.05</v>
          </cell>
          <cell r="D62">
            <v>0.05</v>
          </cell>
          <cell r="E62">
            <v>0.05</v>
          </cell>
          <cell r="F62">
            <v>41275</v>
          </cell>
          <cell r="J62">
            <v>0</v>
          </cell>
          <cell r="K62">
            <v>0</v>
          </cell>
          <cell r="L62" t="str">
            <v>ok</v>
          </cell>
          <cell r="M62" t="str">
            <v>ok</v>
          </cell>
          <cell r="O62" t="str">
            <v>Non affecté</v>
          </cell>
          <cell r="P62" t="str">
            <v>FM</v>
          </cell>
          <cell r="Q62" t="str">
            <v>Ok mon client</v>
          </cell>
          <cell r="R62" t="str">
            <v>TROYES / LA CHAPELLE</v>
          </cell>
          <cell r="S62" t="str">
            <v>52</v>
          </cell>
          <cell r="T62" t="str">
            <v>CHEMIN DU CLOS LAPIERRE</v>
          </cell>
          <cell r="U62">
            <v>52100</v>
          </cell>
          <cell r="V62" t="str">
            <v>ST DIZIER</v>
          </cell>
          <cell r="X62" t="str">
            <v>Directeur Logistique et Transports</v>
          </cell>
          <cell r="Y62" t="str">
            <v>France</v>
          </cell>
          <cell r="Z62" t="str">
            <v>52100</v>
          </cell>
          <cell r="AA62" t="str">
            <v>SAINT DIZIER</v>
          </cell>
          <cell r="AC62">
            <v>2932.08</v>
          </cell>
          <cell r="AD62">
            <v>2594.58</v>
          </cell>
          <cell r="AF62">
            <v>5526.66</v>
          </cell>
          <cell r="AI62">
            <v>3482.34</v>
          </cell>
          <cell r="AJ62">
            <v>-0.11093299332780525</v>
          </cell>
          <cell r="AK62">
            <v>1477.6200000000001</v>
          </cell>
          <cell r="AL62">
            <v>0.37784410064833973</v>
          </cell>
          <cell r="AN62">
            <v>4959.96</v>
          </cell>
          <cell r="AO62">
            <v>6943.9439999999995</v>
          </cell>
          <cell r="AP62">
            <v>0.25644494142936236</v>
          </cell>
          <cell r="AQ62" t="str">
            <v>033-G-52EVINOX</v>
          </cell>
          <cell r="AY62">
            <v>3656.4570000000003</v>
          </cell>
          <cell r="AZ62">
            <v>1551.5010000000002</v>
          </cell>
          <cell r="BA62">
            <v>0</v>
          </cell>
        </row>
        <row r="63">
          <cell r="A63">
            <v>861585</v>
          </cell>
          <cell r="B63" t="str">
            <v>HOVERALL</v>
          </cell>
          <cell r="C63">
            <v>0.72909000000000002</v>
          </cell>
          <cell r="F63">
            <v>41275</v>
          </cell>
          <cell r="H63" t="str">
            <v>Passage sur un TS +150 sans envoi de tarif</v>
          </cell>
          <cell r="I63">
            <v>0.75</v>
          </cell>
          <cell r="J63">
            <v>0</v>
          </cell>
          <cell r="K63">
            <v>0</v>
          </cell>
          <cell r="L63" t="str">
            <v>non</v>
          </cell>
          <cell r="M63" t="str">
            <v>OK</v>
          </cell>
          <cell r="O63" t="str">
            <v>Non affecté</v>
          </cell>
          <cell r="P63" t="str">
            <v>FM</v>
          </cell>
          <cell r="Q63" t="str">
            <v>Ok mon client</v>
          </cell>
          <cell r="R63" t="str">
            <v>TROYES / LA CHAPELLE</v>
          </cell>
          <cell r="S63" t="str">
            <v>10</v>
          </cell>
          <cell r="T63" t="str">
            <v>19 RUE COLBERT</v>
          </cell>
          <cell r="U63">
            <v>10600</v>
          </cell>
          <cell r="V63" t="str">
            <v>LA CHAPELLE ST LUC</v>
          </cell>
          <cell r="X63" t="str">
            <v>Directeur Logistique et Transports</v>
          </cell>
          <cell r="Y63" t="str">
            <v>France</v>
          </cell>
          <cell r="Z63" t="str">
            <v>10600</v>
          </cell>
          <cell r="AA63" t="str">
            <v>LA CHAPELLE ST LUC</v>
          </cell>
          <cell r="AB63">
            <v>1728</v>
          </cell>
          <cell r="AF63">
            <v>1728</v>
          </cell>
          <cell r="AG63">
            <v>4550</v>
          </cell>
          <cell r="AH63">
            <v>0.25705714285714287</v>
          </cell>
          <cell r="AI63">
            <v>80.55</v>
          </cell>
          <cell r="AJ63">
            <v>0.50345423143350609</v>
          </cell>
          <cell r="AN63">
            <v>4630.5499999999993</v>
          </cell>
          <cell r="AO63">
            <v>6482.7699999999986</v>
          </cell>
          <cell r="AP63">
            <v>2.7516030092592585</v>
          </cell>
          <cell r="AQ63" t="str">
            <v>033-G-GENERAL-KG</v>
          </cell>
          <cell r="AY63">
            <v>139.2781995</v>
          </cell>
          <cell r="AZ63">
            <v>0</v>
          </cell>
          <cell r="BA63">
            <v>4550</v>
          </cell>
        </row>
        <row r="64">
          <cell r="A64">
            <v>848359</v>
          </cell>
          <cell r="B64" t="str">
            <v>GEROME LIONNEL YVES RENE</v>
          </cell>
          <cell r="C64">
            <v>0.05</v>
          </cell>
          <cell r="D64">
            <v>0.05</v>
          </cell>
          <cell r="E64">
            <v>0.02</v>
          </cell>
          <cell r="F64">
            <v>41275</v>
          </cell>
          <cell r="H64" t="str">
            <v>CLIENT RECENT DEVELOEPPEMNT OVERSEAS // MEME HAUSSE QUE 847903 52POLEIMPORT</v>
          </cell>
          <cell r="J64">
            <v>0</v>
          </cell>
          <cell r="K64">
            <v>0</v>
          </cell>
          <cell r="L64" t="str">
            <v>ok</v>
          </cell>
          <cell r="M64" t="str">
            <v>ok</v>
          </cell>
          <cell r="O64" t="str">
            <v>Non affecté</v>
          </cell>
          <cell r="P64" t="str">
            <v>FM</v>
          </cell>
          <cell r="Q64" t="str">
            <v>Ok mon client</v>
          </cell>
          <cell r="R64" t="str">
            <v>TROYES / LA CHAPELLE</v>
          </cell>
          <cell r="S64" t="str">
            <v>52</v>
          </cell>
          <cell r="T64" t="str">
            <v>12 RUE DE L'EPERVIER</v>
          </cell>
          <cell r="U64">
            <v>52000</v>
          </cell>
          <cell r="V64" t="str">
            <v>CHAUMONT</v>
          </cell>
          <cell r="X64" t="str">
            <v>Directeur Logistique et Transports</v>
          </cell>
          <cell r="Y64" t="str">
            <v>France</v>
          </cell>
          <cell r="Z64" t="str">
            <v>52000</v>
          </cell>
          <cell r="AA64" t="str">
            <v>CHAUMONT</v>
          </cell>
          <cell r="AB64">
            <v>915</v>
          </cell>
          <cell r="AC64">
            <v>2135.15</v>
          </cell>
          <cell r="AF64">
            <v>3050.15</v>
          </cell>
          <cell r="AI64">
            <v>4222.62</v>
          </cell>
          <cell r="AJ64">
            <v>0.39942162217575949</v>
          </cell>
          <cell r="AN64">
            <v>4222.62</v>
          </cell>
          <cell r="AO64">
            <v>5911.6679999999997</v>
          </cell>
          <cell r="AP64">
            <v>0.93815648410733887</v>
          </cell>
          <cell r="AY64">
            <v>4433.7510000000002</v>
          </cell>
          <cell r="AZ64">
            <v>0</v>
          </cell>
          <cell r="BA64">
            <v>0</v>
          </cell>
        </row>
        <row r="65">
          <cell r="A65">
            <v>681628</v>
          </cell>
          <cell r="B65" t="str">
            <v>GRAVOTECH GMHB</v>
          </cell>
          <cell r="H65" t="str">
            <v>Pas de hausse suite mail du 12/02/2013</v>
          </cell>
          <cell r="J65">
            <v>0</v>
          </cell>
          <cell r="K65">
            <v>0</v>
          </cell>
          <cell r="L65" t="str">
            <v>non</v>
          </cell>
          <cell r="M65" t="str">
            <v>non</v>
          </cell>
          <cell r="N65" t="str">
            <v>Porte Feuille</v>
          </cell>
          <cell r="O65" t="str">
            <v>Non affecté</v>
          </cell>
          <cell r="P65" t="str">
            <v>FM</v>
          </cell>
          <cell r="Q65" t="str">
            <v>Ok mon client</v>
          </cell>
          <cell r="R65" t="str">
            <v>TROYES / LA CHAPELLE</v>
          </cell>
          <cell r="S65" t="str">
            <v>32</v>
          </cell>
          <cell r="T65" t="str">
            <v>ZI  56,AVENUE J JAURES</v>
          </cell>
          <cell r="U65">
            <v>10600</v>
          </cell>
          <cell r="V65" t="str">
            <v>LA CHAPELLE ST LUC</v>
          </cell>
          <cell r="X65" t="str">
            <v>Directeur Logistique et Transports</v>
          </cell>
          <cell r="Y65" t="str">
            <v>France</v>
          </cell>
          <cell r="Z65" t="str">
            <v>3202</v>
          </cell>
          <cell r="AA65" t="str">
            <v>HOFSTETTEN</v>
          </cell>
          <cell r="AB65">
            <v>867.07</v>
          </cell>
          <cell r="AC65">
            <v>900</v>
          </cell>
          <cell r="AD65">
            <v>5037.08</v>
          </cell>
          <cell r="AF65">
            <v>6804.15</v>
          </cell>
          <cell r="AG65">
            <v>984.98</v>
          </cell>
          <cell r="AK65">
            <v>3095.97</v>
          </cell>
          <cell r="AL65">
            <v>0.49885173305942893</v>
          </cell>
          <cell r="AN65">
            <v>4080.95</v>
          </cell>
          <cell r="AO65">
            <v>5713.329999999999</v>
          </cell>
          <cell r="AP65">
            <v>-0.16031686544241397</v>
          </cell>
          <cell r="AQ65" t="str">
            <v>033-G-31GRAVOGRAPH</v>
          </cell>
          <cell r="AY65">
            <v>0</v>
          </cell>
          <cell r="AZ65">
            <v>3095.97</v>
          </cell>
          <cell r="BA65">
            <v>984.98</v>
          </cell>
        </row>
        <row r="66">
          <cell r="A66">
            <v>816302</v>
          </cell>
          <cell r="B66" t="str">
            <v>PCPARTS</v>
          </cell>
          <cell r="C66">
            <v>0.1</v>
          </cell>
          <cell r="D66">
            <v>0.1</v>
          </cell>
          <cell r="E66">
            <v>0.02</v>
          </cell>
          <cell r="F66">
            <v>41275</v>
          </cell>
          <cell r="I66">
            <v>1</v>
          </cell>
          <cell r="J66">
            <v>0</v>
          </cell>
          <cell r="K66">
            <v>0</v>
          </cell>
          <cell r="L66" t="str">
            <v>ok</v>
          </cell>
          <cell r="M66" t="str">
            <v>ok</v>
          </cell>
          <cell r="O66" t="str">
            <v>Non affecté</v>
          </cell>
          <cell r="P66" t="str">
            <v>FM</v>
          </cell>
          <cell r="Q66" t="str">
            <v>Ok mon client</v>
          </cell>
          <cell r="R66" t="str">
            <v>TROYES / LA CHAPELLE</v>
          </cell>
          <cell r="S66" t="str">
            <v>75</v>
          </cell>
          <cell r="T66" t="str">
            <v>10 BD DE BONNE NOUVELLE</v>
          </cell>
          <cell r="U66">
            <v>75010</v>
          </cell>
          <cell r="V66" t="str">
            <v>PARIS</v>
          </cell>
          <cell r="X66" t="str">
            <v>Directeur Logistique et Transports</v>
          </cell>
          <cell r="Y66" t="str">
            <v>France</v>
          </cell>
          <cell r="Z66" t="str">
            <v>75010</v>
          </cell>
          <cell r="AA66" t="str">
            <v>PARIS</v>
          </cell>
          <cell r="AB66">
            <v>456.84</v>
          </cell>
          <cell r="AC66">
            <v>1205.72</v>
          </cell>
          <cell r="AD66">
            <v>455.49</v>
          </cell>
          <cell r="AF66">
            <v>2118.0500000000002</v>
          </cell>
          <cell r="AI66">
            <v>3286.12</v>
          </cell>
          <cell r="AJ66">
            <v>0.75542889486689468</v>
          </cell>
          <cell r="AK66">
            <v>254.12</v>
          </cell>
          <cell r="AL66">
            <v>0.67318589642688487</v>
          </cell>
          <cell r="AN66">
            <v>3540.24</v>
          </cell>
          <cell r="AO66">
            <v>4956.3359999999993</v>
          </cell>
          <cell r="AP66">
            <v>1.3400467411062058</v>
          </cell>
          <cell r="AY66">
            <v>3614.732</v>
          </cell>
          <cell r="AZ66">
            <v>279.53200000000004</v>
          </cell>
          <cell r="BA66">
            <v>0</v>
          </cell>
        </row>
        <row r="67">
          <cell r="A67">
            <v>4340</v>
          </cell>
          <cell r="B67" t="str">
            <v>GOMMICHON</v>
          </cell>
          <cell r="C67">
            <v>0.05</v>
          </cell>
          <cell r="D67">
            <v>0.1</v>
          </cell>
          <cell r="E67">
            <v>0.02</v>
          </cell>
          <cell r="F67">
            <v>41275</v>
          </cell>
          <cell r="J67">
            <v>0</v>
          </cell>
          <cell r="K67">
            <v>0</v>
          </cell>
          <cell r="L67" t="str">
            <v>ok</v>
          </cell>
          <cell r="M67" t="str">
            <v>ok</v>
          </cell>
          <cell r="O67" t="str">
            <v>Non affecté</v>
          </cell>
          <cell r="P67" t="str">
            <v>FM</v>
          </cell>
          <cell r="Q67" t="str">
            <v>Ok mon client</v>
          </cell>
          <cell r="R67" t="str">
            <v>TROYES / LA CHAPELLE</v>
          </cell>
          <cell r="S67" t="str">
            <v>10</v>
          </cell>
          <cell r="T67" t="str">
            <v>12 avenue du président Coty</v>
          </cell>
          <cell r="U67">
            <v>10600</v>
          </cell>
          <cell r="V67" t="str">
            <v>CHAPELLE ST LUC</v>
          </cell>
          <cell r="W67" t="str">
            <v>M</v>
          </cell>
          <cell r="X67" t="str">
            <v>RISBOURG</v>
          </cell>
          <cell r="Y67" t="str">
            <v>France</v>
          </cell>
          <cell r="Z67" t="str">
            <v>10600</v>
          </cell>
          <cell r="AA67" t="str">
            <v>LA CHAPELLE ST LUC</v>
          </cell>
          <cell r="AC67">
            <v>6031.1999999999989</v>
          </cell>
          <cell r="AF67">
            <v>6031.1999999999989</v>
          </cell>
          <cell r="AI67">
            <v>3226.8500000000004</v>
          </cell>
          <cell r="AJ67">
            <v>0.44790740195546758</v>
          </cell>
          <cell r="AK67">
            <v>36.979999999999997</v>
          </cell>
          <cell r="AL67">
            <v>0.94510546241211457</v>
          </cell>
          <cell r="AN67">
            <v>3263.8300000000004</v>
          </cell>
          <cell r="AO67">
            <v>4569.3620000000001</v>
          </cell>
          <cell r="AP67">
            <v>-0.24237929433611871</v>
          </cell>
          <cell r="AQ67" t="str">
            <v>033-G-10GOMMICHON</v>
          </cell>
          <cell r="AY67">
            <v>3388.1925000000006</v>
          </cell>
          <cell r="AZ67">
            <v>40.677999999999997</v>
          </cell>
          <cell r="BA67">
            <v>0</v>
          </cell>
        </row>
        <row r="68">
          <cell r="A68">
            <v>8344</v>
          </cell>
          <cell r="B68" t="str">
            <v>FERRIOT CRIC</v>
          </cell>
          <cell r="C68">
            <v>0.05</v>
          </cell>
          <cell r="D68">
            <v>0.05</v>
          </cell>
          <cell r="E68">
            <v>0.05</v>
          </cell>
          <cell r="F68">
            <v>41275</v>
          </cell>
          <cell r="H68" t="str">
            <v>NOUVEAUX CLIENT CHEZ QUI NOUS POUVONS REPRENDRE DES PARTS DE MARCHE en attente probleme de compte supp</v>
          </cell>
          <cell r="J68">
            <v>0</v>
          </cell>
          <cell r="K68">
            <v>0</v>
          </cell>
          <cell r="L68" t="str">
            <v>OK</v>
          </cell>
          <cell r="M68" t="str">
            <v>OK</v>
          </cell>
          <cell r="O68" t="str">
            <v>Non affecté</v>
          </cell>
          <cell r="P68" t="str">
            <v>FM</v>
          </cell>
          <cell r="Q68" t="str">
            <v>Ok mon client</v>
          </cell>
          <cell r="R68" t="str">
            <v>TROYES / LA CHAPELLE</v>
          </cell>
          <cell r="S68" t="str">
            <v>10</v>
          </cell>
          <cell r="T68" t="str">
            <v>6 la Promenade</v>
          </cell>
          <cell r="U68">
            <v>10250</v>
          </cell>
          <cell r="V68" t="str">
            <v>MUSSY SUR SEINE</v>
          </cell>
          <cell r="W68" t="str">
            <v>MME</v>
          </cell>
          <cell r="X68" t="str">
            <v>MUNOS</v>
          </cell>
          <cell r="Y68" t="str">
            <v>France</v>
          </cell>
          <cell r="Z68" t="str">
            <v>10250</v>
          </cell>
          <cell r="AA68" t="str">
            <v>MUSSY SUR SEINE</v>
          </cell>
          <cell r="AG68">
            <v>2850</v>
          </cell>
          <cell r="AH68">
            <v>0.10759839357429722</v>
          </cell>
          <cell r="AI68">
            <v>401.54</v>
          </cell>
          <cell r="AJ68">
            <v>-3.0129234533914709E-2</v>
          </cell>
          <cell r="AN68">
            <v>3251.54</v>
          </cell>
          <cell r="AO68">
            <v>4552.1559999999999</v>
          </cell>
          <cell r="AQ68" t="str">
            <v>033-G-10FERRIOT</v>
          </cell>
          <cell r="AS68">
            <v>41045</v>
          </cell>
          <cell r="AY68">
            <v>421.61700000000002</v>
          </cell>
          <cell r="AZ68">
            <v>0</v>
          </cell>
          <cell r="BA68">
            <v>2992.5</v>
          </cell>
        </row>
        <row r="69">
          <cell r="A69">
            <v>1870</v>
          </cell>
          <cell r="B69" t="str">
            <v>FONDERIE DU DER</v>
          </cell>
          <cell r="C69">
            <v>0.02</v>
          </cell>
          <cell r="D69">
            <v>0.02</v>
          </cell>
          <cell r="E69">
            <v>0</v>
          </cell>
          <cell r="F69">
            <v>41365</v>
          </cell>
          <cell r="H69" t="str">
            <v>PORTEFEUILLE A NEGOCIER IDEM FONTES DE PARIS FONDERIE DU DER CHROMETAL ET FABRILOR MEME INTERLOCUTEUR</v>
          </cell>
          <cell r="J69">
            <v>0</v>
          </cell>
          <cell r="K69">
            <v>0</v>
          </cell>
          <cell r="L69" t="str">
            <v>OK</v>
          </cell>
          <cell r="M69" t="str">
            <v>OK</v>
          </cell>
          <cell r="N69" t="str">
            <v>Porte Feuille</v>
          </cell>
          <cell r="O69" t="str">
            <v>Non affecté</v>
          </cell>
          <cell r="P69" t="str">
            <v>FM</v>
          </cell>
          <cell r="Q69" t="str">
            <v>Ok mon client</v>
          </cell>
          <cell r="R69" t="str">
            <v>TROYES / LA CHAPELLE</v>
          </cell>
          <cell r="S69" t="str">
            <v>10</v>
          </cell>
          <cell r="T69" t="str">
            <v>BP 2</v>
          </cell>
          <cell r="U69">
            <v>10330</v>
          </cell>
          <cell r="V69" t="str">
            <v>CHAVANGES</v>
          </cell>
          <cell r="W69" t="str">
            <v>M</v>
          </cell>
          <cell r="X69" t="str">
            <v>VILLAIN</v>
          </cell>
          <cell r="Y69" t="str">
            <v>France</v>
          </cell>
          <cell r="Z69" t="str">
            <v>10330</v>
          </cell>
          <cell r="AA69" t="str">
            <v>CHAVANGES</v>
          </cell>
          <cell r="AC69">
            <v>5666.0599999999986</v>
          </cell>
          <cell r="AD69">
            <v>383.36</v>
          </cell>
          <cell r="AF69">
            <v>6049.4199999999983</v>
          </cell>
          <cell r="AI69">
            <v>2873.0200000000004</v>
          </cell>
          <cell r="AJ69">
            <v>0.41481528189391242</v>
          </cell>
          <cell r="AK69">
            <v>304.96000000000004</v>
          </cell>
          <cell r="AL69">
            <v>0.74199895068205668</v>
          </cell>
          <cell r="AN69">
            <v>3177.9800000000005</v>
          </cell>
          <cell r="AO69">
            <v>4449.1720000000005</v>
          </cell>
          <cell r="AP69">
            <v>-0.26452916147333105</v>
          </cell>
          <cell r="AQ69" t="str">
            <v>033-G-10DERFONDERIE</v>
          </cell>
          <cell r="AY69">
            <v>2930.4804000000004</v>
          </cell>
          <cell r="AZ69">
            <v>311.05920000000003</v>
          </cell>
          <cell r="BA69">
            <v>0</v>
          </cell>
        </row>
        <row r="70">
          <cell r="A70">
            <v>808869</v>
          </cell>
          <cell r="B70" t="str">
            <v>GRAVOTECH SP ZOO</v>
          </cell>
          <cell r="H70" t="str">
            <v>Pas de hausse suite mail du 12/02/2013</v>
          </cell>
          <cell r="J70">
            <v>0</v>
          </cell>
          <cell r="K70">
            <v>0</v>
          </cell>
          <cell r="L70" t="str">
            <v>non</v>
          </cell>
          <cell r="M70" t="str">
            <v>non</v>
          </cell>
          <cell r="O70" t="str">
            <v>Non affecté</v>
          </cell>
          <cell r="P70" t="str">
            <v>FM</v>
          </cell>
          <cell r="Q70" t="str">
            <v>Ok mon client</v>
          </cell>
          <cell r="R70" t="str">
            <v>TROYES / LA CHAPELLE</v>
          </cell>
          <cell r="S70" t="str">
            <v>52</v>
          </cell>
          <cell r="T70" t="str">
            <v>ZI  56,AVENUE J JAURES</v>
          </cell>
          <cell r="U70">
            <v>10600</v>
          </cell>
          <cell r="V70" t="str">
            <v>LA CHAPELLE ST LUC</v>
          </cell>
          <cell r="X70" t="str">
            <v>Directeur Logistique et Transports</v>
          </cell>
          <cell r="Y70" t="str">
            <v>France</v>
          </cell>
          <cell r="Z70" t="str">
            <v>52-214</v>
          </cell>
          <cell r="AA70" t="str">
            <v>WROCLAW</v>
          </cell>
          <cell r="AB70">
            <v>479.82</v>
          </cell>
          <cell r="AD70">
            <v>748.37</v>
          </cell>
          <cell r="AF70">
            <v>1228.19</v>
          </cell>
          <cell r="AG70">
            <v>1163.21</v>
          </cell>
          <cell r="AH70">
            <v>0.34663560320148556</v>
          </cell>
          <cell r="AK70">
            <v>1794.31</v>
          </cell>
          <cell r="AL70">
            <v>0.499590371786369</v>
          </cell>
          <cell r="AN70">
            <v>2957.52</v>
          </cell>
          <cell r="AO70">
            <v>4140.5279999999993</v>
          </cell>
          <cell r="AP70">
            <v>2.3712438629202315</v>
          </cell>
          <cell r="AQ70" t="str">
            <v>033-G-10GRAVOGRAPH</v>
          </cell>
          <cell r="AR70" t="str">
            <v>033-L-10GRAVOGRAPH</v>
          </cell>
          <cell r="AY70">
            <v>0</v>
          </cell>
          <cell r="AZ70">
            <v>1794.31</v>
          </cell>
          <cell r="BA70">
            <v>1163.21</v>
          </cell>
        </row>
        <row r="71">
          <cell r="A71">
            <v>869113</v>
          </cell>
          <cell r="B71" t="str">
            <v>IONISOS</v>
          </cell>
          <cell r="C71">
            <v>0.72909000000000002</v>
          </cell>
          <cell r="F71">
            <v>41275</v>
          </cell>
          <cell r="H71" t="str">
            <v>Passage sur un TS +150 sans envoi de tarif</v>
          </cell>
          <cell r="I71">
            <v>1</v>
          </cell>
          <cell r="J71">
            <v>0</v>
          </cell>
          <cell r="K71">
            <v>0</v>
          </cell>
          <cell r="L71" t="str">
            <v>non</v>
          </cell>
          <cell r="M71" t="str">
            <v>OK</v>
          </cell>
          <cell r="O71" t="str">
            <v>Non affecté</v>
          </cell>
          <cell r="P71" t="str">
            <v>FM</v>
          </cell>
          <cell r="Q71" t="str">
            <v>Ok mon client</v>
          </cell>
          <cell r="R71" t="str">
            <v>TROYES / LA CHAPELLE</v>
          </cell>
          <cell r="S71" t="str">
            <v>01</v>
          </cell>
          <cell r="T71" t="str">
            <v>176 ROUTE DE BALAN</v>
          </cell>
          <cell r="U71" t="str">
            <v>01120</v>
          </cell>
          <cell r="V71" t="str">
            <v>DAGNEUX</v>
          </cell>
          <cell r="W71" t="str">
            <v>Mme</v>
          </cell>
          <cell r="X71" t="str">
            <v>DENERT Florence</v>
          </cell>
          <cell r="Y71" t="str">
            <v>France</v>
          </cell>
          <cell r="Z71" t="str">
            <v>01120</v>
          </cell>
          <cell r="AA71" t="str">
            <v>DAGNEUX</v>
          </cell>
          <cell r="AG71">
            <v>2890</v>
          </cell>
          <cell r="AH71">
            <v>8.3044982698961933E-2</v>
          </cell>
          <cell r="AN71">
            <v>2890</v>
          </cell>
          <cell r="AO71">
            <v>4045.9999999999995</v>
          </cell>
          <cell r="AQ71" t="str">
            <v>033-G-10IONISOS</v>
          </cell>
          <cell r="AS71">
            <v>40962</v>
          </cell>
          <cell r="AY71">
            <v>0</v>
          </cell>
          <cell r="AZ71">
            <v>0</v>
          </cell>
          <cell r="BA71">
            <v>2890</v>
          </cell>
        </row>
        <row r="72">
          <cell r="A72">
            <v>1772</v>
          </cell>
          <cell r="B72" t="str">
            <v>BERNER SARL</v>
          </cell>
          <cell r="C72">
            <v>0.1</v>
          </cell>
          <cell r="D72">
            <v>0.1</v>
          </cell>
          <cell r="E72">
            <v>0.02</v>
          </cell>
          <cell r="F72">
            <v>41275</v>
          </cell>
          <cell r="I72">
            <v>1</v>
          </cell>
          <cell r="J72">
            <v>0</v>
          </cell>
          <cell r="K72">
            <v>0</v>
          </cell>
          <cell r="L72" t="str">
            <v>ok</v>
          </cell>
          <cell r="M72" t="str">
            <v>ok</v>
          </cell>
          <cell r="O72" t="str">
            <v>Non affecté</v>
          </cell>
          <cell r="P72" t="str">
            <v>FM</v>
          </cell>
          <cell r="Q72" t="str">
            <v>Ok mon client</v>
          </cell>
          <cell r="R72" t="str">
            <v>TROYES / LA CHAPELLE</v>
          </cell>
          <cell r="S72" t="str">
            <v>89</v>
          </cell>
          <cell r="T72" t="str">
            <v>ZI des manteaux</v>
          </cell>
          <cell r="U72">
            <v>89330</v>
          </cell>
          <cell r="V72" t="str">
            <v>ST JULIEN DU SAULT</v>
          </cell>
          <cell r="W72" t="str">
            <v>M</v>
          </cell>
          <cell r="X72" t="str">
            <v>BOBENRIETH</v>
          </cell>
          <cell r="Y72" t="str">
            <v>France</v>
          </cell>
          <cell r="Z72" t="str">
            <v>89330</v>
          </cell>
          <cell r="AA72" t="str">
            <v>SAINT JULIEN DU  SAULT</v>
          </cell>
          <cell r="AD72">
            <v>2230.83</v>
          </cell>
          <cell r="AF72">
            <v>2230.83</v>
          </cell>
          <cell r="AK72">
            <v>2742.44</v>
          </cell>
          <cell r="AL72">
            <v>0.69079724624786687</v>
          </cell>
          <cell r="AN72">
            <v>2742.44</v>
          </cell>
          <cell r="AO72">
            <v>3839.4159999999997</v>
          </cell>
          <cell r="AP72">
            <v>0.72107063290344842</v>
          </cell>
          <cell r="AQ72" t="str">
            <v>033-G-GENERAL-KG-TXP</v>
          </cell>
          <cell r="AY72">
            <v>0</v>
          </cell>
          <cell r="AZ72">
            <v>3016.6840000000002</v>
          </cell>
          <cell r="BA72">
            <v>0</v>
          </cell>
        </row>
        <row r="73">
          <cell r="A73">
            <v>873943</v>
          </cell>
          <cell r="B73" t="str">
            <v>ASS RENAISSANCE DE L ABBAYE DE CLAI</v>
          </cell>
          <cell r="C73">
            <v>0.72909000000000002</v>
          </cell>
          <cell r="F73">
            <v>41275</v>
          </cell>
          <cell r="H73" t="str">
            <v>Passage sur un TS +150 sans envoi de tarif</v>
          </cell>
          <cell r="I73">
            <v>1</v>
          </cell>
          <cell r="J73">
            <v>0</v>
          </cell>
          <cell r="K73">
            <v>0</v>
          </cell>
          <cell r="L73" t="str">
            <v>non</v>
          </cell>
          <cell r="M73" t="str">
            <v>OK</v>
          </cell>
          <cell r="O73" t="str">
            <v>Non affecté</v>
          </cell>
          <cell r="P73" t="str">
            <v>FM</v>
          </cell>
          <cell r="Q73" t="str">
            <v>Ok mon client</v>
          </cell>
          <cell r="R73" t="str">
            <v>TROYES / LA CHAPELLE</v>
          </cell>
          <cell r="S73" t="str">
            <v>10</v>
          </cell>
          <cell r="T73" t="str">
            <v>RUE DE L HOSTELLERIE DES DAMES</v>
          </cell>
          <cell r="U73">
            <v>10310</v>
          </cell>
          <cell r="V73" t="str">
            <v>VILLE SOUS LA FERTE</v>
          </cell>
          <cell r="W73" t="str">
            <v>M</v>
          </cell>
          <cell r="X73" t="str">
            <v>LEROUX Jean francois</v>
          </cell>
          <cell r="Y73" t="str">
            <v>France</v>
          </cell>
          <cell r="Z73" t="str">
            <v>10310</v>
          </cell>
          <cell r="AA73" t="str">
            <v>VILLE SOUS LA FERTE</v>
          </cell>
          <cell r="AI73">
            <v>2187.6699999999996</v>
          </cell>
          <cell r="AJ73">
            <v>0.93749971430791668</v>
          </cell>
          <cell r="AN73">
            <v>2187.6699999999996</v>
          </cell>
          <cell r="AO73">
            <v>3062.7379999999994</v>
          </cell>
          <cell r="AQ73" t="str">
            <v>033-G-10ASSRENAISSANCE</v>
          </cell>
          <cell r="AS73">
            <v>41060</v>
          </cell>
          <cell r="AY73">
            <v>3782.6783202999995</v>
          </cell>
          <cell r="AZ73">
            <v>0</v>
          </cell>
          <cell r="BA73">
            <v>0</v>
          </cell>
        </row>
        <row r="74">
          <cell r="A74">
            <v>517390</v>
          </cell>
          <cell r="B74" t="str">
            <v>ISOROY</v>
          </cell>
          <cell r="C74">
            <v>0.1</v>
          </cell>
          <cell r="D74">
            <v>0.1</v>
          </cell>
          <cell r="E74">
            <v>0.02</v>
          </cell>
          <cell r="H74" t="str">
            <v>PROSPECT EN NEGOCIATION AVEC EUX</v>
          </cell>
          <cell r="I74">
            <v>1</v>
          </cell>
          <cell r="J74" t="str">
            <v>A faire</v>
          </cell>
          <cell r="K74">
            <v>0</v>
          </cell>
          <cell r="M74" t="str">
            <v>En attente</v>
          </cell>
          <cell r="O74" t="str">
            <v>Non affecté</v>
          </cell>
          <cell r="P74" t="str">
            <v>FM</v>
          </cell>
          <cell r="Q74" t="str">
            <v>Ok mon client</v>
          </cell>
          <cell r="R74" t="str">
            <v>TROYES / LA CHAPELLE</v>
          </cell>
          <cell r="S74" t="str">
            <v>89</v>
          </cell>
          <cell r="T74" t="str">
            <v>BOIS DE LA DUCHESSE</v>
          </cell>
          <cell r="U74">
            <v>89000</v>
          </cell>
          <cell r="V74" t="str">
            <v>AUXERRE</v>
          </cell>
          <cell r="X74" t="str">
            <v>Directeur Logistique et Transports</v>
          </cell>
          <cell r="Y74" t="str">
            <v>France</v>
          </cell>
          <cell r="Z74" t="str">
            <v>89000</v>
          </cell>
          <cell r="AA74" t="str">
            <v>AUXERRE</v>
          </cell>
          <cell r="AG74">
            <v>2146</v>
          </cell>
          <cell r="AH74">
            <v>0.1798695246971109</v>
          </cell>
          <cell r="AN74">
            <v>2146</v>
          </cell>
          <cell r="AO74">
            <v>3004.3999999999996</v>
          </cell>
          <cell r="AY74">
            <v>0</v>
          </cell>
          <cell r="AZ74">
            <v>0</v>
          </cell>
          <cell r="BA74">
            <v>2146</v>
          </cell>
        </row>
        <row r="75">
          <cell r="A75">
            <v>606737</v>
          </cell>
          <cell r="B75" t="str">
            <v>PROFIL INDUSTRIE</v>
          </cell>
          <cell r="F75">
            <v>41275</v>
          </cell>
          <cell r="H75" t="str">
            <v>Passage sur un TS plein</v>
          </cell>
          <cell r="J75">
            <v>0</v>
          </cell>
          <cell r="K75">
            <v>0</v>
          </cell>
          <cell r="L75" t="str">
            <v>ok</v>
          </cell>
          <cell r="M75" t="str">
            <v>ok</v>
          </cell>
          <cell r="O75" t="str">
            <v>Non affecté</v>
          </cell>
          <cell r="P75" t="str">
            <v>FM</v>
          </cell>
          <cell r="Q75" t="str">
            <v>Ok mon client</v>
          </cell>
          <cell r="R75" t="str">
            <v>TROYES / LA CHAPELLE</v>
          </cell>
          <cell r="S75" t="str">
            <v>89</v>
          </cell>
          <cell r="T75" t="str">
            <v>3 RUE PAUL PAINLEVE</v>
          </cell>
          <cell r="U75">
            <v>89400</v>
          </cell>
          <cell r="V75" t="str">
            <v>MIGENNES</v>
          </cell>
          <cell r="X75" t="str">
            <v>Directeur Logistique et Transports</v>
          </cell>
          <cell r="Y75" t="str">
            <v>France</v>
          </cell>
          <cell r="Z75" t="str">
            <v>89400</v>
          </cell>
          <cell r="AA75" t="str">
            <v>MIGENNES</v>
          </cell>
          <cell r="AC75">
            <v>652.12</v>
          </cell>
          <cell r="AD75">
            <v>2455.8100000000004</v>
          </cell>
          <cell r="AF75">
            <v>3107.9300000000003</v>
          </cell>
          <cell r="AI75">
            <v>851.64999999999986</v>
          </cell>
          <cell r="AJ75">
            <v>0.44197733810837775</v>
          </cell>
          <cell r="AK75">
            <v>1181.6000000000001</v>
          </cell>
          <cell r="AL75">
            <v>0.68326844955991883</v>
          </cell>
          <cell r="AN75">
            <v>2033.25</v>
          </cell>
          <cell r="AO75">
            <v>2846.5499999999997</v>
          </cell>
          <cell r="AP75">
            <v>-8.4100993265614266E-2</v>
          </cell>
          <cell r="AQ75" t="str">
            <v>033-G-89PROFILINDUSTRI</v>
          </cell>
          <cell r="AY75">
            <v>851.64999999999986</v>
          </cell>
          <cell r="AZ75">
            <v>1181.6000000000001</v>
          </cell>
          <cell r="BA75">
            <v>0</v>
          </cell>
        </row>
        <row r="76">
          <cell r="A76">
            <v>588090</v>
          </cell>
          <cell r="B76" t="str">
            <v>DELTA AIR PLUS</v>
          </cell>
          <cell r="C76">
            <v>0.1</v>
          </cell>
          <cell r="D76">
            <v>0.1</v>
          </cell>
          <cell r="E76">
            <v>0.02</v>
          </cell>
          <cell r="F76">
            <v>41275</v>
          </cell>
          <cell r="H76" t="str">
            <v>Passage sur un TS plein</v>
          </cell>
          <cell r="I76">
            <v>1</v>
          </cell>
          <cell r="J76">
            <v>0</v>
          </cell>
          <cell r="K76">
            <v>0</v>
          </cell>
          <cell r="L76" t="str">
            <v>ok</v>
          </cell>
          <cell r="M76" t="str">
            <v>ok</v>
          </cell>
          <cell r="O76" t="str">
            <v>Non affecté</v>
          </cell>
          <cell r="P76" t="str">
            <v>FM</v>
          </cell>
          <cell r="Q76" t="str">
            <v>Ok mon client</v>
          </cell>
          <cell r="R76" t="str">
            <v>TROYES / LA CHAPELLE</v>
          </cell>
          <cell r="S76" t="str">
            <v>89</v>
          </cell>
          <cell r="T76" t="str">
            <v>ZA 11 rue Pierre Barre</v>
          </cell>
          <cell r="U76">
            <v>89100</v>
          </cell>
          <cell r="V76" t="str">
            <v>GRON</v>
          </cell>
          <cell r="W76" t="str">
            <v>Mme</v>
          </cell>
          <cell r="X76" t="str">
            <v>GENDRON</v>
          </cell>
          <cell r="Y76" t="str">
            <v>France</v>
          </cell>
          <cell r="Z76" t="str">
            <v>89100</v>
          </cell>
          <cell r="AA76" t="str">
            <v>VILLEROY</v>
          </cell>
          <cell r="AD76">
            <v>288.61</v>
          </cell>
          <cell r="AF76">
            <v>288.61</v>
          </cell>
          <cell r="AG76">
            <v>669.34</v>
          </cell>
          <cell r="AH76">
            <v>0.34263602952161837</v>
          </cell>
          <cell r="AK76">
            <v>1226.33</v>
          </cell>
          <cell r="AL76">
            <v>0.75773242112645056</v>
          </cell>
          <cell r="AN76">
            <v>1895.67</v>
          </cell>
          <cell r="AO76">
            <v>2653.9380000000001</v>
          </cell>
          <cell r="AP76">
            <v>8.1955857385398989</v>
          </cell>
          <cell r="AQ76" t="str">
            <v>033-G-GENERAL-KG-TXP</v>
          </cell>
          <cell r="AY76">
            <v>0</v>
          </cell>
          <cell r="AZ76">
            <v>1348.963</v>
          </cell>
          <cell r="BA76">
            <v>682.72680000000003</v>
          </cell>
        </row>
        <row r="77">
          <cell r="A77">
            <v>685676</v>
          </cell>
          <cell r="B77" t="str">
            <v>ETABLISSEMENTS ARLINI FRERES</v>
          </cell>
          <cell r="C77">
            <v>0.72909000000000002</v>
          </cell>
          <cell r="F77">
            <v>41275</v>
          </cell>
          <cell r="H77" t="str">
            <v>Passage sur un TS +150 sans envoi de tarif</v>
          </cell>
          <cell r="I77">
            <v>1</v>
          </cell>
          <cell r="J77">
            <v>0</v>
          </cell>
          <cell r="K77">
            <v>0</v>
          </cell>
          <cell r="L77" t="str">
            <v>non</v>
          </cell>
          <cell r="M77" t="str">
            <v>OK</v>
          </cell>
          <cell r="O77" t="str">
            <v>Non affecté</v>
          </cell>
          <cell r="P77" t="str">
            <v>FM</v>
          </cell>
          <cell r="Q77" t="str">
            <v>Ok mon client</v>
          </cell>
          <cell r="R77" t="str">
            <v>TROYES / LA CHAPELLE</v>
          </cell>
          <cell r="S77" t="str">
            <v>52</v>
          </cell>
          <cell r="T77" t="str">
            <v>ZI SAINT ROCH</v>
          </cell>
          <cell r="U77">
            <v>52340</v>
          </cell>
          <cell r="V77" t="str">
            <v>BIESLES</v>
          </cell>
          <cell r="X77" t="str">
            <v>Directeur Logistique et Transports</v>
          </cell>
          <cell r="Y77" t="str">
            <v>France</v>
          </cell>
          <cell r="Z77" t="str">
            <v>52340</v>
          </cell>
          <cell r="AA77" t="str">
            <v>BIESLES</v>
          </cell>
          <cell r="AG77">
            <v>699.6</v>
          </cell>
          <cell r="AH77">
            <v>0.31389365351629506</v>
          </cell>
          <cell r="AI77">
            <v>1135.48</v>
          </cell>
          <cell r="AJ77">
            <v>0.56976785148131193</v>
          </cell>
          <cell r="AN77">
            <v>1835.08</v>
          </cell>
          <cell r="AO77">
            <v>2569.1119999999996</v>
          </cell>
          <cell r="AQ77" t="str">
            <v>033-G-52ARLINIFRERES</v>
          </cell>
          <cell r="AY77">
            <v>1963.3471132</v>
          </cell>
          <cell r="AZ77">
            <v>0</v>
          </cell>
          <cell r="BA77">
            <v>699.6</v>
          </cell>
        </row>
        <row r="78">
          <cell r="A78">
            <v>813094</v>
          </cell>
          <cell r="B78" t="str">
            <v>BONPLANMICRO</v>
          </cell>
          <cell r="C78">
            <v>0.1</v>
          </cell>
          <cell r="D78">
            <v>0.1</v>
          </cell>
          <cell r="E78">
            <v>0.02</v>
          </cell>
          <cell r="F78">
            <v>41275</v>
          </cell>
          <cell r="I78">
            <v>1</v>
          </cell>
          <cell r="J78">
            <v>0</v>
          </cell>
          <cell r="K78">
            <v>0</v>
          </cell>
          <cell r="L78" t="str">
            <v>ok</v>
          </cell>
          <cell r="M78" t="str">
            <v>ok</v>
          </cell>
          <cell r="O78" t="str">
            <v>Non affecté</v>
          </cell>
          <cell r="P78" t="str">
            <v>FM</v>
          </cell>
          <cell r="Q78" t="str">
            <v>Ok mon client</v>
          </cell>
          <cell r="R78" t="str">
            <v>TROYES / LA CHAPELLE</v>
          </cell>
          <cell r="S78" t="str">
            <v>89</v>
          </cell>
          <cell r="T78" t="str">
            <v>87 RUE DE LA VALLEE BONVAL</v>
          </cell>
          <cell r="U78">
            <v>89140</v>
          </cell>
          <cell r="V78" t="str">
            <v>VILLETHIERRY</v>
          </cell>
          <cell r="X78" t="str">
            <v>Directeur Logistique et Transports</v>
          </cell>
          <cell r="Y78" t="str">
            <v>France</v>
          </cell>
          <cell r="Z78" t="str">
            <v>89140</v>
          </cell>
          <cell r="AA78" t="str">
            <v>VILLETHIERRY</v>
          </cell>
          <cell r="AB78">
            <v>2000.9599999999998</v>
          </cell>
          <cell r="AC78">
            <v>4950.2699999999995</v>
          </cell>
          <cell r="AF78">
            <v>6951.23</v>
          </cell>
          <cell r="AI78">
            <v>1503.29</v>
          </cell>
          <cell r="AJ78">
            <v>0.70264553080243997</v>
          </cell>
          <cell r="AK78">
            <v>118.47</v>
          </cell>
          <cell r="AL78">
            <v>0.18308432514560646</v>
          </cell>
          <cell r="AN78">
            <v>1621.76</v>
          </cell>
          <cell r="AO78">
            <v>2270.4639999999999</v>
          </cell>
          <cell r="AP78">
            <v>-0.67337233842068245</v>
          </cell>
          <cell r="AQ78" t="str">
            <v>033-G-GENERAL-KG-TXP</v>
          </cell>
          <cell r="AY78">
            <v>1653.6190000000001</v>
          </cell>
          <cell r="AZ78">
            <v>130.31700000000001</v>
          </cell>
          <cell r="BA78">
            <v>0</v>
          </cell>
        </row>
        <row r="79">
          <cell r="A79">
            <v>622241</v>
          </cell>
          <cell r="B79" t="str">
            <v>CHAMPAGNE GILLES DUMONT</v>
          </cell>
          <cell r="C79">
            <v>0.72909999999999997</v>
          </cell>
          <cell r="F79">
            <v>41275</v>
          </cell>
          <cell r="H79" t="str">
            <v>Passage sur un TS +150 sans envoi de tarif</v>
          </cell>
          <cell r="I79">
            <v>1</v>
          </cell>
          <cell r="J79">
            <v>0</v>
          </cell>
          <cell r="K79">
            <v>0</v>
          </cell>
          <cell r="L79" t="str">
            <v>non</v>
          </cell>
          <cell r="M79" t="str">
            <v>OK</v>
          </cell>
          <cell r="O79" t="str">
            <v>Non affecté</v>
          </cell>
          <cell r="P79" t="str">
            <v>FM</v>
          </cell>
          <cell r="Q79" t="str">
            <v>Ok mon client</v>
          </cell>
          <cell r="R79" t="str">
            <v>TROYES / LA CHAPELLE</v>
          </cell>
          <cell r="S79" t="str">
            <v>10</v>
          </cell>
          <cell r="T79" t="str">
            <v>2 COUR DES FRAICHES BAS</v>
          </cell>
          <cell r="U79">
            <v>10340</v>
          </cell>
          <cell r="V79" t="str">
            <v>LES RICEYS</v>
          </cell>
          <cell r="X79" t="str">
            <v>Directeur Logistique et Transports</v>
          </cell>
          <cell r="Y79" t="str">
            <v>France</v>
          </cell>
          <cell r="Z79" t="str">
            <v>10340</v>
          </cell>
          <cell r="AA79" t="str">
            <v>LES RICEYS</v>
          </cell>
          <cell r="AC79">
            <v>3860.18</v>
          </cell>
          <cell r="AF79">
            <v>3860.18</v>
          </cell>
          <cell r="AI79">
            <v>1602.91</v>
          </cell>
          <cell r="AJ79">
            <v>0.77522131623110468</v>
          </cell>
          <cell r="AN79">
            <v>1602.91</v>
          </cell>
          <cell r="AO79">
            <v>2244.0740000000001</v>
          </cell>
          <cell r="AP79">
            <v>-0.41866078783890903</v>
          </cell>
          <cell r="AQ79" t="str">
            <v>033-G-G-7-BOCHAMPAGNE-TXP</v>
          </cell>
          <cell r="AY79">
            <v>2771.5916809999999</v>
          </cell>
          <cell r="AZ79">
            <v>0</v>
          </cell>
          <cell r="BA79">
            <v>0</v>
          </cell>
        </row>
        <row r="80">
          <cell r="A80">
            <v>35113</v>
          </cell>
          <cell r="B80" t="str">
            <v>SECALT S.A.</v>
          </cell>
          <cell r="H80" t="str">
            <v>GROUPE TRACTEL</v>
          </cell>
          <cell r="J80">
            <v>0</v>
          </cell>
          <cell r="K80">
            <v>0</v>
          </cell>
          <cell r="L80" t="str">
            <v>non</v>
          </cell>
          <cell r="M80" t="str">
            <v>NON</v>
          </cell>
          <cell r="O80" t="str">
            <v>Non affecté</v>
          </cell>
          <cell r="P80" t="str">
            <v>FM</v>
          </cell>
          <cell r="Q80" t="str">
            <v>Ok mon client</v>
          </cell>
          <cell r="R80" t="str">
            <v>TROYES / LA CHAPELLE</v>
          </cell>
          <cell r="S80" t="str">
            <v>10</v>
          </cell>
          <cell r="T80" t="str">
            <v>RN 19  - 35 RUE DE PARIS</v>
          </cell>
          <cell r="U80">
            <v>10100</v>
          </cell>
          <cell r="V80" t="str">
            <v>ROMILLY SUR SEINE</v>
          </cell>
          <cell r="X80" t="str">
            <v>Directeur Logistique et Transports</v>
          </cell>
          <cell r="Y80" t="str">
            <v>France</v>
          </cell>
          <cell r="Z80" t="str">
            <v>1011</v>
          </cell>
          <cell r="AA80" t="str">
            <v>LUXEMBOURG</v>
          </cell>
          <cell r="AB80">
            <v>174.48</v>
          </cell>
          <cell r="AD80">
            <v>1588.09</v>
          </cell>
          <cell r="AF80">
            <v>1762.57</v>
          </cell>
          <cell r="AG80">
            <v>239.42</v>
          </cell>
          <cell r="AH80">
            <v>0.24818310918051956</v>
          </cell>
          <cell r="AK80">
            <v>1201.4800000000002</v>
          </cell>
          <cell r="AL80">
            <v>0.57256050870592923</v>
          </cell>
          <cell r="AN80">
            <v>1440.9000000000003</v>
          </cell>
          <cell r="AO80">
            <v>2017.2600000000002</v>
          </cell>
          <cell r="AP80">
            <v>0.14449922556267292</v>
          </cell>
          <cell r="AQ80" t="str">
            <v>033-G-10TRACTELROMILLY</v>
          </cell>
          <cell r="AR80" t="str">
            <v>033-L-10TRACTELROMILLY</v>
          </cell>
          <cell r="AY80">
            <v>0</v>
          </cell>
          <cell r="AZ80">
            <v>1201.4800000000002</v>
          </cell>
          <cell r="BA80">
            <v>239.42</v>
          </cell>
        </row>
        <row r="81">
          <cell r="A81">
            <v>481344</v>
          </cell>
          <cell r="B81" t="str">
            <v>EUROCADRES</v>
          </cell>
          <cell r="H81" t="str">
            <v>Pas de hausse suite mail du 12/02/2013</v>
          </cell>
          <cell r="J81">
            <v>0</v>
          </cell>
          <cell r="K81">
            <v>0</v>
          </cell>
          <cell r="L81" t="str">
            <v>NON</v>
          </cell>
          <cell r="M81" t="str">
            <v>NON</v>
          </cell>
          <cell r="N81" t="str">
            <v>Porte Feuille</v>
          </cell>
          <cell r="O81" t="str">
            <v>Non affecté</v>
          </cell>
          <cell r="P81" t="str">
            <v>FM</v>
          </cell>
          <cell r="Q81" t="str">
            <v>Ok mon client</v>
          </cell>
          <cell r="R81" t="str">
            <v>TROYES / LA CHAPELLE</v>
          </cell>
          <cell r="S81" t="str">
            <v>52</v>
          </cell>
          <cell r="T81" t="str">
            <v>ZA DU BREUIL - RTE D'AVRECOURT</v>
          </cell>
          <cell r="U81">
            <v>52140</v>
          </cell>
          <cell r="V81" t="str">
            <v>MONTIGNY LE ROI</v>
          </cell>
          <cell r="X81" t="str">
            <v>Directeur Logistique et Transports</v>
          </cell>
          <cell r="Y81" t="str">
            <v>France</v>
          </cell>
          <cell r="Z81" t="str">
            <v>52140</v>
          </cell>
          <cell r="AA81" t="str">
            <v>MONTIGNY LE ROI</v>
          </cell>
          <cell r="AC81">
            <v>1508.22</v>
          </cell>
          <cell r="AF81">
            <v>1508.22</v>
          </cell>
          <cell r="AI81">
            <v>1388.1799999999998</v>
          </cell>
          <cell r="AJ81">
            <v>0.23834084916941614</v>
          </cell>
          <cell r="AN81">
            <v>1388.1799999999998</v>
          </cell>
          <cell r="AO81">
            <v>1943.4519999999995</v>
          </cell>
          <cell r="AP81">
            <v>0.28857328506451285</v>
          </cell>
          <cell r="AQ81" t="str">
            <v>033-G-52EUROCADRES</v>
          </cell>
          <cell r="AY81">
            <v>1388.1799999999998</v>
          </cell>
          <cell r="AZ81">
            <v>0</v>
          </cell>
          <cell r="BA81">
            <v>0</v>
          </cell>
        </row>
        <row r="82">
          <cell r="A82">
            <v>845122</v>
          </cell>
          <cell r="B82" t="str">
            <v>VERMONT</v>
          </cell>
          <cell r="C82">
            <v>0.72909000000000002</v>
          </cell>
          <cell r="F82">
            <v>41275</v>
          </cell>
          <cell r="H82" t="str">
            <v>Passage sur un TS +150 sans envoi de tarif</v>
          </cell>
          <cell r="I82">
            <v>1</v>
          </cell>
          <cell r="J82">
            <v>0</v>
          </cell>
          <cell r="K82">
            <v>0</v>
          </cell>
          <cell r="L82" t="str">
            <v>non</v>
          </cell>
          <cell r="M82" t="str">
            <v>OK</v>
          </cell>
          <cell r="O82" t="str">
            <v>Non affecté</v>
          </cell>
          <cell r="P82" t="str">
            <v>FM</v>
          </cell>
          <cell r="Q82" t="str">
            <v>Ok mon client</v>
          </cell>
          <cell r="R82" t="str">
            <v>TROYES / LA CHAPELLE</v>
          </cell>
          <cell r="S82" t="str">
            <v>10</v>
          </cell>
          <cell r="T82" t="str">
            <v>ROUTE NATIONALE 19</v>
          </cell>
          <cell r="U82">
            <v>10270</v>
          </cell>
          <cell r="V82" t="str">
            <v>MONTIERAMEY</v>
          </cell>
          <cell r="X82" t="str">
            <v>Directeur Logistique et Transports</v>
          </cell>
          <cell r="Y82" t="str">
            <v>France</v>
          </cell>
          <cell r="Z82" t="str">
            <v>10270</v>
          </cell>
          <cell r="AA82" t="str">
            <v>MONTIERAMEY</v>
          </cell>
          <cell r="AB82">
            <v>1229.67</v>
          </cell>
          <cell r="AF82">
            <v>1229.67</v>
          </cell>
          <cell r="AG82">
            <v>1180.46</v>
          </cell>
          <cell r="AH82">
            <v>0.1698151568032801</v>
          </cell>
          <cell r="AK82">
            <v>171.32</v>
          </cell>
          <cell r="AL82">
            <v>0.79949801540975951</v>
          </cell>
          <cell r="AN82">
            <v>1351.78</v>
          </cell>
          <cell r="AO82">
            <v>1892.4919999999997</v>
          </cell>
          <cell r="AP82">
            <v>0.53902429106996164</v>
          </cell>
          <cell r="AQ82" t="str">
            <v>033-G-10VERMONT</v>
          </cell>
          <cell r="AY82">
            <v>0</v>
          </cell>
          <cell r="AZ82">
            <v>171.32</v>
          </cell>
          <cell r="BA82">
            <v>1180.46</v>
          </cell>
        </row>
        <row r="83">
          <cell r="A83">
            <v>534779</v>
          </cell>
          <cell r="B83" t="str">
            <v>ATEL REBOBIN MOTEUR - INSTAL REALIS</v>
          </cell>
          <cell r="C83">
            <v>0.1</v>
          </cell>
          <cell r="D83">
            <v>0.1</v>
          </cell>
          <cell r="E83">
            <v>0.02</v>
          </cell>
          <cell r="F83">
            <v>41275</v>
          </cell>
          <cell r="I83">
            <v>1</v>
          </cell>
          <cell r="J83">
            <v>0</v>
          </cell>
          <cell r="K83">
            <v>0</v>
          </cell>
          <cell r="L83" t="str">
            <v>ok</v>
          </cell>
          <cell r="M83" t="str">
            <v>ok</v>
          </cell>
          <cell r="O83" t="str">
            <v>Non affecté</v>
          </cell>
          <cell r="P83" t="str">
            <v>FM</v>
          </cell>
          <cell r="Q83" t="str">
            <v>Ok mon client</v>
          </cell>
          <cell r="R83" t="str">
            <v>TROYES / LA CHAPELLE</v>
          </cell>
          <cell r="S83" t="str">
            <v>67</v>
          </cell>
          <cell r="T83" t="str">
            <v>15 RUE DES DEUX HAIES</v>
          </cell>
          <cell r="U83">
            <v>10800</v>
          </cell>
          <cell r="V83" t="str">
            <v>ST JULIEN LES VILLAS</v>
          </cell>
          <cell r="X83" t="str">
            <v>Directeur Logistique et Transports</v>
          </cell>
          <cell r="Y83" t="str">
            <v>France</v>
          </cell>
          <cell r="Z83" t="str">
            <v>67400</v>
          </cell>
          <cell r="AA83" t="str">
            <v>ILLKIRCH GRAFFENSTADEN</v>
          </cell>
          <cell r="AB83">
            <v>146</v>
          </cell>
          <cell r="AC83">
            <v>2841.9799999999996</v>
          </cell>
          <cell r="AD83">
            <v>405.34</v>
          </cell>
          <cell r="AF83">
            <v>3393.3199999999997</v>
          </cell>
          <cell r="AG83">
            <v>17.069999999999997</v>
          </cell>
          <cell r="AH83">
            <v>1</v>
          </cell>
          <cell r="AI83">
            <v>1284.9099999999999</v>
          </cell>
          <cell r="AJ83">
            <v>0.76039566973562356</v>
          </cell>
          <cell r="AN83">
            <v>1301.9799999999998</v>
          </cell>
          <cell r="AO83">
            <v>1822.7719999999995</v>
          </cell>
          <cell r="AP83">
            <v>-0.46283521742718059</v>
          </cell>
          <cell r="AQ83" t="str">
            <v>033-G-GENERAL-KG-TXP</v>
          </cell>
          <cell r="AY83">
            <v>1413.4010000000001</v>
          </cell>
          <cell r="AZ83">
            <v>0</v>
          </cell>
          <cell r="BA83">
            <v>17.411399999999997</v>
          </cell>
        </row>
        <row r="84">
          <cell r="A84">
            <v>475126</v>
          </cell>
          <cell r="B84" t="str">
            <v>AVIAT DAVID</v>
          </cell>
          <cell r="C84">
            <v>0.1</v>
          </cell>
          <cell r="D84">
            <v>0.1</v>
          </cell>
          <cell r="E84">
            <v>0.02</v>
          </cell>
          <cell r="F84">
            <v>41275</v>
          </cell>
          <cell r="I84">
            <v>1</v>
          </cell>
          <cell r="J84">
            <v>0</v>
          </cell>
          <cell r="K84">
            <v>0</v>
          </cell>
          <cell r="L84" t="str">
            <v>ok</v>
          </cell>
          <cell r="M84" t="str">
            <v>ok</v>
          </cell>
          <cell r="O84" t="str">
            <v>Non affecté</v>
          </cell>
          <cell r="P84" t="str">
            <v>FM</v>
          </cell>
          <cell r="Q84" t="str">
            <v>Ok mon client</v>
          </cell>
          <cell r="R84" t="str">
            <v>TROYES / LA CHAPELLE</v>
          </cell>
          <cell r="S84" t="str">
            <v>10</v>
          </cell>
          <cell r="T84" t="str">
            <v>GRANDE RUE</v>
          </cell>
          <cell r="U84">
            <v>10700</v>
          </cell>
          <cell r="V84" t="str">
            <v>LE CHENE</v>
          </cell>
          <cell r="X84" t="str">
            <v>Directeur Logistique et Transports</v>
          </cell>
          <cell r="Y84" t="str">
            <v>France</v>
          </cell>
          <cell r="Z84" t="str">
            <v>10700</v>
          </cell>
          <cell r="AA84" t="str">
            <v>LE CHENE</v>
          </cell>
          <cell r="AB84">
            <v>606.58999999999992</v>
          </cell>
          <cell r="AC84">
            <v>3825.1400000000003</v>
          </cell>
          <cell r="AD84">
            <v>132.44</v>
          </cell>
          <cell r="AF84">
            <v>4564.17</v>
          </cell>
          <cell r="AI84">
            <v>1295.2000000000003</v>
          </cell>
          <cell r="AJ84">
            <v>0.82250617665225445</v>
          </cell>
          <cell r="AN84">
            <v>1295.2000000000003</v>
          </cell>
          <cell r="AO84">
            <v>1813.2800000000002</v>
          </cell>
          <cell r="AP84">
            <v>-0.60271418461626092</v>
          </cell>
          <cell r="AQ84" t="str">
            <v>033-G-GENERAL-KG-TXP</v>
          </cell>
          <cell r="AY84">
            <v>1424.7200000000005</v>
          </cell>
          <cell r="AZ84">
            <v>0</v>
          </cell>
          <cell r="BA84">
            <v>0</v>
          </cell>
        </row>
        <row r="85">
          <cell r="A85">
            <v>202824</v>
          </cell>
          <cell r="B85" t="str">
            <v>DECOMEP</v>
          </cell>
          <cell r="C85">
            <v>0.1</v>
          </cell>
          <cell r="F85">
            <v>41275</v>
          </cell>
          <cell r="H85" t="str">
            <v>Passage sur un TS +150 sans envoi de tarif</v>
          </cell>
          <cell r="I85">
            <v>1</v>
          </cell>
          <cell r="J85">
            <v>0</v>
          </cell>
          <cell r="K85">
            <v>0</v>
          </cell>
          <cell r="L85" t="str">
            <v>non</v>
          </cell>
          <cell r="M85" t="str">
            <v>OK</v>
          </cell>
          <cell r="O85" t="str">
            <v>Non affecté</v>
          </cell>
          <cell r="P85" t="str">
            <v>FM</v>
          </cell>
          <cell r="Q85" t="str">
            <v>Ok mon client</v>
          </cell>
          <cell r="R85" t="str">
            <v>TROYES / LA CHAPELLE</v>
          </cell>
          <cell r="S85" t="str">
            <v>52</v>
          </cell>
          <cell r="T85" t="str">
            <v>ZI des moulières</v>
          </cell>
          <cell r="U85">
            <v>52600</v>
          </cell>
          <cell r="V85" t="str">
            <v>CHALINDREY</v>
          </cell>
          <cell r="W85" t="str">
            <v>M</v>
          </cell>
          <cell r="X85" t="str">
            <v>VIGNON</v>
          </cell>
          <cell r="Y85" t="str">
            <v>France</v>
          </cell>
          <cell r="Z85" t="str">
            <v>52600</v>
          </cell>
          <cell r="AA85" t="str">
            <v>CHALINDREY</v>
          </cell>
          <cell r="AC85">
            <v>57.1</v>
          </cell>
          <cell r="AF85">
            <v>57.1</v>
          </cell>
          <cell r="AI85">
            <v>1269.6300000000001</v>
          </cell>
          <cell r="AJ85">
            <v>0.50930586076258422</v>
          </cell>
          <cell r="AN85">
            <v>1269.6300000000001</v>
          </cell>
          <cell r="AO85">
            <v>1777.482</v>
          </cell>
          <cell r="AP85">
            <v>30.129281961471101</v>
          </cell>
          <cell r="AY85">
            <v>1396.5930000000003</v>
          </cell>
          <cell r="AZ85">
            <v>0</v>
          </cell>
          <cell r="BA85">
            <v>0</v>
          </cell>
        </row>
        <row r="86">
          <cell r="A86">
            <v>377836</v>
          </cell>
          <cell r="B86" t="str">
            <v>COVERPLAST</v>
          </cell>
          <cell r="C86">
            <v>0.1</v>
          </cell>
          <cell r="F86">
            <v>41275</v>
          </cell>
          <cell r="H86" t="str">
            <v>Passage sur un TS +150 sans envoi de tarif</v>
          </cell>
          <cell r="I86">
            <v>1</v>
          </cell>
          <cell r="J86">
            <v>0</v>
          </cell>
          <cell r="K86">
            <v>0</v>
          </cell>
          <cell r="L86" t="str">
            <v>non</v>
          </cell>
          <cell r="M86" t="str">
            <v>OK</v>
          </cell>
          <cell r="O86" t="str">
            <v>Non affecté</v>
          </cell>
          <cell r="P86" t="str">
            <v>FM</v>
          </cell>
          <cell r="Q86" t="str">
            <v>Ok mon client</v>
          </cell>
          <cell r="R86" t="str">
            <v>TROYES / LA CHAPELLE</v>
          </cell>
          <cell r="S86" t="str">
            <v>10</v>
          </cell>
          <cell r="T86" t="str">
            <v>10 RUE RENE DESCARTES</v>
          </cell>
          <cell r="U86">
            <v>10600</v>
          </cell>
          <cell r="V86" t="str">
            <v>LA CHAPELLE ST LUC</v>
          </cell>
          <cell r="X86" t="str">
            <v>Directeur Logistique et Transports</v>
          </cell>
          <cell r="Y86" t="str">
            <v>France</v>
          </cell>
          <cell r="Z86" t="str">
            <v>10600</v>
          </cell>
          <cell r="AA86" t="str">
            <v>LA CHAPELLE ST LUC</v>
          </cell>
          <cell r="AB86">
            <v>3150.0299999999997</v>
          </cell>
          <cell r="AF86">
            <v>3150.0299999999997</v>
          </cell>
          <cell r="AG86">
            <v>1089.28</v>
          </cell>
          <cell r="AH86">
            <v>0.17376615746180962</v>
          </cell>
          <cell r="AN86">
            <v>1089.28</v>
          </cell>
          <cell r="AO86">
            <v>1524.992</v>
          </cell>
          <cell r="AP86">
            <v>-0.51588016622063915</v>
          </cell>
          <cell r="AY86">
            <v>0</v>
          </cell>
          <cell r="AZ86">
            <v>0</v>
          </cell>
          <cell r="BA86">
            <v>1089.28</v>
          </cell>
        </row>
        <row r="87">
          <cell r="A87">
            <v>853721</v>
          </cell>
          <cell r="B87" t="str">
            <v>GD MENUISERIES</v>
          </cell>
          <cell r="C87">
            <v>0.72909000000000002</v>
          </cell>
          <cell r="F87">
            <v>41275</v>
          </cell>
          <cell r="H87" t="str">
            <v>Passage sur un TS +150 sans envoi de tarif</v>
          </cell>
          <cell r="I87">
            <v>1</v>
          </cell>
          <cell r="J87">
            <v>0</v>
          </cell>
          <cell r="K87">
            <v>0</v>
          </cell>
          <cell r="L87" t="str">
            <v>non</v>
          </cell>
          <cell r="M87" t="str">
            <v>OK</v>
          </cell>
          <cell r="O87" t="str">
            <v>Non affecté</v>
          </cell>
          <cell r="P87" t="str">
            <v>FM</v>
          </cell>
          <cell r="Q87" t="str">
            <v>Ok mon client</v>
          </cell>
          <cell r="R87" t="str">
            <v>TROYES / LA CHAPELLE</v>
          </cell>
          <cell r="S87" t="str">
            <v>10</v>
          </cell>
          <cell r="T87" t="str">
            <v>ZI DE SAINT CHRISTOPHE</v>
          </cell>
          <cell r="U87">
            <v>10500</v>
          </cell>
          <cell r="V87" t="str">
            <v>ST LEGER SOUS BRIENNE</v>
          </cell>
          <cell r="X87" t="str">
            <v>Directeur Logistique et Transports</v>
          </cell>
          <cell r="Y87" t="str">
            <v>France</v>
          </cell>
          <cell r="Z87" t="str">
            <v>10500</v>
          </cell>
          <cell r="AA87" t="str">
            <v>ST LEGER SOUS BRIENNE</v>
          </cell>
          <cell r="AB87">
            <v>630.54999999999995</v>
          </cell>
          <cell r="AF87">
            <v>630.54999999999995</v>
          </cell>
          <cell r="AG87">
            <v>754</v>
          </cell>
          <cell r="AH87">
            <v>0.40781167108753319</v>
          </cell>
          <cell r="AI87">
            <v>275.97999999999996</v>
          </cell>
          <cell r="AJ87">
            <v>0.66551924052467559</v>
          </cell>
          <cell r="AN87">
            <v>1029.98</v>
          </cell>
          <cell r="AO87">
            <v>1441.972</v>
          </cell>
          <cell r="AP87">
            <v>1.286847989850131</v>
          </cell>
          <cell r="AQ87" t="str">
            <v>033-G-GENERAL-KG</v>
          </cell>
          <cell r="AY87">
            <v>477.19425819999992</v>
          </cell>
          <cell r="AZ87">
            <v>0</v>
          </cell>
          <cell r="BA87">
            <v>754</v>
          </cell>
        </row>
        <row r="88">
          <cell r="A88">
            <v>228</v>
          </cell>
          <cell r="B88" t="str">
            <v>TOURSOR</v>
          </cell>
          <cell r="C88">
            <v>0.05</v>
          </cell>
          <cell r="D88">
            <v>0.05</v>
          </cell>
          <cell r="E88">
            <v>0.05</v>
          </cell>
          <cell r="F88">
            <v>41275</v>
          </cell>
          <cell r="H88" t="str">
            <v>NOUVEAUX CLIENT IDEM SIRLAM</v>
          </cell>
          <cell r="J88">
            <v>0</v>
          </cell>
          <cell r="K88">
            <v>0</v>
          </cell>
          <cell r="L88" t="str">
            <v>ok</v>
          </cell>
          <cell r="M88" t="str">
            <v>ok</v>
          </cell>
          <cell r="O88" t="str">
            <v>Non affecté</v>
          </cell>
          <cell r="P88" t="str">
            <v>FM</v>
          </cell>
          <cell r="Q88" t="str">
            <v>Ok mon client</v>
          </cell>
          <cell r="R88" t="str">
            <v>TROYES / LA CHAPELLE</v>
          </cell>
          <cell r="S88" t="str">
            <v>89</v>
          </cell>
          <cell r="T88" t="str">
            <v>ZI Route Passy</v>
          </cell>
          <cell r="U88">
            <v>89510</v>
          </cell>
          <cell r="V88" t="str">
            <v>VERON</v>
          </cell>
          <cell r="W88" t="str">
            <v>Mme</v>
          </cell>
          <cell r="X88" t="str">
            <v>CADENAT</v>
          </cell>
          <cell r="Y88" t="str">
            <v>France</v>
          </cell>
          <cell r="Z88" t="str">
            <v>89510</v>
          </cell>
          <cell r="AA88" t="str">
            <v>VERON</v>
          </cell>
          <cell r="AG88">
            <v>360</v>
          </cell>
          <cell r="AH88">
            <v>0.22222222222222221</v>
          </cell>
          <cell r="AK88">
            <v>618.46</v>
          </cell>
          <cell r="AL88">
            <v>0.42012417941338165</v>
          </cell>
          <cell r="AN88">
            <v>978.46</v>
          </cell>
          <cell r="AO88">
            <v>1369.8440000000001</v>
          </cell>
          <cell r="AQ88" t="str">
            <v>033-G-89TOURSOR</v>
          </cell>
          <cell r="AY88">
            <v>0</v>
          </cell>
          <cell r="AZ88">
            <v>649.38300000000004</v>
          </cell>
          <cell r="BA88">
            <v>378</v>
          </cell>
        </row>
        <row r="89">
          <cell r="A89">
            <v>79956</v>
          </cell>
          <cell r="B89" t="str">
            <v>ELECTRICFIL SERVICE</v>
          </cell>
          <cell r="H89" t="str">
            <v>PROSPECT EN NEGOCIATION AVEC EUX</v>
          </cell>
          <cell r="J89">
            <v>0</v>
          </cell>
          <cell r="K89">
            <v>0</v>
          </cell>
          <cell r="M89" t="str">
            <v>En attente</v>
          </cell>
          <cell r="O89" t="str">
            <v>Non affecté</v>
          </cell>
          <cell r="P89" t="str">
            <v>FM</v>
          </cell>
          <cell r="Q89" t="str">
            <v>Ok mon client</v>
          </cell>
          <cell r="R89" t="str">
            <v>TROYES / LA CHAPELLE</v>
          </cell>
          <cell r="S89" t="str">
            <v>52</v>
          </cell>
          <cell r="T89" t="str">
            <v>AV DE LORRAINE</v>
          </cell>
          <cell r="U89">
            <v>52300</v>
          </cell>
          <cell r="V89" t="str">
            <v>JOINVILLE</v>
          </cell>
          <cell r="X89" t="str">
            <v>Directeur Logistique et Transports</v>
          </cell>
          <cell r="Y89" t="str">
            <v>France</v>
          </cell>
          <cell r="Z89" t="str">
            <v>52300</v>
          </cell>
          <cell r="AA89" t="str">
            <v>JOINVILLE</v>
          </cell>
          <cell r="AD89">
            <v>-608.44999999999993</v>
          </cell>
          <cell r="AF89">
            <v>-608.44999999999993</v>
          </cell>
          <cell r="AK89">
            <v>960.79</v>
          </cell>
          <cell r="AN89">
            <v>960.79</v>
          </cell>
          <cell r="AO89">
            <v>1345.1059999999998</v>
          </cell>
          <cell r="AP89">
            <v>-3.2107091790615496</v>
          </cell>
          <cell r="AY89">
            <v>0</v>
          </cell>
          <cell r="AZ89">
            <v>960.79</v>
          </cell>
          <cell r="BA89">
            <v>0</v>
          </cell>
        </row>
        <row r="90">
          <cell r="A90">
            <v>871788</v>
          </cell>
          <cell r="B90" t="str">
            <v>LUNELY</v>
          </cell>
          <cell r="C90">
            <v>3.5000000000000003E-2</v>
          </cell>
          <cell r="E90">
            <v>3.5000000000000003E-2</v>
          </cell>
          <cell r="F90">
            <v>41275</v>
          </cell>
          <cell r="G90" t="str">
            <v>Par mail le 12/11/2012</v>
          </cell>
          <cell r="J90">
            <v>0</v>
          </cell>
          <cell r="K90">
            <v>0</v>
          </cell>
          <cell r="L90" t="str">
            <v>ok</v>
          </cell>
          <cell r="M90" t="str">
            <v>ok</v>
          </cell>
          <cell r="O90" t="str">
            <v>Non affecté</v>
          </cell>
          <cell r="P90" t="str">
            <v>FM</v>
          </cell>
          <cell r="Q90" t="str">
            <v>Ok mon client</v>
          </cell>
          <cell r="R90" t="str">
            <v>TROYES / LA CHAPELLE</v>
          </cell>
          <cell r="S90" t="str">
            <v>10</v>
          </cell>
          <cell r="T90" t="str">
            <v>50 AVENUE DE LA REPUBLIQUE</v>
          </cell>
          <cell r="U90">
            <v>10120</v>
          </cell>
          <cell r="V90" t="str">
            <v>SAINT ANDRE LES VERGERS</v>
          </cell>
          <cell r="X90" t="str">
            <v>Directeur Logistique et Transports</v>
          </cell>
          <cell r="Y90" t="str">
            <v>France</v>
          </cell>
          <cell r="Z90" t="str">
            <v>10120</v>
          </cell>
          <cell r="AA90" t="str">
            <v>SAINT ANDRE LES VERGERS</v>
          </cell>
          <cell r="AG90">
            <v>331.16</v>
          </cell>
          <cell r="AH90">
            <v>0.15448725691508644</v>
          </cell>
          <cell r="AI90">
            <v>405.18</v>
          </cell>
          <cell r="AJ90">
            <v>0.41687644997285161</v>
          </cell>
          <cell r="AK90">
            <v>211.29999999999998</v>
          </cell>
          <cell r="AL90">
            <v>0.68783719829626133</v>
          </cell>
          <cell r="AN90">
            <v>947.64</v>
          </cell>
          <cell r="AO90">
            <v>1326.6959999999999</v>
          </cell>
          <cell r="AQ90" t="str">
            <v>033-G-10LUNELY</v>
          </cell>
          <cell r="AR90" t="str">
            <v>033-L1-10LUNELY</v>
          </cell>
          <cell r="AS90">
            <v>41018</v>
          </cell>
          <cell r="AY90">
            <v>419.36129999999997</v>
          </cell>
          <cell r="AZ90">
            <v>211.29999999999998</v>
          </cell>
          <cell r="BA90">
            <v>342.75060000000002</v>
          </cell>
        </row>
        <row r="91">
          <cell r="A91">
            <v>2748</v>
          </cell>
          <cell r="B91" t="str">
            <v>DURUPT</v>
          </cell>
          <cell r="H91" t="str">
            <v>compte HS</v>
          </cell>
          <cell r="I91">
            <v>1</v>
          </cell>
          <cell r="J91">
            <v>0</v>
          </cell>
          <cell r="K91">
            <v>0</v>
          </cell>
          <cell r="L91" t="str">
            <v>non</v>
          </cell>
          <cell r="M91" t="str">
            <v>NON</v>
          </cell>
          <cell r="O91" t="str">
            <v>Non affecté</v>
          </cell>
          <cell r="P91" t="str">
            <v>FM</v>
          </cell>
          <cell r="Q91" t="str">
            <v>Ok mon client</v>
          </cell>
          <cell r="R91" t="str">
            <v>TROYES / LA CHAPELLE</v>
          </cell>
          <cell r="S91" t="str">
            <v>21</v>
          </cell>
          <cell r="T91" t="str">
            <v>4 AVENUE DE L EUROPE</v>
          </cell>
          <cell r="U91">
            <v>21600</v>
          </cell>
          <cell r="V91" t="str">
            <v>LONGVIC CEDEX</v>
          </cell>
          <cell r="X91" t="str">
            <v>Directeur Logistique et Transports</v>
          </cell>
          <cell r="Y91" t="str">
            <v>France</v>
          </cell>
          <cell r="Z91" t="str">
            <v>21602</v>
          </cell>
          <cell r="AA91" t="str">
            <v>LONGVIC CEDEX</v>
          </cell>
          <cell r="AC91">
            <v>1187.06</v>
          </cell>
          <cell r="AF91">
            <v>1187.06</v>
          </cell>
          <cell r="AI91">
            <v>870.62</v>
          </cell>
          <cell r="AJ91">
            <v>0.47541981576347891</v>
          </cell>
          <cell r="AN91">
            <v>870.62</v>
          </cell>
          <cell r="AO91">
            <v>1218.8679999999999</v>
          </cell>
          <cell r="AP91">
            <v>2.679561269017583E-2</v>
          </cell>
          <cell r="AY91">
            <v>870.62</v>
          </cell>
          <cell r="AZ91">
            <v>0</v>
          </cell>
          <cell r="BA91">
            <v>0</v>
          </cell>
        </row>
        <row r="92">
          <cell r="A92">
            <v>640197</v>
          </cell>
          <cell r="B92" t="str">
            <v>NAULIN JEAN-MARIE</v>
          </cell>
          <cell r="C92">
            <v>0.72909999999999997</v>
          </cell>
          <cell r="F92">
            <v>41275</v>
          </cell>
          <cell r="H92" t="str">
            <v>Passage sur un TS +150 sans envoi de tarif</v>
          </cell>
          <cell r="I92">
            <v>1</v>
          </cell>
          <cell r="J92">
            <v>0</v>
          </cell>
          <cell r="K92">
            <v>0</v>
          </cell>
          <cell r="L92" t="str">
            <v>non</v>
          </cell>
          <cell r="M92" t="str">
            <v>OK</v>
          </cell>
          <cell r="O92" t="str">
            <v>Non affecté</v>
          </cell>
          <cell r="P92" t="str">
            <v>FM</v>
          </cell>
          <cell r="Q92" t="str">
            <v>Ok mon client</v>
          </cell>
          <cell r="R92" t="str">
            <v>TROYES / LA CHAPELLE</v>
          </cell>
          <cell r="S92" t="str">
            <v>89</v>
          </cell>
          <cell r="T92" t="str">
            <v>6 RUE DU CAROUGE</v>
          </cell>
          <cell r="U92">
            <v>89800</v>
          </cell>
          <cell r="V92" t="str">
            <v>BEINE</v>
          </cell>
          <cell r="X92" t="str">
            <v>Directeur Logistique et Transports</v>
          </cell>
          <cell r="Y92" t="str">
            <v>France</v>
          </cell>
          <cell r="Z92" t="str">
            <v>89800</v>
          </cell>
          <cell r="AA92" t="str">
            <v>BEINE</v>
          </cell>
          <cell r="AC92">
            <v>868.3900000000001</v>
          </cell>
          <cell r="AD92">
            <v>104.03</v>
          </cell>
          <cell r="AF92">
            <v>972.42000000000007</v>
          </cell>
          <cell r="AG92">
            <v>210</v>
          </cell>
          <cell r="AH92">
            <v>0.16666666666666666</v>
          </cell>
          <cell r="AI92">
            <v>660.46</v>
          </cell>
          <cell r="AJ92">
            <v>0.73686521515307501</v>
          </cell>
          <cell r="AN92">
            <v>870.46</v>
          </cell>
          <cell r="AO92">
            <v>1218.644</v>
          </cell>
          <cell r="AP92">
            <v>0.25320746179634313</v>
          </cell>
          <cell r="AQ92" t="str">
            <v>033-G-G-7-BO-TXP</v>
          </cell>
          <cell r="AY92">
            <v>1142.0013859999999</v>
          </cell>
          <cell r="AZ92">
            <v>0</v>
          </cell>
          <cell r="BA92">
            <v>210</v>
          </cell>
        </row>
        <row r="93">
          <cell r="A93">
            <v>533289</v>
          </cell>
          <cell r="B93" t="str">
            <v>DOMINIQUE GRUHIER VIGNERON</v>
          </cell>
          <cell r="H93" t="str">
            <v>Passage sur un TS plein. COMPTE</v>
          </cell>
          <cell r="I93">
            <v>1</v>
          </cell>
          <cell r="J93">
            <v>0</v>
          </cell>
          <cell r="K93">
            <v>0</v>
          </cell>
          <cell r="M93" t="str">
            <v>NON</v>
          </cell>
          <cell r="O93" t="str">
            <v>Non affecté</v>
          </cell>
          <cell r="P93" t="str">
            <v>FM</v>
          </cell>
          <cell r="Q93" t="str">
            <v>Ok mon client</v>
          </cell>
          <cell r="R93" t="str">
            <v>TROYES / LA CHAPELLE</v>
          </cell>
          <cell r="S93" t="str">
            <v>89</v>
          </cell>
          <cell r="T93" t="str">
            <v>LE PETIT QUINCY</v>
          </cell>
          <cell r="U93">
            <v>89700</v>
          </cell>
          <cell r="V93" t="str">
            <v>EPINEUIL</v>
          </cell>
          <cell r="X93" t="str">
            <v>Directeur Logistique et Transports</v>
          </cell>
          <cell r="Y93" t="str">
            <v>France</v>
          </cell>
          <cell r="Z93" t="str">
            <v>89700</v>
          </cell>
          <cell r="AA93" t="str">
            <v>EPINEUIL</v>
          </cell>
          <cell r="AG93">
            <v>787.81</v>
          </cell>
          <cell r="AH93">
            <v>0.28536068341351334</v>
          </cell>
          <cell r="AN93">
            <v>787.81</v>
          </cell>
          <cell r="AO93">
            <v>1102.9339999999997</v>
          </cell>
          <cell r="AQ93" t="str">
            <v>033-G-G-7-BO</v>
          </cell>
          <cell r="AY93">
            <v>0</v>
          </cell>
          <cell r="AZ93">
            <v>0</v>
          </cell>
          <cell r="BA93">
            <v>787.81</v>
          </cell>
        </row>
        <row r="94">
          <cell r="A94">
            <v>476148</v>
          </cell>
          <cell r="B94" t="str">
            <v>MBE VIDNARD</v>
          </cell>
          <cell r="C94">
            <v>0.1</v>
          </cell>
          <cell r="D94">
            <v>0.1</v>
          </cell>
          <cell r="E94">
            <v>0.02</v>
          </cell>
          <cell r="F94">
            <v>41275</v>
          </cell>
          <cell r="I94">
            <v>1</v>
          </cell>
          <cell r="J94">
            <v>0</v>
          </cell>
          <cell r="K94">
            <v>0</v>
          </cell>
          <cell r="L94" t="str">
            <v>ok</v>
          </cell>
          <cell r="M94" t="str">
            <v>ok</v>
          </cell>
          <cell r="O94" t="str">
            <v>Non affecté</v>
          </cell>
          <cell r="P94" t="str">
            <v>FM</v>
          </cell>
          <cell r="Q94" t="str">
            <v>Ok mon client</v>
          </cell>
          <cell r="R94" t="str">
            <v>TROYES / LA CHAPELLE</v>
          </cell>
          <cell r="S94" t="str">
            <v>52</v>
          </cell>
          <cell r="T94" t="str">
            <v>Cour l'eveque BP8</v>
          </cell>
          <cell r="U94">
            <v>52210</v>
          </cell>
          <cell r="V94" t="str">
            <v>COUR L'EVEQUE</v>
          </cell>
          <cell r="W94" t="str">
            <v>M</v>
          </cell>
          <cell r="X94" t="str">
            <v>NAGDIKA</v>
          </cell>
          <cell r="Y94" t="str">
            <v>France</v>
          </cell>
          <cell r="Z94" t="str">
            <v>52210</v>
          </cell>
          <cell r="AA94" t="str">
            <v>COUR L'EVEQUE</v>
          </cell>
          <cell r="AB94">
            <v>934</v>
          </cell>
          <cell r="AC94">
            <v>204.04</v>
          </cell>
          <cell r="AF94">
            <v>1138.04</v>
          </cell>
          <cell r="AG94">
            <v>655</v>
          </cell>
          <cell r="AH94">
            <v>0.45038167938931295</v>
          </cell>
          <cell r="AI94">
            <v>128.16999999999999</v>
          </cell>
          <cell r="AJ94">
            <v>0.81079815869548255</v>
          </cell>
          <cell r="AN94">
            <v>783.17</v>
          </cell>
          <cell r="AO94">
            <v>1096.4379999999999</v>
          </cell>
          <cell r="AP94">
            <v>-3.6555832835401314E-2</v>
          </cell>
          <cell r="AQ94" t="str">
            <v>033-G-GENERAL-KG-TXP</v>
          </cell>
          <cell r="AY94">
            <v>140.98699999999999</v>
          </cell>
          <cell r="AZ94">
            <v>0</v>
          </cell>
          <cell r="BA94">
            <v>668.1</v>
          </cell>
        </row>
        <row r="95">
          <cell r="A95">
            <v>448854</v>
          </cell>
          <cell r="B95" t="str">
            <v>PH DERU SARL</v>
          </cell>
          <cell r="C95">
            <v>0.1</v>
          </cell>
          <cell r="D95">
            <v>0.1</v>
          </cell>
          <cell r="E95">
            <v>0.02</v>
          </cell>
          <cell r="F95">
            <v>41275</v>
          </cell>
          <cell r="I95">
            <v>1</v>
          </cell>
          <cell r="J95">
            <v>0</v>
          </cell>
          <cell r="K95">
            <v>0</v>
          </cell>
          <cell r="L95" t="str">
            <v>ok</v>
          </cell>
          <cell r="M95" t="str">
            <v>ok</v>
          </cell>
          <cell r="O95" t="str">
            <v>Non affecté</v>
          </cell>
          <cell r="P95" t="str">
            <v>FM</v>
          </cell>
          <cell r="Q95" t="str">
            <v>Ok mon client</v>
          </cell>
          <cell r="R95" t="str">
            <v>TROYES / LA CHAPELLE</v>
          </cell>
          <cell r="S95" t="str">
            <v>52</v>
          </cell>
          <cell r="T95" t="str">
            <v>27 RUE DU PATIS</v>
          </cell>
          <cell r="U95">
            <v>52150</v>
          </cell>
          <cell r="V95" t="str">
            <v>GRAFFIGNY CHEMIN</v>
          </cell>
          <cell r="X95" t="str">
            <v>Directeur Logistique et Transports</v>
          </cell>
          <cell r="Y95" t="str">
            <v>France</v>
          </cell>
          <cell r="Z95" t="str">
            <v>52150</v>
          </cell>
          <cell r="AA95" t="str">
            <v>GRAFFIGNY CHEMIN</v>
          </cell>
          <cell r="AB95">
            <v>559.17999999999995</v>
          </cell>
          <cell r="AF95">
            <v>559.17999999999995</v>
          </cell>
          <cell r="AG95">
            <v>703.53</v>
          </cell>
          <cell r="AH95">
            <v>0.42816937444032244</v>
          </cell>
          <cell r="AN95">
            <v>703.53</v>
          </cell>
          <cell r="AO95">
            <v>984.94199999999989</v>
          </cell>
          <cell r="AP95">
            <v>0.76140419900568679</v>
          </cell>
          <cell r="AQ95" t="str">
            <v>033-G-GENERAL-KG-TXP</v>
          </cell>
          <cell r="AY95">
            <v>0</v>
          </cell>
          <cell r="AZ95">
            <v>0</v>
          </cell>
          <cell r="BA95">
            <v>717.60059999999999</v>
          </cell>
        </row>
        <row r="96">
          <cell r="A96">
            <v>512035</v>
          </cell>
          <cell r="B96" t="str">
            <v>RENFORTECH</v>
          </cell>
          <cell r="C96">
            <v>0.1</v>
          </cell>
          <cell r="D96">
            <v>0.1</v>
          </cell>
          <cell r="E96">
            <v>0.02</v>
          </cell>
          <cell r="F96">
            <v>41275</v>
          </cell>
          <cell r="I96">
            <v>1</v>
          </cell>
          <cell r="J96">
            <v>0</v>
          </cell>
          <cell r="K96">
            <v>0</v>
          </cell>
          <cell r="L96" t="str">
            <v>ok</v>
          </cell>
          <cell r="M96" t="str">
            <v>ok</v>
          </cell>
          <cell r="O96" t="str">
            <v>Non affecté</v>
          </cell>
          <cell r="P96" t="str">
            <v>FM</v>
          </cell>
          <cell r="Q96" t="str">
            <v>Ok mon client</v>
          </cell>
          <cell r="R96" t="str">
            <v>TROYES / LA CHAPELLE</v>
          </cell>
          <cell r="S96" t="str">
            <v>52</v>
          </cell>
          <cell r="T96" t="str">
            <v>route d'Eurville</v>
          </cell>
          <cell r="U96">
            <v>52410</v>
          </cell>
          <cell r="V96" t="str">
            <v>CHAMOUILLEY</v>
          </cell>
          <cell r="X96" t="str">
            <v>Directeur Logistique et Transports</v>
          </cell>
          <cell r="Y96" t="str">
            <v>France</v>
          </cell>
          <cell r="Z96" t="str">
            <v>52410</v>
          </cell>
          <cell r="AA96" t="str">
            <v>EURVILLE BIENVILLE</v>
          </cell>
          <cell r="AC96">
            <v>582.1</v>
          </cell>
          <cell r="AD96">
            <v>45.55</v>
          </cell>
          <cell r="AF96">
            <v>627.65</v>
          </cell>
          <cell r="AI96">
            <v>657.56000000000006</v>
          </cell>
          <cell r="AJ96">
            <v>0.68971652776932901</v>
          </cell>
          <cell r="AN96">
            <v>657.56000000000006</v>
          </cell>
          <cell r="AO96">
            <v>920.58400000000006</v>
          </cell>
          <cell r="AP96">
            <v>0.46671552616904344</v>
          </cell>
          <cell r="AQ96" t="str">
            <v>033-G-GENERAL-KG-TXP</v>
          </cell>
          <cell r="AY96">
            <v>723.31600000000014</v>
          </cell>
          <cell r="AZ96">
            <v>0</v>
          </cell>
          <cell r="BA96">
            <v>0</v>
          </cell>
        </row>
        <row r="97">
          <cell r="A97">
            <v>874666</v>
          </cell>
          <cell r="B97" t="str">
            <v>THEVENIN</v>
          </cell>
          <cell r="C97">
            <v>0.72909000000000002</v>
          </cell>
          <cell r="F97">
            <v>41275</v>
          </cell>
          <cell r="H97" t="str">
            <v>Passage sur un TS +150 sans envoi de tarif</v>
          </cell>
          <cell r="I97">
            <v>1</v>
          </cell>
          <cell r="J97">
            <v>0</v>
          </cell>
          <cell r="K97">
            <v>0</v>
          </cell>
          <cell r="L97" t="str">
            <v>non</v>
          </cell>
          <cell r="M97" t="str">
            <v>OK</v>
          </cell>
          <cell r="O97" t="str">
            <v>Non affecté</v>
          </cell>
          <cell r="P97" t="str">
            <v>FM</v>
          </cell>
          <cell r="Q97" t="str">
            <v>Ok mon client</v>
          </cell>
          <cell r="R97" t="str">
            <v>TROYES / LA CHAPELLE</v>
          </cell>
          <cell r="S97" t="str">
            <v>10</v>
          </cell>
          <cell r="T97" t="str">
            <v>7 RUE DE LA FAIENCERIE</v>
          </cell>
          <cell r="U97">
            <v>10500</v>
          </cell>
          <cell r="V97" t="str">
            <v>RADONVILLIERS</v>
          </cell>
          <cell r="X97" t="str">
            <v>Directeur Logistique et Transports</v>
          </cell>
          <cell r="Y97" t="str">
            <v>France</v>
          </cell>
          <cell r="Z97" t="str">
            <v>10500</v>
          </cell>
          <cell r="AA97" t="str">
            <v>RADONVILLIERS</v>
          </cell>
          <cell r="AG97">
            <v>657</v>
          </cell>
          <cell r="AH97">
            <v>1.06544901065449E-2</v>
          </cell>
          <cell r="AN97">
            <v>657</v>
          </cell>
          <cell r="AO97">
            <v>919.8</v>
          </cell>
          <cell r="AQ97" t="str">
            <v>033-G-10THEVENIN</v>
          </cell>
          <cell r="AY97">
            <v>0</v>
          </cell>
          <cell r="AZ97">
            <v>0</v>
          </cell>
          <cell r="BA97">
            <v>657</v>
          </cell>
        </row>
        <row r="98">
          <cell r="A98">
            <v>868053</v>
          </cell>
          <cell r="B98" t="str">
            <v>CSB MARINE</v>
          </cell>
          <cell r="C98">
            <v>0.72909000000000002</v>
          </cell>
          <cell r="F98">
            <v>41275</v>
          </cell>
          <cell r="H98" t="str">
            <v>Passage sur un TS +150 sans envoi de tarif</v>
          </cell>
          <cell r="I98">
            <v>1</v>
          </cell>
          <cell r="J98">
            <v>0</v>
          </cell>
          <cell r="K98">
            <v>0</v>
          </cell>
          <cell r="L98" t="str">
            <v>non</v>
          </cell>
          <cell r="M98" t="str">
            <v>OK</v>
          </cell>
          <cell r="O98" t="str">
            <v>Non affecté</v>
          </cell>
          <cell r="P98" t="str">
            <v>FM</v>
          </cell>
          <cell r="Q98" t="str">
            <v>Ok mon client</v>
          </cell>
          <cell r="R98" t="str">
            <v>TROYES / LA CHAPELLE</v>
          </cell>
          <cell r="S98" t="str">
            <v>10</v>
          </cell>
          <cell r="T98" t="str">
            <v>BATIMENT VICTORIA</v>
          </cell>
          <cell r="U98">
            <v>10500</v>
          </cell>
          <cell r="V98" t="str">
            <v>DIENVILLE</v>
          </cell>
          <cell r="X98" t="str">
            <v>Directeur Logistique et Transports</v>
          </cell>
          <cell r="Y98" t="str">
            <v>France</v>
          </cell>
          <cell r="Z98" t="str">
            <v>10500</v>
          </cell>
          <cell r="AA98" t="str">
            <v>DIENVILLE</v>
          </cell>
          <cell r="AG98">
            <v>461</v>
          </cell>
          <cell r="AH98">
            <v>6.8091106290672415E-2</v>
          </cell>
          <cell r="AI98">
            <v>76.009999999999991</v>
          </cell>
          <cell r="AJ98">
            <v>-1.4866464938823779E-2</v>
          </cell>
          <cell r="AN98">
            <v>537.01</v>
          </cell>
          <cell r="AO98">
            <v>751.81399999999996</v>
          </cell>
          <cell r="AQ98" t="str">
            <v>033-G-10CSBMARINE</v>
          </cell>
          <cell r="AS98">
            <v>40945</v>
          </cell>
          <cell r="AY98">
            <v>131.42813089999999</v>
          </cell>
          <cell r="AZ98">
            <v>0</v>
          </cell>
          <cell r="BA98">
            <v>461</v>
          </cell>
        </row>
        <row r="99">
          <cell r="A99">
            <v>33135</v>
          </cell>
          <cell r="B99" t="str">
            <v>FORGES DE COURCELLES</v>
          </cell>
          <cell r="C99">
            <v>0.1</v>
          </cell>
          <cell r="D99">
            <v>0.1</v>
          </cell>
          <cell r="E99">
            <v>0.02</v>
          </cell>
          <cell r="F99">
            <v>41275</v>
          </cell>
          <cell r="H99" t="str">
            <v>Passage sur un TS plein</v>
          </cell>
          <cell r="I99">
            <v>1</v>
          </cell>
          <cell r="J99">
            <v>0</v>
          </cell>
          <cell r="K99">
            <v>0</v>
          </cell>
          <cell r="L99" t="str">
            <v>ok</v>
          </cell>
          <cell r="M99" t="str">
            <v>ok</v>
          </cell>
          <cell r="O99" t="str">
            <v>Non affecté</v>
          </cell>
          <cell r="P99" t="str">
            <v>FM</v>
          </cell>
          <cell r="Q99" t="str">
            <v>Ok mon client</v>
          </cell>
          <cell r="R99" t="str">
            <v>TROYES / LA CHAPELLE</v>
          </cell>
          <cell r="S99" t="str">
            <v>52</v>
          </cell>
          <cell r="T99" t="str">
            <v>11 R DU ONZE NOVEMBRE</v>
          </cell>
          <cell r="U99">
            <v>52800</v>
          </cell>
          <cell r="V99" t="str">
            <v>NOGENT</v>
          </cell>
          <cell r="X99" t="str">
            <v>Directeur Logistique et Transports</v>
          </cell>
          <cell r="Y99" t="str">
            <v>France</v>
          </cell>
          <cell r="Z99" t="str">
            <v>52800</v>
          </cell>
          <cell r="AA99" t="str">
            <v>NOGENT</v>
          </cell>
          <cell r="AB99">
            <v>2169.48</v>
          </cell>
          <cell r="AD99">
            <v>43.67</v>
          </cell>
          <cell r="AE99">
            <v>382.68</v>
          </cell>
          <cell r="AF99">
            <v>2595.83</v>
          </cell>
          <cell r="AG99">
            <v>510</v>
          </cell>
          <cell r="AH99">
            <v>-2.1647058823529339E-2</v>
          </cell>
          <cell r="AN99">
            <v>510</v>
          </cell>
          <cell r="AO99">
            <v>714</v>
          </cell>
          <cell r="AP99">
            <v>-0.72494346702210855</v>
          </cell>
          <cell r="AQ99" t="str">
            <v>033-G-GENERAL-KG-TXP</v>
          </cell>
          <cell r="AY99">
            <v>0</v>
          </cell>
          <cell r="AZ99">
            <v>0</v>
          </cell>
          <cell r="BA99">
            <v>520.20000000000005</v>
          </cell>
        </row>
        <row r="100">
          <cell r="A100">
            <v>617144</v>
          </cell>
          <cell r="B100" t="str">
            <v>EUROPE AUDIO DIFFUSION</v>
          </cell>
          <cell r="C100">
            <v>0.1</v>
          </cell>
          <cell r="D100">
            <v>0.1</v>
          </cell>
          <cell r="E100">
            <v>0.02</v>
          </cell>
          <cell r="F100">
            <v>41275</v>
          </cell>
          <cell r="I100">
            <v>1</v>
          </cell>
          <cell r="J100">
            <v>0</v>
          </cell>
          <cell r="K100">
            <v>0</v>
          </cell>
          <cell r="L100" t="str">
            <v>ok</v>
          </cell>
          <cell r="M100" t="str">
            <v>ok</v>
          </cell>
          <cell r="O100" t="str">
            <v>Non affecté</v>
          </cell>
          <cell r="P100" t="str">
            <v>FM</v>
          </cell>
          <cell r="Q100" t="str">
            <v>Ok mon client</v>
          </cell>
          <cell r="R100" t="str">
            <v>TROYES / LA CHAPELLE</v>
          </cell>
          <cell r="S100" t="str">
            <v>89</v>
          </cell>
          <cell r="T100" t="str">
            <v>Château Marrault</v>
          </cell>
          <cell r="U100">
            <v>89200</v>
          </cell>
          <cell r="V100" t="str">
            <v>MAGNY</v>
          </cell>
          <cell r="W100" t="str">
            <v>M</v>
          </cell>
          <cell r="X100" t="str">
            <v>DEMARET</v>
          </cell>
          <cell r="Y100" t="str">
            <v>France</v>
          </cell>
          <cell r="Z100" t="str">
            <v>89200</v>
          </cell>
          <cell r="AA100" t="str">
            <v>AVALLON</v>
          </cell>
          <cell r="AC100">
            <v>10448.06</v>
          </cell>
          <cell r="AD100">
            <v>357.15999999999997</v>
          </cell>
          <cell r="AF100">
            <v>10805.22</v>
          </cell>
          <cell r="AI100">
            <v>506.88</v>
          </cell>
          <cell r="AJ100">
            <v>0.77740293560606066</v>
          </cell>
          <cell r="AN100">
            <v>506.88</v>
          </cell>
          <cell r="AO100">
            <v>709.63199999999995</v>
          </cell>
          <cell r="AP100">
            <v>-0.93432507621316363</v>
          </cell>
          <cell r="AQ100" t="str">
            <v>033-G-GENERAL-KG-TXP</v>
          </cell>
          <cell r="AY100">
            <v>557.56799999999998</v>
          </cell>
          <cell r="AZ100">
            <v>0</v>
          </cell>
          <cell r="BA100">
            <v>0</v>
          </cell>
        </row>
        <row r="101">
          <cell r="A101">
            <v>549769</v>
          </cell>
          <cell r="B101" t="str">
            <v>INDUSTRIE COMMERCE FONDERIE</v>
          </cell>
          <cell r="C101">
            <v>0.72909000000000002</v>
          </cell>
          <cell r="F101">
            <v>41275</v>
          </cell>
          <cell r="H101" t="str">
            <v>Passage sur un TS +150 sans envoi de tarif</v>
          </cell>
          <cell r="I101">
            <v>1</v>
          </cell>
          <cell r="J101">
            <v>0</v>
          </cell>
          <cell r="K101">
            <v>0</v>
          </cell>
          <cell r="L101" t="str">
            <v>non</v>
          </cell>
          <cell r="M101" t="str">
            <v>OK</v>
          </cell>
          <cell r="O101" t="str">
            <v>Non affecté</v>
          </cell>
          <cell r="P101" t="str">
            <v>FM</v>
          </cell>
          <cell r="Q101" t="str">
            <v>Ok mon client</v>
          </cell>
          <cell r="R101" t="str">
            <v>TROYES / LA CHAPELLE</v>
          </cell>
          <cell r="S101" t="str">
            <v>52</v>
          </cell>
          <cell r="T101" t="str">
            <v>21 RUE WALDECK ROUSSEAU</v>
          </cell>
          <cell r="U101">
            <v>52100</v>
          </cell>
          <cell r="V101" t="str">
            <v>ST DIZIER</v>
          </cell>
          <cell r="X101" t="str">
            <v>Directeur Logistique et Transports</v>
          </cell>
          <cell r="Y101" t="str">
            <v>France</v>
          </cell>
          <cell r="Z101" t="str">
            <v>52100</v>
          </cell>
          <cell r="AA101" t="str">
            <v>SAINT DIZIER</v>
          </cell>
          <cell r="AB101">
            <v>700</v>
          </cell>
          <cell r="AF101">
            <v>700</v>
          </cell>
          <cell r="AG101">
            <v>475</v>
          </cell>
          <cell r="AH101">
            <v>0.43376842105263153</v>
          </cell>
          <cell r="AN101">
            <v>475</v>
          </cell>
          <cell r="AO101">
            <v>665</v>
          </cell>
          <cell r="AP101">
            <v>-5.0000000000000044E-2</v>
          </cell>
          <cell r="AQ101" t="str">
            <v>033-G-GENERAL-KG</v>
          </cell>
          <cell r="AY101">
            <v>0</v>
          </cell>
          <cell r="AZ101">
            <v>0</v>
          </cell>
          <cell r="BA101">
            <v>475</v>
          </cell>
        </row>
        <row r="102">
          <cell r="A102">
            <v>564055</v>
          </cell>
          <cell r="B102" t="str">
            <v>FINOT LAURENT FRANCOIS</v>
          </cell>
          <cell r="C102">
            <v>0.72909999999999997</v>
          </cell>
          <cell r="F102">
            <v>41275</v>
          </cell>
          <cell r="H102" t="str">
            <v>Passage sur un TS +150 sans envoi de tarif</v>
          </cell>
          <cell r="I102">
            <v>1</v>
          </cell>
          <cell r="J102">
            <v>0</v>
          </cell>
          <cell r="K102">
            <v>0</v>
          </cell>
          <cell r="L102" t="str">
            <v>non</v>
          </cell>
          <cell r="M102" t="str">
            <v>OK</v>
          </cell>
          <cell r="O102" t="str">
            <v>Non affecté</v>
          </cell>
          <cell r="P102" t="str">
            <v>FM</v>
          </cell>
          <cell r="Q102" t="str">
            <v>Ok mon client</v>
          </cell>
          <cell r="R102" t="str">
            <v>TROYES / LA CHAPELLE</v>
          </cell>
          <cell r="S102" t="str">
            <v>10</v>
          </cell>
          <cell r="T102" t="str">
            <v>7 RUE SAINT MEDARD BEAUVOIR</v>
          </cell>
          <cell r="U102">
            <v>10340</v>
          </cell>
          <cell r="V102" t="str">
            <v>BRAGELOGNE BEAUVOIR</v>
          </cell>
          <cell r="X102" t="str">
            <v>Directeur Logistique et Transports</v>
          </cell>
          <cell r="Y102" t="str">
            <v>France</v>
          </cell>
          <cell r="Z102" t="str">
            <v>10340</v>
          </cell>
          <cell r="AA102" t="str">
            <v>BRAGELOGNE BEAUVOIR</v>
          </cell>
          <cell r="AC102">
            <v>316.09000000000003</v>
          </cell>
          <cell r="AF102">
            <v>316.09000000000003</v>
          </cell>
          <cell r="AI102">
            <v>408.75</v>
          </cell>
          <cell r="AJ102">
            <v>0.75292966360856262</v>
          </cell>
          <cell r="AN102">
            <v>408.75</v>
          </cell>
          <cell r="AO102">
            <v>572.25</v>
          </cell>
          <cell r="AP102">
            <v>0.81040210066753127</v>
          </cell>
          <cell r="AQ102" t="str">
            <v>033-G-G-7-BOCHAMPAGNE-TXP</v>
          </cell>
          <cell r="AY102">
            <v>706.76962499999991</v>
          </cell>
          <cell r="AZ102">
            <v>0</v>
          </cell>
          <cell r="BA102">
            <v>0</v>
          </cell>
        </row>
        <row r="103">
          <cell r="A103">
            <v>550605</v>
          </cell>
          <cell r="B103" t="str">
            <v>P G F PARTNER</v>
          </cell>
          <cell r="C103">
            <v>0.1</v>
          </cell>
          <cell r="D103">
            <v>0.1</v>
          </cell>
          <cell r="E103">
            <v>0.02</v>
          </cell>
          <cell r="F103">
            <v>41275</v>
          </cell>
          <cell r="I103">
            <v>1</v>
          </cell>
          <cell r="J103">
            <v>0</v>
          </cell>
          <cell r="K103">
            <v>0</v>
          </cell>
          <cell r="L103" t="str">
            <v>ok</v>
          </cell>
          <cell r="M103" t="str">
            <v>ok</v>
          </cell>
          <cell r="O103" t="str">
            <v>Non affecté</v>
          </cell>
          <cell r="P103" t="str">
            <v>FM</v>
          </cell>
          <cell r="Q103" t="str">
            <v>Ok mon client</v>
          </cell>
          <cell r="R103" t="str">
            <v>TROYES / LA CHAPELLE</v>
          </cell>
          <cell r="S103" t="str">
            <v>89</v>
          </cell>
          <cell r="T103" t="str">
            <v>21 ROUTE DU LOTISSEMENT</v>
          </cell>
          <cell r="U103">
            <v>89440</v>
          </cell>
          <cell r="V103" t="str">
            <v>L ISLE SUR SEREIN</v>
          </cell>
          <cell r="X103" t="str">
            <v>Directeur Logistique et Transports</v>
          </cell>
          <cell r="Y103" t="str">
            <v>France</v>
          </cell>
          <cell r="Z103" t="str">
            <v>89440</v>
          </cell>
          <cell r="AA103" t="str">
            <v>L ISLE SUR SEREIN</v>
          </cell>
          <cell r="AC103">
            <v>2178.4700000000003</v>
          </cell>
          <cell r="AF103">
            <v>2178.4700000000003</v>
          </cell>
          <cell r="AI103">
            <v>382.45000000000005</v>
          </cell>
          <cell r="AJ103">
            <v>0.69300562164988877</v>
          </cell>
          <cell r="AN103">
            <v>382.45000000000005</v>
          </cell>
          <cell r="AO103">
            <v>535.43000000000006</v>
          </cell>
          <cell r="AP103">
            <v>-0.7542174094662768</v>
          </cell>
          <cell r="AQ103" t="str">
            <v>033-G-GENERAL-KG-TXP</v>
          </cell>
          <cell r="AY103">
            <v>420.69500000000011</v>
          </cell>
          <cell r="AZ103">
            <v>0</v>
          </cell>
          <cell r="BA103">
            <v>0</v>
          </cell>
        </row>
        <row r="104">
          <cell r="A104">
            <v>71653</v>
          </cell>
          <cell r="B104" t="str">
            <v>AIR DEPANN</v>
          </cell>
          <cell r="C104">
            <v>0.1</v>
          </cell>
          <cell r="D104">
            <v>0.1</v>
          </cell>
          <cell r="E104">
            <v>0.02</v>
          </cell>
          <cell r="F104">
            <v>41275</v>
          </cell>
          <cell r="I104">
            <v>1</v>
          </cell>
          <cell r="J104">
            <v>0</v>
          </cell>
          <cell r="K104">
            <v>0</v>
          </cell>
          <cell r="L104" t="str">
            <v>ok</v>
          </cell>
          <cell r="M104" t="str">
            <v>ok</v>
          </cell>
          <cell r="O104" t="str">
            <v>Non affecté</v>
          </cell>
          <cell r="P104" t="str">
            <v>FM</v>
          </cell>
          <cell r="Q104" t="str">
            <v>Ok mon client</v>
          </cell>
          <cell r="R104" t="str">
            <v>TROYES / LA CHAPELLE</v>
          </cell>
          <cell r="S104" t="str">
            <v>10</v>
          </cell>
          <cell r="T104" t="str">
            <v>37 RUE DES BAS TREVOIS</v>
          </cell>
          <cell r="U104">
            <v>10000</v>
          </cell>
          <cell r="V104" t="str">
            <v>TROYES</v>
          </cell>
          <cell r="X104" t="str">
            <v>Directeur Logistique et Transports</v>
          </cell>
          <cell r="Y104" t="str">
            <v>France</v>
          </cell>
          <cell r="Z104" t="str">
            <v>10000</v>
          </cell>
          <cell r="AA104" t="str">
            <v>TROYES</v>
          </cell>
          <cell r="AC104">
            <v>48.18</v>
          </cell>
          <cell r="AF104">
            <v>48.18</v>
          </cell>
          <cell r="AI104">
            <v>374.45</v>
          </cell>
          <cell r="AJ104">
            <v>0.80718386967552413</v>
          </cell>
          <cell r="AN104">
            <v>374.45</v>
          </cell>
          <cell r="AO104">
            <v>524.2299999999999</v>
          </cell>
          <cell r="AP104">
            <v>9.8806558738065569</v>
          </cell>
          <cell r="AQ104" t="str">
            <v>033-G-GENERAL-KG-TXP</v>
          </cell>
          <cell r="AY104">
            <v>411.89500000000004</v>
          </cell>
          <cell r="AZ104">
            <v>0</v>
          </cell>
          <cell r="BA104">
            <v>0</v>
          </cell>
        </row>
        <row r="105">
          <cell r="A105">
            <v>23029</v>
          </cell>
          <cell r="B105" t="str">
            <v>COLSON ET FROMONT</v>
          </cell>
          <cell r="C105">
            <v>0.1</v>
          </cell>
          <cell r="D105">
            <v>0.1</v>
          </cell>
          <cell r="E105">
            <v>0.02</v>
          </cell>
          <cell r="F105">
            <v>41275</v>
          </cell>
          <cell r="I105">
            <v>1</v>
          </cell>
          <cell r="J105">
            <v>0</v>
          </cell>
          <cell r="K105">
            <v>0</v>
          </cell>
          <cell r="L105" t="str">
            <v>ok</v>
          </cell>
          <cell r="M105" t="str">
            <v>ok</v>
          </cell>
          <cell r="O105" t="str">
            <v>Non affecté</v>
          </cell>
          <cell r="P105" t="str">
            <v>FM</v>
          </cell>
          <cell r="Q105" t="str">
            <v>Ok mon client</v>
          </cell>
          <cell r="R105" t="str">
            <v>TROYES / LA CHAPELLE</v>
          </cell>
          <cell r="S105" t="str">
            <v>10</v>
          </cell>
          <cell r="T105" t="str">
            <v>RUE DES PRES DE LYON</v>
          </cell>
          <cell r="U105">
            <v>10600</v>
          </cell>
          <cell r="V105" t="str">
            <v>LA CHAPELLE ST LUC</v>
          </cell>
          <cell r="X105" t="str">
            <v>Directeur Logistique et Transports</v>
          </cell>
          <cell r="Y105" t="str">
            <v>France</v>
          </cell>
          <cell r="Z105" t="str">
            <v>10600</v>
          </cell>
          <cell r="AA105" t="str">
            <v>LA CHAPELLE ST LUC</v>
          </cell>
          <cell r="AC105">
            <v>719.46</v>
          </cell>
          <cell r="AD105">
            <v>58.54</v>
          </cell>
          <cell r="AF105">
            <v>778</v>
          </cell>
          <cell r="AI105">
            <v>360.63</v>
          </cell>
          <cell r="AJ105">
            <v>0.66153675512297927</v>
          </cell>
          <cell r="AN105">
            <v>360.63</v>
          </cell>
          <cell r="AO105">
            <v>504.88199999999995</v>
          </cell>
          <cell r="AP105">
            <v>-0.3510514138817481</v>
          </cell>
          <cell r="AQ105" t="str">
            <v>033-G-GENERAL-KG-TXP</v>
          </cell>
          <cell r="AY105">
            <v>396.69300000000004</v>
          </cell>
          <cell r="AZ105">
            <v>0</v>
          </cell>
          <cell r="BA105">
            <v>0</v>
          </cell>
        </row>
        <row r="106">
          <cell r="A106">
            <v>612135</v>
          </cell>
          <cell r="B106" t="str">
            <v>MANULOC</v>
          </cell>
          <cell r="C106">
            <v>0.1</v>
          </cell>
          <cell r="D106">
            <v>0.1</v>
          </cell>
          <cell r="E106">
            <v>0.02</v>
          </cell>
          <cell r="F106">
            <v>41275</v>
          </cell>
          <cell r="I106">
            <v>1</v>
          </cell>
          <cell r="J106">
            <v>0</v>
          </cell>
          <cell r="K106">
            <v>0</v>
          </cell>
          <cell r="L106" t="str">
            <v>ok</v>
          </cell>
          <cell r="M106" t="str">
            <v>ok</v>
          </cell>
          <cell r="O106" t="str">
            <v>Non affecté</v>
          </cell>
          <cell r="P106" t="str">
            <v>FM</v>
          </cell>
          <cell r="Q106" t="str">
            <v>Ok mon client</v>
          </cell>
          <cell r="R106" t="str">
            <v>TROYES / LA CHAPELLE</v>
          </cell>
          <cell r="S106" t="str">
            <v>57</v>
          </cell>
          <cell r="T106" t="str">
            <v>47 BIS RUE JEANNE D ARC</v>
          </cell>
          <cell r="U106">
            <v>52100</v>
          </cell>
          <cell r="V106" t="str">
            <v>ST DIZIER</v>
          </cell>
          <cell r="X106" t="str">
            <v>Directeur Logistique et Transports</v>
          </cell>
          <cell r="Y106" t="str">
            <v>France</v>
          </cell>
          <cell r="Z106" t="str">
            <v>57050</v>
          </cell>
          <cell r="AA106" t="str">
            <v>METZ</v>
          </cell>
          <cell r="AC106">
            <v>225.26</v>
          </cell>
          <cell r="AF106">
            <v>225.26</v>
          </cell>
          <cell r="AI106">
            <v>356.5</v>
          </cell>
          <cell r="AJ106">
            <v>0.81279102384291724</v>
          </cell>
          <cell r="AN106">
            <v>356.5</v>
          </cell>
          <cell r="AO106">
            <v>499.09999999999997</v>
          </cell>
          <cell r="AP106">
            <v>1.2156619018023616</v>
          </cell>
          <cell r="AQ106" t="str">
            <v>033-G-GENERAL-KG-TXP</v>
          </cell>
          <cell r="AY106">
            <v>392.15000000000003</v>
          </cell>
          <cell r="AZ106">
            <v>0</v>
          </cell>
          <cell r="BA106">
            <v>0</v>
          </cell>
        </row>
        <row r="107">
          <cell r="A107">
            <v>862975</v>
          </cell>
          <cell r="B107" t="str">
            <v>SARL  J L C 10</v>
          </cell>
          <cell r="C107">
            <v>0.72909000000000002</v>
          </cell>
          <cell r="F107">
            <v>41275</v>
          </cell>
          <cell r="H107" t="str">
            <v>Passage sur un TS +150 sans envoi de tarif</v>
          </cell>
          <cell r="I107">
            <v>1</v>
          </cell>
          <cell r="J107">
            <v>0</v>
          </cell>
          <cell r="K107">
            <v>0</v>
          </cell>
          <cell r="L107" t="str">
            <v>non</v>
          </cell>
          <cell r="M107" t="str">
            <v>OK</v>
          </cell>
          <cell r="O107" t="str">
            <v>Non affecté</v>
          </cell>
          <cell r="P107" t="str">
            <v>FM</v>
          </cell>
          <cell r="Q107" t="str">
            <v>Ok mon client</v>
          </cell>
          <cell r="R107" t="str">
            <v>TROYES / LA CHAPELLE</v>
          </cell>
          <cell r="S107" t="str">
            <v>10</v>
          </cell>
          <cell r="T107" t="str">
            <v>6 AVENUE  MOCQUERIS</v>
          </cell>
          <cell r="U107">
            <v>10000</v>
          </cell>
          <cell r="V107" t="str">
            <v>TROYES</v>
          </cell>
          <cell r="X107" t="str">
            <v>Directeur Logistique et Transports</v>
          </cell>
          <cell r="Y107" t="str">
            <v>France</v>
          </cell>
          <cell r="Z107" t="str">
            <v>10000</v>
          </cell>
          <cell r="AA107" t="str">
            <v>TROYES</v>
          </cell>
          <cell r="AC107">
            <v>89.32</v>
          </cell>
          <cell r="AF107">
            <v>89.32</v>
          </cell>
          <cell r="AI107">
            <v>346.14</v>
          </cell>
          <cell r="AJ107">
            <v>0.90997516556291391</v>
          </cell>
          <cell r="AN107">
            <v>346.14</v>
          </cell>
          <cell r="AO107">
            <v>484.59599999999995</v>
          </cell>
          <cell r="AP107">
            <v>4.4253918495297802</v>
          </cell>
          <cell r="AQ107" t="str">
            <v>033-G-GENERAL-KG</v>
          </cell>
          <cell r="AY107">
            <v>598.5072126</v>
          </cell>
          <cell r="AZ107">
            <v>0</v>
          </cell>
          <cell r="BA107">
            <v>0</v>
          </cell>
        </row>
        <row r="108">
          <cell r="A108">
            <v>485486</v>
          </cell>
          <cell r="B108" t="str">
            <v>PISCINAS MON DE PRA FRANCE SARL</v>
          </cell>
          <cell r="C108">
            <v>0.1</v>
          </cell>
          <cell r="D108">
            <v>0.1</v>
          </cell>
          <cell r="E108">
            <v>0.02</v>
          </cell>
          <cell r="F108">
            <v>41275</v>
          </cell>
          <cell r="I108">
            <v>1</v>
          </cell>
          <cell r="J108">
            <v>0</v>
          </cell>
          <cell r="K108">
            <v>0</v>
          </cell>
          <cell r="L108" t="str">
            <v>ok</v>
          </cell>
          <cell r="M108" t="str">
            <v>ok</v>
          </cell>
          <cell r="O108" t="str">
            <v>Non affecté</v>
          </cell>
          <cell r="P108" t="str">
            <v>FM</v>
          </cell>
          <cell r="Q108" t="str">
            <v>Ok mon client</v>
          </cell>
          <cell r="R108" t="str">
            <v>TROYES / LA CHAPELLE</v>
          </cell>
          <cell r="S108" t="str">
            <v>52</v>
          </cell>
          <cell r="T108" t="str">
            <v>Place aux Tilleuls</v>
          </cell>
          <cell r="U108">
            <v>52000</v>
          </cell>
          <cell r="V108" t="str">
            <v>DROYES</v>
          </cell>
          <cell r="W108" t="str">
            <v>M</v>
          </cell>
          <cell r="X108" t="str">
            <v>SIMON</v>
          </cell>
          <cell r="Y108" t="str">
            <v>France</v>
          </cell>
          <cell r="Z108" t="str">
            <v>52000</v>
          </cell>
          <cell r="AA108" t="str">
            <v>SEMOUTIERS</v>
          </cell>
          <cell r="AB108">
            <v>280</v>
          </cell>
          <cell r="AC108">
            <v>271.01</v>
          </cell>
          <cell r="AD108">
            <v>32.520000000000003</v>
          </cell>
          <cell r="AF108">
            <v>583.53</v>
          </cell>
          <cell r="AG108">
            <v>280</v>
          </cell>
          <cell r="AH108">
            <v>0.5357142857142857</v>
          </cell>
          <cell r="AI108">
            <v>57.09</v>
          </cell>
          <cell r="AJ108">
            <v>0.56454720616570331</v>
          </cell>
          <cell r="AN108">
            <v>337.09000000000003</v>
          </cell>
          <cell r="AO108">
            <v>471.92599999999999</v>
          </cell>
          <cell r="AP108">
            <v>-0.19125666203965519</v>
          </cell>
          <cell r="AQ108" t="str">
            <v>033-G-GENERAL-KG-TXP</v>
          </cell>
          <cell r="AY108">
            <v>62.799000000000007</v>
          </cell>
          <cell r="AZ108">
            <v>0</v>
          </cell>
          <cell r="BA108">
            <v>285.60000000000002</v>
          </cell>
        </row>
        <row r="109">
          <cell r="A109">
            <v>76777</v>
          </cell>
          <cell r="B109" t="str">
            <v>SEDIS</v>
          </cell>
          <cell r="C109">
            <v>1.23007</v>
          </cell>
          <cell r="F109">
            <v>41275</v>
          </cell>
          <cell r="H109" t="str">
            <v>Passage sur un TS +150 sans envoi de tarif</v>
          </cell>
          <cell r="I109">
            <v>1</v>
          </cell>
          <cell r="J109">
            <v>0</v>
          </cell>
          <cell r="K109">
            <v>0</v>
          </cell>
          <cell r="L109" t="str">
            <v>non</v>
          </cell>
          <cell r="M109" t="str">
            <v>OK</v>
          </cell>
          <cell r="O109" t="str">
            <v>Non affecté</v>
          </cell>
          <cell r="P109" t="str">
            <v>FM</v>
          </cell>
          <cell r="Q109" t="str">
            <v>Ok mon client</v>
          </cell>
          <cell r="R109" t="str">
            <v>TROYES / LA CHAPELLE</v>
          </cell>
          <cell r="S109" t="str">
            <v>10</v>
          </cell>
          <cell r="T109" t="str">
            <v>35 rue des bas trevois</v>
          </cell>
          <cell r="U109">
            <v>10000</v>
          </cell>
          <cell r="V109" t="str">
            <v>TROYES</v>
          </cell>
          <cell r="W109" t="str">
            <v>Mme</v>
          </cell>
          <cell r="X109" t="str">
            <v>DOLFUS</v>
          </cell>
          <cell r="Y109" t="str">
            <v>France</v>
          </cell>
          <cell r="Z109" t="str">
            <v>10000</v>
          </cell>
          <cell r="AA109" t="str">
            <v>TROYES</v>
          </cell>
          <cell r="AC109">
            <v>47.66</v>
          </cell>
          <cell r="AD109">
            <v>1988.4000000000003</v>
          </cell>
          <cell r="AF109">
            <v>2036.0600000000004</v>
          </cell>
          <cell r="AK109">
            <v>320.84000000000003</v>
          </cell>
          <cell r="AL109">
            <v>0.33150479990026177</v>
          </cell>
          <cell r="AN109">
            <v>320.84000000000003</v>
          </cell>
          <cell r="AO109">
            <v>449.17599999999999</v>
          </cell>
          <cell r="AP109">
            <v>-0.77938960541437874</v>
          </cell>
          <cell r="AY109">
            <v>0</v>
          </cell>
          <cell r="AZ109">
            <v>320.84000000000003</v>
          </cell>
          <cell r="BA109">
            <v>0</v>
          </cell>
        </row>
        <row r="110">
          <cell r="A110">
            <v>685609</v>
          </cell>
          <cell r="B110" t="str">
            <v>AUBE DELTA SERVICES</v>
          </cell>
          <cell r="C110">
            <v>0.1</v>
          </cell>
          <cell r="D110">
            <v>0.1</v>
          </cell>
          <cell r="E110">
            <v>0.02</v>
          </cell>
          <cell r="F110">
            <v>41275</v>
          </cell>
          <cell r="I110">
            <v>1</v>
          </cell>
          <cell r="J110">
            <v>0</v>
          </cell>
          <cell r="K110">
            <v>0</v>
          </cell>
          <cell r="L110" t="str">
            <v>ok</v>
          </cell>
          <cell r="M110" t="str">
            <v>ok</v>
          </cell>
          <cell r="O110" t="str">
            <v>Non affecté</v>
          </cell>
          <cell r="P110" t="str">
            <v>FM</v>
          </cell>
          <cell r="Q110" t="str">
            <v>Ok mon client</v>
          </cell>
          <cell r="R110" t="str">
            <v>TROYES / LA CHAPELLE</v>
          </cell>
          <cell r="S110" t="str">
            <v>10</v>
          </cell>
          <cell r="T110" t="str">
            <v>22 RUE ARISTIDE BRIAND</v>
          </cell>
          <cell r="U110">
            <v>10700</v>
          </cell>
          <cell r="V110" t="str">
            <v>ARCIS SUR AUBE</v>
          </cell>
          <cell r="X110" t="str">
            <v>Directeur Logistique et Transports</v>
          </cell>
          <cell r="Y110" t="str">
            <v>France</v>
          </cell>
          <cell r="Z110" t="str">
            <v>10700</v>
          </cell>
          <cell r="AA110" t="str">
            <v>ARCIS SUR AUBE</v>
          </cell>
          <cell r="AC110">
            <v>698.83999999999992</v>
          </cell>
          <cell r="AF110">
            <v>698.83999999999992</v>
          </cell>
          <cell r="AI110">
            <v>304.40999999999997</v>
          </cell>
          <cell r="AJ110">
            <v>0.66713201291335833</v>
          </cell>
          <cell r="AN110">
            <v>304.40999999999997</v>
          </cell>
          <cell r="AO110">
            <v>426.17399999999992</v>
          </cell>
          <cell r="AP110">
            <v>-0.39016942361627849</v>
          </cell>
          <cell r="AQ110" t="str">
            <v>033-G-GENERAL-KG-TXP</v>
          </cell>
          <cell r="AY110">
            <v>334.851</v>
          </cell>
          <cell r="AZ110">
            <v>0</v>
          </cell>
          <cell r="BA110">
            <v>0</v>
          </cell>
        </row>
        <row r="111">
          <cell r="A111">
            <v>686524</v>
          </cell>
          <cell r="B111" t="str">
            <v>BOUCHARD PASCAL</v>
          </cell>
          <cell r="C111">
            <v>0.72909999999999997</v>
          </cell>
          <cell r="F111">
            <v>41275</v>
          </cell>
          <cell r="H111" t="str">
            <v>Passage sur un TS +150 sans envoi de tarif</v>
          </cell>
          <cell r="I111">
            <v>1</v>
          </cell>
          <cell r="J111">
            <v>0</v>
          </cell>
          <cell r="K111">
            <v>0</v>
          </cell>
          <cell r="L111" t="str">
            <v>non</v>
          </cell>
          <cell r="M111" t="str">
            <v>OK</v>
          </cell>
          <cell r="O111" t="str">
            <v>Non affecté</v>
          </cell>
          <cell r="P111" t="str">
            <v>FM</v>
          </cell>
          <cell r="Q111" t="str">
            <v>Ok mon client</v>
          </cell>
          <cell r="R111" t="str">
            <v>TROYES / LA CHAPELLE</v>
          </cell>
          <cell r="S111" t="str">
            <v>89</v>
          </cell>
          <cell r="T111" t="str">
            <v>PARC DES LYS</v>
          </cell>
          <cell r="U111">
            <v>89800</v>
          </cell>
          <cell r="V111" t="str">
            <v>CHABLIS</v>
          </cell>
          <cell r="X111" t="str">
            <v>Directeur Logistique et Transports</v>
          </cell>
          <cell r="Y111" t="str">
            <v>France</v>
          </cell>
          <cell r="Z111" t="str">
            <v>89800</v>
          </cell>
          <cell r="AA111" t="str">
            <v>CHABLIS</v>
          </cell>
          <cell r="AC111">
            <v>715.56999999999994</v>
          </cell>
          <cell r="AF111">
            <v>715.56999999999994</v>
          </cell>
          <cell r="AI111">
            <v>261.33999999999997</v>
          </cell>
          <cell r="AJ111">
            <v>0.60805846789622719</v>
          </cell>
          <cell r="AN111">
            <v>261.33999999999997</v>
          </cell>
          <cell r="AO111">
            <v>365.87599999999992</v>
          </cell>
          <cell r="AP111">
            <v>-0.48869293011165926</v>
          </cell>
          <cell r="AQ111" t="str">
            <v>033-G-G-7-BO-TXP</v>
          </cell>
          <cell r="AY111">
            <v>451.88299399999994</v>
          </cell>
          <cell r="AZ111">
            <v>0</v>
          </cell>
          <cell r="BA111">
            <v>0</v>
          </cell>
        </row>
        <row r="112">
          <cell r="A112">
            <v>641931</v>
          </cell>
          <cell r="B112" t="str">
            <v>DYBIEC O.B.S.</v>
          </cell>
          <cell r="H112" t="str">
            <v>compte HS</v>
          </cell>
          <cell r="I112">
            <v>1</v>
          </cell>
          <cell r="J112">
            <v>0</v>
          </cell>
          <cell r="K112">
            <v>0</v>
          </cell>
          <cell r="L112" t="str">
            <v>non</v>
          </cell>
          <cell r="M112" t="str">
            <v>NON</v>
          </cell>
          <cell r="O112" t="str">
            <v>Non affecté</v>
          </cell>
          <cell r="P112" t="str">
            <v>FM</v>
          </cell>
          <cell r="Q112" t="str">
            <v>Ok mon client</v>
          </cell>
          <cell r="R112" t="str">
            <v>TROYES / LA CHAPELLE</v>
          </cell>
          <cell r="S112" t="str">
            <v>10</v>
          </cell>
          <cell r="T112" t="str">
            <v>ZONE ARTISANLE</v>
          </cell>
          <cell r="U112">
            <v>10450</v>
          </cell>
          <cell r="V112" t="str">
            <v>BREVIANDES</v>
          </cell>
          <cell r="X112" t="str">
            <v>Directeur Logistique et Transports</v>
          </cell>
          <cell r="Y112" t="str">
            <v>France</v>
          </cell>
          <cell r="Z112" t="str">
            <v>10450</v>
          </cell>
          <cell r="AA112" t="str">
            <v>BREVIANDES</v>
          </cell>
          <cell r="AG112">
            <v>260</v>
          </cell>
          <cell r="AH112">
            <v>0.23076923076923078</v>
          </cell>
          <cell r="AN112">
            <v>260</v>
          </cell>
          <cell r="AO112">
            <v>364</v>
          </cell>
          <cell r="AY112">
            <v>0</v>
          </cell>
          <cell r="AZ112">
            <v>0</v>
          </cell>
          <cell r="BA112">
            <v>260</v>
          </cell>
        </row>
        <row r="113">
          <cell r="A113">
            <v>862742</v>
          </cell>
          <cell r="B113" t="str">
            <v>SPRAY GUN IMPORT</v>
          </cell>
          <cell r="C113">
            <v>0.1</v>
          </cell>
          <cell r="D113">
            <v>0.1</v>
          </cell>
          <cell r="E113">
            <v>0.02</v>
          </cell>
          <cell r="F113">
            <v>41275</v>
          </cell>
          <cell r="H113" t="str">
            <v>Passage sur un TS plein</v>
          </cell>
          <cell r="I113">
            <v>1</v>
          </cell>
          <cell r="J113" t="str">
            <v>A faire</v>
          </cell>
          <cell r="K113">
            <v>0</v>
          </cell>
          <cell r="M113" t="str">
            <v>OK</v>
          </cell>
          <cell r="O113" t="str">
            <v>Non affecté</v>
          </cell>
          <cell r="P113" t="str">
            <v>FM</v>
          </cell>
          <cell r="Q113" t="str">
            <v>Ok mon client</v>
          </cell>
          <cell r="R113" t="str">
            <v>TROYES / LA CHAPELLE</v>
          </cell>
          <cell r="S113" t="str">
            <v>10</v>
          </cell>
          <cell r="T113" t="str">
            <v>11 RUE DES PRES DE LYON</v>
          </cell>
          <cell r="U113">
            <v>10600</v>
          </cell>
          <cell r="V113" t="str">
            <v>LA CHAPELLE ST LUC</v>
          </cell>
          <cell r="X113" t="str">
            <v>Directeur Logistique et Transports</v>
          </cell>
          <cell r="Y113" t="str">
            <v>France</v>
          </cell>
          <cell r="Z113" t="str">
            <v>10602</v>
          </cell>
          <cell r="AA113" t="str">
            <v>LA CHAPELLE ST LUC</v>
          </cell>
          <cell r="AB113">
            <v>360</v>
          </cell>
          <cell r="AF113">
            <v>360</v>
          </cell>
          <cell r="AG113">
            <v>250</v>
          </cell>
          <cell r="AH113">
            <v>0.2</v>
          </cell>
          <cell r="AN113">
            <v>250</v>
          </cell>
          <cell r="AO113">
            <v>350</v>
          </cell>
          <cell r="AP113">
            <v>-2.777777777777779E-2</v>
          </cell>
          <cell r="AQ113" t="str">
            <v>033-G-10SPRAYGUN</v>
          </cell>
          <cell r="AY113">
            <v>0</v>
          </cell>
          <cell r="AZ113">
            <v>0</v>
          </cell>
          <cell r="BA113">
            <v>255</v>
          </cell>
        </row>
        <row r="114">
          <cell r="A114">
            <v>510557</v>
          </cell>
          <cell r="B114" t="str">
            <v>PLANCY MECA S A</v>
          </cell>
          <cell r="C114">
            <v>0.1</v>
          </cell>
          <cell r="D114">
            <v>0.1</v>
          </cell>
          <cell r="E114">
            <v>0.02</v>
          </cell>
          <cell r="F114">
            <v>41275</v>
          </cell>
          <cell r="I114">
            <v>1</v>
          </cell>
          <cell r="J114">
            <v>0</v>
          </cell>
          <cell r="K114">
            <v>0</v>
          </cell>
          <cell r="L114" t="str">
            <v>ok</v>
          </cell>
          <cell r="M114" t="str">
            <v>ok</v>
          </cell>
          <cell r="O114" t="str">
            <v>Non affecté</v>
          </cell>
          <cell r="P114" t="str">
            <v>FM</v>
          </cell>
          <cell r="Q114" t="str">
            <v>Ok mon client</v>
          </cell>
          <cell r="R114" t="str">
            <v>TROYES / LA CHAPELLE</v>
          </cell>
          <cell r="S114" t="str">
            <v>10</v>
          </cell>
          <cell r="T114" t="str">
            <v>ZI 3 RTE DE CHAMPFLEURY</v>
          </cell>
          <cell r="U114">
            <v>10380</v>
          </cell>
          <cell r="V114" t="str">
            <v>PLANCY L ABBAYE</v>
          </cell>
          <cell r="X114" t="str">
            <v>Directeur Logistique et Transports</v>
          </cell>
          <cell r="Y114" t="str">
            <v>France</v>
          </cell>
          <cell r="Z114" t="str">
            <v>10380</v>
          </cell>
          <cell r="AA114" t="str">
            <v>PLANCY L ABBAYE</v>
          </cell>
          <cell r="AC114">
            <v>1237.5</v>
          </cell>
          <cell r="AF114">
            <v>1237.5</v>
          </cell>
          <cell r="AI114">
            <v>248.04000000000002</v>
          </cell>
          <cell r="AJ114">
            <v>0.4704886308659893</v>
          </cell>
          <cell r="AN114">
            <v>248.04000000000002</v>
          </cell>
          <cell r="AO114">
            <v>347.25600000000003</v>
          </cell>
          <cell r="AP114">
            <v>-0.71938909090909087</v>
          </cell>
          <cell r="AQ114" t="str">
            <v>033-G-GENERAL-KG-TXP</v>
          </cell>
          <cell r="AY114">
            <v>272.84400000000005</v>
          </cell>
          <cell r="AZ114">
            <v>0</v>
          </cell>
          <cell r="BA114">
            <v>0</v>
          </cell>
        </row>
        <row r="115">
          <cell r="A115">
            <v>632341</v>
          </cell>
          <cell r="B115" t="str">
            <v>MOTO MECA SCOOT</v>
          </cell>
          <cell r="C115">
            <v>0.1</v>
          </cell>
          <cell r="D115">
            <v>0.1</v>
          </cell>
          <cell r="E115">
            <v>0.02</v>
          </cell>
          <cell r="F115">
            <v>41275</v>
          </cell>
          <cell r="I115">
            <v>1</v>
          </cell>
          <cell r="J115">
            <v>0</v>
          </cell>
          <cell r="K115">
            <v>0</v>
          </cell>
          <cell r="L115" t="str">
            <v>ok</v>
          </cell>
          <cell r="M115" t="str">
            <v>ok</v>
          </cell>
          <cell r="O115" t="str">
            <v>Non affecté</v>
          </cell>
          <cell r="P115" t="str">
            <v>FM</v>
          </cell>
          <cell r="Q115" t="str">
            <v>Ok mon client</v>
          </cell>
          <cell r="R115" t="str">
            <v>TROYES / LA CHAPELLE</v>
          </cell>
          <cell r="S115" t="str">
            <v>89</v>
          </cell>
          <cell r="T115" t="str">
            <v>40 AVENUE DU GENERAL LECLERC</v>
          </cell>
          <cell r="U115">
            <v>89140</v>
          </cell>
          <cell r="V115" t="str">
            <v>PONT SUR YONNE</v>
          </cell>
          <cell r="X115" t="str">
            <v>Directeur Logistique et Transports</v>
          </cell>
          <cell r="Y115" t="str">
            <v>France</v>
          </cell>
          <cell r="Z115" t="str">
            <v>89140</v>
          </cell>
          <cell r="AA115" t="str">
            <v>PONT SUR YONNE</v>
          </cell>
          <cell r="AC115">
            <v>716.55</v>
          </cell>
          <cell r="AF115">
            <v>716.55</v>
          </cell>
          <cell r="AI115">
            <v>234.48999999999998</v>
          </cell>
          <cell r="AJ115">
            <v>0.63277751716491104</v>
          </cell>
          <cell r="AN115">
            <v>234.48999999999998</v>
          </cell>
          <cell r="AO115">
            <v>328.28599999999994</v>
          </cell>
          <cell r="AP115">
            <v>-0.54185192938385329</v>
          </cell>
          <cell r="AQ115" t="str">
            <v>033-G-GENERAL-KG-TXP</v>
          </cell>
          <cell r="AY115">
            <v>257.93900000000002</v>
          </cell>
          <cell r="AZ115">
            <v>0</v>
          </cell>
          <cell r="BA115">
            <v>0</v>
          </cell>
        </row>
        <row r="116">
          <cell r="A116">
            <v>385764</v>
          </cell>
          <cell r="B116" t="str">
            <v>COURTOIS MACHINES-OUTILS</v>
          </cell>
          <cell r="C116">
            <v>0.1</v>
          </cell>
          <cell r="D116">
            <v>0.1</v>
          </cell>
          <cell r="E116">
            <v>0.02</v>
          </cell>
          <cell r="F116">
            <v>41275</v>
          </cell>
          <cell r="I116">
            <v>1</v>
          </cell>
          <cell r="J116">
            <v>0</v>
          </cell>
          <cell r="K116">
            <v>0</v>
          </cell>
          <cell r="L116" t="str">
            <v>ok</v>
          </cell>
          <cell r="M116" t="str">
            <v>ok</v>
          </cell>
          <cell r="O116" t="str">
            <v>Non affecté</v>
          </cell>
          <cell r="P116" t="str">
            <v>FM</v>
          </cell>
          <cell r="Q116" t="str">
            <v>Ok mon client</v>
          </cell>
          <cell r="R116" t="str">
            <v>TROYES / LA CHAPELLE</v>
          </cell>
          <cell r="S116" t="str">
            <v>89</v>
          </cell>
          <cell r="T116" t="str">
            <v>Lottissement les Sublaines</v>
          </cell>
          <cell r="U116">
            <v>89100</v>
          </cell>
          <cell r="V116" t="str">
            <v>COURTOIS SUR YONNE</v>
          </cell>
          <cell r="W116" t="str">
            <v>M</v>
          </cell>
          <cell r="X116" t="str">
            <v>COURTOIS</v>
          </cell>
          <cell r="Y116" t="str">
            <v>France</v>
          </cell>
          <cell r="Z116" t="str">
            <v>89100</v>
          </cell>
          <cell r="AA116" t="str">
            <v>COURTOIS SUR YONNE</v>
          </cell>
          <cell r="AB116">
            <v>204.63</v>
          </cell>
          <cell r="AC116">
            <v>1140.2399999999998</v>
          </cell>
          <cell r="AF116">
            <v>1344.87</v>
          </cell>
          <cell r="AI116">
            <v>219.4</v>
          </cell>
          <cell r="AJ116">
            <v>0.74024612579762983</v>
          </cell>
          <cell r="AN116">
            <v>219.4</v>
          </cell>
          <cell r="AO116">
            <v>307.15999999999997</v>
          </cell>
          <cell r="AP116">
            <v>-0.77160617754875938</v>
          </cell>
          <cell r="AQ116" t="str">
            <v>033-G-GENERAL-KG-TXP</v>
          </cell>
          <cell r="AY116">
            <v>241.34000000000003</v>
          </cell>
          <cell r="AZ116">
            <v>0</v>
          </cell>
          <cell r="BA116">
            <v>0</v>
          </cell>
        </row>
        <row r="117">
          <cell r="A117">
            <v>545023</v>
          </cell>
          <cell r="B117" t="str">
            <v>AUTOMOTIVE LIGHTING REAR LAMPS FRAN</v>
          </cell>
          <cell r="C117">
            <v>0.1</v>
          </cell>
          <cell r="F117">
            <v>41275</v>
          </cell>
          <cell r="H117" t="str">
            <v>Passage sur un TS +150 sans envoi de tarif</v>
          </cell>
          <cell r="I117">
            <v>1</v>
          </cell>
          <cell r="J117">
            <v>0</v>
          </cell>
          <cell r="K117">
            <v>0</v>
          </cell>
          <cell r="L117" t="str">
            <v>non</v>
          </cell>
          <cell r="M117" t="str">
            <v>OK</v>
          </cell>
          <cell r="O117" t="str">
            <v>Non affecté</v>
          </cell>
          <cell r="P117" t="str">
            <v>FM</v>
          </cell>
          <cell r="Q117" t="str">
            <v>Ok mon client</v>
          </cell>
          <cell r="R117" t="str">
            <v>TROYES / LA CHAPELLE</v>
          </cell>
          <cell r="S117" t="str">
            <v>89</v>
          </cell>
          <cell r="T117" t="str">
            <v>Z I DES MANTEAUX</v>
          </cell>
          <cell r="U117">
            <v>89330</v>
          </cell>
          <cell r="V117" t="str">
            <v>ST JULIEN DU SAULT</v>
          </cell>
          <cell r="X117" t="str">
            <v>Directeur Logistique et Transports</v>
          </cell>
          <cell r="Y117" t="str">
            <v>France</v>
          </cell>
          <cell r="Z117" t="str">
            <v>89330</v>
          </cell>
          <cell r="AA117" t="str">
            <v>ST JULIEN DU SAULT</v>
          </cell>
          <cell r="AC117">
            <v>454.41</v>
          </cell>
          <cell r="AF117">
            <v>454.41</v>
          </cell>
          <cell r="AI117">
            <v>194.72</v>
          </cell>
          <cell r="AJ117">
            <v>0.32576123731271145</v>
          </cell>
          <cell r="AN117">
            <v>194.72</v>
          </cell>
          <cell r="AO117">
            <v>272.608</v>
          </cell>
          <cell r="AP117">
            <v>-0.4000836249202262</v>
          </cell>
          <cell r="AQ117" t="str">
            <v>033-G-89AUTOMOTIVELIGHTGROS</v>
          </cell>
          <cell r="AY117">
            <v>214.19200000000001</v>
          </cell>
          <cell r="AZ117">
            <v>0</v>
          </cell>
          <cell r="BA117">
            <v>0</v>
          </cell>
        </row>
        <row r="118">
          <cell r="A118">
            <v>840970</v>
          </cell>
          <cell r="B118" t="str">
            <v>IMANY SAS</v>
          </cell>
          <cell r="C118">
            <v>0.1</v>
          </cell>
          <cell r="F118">
            <v>41275</v>
          </cell>
          <cell r="H118" t="str">
            <v>Passage sur un TS +150 sans envoi de tarif</v>
          </cell>
          <cell r="I118">
            <v>1</v>
          </cell>
          <cell r="J118">
            <v>0</v>
          </cell>
          <cell r="K118">
            <v>0</v>
          </cell>
          <cell r="L118" t="str">
            <v>non</v>
          </cell>
          <cell r="M118" t="str">
            <v>OK</v>
          </cell>
          <cell r="O118" t="str">
            <v>Non affecté</v>
          </cell>
          <cell r="P118" t="str">
            <v>FM</v>
          </cell>
          <cell r="Q118" t="str">
            <v>Ok mon client</v>
          </cell>
          <cell r="R118" t="str">
            <v>TROYES / LA CHAPELLE</v>
          </cell>
          <cell r="S118" t="str">
            <v>52</v>
          </cell>
          <cell r="T118" t="str">
            <v>RUE DU LIEUTENANT DIDIER</v>
          </cell>
          <cell r="U118">
            <v>52200</v>
          </cell>
          <cell r="V118" t="str">
            <v>STS GEOSMES</v>
          </cell>
          <cell r="X118" t="str">
            <v>Directeur Logistique et Transports</v>
          </cell>
          <cell r="Y118" t="str">
            <v>France</v>
          </cell>
          <cell r="Z118" t="str">
            <v>52200</v>
          </cell>
          <cell r="AA118" t="str">
            <v>SAINTS GEOSMES</v>
          </cell>
          <cell r="AD118">
            <v>26.55</v>
          </cell>
          <cell r="AF118">
            <v>26.55</v>
          </cell>
          <cell r="AI118">
            <v>117.37</v>
          </cell>
          <cell r="AK118">
            <v>54.239999999999995</v>
          </cell>
          <cell r="AN118">
            <v>171.61</v>
          </cell>
          <cell r="AO118">
            <v>240.25399999999999</v>
          </cell>
          <cell r="AP118">
            <v>8.049114877589453</v>
          </cell>
          <cell r="AY118">
            <v>129.10700000000003</v>
          </cell>
          <cell r="AZ118">
            <v>54.239999999999995</v>
          </cell>
          <cell r="BA118">
            <v>0</v>
          </cell>
        </row>
        <row r="119">
          <cell r="A119">
            <v>489663</v>
          </cell>
          <cell r="B119" t="str">
            <v>LANDANGER</v>
          </cell>
          <cell r="C119">
            <v>0.1</v>
          </cell>
          <cell r="D119">
            <v>0.1</v>
          </cell>
          <cell r="E119">
            <v>0.02</v>
          </cell>
          <cell r="F119">
            <v>41275</v>
          </cell>
          <cell r="H119" t="str">
            <v>Passage sur un TS plein</v>
          </cell>
          <cell r="I119">
            <v>1</v>
          </cell>
          <cell r="J119">
            <v>0</v>
          </cell>
          <cell r="K119">
            <v>0</v>
          </cell>
          <cell r="L119" t="str">
            <v>ok</v>
          </cell>
          <cell r="M119" t="str">
            <v>ok</v>
          </cell>
          <cell r="O119" t="str">
            <v>Non affecté</v>
          </cell>
          <cell r="P119" t="str">
            <v>FM</v>
          </cell>
          <cell r="Q119" t="str">
            <v>Ok mon client</v>
          </cell>
          <cell r="R119" t="str">
            <v>TROYES / LA CHAPELLE</v>
          </cell>
          <cell r="S119" t="str">
            <v>52</v>
          </cell>
          <cell r="T119" t="str">
            <v>9bd, Lattre de Tassigny</v>
          </cell>
          <cell r="U119">
            <v>52000</v>
          </cell>
          <cell r="V119" t="str">
            <v>CHAUMONT</v>
          </cell>
          <cell r="W119" t="str">
            <v>M</v>
          </cell>
          <cell r="X119" t="str">
            <v>SANCHEZ</v>
          </cell>
          <cell r="Y119" t="str">
            <v>France</v>
          </cell>
          <cell r="Z119" t="str">
            <v>52000</v>
          </cell>
          <cell r="AA119" t="str">
            <v>CHAUMONT</v>
          </cell>
          <cell r="AC119">
            <v>848.96</v>
          </cell>
          <cell r="AD119">
            <v>231.23000000000002</v>
          </cell>
          <cell r="AF119">
            <v>1080.19</v>
          </cell>
          <cell r="AI119">
            <v>139.02999999999997</v>
          </cell>
          <cell r="AJ119">
            <v>0.61022800834352298</v>
          </cell>
          <cell r="AN119">
            <v>139.02999999999997</v>
          </cell>
          <cell r="AO119">
            <v>194.64199999999994</v>
          </cell>
          <cell r="AP119">
            <v>-0.81980762643609006</v>
          </cell>
          <cell r="AQ119" t="str">
            <v>033-G-GENERAL-KG-TXP</v>
          </cell>
          <cell r="AY119">
            <v>152.93299999999999</v>
          </cell>
          <cell r="AZ119">
            <v>0</v>
          </cell>
          <cell r="BA119">
            <v>0</v>
          </cell>
        </row>
        <row r="120">
          <cell r="A120">
            <v>869515</v>
          </cell>
          <cell r="B120" t="str">
            <v>AUBE ACIER ASSOCIES</v>
          </cell>
          <cell r="H120" t="str">
            <v>compte HS</v>
          </cell>
          <cell r="I120">
            <v>1</v>
          </cell>
          <cell r="J120">
            <v>0</v>
          </cell>
          <cell r="K120">
            <v>0</v>
          </cell>
          <cell r="L120" t="str">
            <v>non</v>
          </cell>
          <cell r="M120" t="str">
            <v>NON</v>
          </cell>
          <cell r="O120" t="str">
            <v>Non affecté</v>
          </cell>
          <cell r="P120" t="str">
            <v>FM</v>
          </cell>
          <cell r="Q120" t="str">
            <v>Ok mon client</v>
          </cell>
          <cell r="R120" t="str">
            <v>TROYES / LA CHAPELLE</v>
          </cell>
          <cell r="S120" t="str">
            <v>10</v>
          </cell>
          <cell r="T120" t="str">
            <v>5 IMPASSE ALEXANDRE YERSIN</v>
          </cell>
          <cell r="U120">
            <v>10450</v>
          </cell>
          <cell r="V120" t="str">
            <v>BREVIANDES</v>
          </cell>
          <cell r="W120" t="str">
            <v>M</v>
          </cell>
          <cell r="X120" t="str">
            <v>GENEVIER</v>
          </cell>
          <cell r="Y120" t="str">
            <v>France</v>
          </cell>
          <cell r="Z120" t="str">
            <v>10450</v>
          </cell>
          <cell r="AA120" t="str">
            <v>BREVIANDES</v>
          </cell>
          <cell r="AG120">
            <v>137</v>
          </cell>
          <cell r="AH120">
            <v>0.12408759124087591</v>
          </cell>
          <cell r="AN120">
            <v>137</v>
          </cell>
          <cell r="AO120">
            <v>191.79999999999998</v>
          </cell>
          <cell r="AQ120" t="str">
            <v>033-G-10AUBEACIERASSOCI</v>
          </cell>
          <cell r="AS120">
            <v>40963</v>
          </cell>
          <cell r="AY120">
            <v>0</v>
          </cell>
          <cell r="AZ120">
            <v>0</v>
          </cell>
          <cell r="BA120">
            <v>137</v>
          </cell>
        </row>
        <row r="121">
          <cell r="A121">
            <v>601488</v>
          </cell>
          <cell r="B121" t="str">
            <v>FILATURE DU PARC</v>
          </cell>
          <cell r="H121" t="str">
            <v>compte HS</v>
          </cell>
          <cell r="I121">
            <v>1</v>
          </cell>
          <cell r="J121">
            <v>0</v>
          </cell>
          <cell r="K121">
            <v>0</v>
          </cell>
          <cell r="L121" t="str">
            <v>non</v>
          </cell>
          <cell r="M121" t="str">
            <v>NON</v>
          </cell>
          <cell r="O121" t="str">
            <v>Non affecté</v>
          </cell>
          <cell r="P121" t="str">
            <v>FM</v>
          </cell>
          <cell r="Q121" t="str">
            <v>Ok mon client</v>
          </cell>
          <cell r="R121" t="str">
            <v>TROYES / LA CHAPELLE</v>
          </cell>
          <cell r="S121" t="str">
            <v>81</v>
          </cell>
          <cell r="T121" t="str">
            <v>ROUTE DE SARRAZY</v>
          </cell>
          <cell r="U121" t="str">
            <v>81260</v>
          </cell>
          <cell r="V121" t="str">
            <v>BRASSAC</v>
          </cell>
          <cell r="X121" t="str">
            <v>Directeur Logistique et Transports</v>
          </cell>
          <cell r="Y121" t="str">
            <v>France</v>
          </cell>
          <cell r="Z121" t="str">
            <v>81260</v>
          </cell>
          <cell r="AA121" t="str">
            <v>BRASSAC</v>
          </cell>
          <cell r="AI121">
            <v>135.64000000000001</v>
          </cell>
          <cell r="AJ121">
            <v>0.30278678855794749</v>
          </cell>
          <cell r="AN121">
            <v>135.64000000000001</v>
          </cell>
          <cell r="AO121">
            <v>189.89600000000002</v>
          </cell>
          <cell r="AY121">
            <v>135.64000000000001</v>
          </cell>
          <cell r="AZ121">
            <v>0</v>
          </cell>
          <cell r="BA121">
            <v>0</v>
          </cell>
        </row>
        <row r="122">
          <cell r="A122">
            <v>812569</v>
          </cell>
          <cell r="B122" t="str">
            <v>AVK HAUT MARNAISE</v>
          </cell>
          <cell r="C122">
            <v>0.1</v>
          </cell>
          <cell r="D122">
            <v>0.1</v>
          </cell>
          <cell r="E122">
            <v>0.02</v>
          </cell>
          <cell r="F122">
            <v>41275</v>
          </cell>
          <cell r="I122">
            <v>1</v>
          </cell>
          <cell r="J122">
            <v>0</v>
          </cell>
          <cell r="K122">
            <v>0</v>
          </cell>
          <cell r="L122" t="str">
            <v>ok</v>
          </cell>
          <cell r="M122" t="str">
            <v>ok</v>
          </cell>
          <cell r="O122" t="str">
            <v>Non affecté</v>
          </cell>
          <cell r="P122" t="str">
            <v>FM</v>
          </cell>
          <cell r="Q122" t="str">
            <v>Ok mon client</v>
          </cell>
          <cell r="R122" t="str">
            <v>TROYES / LA CHAPELLE</v>
          </cell>
          <cell r="S122" t="str">
            <v>52</v>
          </cell>
          <cell r="T122" t="str">
            <v>5 RUE MAUCLERE</v>
          </cell>
          <cell r="U122">
            <v>52300</v>
          </cell>
          <cell r="V122" t="str">
            <v>JOINVILLE</v>
          </cell>
          <cell r="X122" t="str">
            <v>Directeur Logistique et Transports</v>
          </cell>
          <cell r="Y122" t="str">
            <v>France</v>
          </cell>
          <cell r="Z122" t="str">
            <v>52300</v>
          </cell>
          <cell r="AA122" t="str">
            <v>JOINVILLE</v>
          </cell>
          <cell r="AC122">
            <v>1057.7</v>
          </cell>
          <cell r="AD122">
            <v>55.9</v>
          </cell>
          <cell r="AF122">
            <v>1113.6000000000001</v>
          </cell>
          <cell r="AI122">
            <v>132.23000000000002</v>
          </cell>
          <cell r="AJ122">
            <v>0.68131286394917945</v>
          </cell>
          <cell r="AN122">
            <v>132.23000000000002</v>
          </cell>
          <cell r="AO122">
            <v>185.12200000000001</v>
          </cell>
          <cell r="AP122">
            <v>-0.83376257183908042</v>
          </cell>
          <cell r="AQ122" t="str">
            <v>033-G-GENERAL-KG-TXP</v>
          </cell>
          <cell r="AY122">
            <v>145.45300000000003</v>
          </cell>
          <cell r="AZ122">
            <v>0</v>
          </cell>
          <cell r="BA122">
            <v>0</v>
          </cell>
        </row>
        <row r="123">
          <cell r="A123">
            <v>63717</v>
          </cell>
          <cell r="B123" t="str">
            <v>JAILLANT</v>
          </cell>
          <cell r="C123">
            <v>0.1</v>
          </cell>
          <cell r="D123">
            <v>0.1</v>
          </cell>
          <cell r="E123">
            <v>0.02</v>
          </cell>
          <cell r="F123">
            <v>41275</v>
          </cell>
          <cell r="I123">
            <v>1</v>
          </cell>
          <cell r="J123">
            <v>0</v>
          </cell>
          <cell r="K123">
            <v>0</v>
          </cell>
          <cell r="L123" t="str">
            <v>ok</v>
          </cell>
          <cell r="M123" t="str">
            <v>ok</v>
          </cell>
          <cell r="O123" t="str">
            <v>Non affecté</v>
          </cell>
          <cell r="P123" t="str">
            <v>FM</v>
          </cell>
          <cell r="Q123" t="str">
            <v>Ok mon client</v>
          </cell>
          <cell r="R123" t="str">
            <v>TROYES / LA CHAPELLE</v>
          </cell>
          <cell r="S123" t="str">
            <v>10</v>
          </cell>
          <cell r="T123" t="str">
            <v>60 RUE GEORGES CLEMENCEAU</v>
          </cell>
          <cell r="U123">
            <v>10000</v>
          </cell>
          <cell r="V123" t="str">
            <v>TROYES</v>
          </cell>
          <cell r="X123" t="str">
            <v>Directeur Logistique et Transports</v>
          </cell>
          <cell r="Y123" t="str">
            <v>France</v>
          </cell>
          <cell r="Z123" t="str">
            <v>10000</v>
          </cell>
          <cell r="AA123" t="str">
            <v>TROYES</v>
          </cell>
          <cell r="AC123">
            <v>182.8</v>
          </cell>
          <cell r="AD123">
            <v>381.87</v>
          </cell>
          <cell r="AF123">
            <v>564.67000000000007</v>
          </cell>
          <cell r="AI123">
            <v>80</v>
          </cell>
          <cell r="AJ123">
            <v>0.75524999999999998</v>
          </cell>
          <cell r="AN123">
            <v>80</v>
          </cell>
          <cell r="AO123">
            <v>112</v>
          </cell>
          <cell r="AP123">
            <v>-0.80165406343528078</v>
          </cell>
          <cell r="AQ123" t="str">
            <v>033-G-GENERAL-KG-TXP</v>
          </cell>
          <cell r="AY123">
            <v>88</v>
          </cell>
          <cell r="AZ123">
            <v>0</v>
          </cell>
          <cell r="BA123">
            <v>0</v>
          </cell>
        </row>
        <row r="124">
          <cell r="A124">
            <v>615333</v>
          </cell>
          <cell r="B124" t="str">
            <v>ISECO</v>
          </cell>
          <cell r="C124">
            <v>0.1</v>
          </cell>
          <cell r="D124">
            <v>0.1</v>
          </cell>
          <cell r="E124">
            <v>0.02</v>
          </cell>
          <cell r="F124">
            <v>41275</v>
          </cell>
          <cell r="I124">
            <v>1</v>
          </cell>
          <cell r="J124">
            <v>0</v>
          </cell>
          <cell r="K124">
            <v>0</v>
          </cell>
          <cell r="L124" t="str">
            <v>ok</v>
          </cell>
          <cell r="M124" t="str">
            <v>ok</v>
          </cell>
          <cell r="O124" t="str">
            <v>Non affecté</v>
          </cell>
          <cell r="P124" t="str">
            <v>FM</v>
          </cell>
          <cell r="Q124" t="str">
            <v>Ok mon client</v>
          </cell>
          <cell r="R124" t="str">
            <v>TROYES / LA CHAPELLE</v>
          </cell>
          <cell r="S124" t="str">
            <v>10</v>
          </cell>
          <cell r="T124" t="str">
            <v>63 route de Chamoy</v>
          </cell>
          <cell r="U124">
            <v>10130</v>
          </cell>
          <cell r="V124" t="str">
            <v>SAINT PHAL</v>
          </cell>
          <cell r="W124" t="str">
            <v>Madame</v>
          </cell>
          <cell r="X124" t="str">
            <v>Anne CF</v>
          </cell>
          <cell r="Y124" t="str">
            <v>France</v>
          </cell>
          <cell r="Z124" t="str">
            <v>10130</v>
          </cell>
          <cell r="AA124" t="str">
            <v>SAINT PHAL</v>
          </cell>
          <cell r="AK124">
            <v>75.09</v>
          </cell>
          <cell r="AL124">
            <v>0.76801171927020906</v>
          </cell>
          <cell r="AN124">
            <v>75.09</v>
          </cell>
          <cell r="AO124">
            <v>105.126</v>
          </cell>
          <cell r="AQ124" t="str">
            <v>033-G-GENERAL-KG-TXP</v>
          </cell>
          <cell r="AY124">
            <v>0</v>
          </cell>
          <cell r="AZ124">
            <v>82.599000000000004</v>
          </cell>
          <cell r="BA124">
            <v>0</v>
          </cell>
        </row>
        <row r="125">
          <cell r="A125">
            <v>436757</v>
          </cell>
          <cell r="B125" t="str">
            <v>DEDOME SARL</v>
          </cell>
          <cell r="C125">
            <v>0.1</v>
          </cell>
          <cell r="D125">
            <v>0.1</v>
          </cell>
          <cell r="E125">
            <v>0.02</v>
          </cell>
          <cell r="F125">
            <v>41275</v>
          </cell>
          <cell r="I125">
            <v>1</v>
          </cell>
          <cell r="J125">
            <v>0</v>
          </cell>
          <cell r="K125">
            <v>0</v>
          </cell>
          <cell r="L125" t="str">
            <v>ok</v>
          </cell>
          <cell r="M125" t="str">
            <v>ok</v>
          </cell>
          <cell r="O125" t="str">
            <v>Non affecté</v>
          </cell>
          <cell r="P125" t="str">
            <v>FM</v>
          </cell>
          <cell r="Q125" t="str">
            <v>Ok mon client</v>
          </cell>
          <cell r="R125" t="str">
            <v>TROYES / LA CHAPELLE</v>
          </cell>
          <cell r="S125" t="str">
            <v>52</v>
          </cell>
          <cell r="T125" t="str">
            <v>RUE DE LA PARCHEMINERIE</v>
          </cell>
          <cell r="U125">
            <v>52200</v>
          </cell>
          <cell r="V125" t="str">
            <v>LANGRES</v>
          </cell>
          <cell r="X125" t="str">
            <v>Directeur Logistique et Transports</v>
          </cell>
          <cell r="Y125" t="str">
            <v>France</v>
          </cell>
          <cell r="Z125" t="str">
            <v>52200</v>
          </cell>
          <cell r="AA125" t="str">
            <v>LANGRES</v>
          </cell>
          <cell r="AD125">
            <v>66.040000000000006</v>
          </cell>
          <cell r="AF125">
            <v>66.040000000000006</v>
          </cell>
          <cell r="AK125">
            <v>65.75</v>
          </cell>
          <cell r="AL125">
            <v>0.79406844106463881</v>
          </cell>
          <cell r="AN125">
            <v>65.75</v>
          </cell>
          <cell r="AO125">
            <v>92.05</v>
          </cell>
          <cell r="AP125">
            <v>0.39385221078134447</v>
          </cell>
          <cell r="AQ125" t="str">
            <v>033-G-GENERAL-KG-TXP</v>
          </cell>
          <cell r="AY125">
            <v>0</v>
          </cell>
          <cell r="AZ125">
            <v>72.325000000000003</v>
          </cell>
          <cell r="BA125">
            <v>0</v>
          </cell>
        </row>
        <row r="126">
          <cell r="A126">
            <v>47866</v>
          </cell>
          <cell r="B126" t="str">
            <v>ETIENNE</v>
          </cell>
          <cell r="C126">
            <v>0.1</v>
          </cell>
          <cell r="D126">
            <v>0.1</v>
          </cell>
          <cell r="E126">
            <v>0.02</v>
          </cell>
          <cell r="F126">
            <v>41275</v>
          </cell>
          <cell r="I126">
            <v>1</v>
          </cell>
          <cell r="J126">
            <v>0</v>
          </cell>
          <cell r="K126">
            <v>0</v>
          </cell>
          <cell r="L126" t="str">
            <v>ok</v>
          </cell>
          <cell r="M126" t="str">
            <v>ok</v>
          </cell>
          <cell r="O126" t="str">
            <v>Non affecté</v>
          </cell>
          <cell r="P126" t="str">
            <v>FM</v>
          </cell>
          <cell r="Q126" t="str">
            <v>Ok mon client</v>
          </cell>
          <cell r="R126" t="str">
            <v>TROYES / LA CHAPELLE</v>
          </cell>
          <cell r="S126" t="str">
            <v>10</v>
          </cell>
          <cell r="T126" t="str">
            <v>1 rue des greves Courtavant</v>
          </cell>
          <cell r="U126">
            <v>10400</v>
          </cell>
          <cell r="V126" t="str">
            <v>BARBUISE</v>
          </cell>
          <cell r="W126" t="str">
            <v>M</v>
          </cell>
          <cell r="X126" t="str">
            <v>ETIENNE</v>
          </cell>
          <cell r="Y126" t="str">
            <v>France</v>
          </cell>
          <cell r="Z126" t="str">
            <v>10400</v>
          </cell>
          <cell r="AA126" t="str">
            <v>BARBUISE</v>
          </cell>
          <cell r="AC126">
            <v>74.89</v>
          </cell>
          <cell r="AF126">
            <v>74.89</v>
          </cell>
          <cell r="AI126">
            <v>65.31</v>
          </cell>
          <cell r="AJ126">
            <v>0.47175011483693158</v>
          </cell>
          <cell r="AN126">
            <v>65.31</v>
          </cell>
          <cell r="AO126">
            <v>91.433999999999997</v>
          </cell>
          <cell r="AP126">
            <v>0.2209106689811724</v>
          </cell>
          <cell r="AQ126" t="str">
            <v>033-G-GENERAL-KG-TXP</v>
          </cell>
          <cell r="AY126">
            <v>71.841000000000008</v>
          </cell>
          <cell r="AZ126">
            <v>0</v>
          </cell>
          <cell r="BA126">
            <v>0</v>
          </cell>
        </row>
        <row r="127">
          <cell r="A127">
            <v>845416</v>
          </cell>
          <cell r="B127" t="str">
            <v>FONDERIE GHM SAS</v>
          </cell>
          <cell r="C127">
            <v>0.1</v>
          </cell>
          <cell r="D127">
            <v>0.1</v>
          </cell>
          <cell r="E127">
            <v>0.02</v>
          </cell>
          <cell r="F127">
            <v>41275</v>
          </cell>
          <cell r="I127">
            <v>1</v>
          </cell>
          <cell r="J127">
            <v>0</v>
          </cell>
          <cell r="K127">
            <v>0</v>
          </cell>
          <cell r="L127" t="str">
            <v>ok</v>
          </cell>
          <cell r="M127" t="str">
            <v>ok</v>
          </cell>
          <cell r="O127" t="str">
            <v>Non affecté</v>
          </cell>
          <cell r="P127" t="str">
            <v>FM</v>
          </cell>
          <cell r="Q127" t="str">
            <v>Ok mon client</v>
          </cell>
          <cell r="R127" t="str">
            <v>TROYES / LA CHAPELLE</v>
          </cell>
          <cell r="S127" t="str">
            <v>52</v>
          </cell>
          <cell r="T127" t="str">
            <v>140 RUE MAULJEAN</v>
          </cell>
          <cell r="U127">
            <v>52130</v>
          </cell>
          <cell r="V127" t="str">
            <v>WASSY</v>
          </cell>
          <cell r="X127" t="str">
            <v>Directeur Logistique et Transports</v>
          </cell>
          <cell r="Y127" t="str">
            <v>France</v>
          </cell>
          <cell r="Z127" t="str">
            <v>52130</v>
          </cell>
          <cell r="AA127" t="str">
            <v>WASSY</v>
          </cell>
          <cell r="AC127">
            <v>121.29</v>
          </cell>
          <cell r="AF127">
            <v>121.29</v>
          </cell>
          <cell r="AI127">
            <v>63.25</v>
          </cell>
          <cell r="AJ127">
            <v>0.60664031620553371</v>
          </cell>
          <cell r="AN127">
            <v>63.25</v>
          </cell>
          <cell r="AO127">
            <v>88.55</v>
          </cell>
          <cell r="AP127">
            <v>-0.26993156896693882</v>
          </cell>
          <cell r="AY127">
            <v>69.575000000000003</v>
          </cell>
          <cell r="AZ127">
            <v>0</v>
          </cell>
          <cell r="BA127">
            <v>0</v>
          </cell>
        </row>
        <row r="128">
          <cell r="A128">
            <v>30752</v>
          </cell>
          <cell r="B128" t="str">
            <v>COMET</v>
          </cell>
          <cell r="C128">
            <v>0.05</v>
          </cell>
          <cell r="D128">
            <v>0.1</v>
          </cell>
          <cell r="E128">
            <v>0.02</v>
          </cell>
          <cell r="F128">
            <v>41275</v>
          </cell>
          <cell r="H128" t="str">
            <v>MEME HAUSSE QUE GOMMICHON // 004340</v>
          </cell>
          <cell r="I128">
            <v>1</v>
          </cell>
          <cell r="J128">
            <v>0</v>
          </cell>
          <cell r="K128">
            <v>0</v>
          </cell>
          <cell r="L128" t="str">
            <v>OK</v>
          </cell>
          <cell r="M128" t="str">
            <v>OK</v>
          </cell>
          <cell r="O128" t="str">
            <v>Non affecté</v>
          </cell>
          <cell r="P128" t="str">
            <v>FM</v>
          </cell>
          <cell r="Q128" t="str">
            <v>Ok mon client</v>
          </cell>
          <cell r="R128" t="str">
            <v>TROYES / LA CHAPELLE</v>
          </cell>
          <cell r="S128" t="str">
            <v>45</v>
          </cell>
          <cell r="T128" t="str">
            <v>12 AVENUE PRESIDENT COTY</v>
          </cell>
          <cell r="U128">
            <v>10600</v>
          </cell>
          <cell r="V128" t="str">
            <v>LA CHAPELLE ST LUC</v>
          </cell>
          <cell r="X128" t="str">
            <v>Directeur Logistique et Transports</v>
          </cell>
          <cell r="Y128" t="str">
            <v>France</v>
          </cell>
          <cell r="AK128">
            <v>61.42</v>
          </cell>
          <cell r="AL128">
            <v>-0.3804949527841095</v>
          </cell>
          <cell r="AN128">
            <v>61.42</v>
          </cell>
          <cell r="AO128">
            <v>85.988</v>
          </cell>
          <cell r="AQ128" t="str">
            <v>033-G-10GOMMICHON</v>
          </cell>
          <cell r="AY128">
            <v>0</v>
          </cell>
          <cell r="AZ128">
            <v>67.562000000000012</v>
          </cell>
          <cell r="BA128">
            <v>0</v>
          </cell>
        </row>
        <row r="129">
          <cell r="A129">
            <v>73899</v>
          </cell>
          <cell r="B129" t="str">
            <v>DOMAINE DES MARRONNIERS</v>
          </cell>
          <cell r="C129">
            <v>0.72909999999999997</v>
          </cell>
          <cell r="F129">
            <v>41275</v>
          </cell>
          <cell r="H129" t="str">
            <v>Passage sur un TS +150 sans envoi de tarif</v>
          </cell>
          <cell r="I129">
            <v>1</v>
          </cell>
          <cell r="J129">
            <v>0</v>
          </cell>
          <cell r="K129">
            <v>0</v>
          </cell>
          <cell r="L129" t="str">
            <v>non</v>
          </cell>
          <cell r="M129" t="str">
            <v>OK</v>
          </cell>
          <cell r="O129" t="str">
            <v>Non affecté</v>
          </cell>
          <cell r="P129" t="str">
            <v>FM</v>
          </cell>
          <cell r="Q129" t="str">
            <v>Ok mon client</v>
          </cell>
          <cell r="R129" t="str">
            <v>TROYES / LA CHAPELLE</v>
          </cell>
          <cell r="S129" t="str">
            <v>89</v>
          </cell>
          <cell r="T129" t="str">
            <v>1 GRANDE DE RUE DE CHABLIS</v>
          </cell>
          <cell r="U129">
            <v>89800</v>
          </cell>
          <cell r="V129" t="str">
            <v>PREHY</v>
          </cell>
          <cell r="X129" t="str">
            <v>Directeur Logistique et Transports</v>
          </cell>
          <cell r="Y129" t="str">
            <v>France</v>
          </cell>
          <cell r="Z129" t="str">
            <v>89800</v>
          </cell>
          <cell r="AA129" t="str">
            <v>PREHY</v>
          </cell>
          <cell r="AC129">
            <v>114.09</v>
          </cell>
          <cell r="AD129">
            <v>860.79</v>
          </cell>
          <cell r="AF129">
            <v>974.88</v>
          </cell>
          <cell r="AI129">
            <v>56.69</v>
          </cell>
          <cell r="AJ129">
            <v>0.69677191744575762</v>
          </cell>
          <cell r="AN129">
            <v>56.69</v>
          </cell>
          <cell r="AO129">
            <v>79.365999999999985</v>
          </cell>
          <cell r="AP129">
            <v>-0.91858895453799438</v>
          </cell>
          <cell r="AQ129" t="str">
            <v>033-G-G-7-BO-TXP</v>
          </cell>
          <cell r="AY129">
            <v>98.022678999999982</v>
          </cell>
          <cell r="AZ129">
            <v>0</v>
          </cell>
          <cell r="BA129">
            <v>0</v>
          </cell>
        </row>
        <row r="130">
          <cell r="A130">
            <v>812512</v>
          </cell>
          <cell r="B130" t="str">
            <v>EARL HAMELIN</v>
          </cell>
          <cell r="H130" t="str">
            <v>compte HS</v>
          </cell>
          <cell r="I130">
            <v>1</v>
          </cell>
          <cell r="J130">
            <v>0</v>
          </cell>
          <cell r="K130">
            <v>0</v>
          </cell>
          <cell r="L130" t="str">
            <v>non</v>
          </cell>
          <cell r="M130" t="str">
            <v>NON</v>
          </cell>
          <cell r="O130" t="str">
            <v>Non affecté</v>
          </cell>
          <cell r="P130" t="str">
            <v>FM</v>
          </cell>
          <cell r="Q130" t="str">
            <v>Ok mon client</v>
          </cell>
          <cell r="R130" t="str">
            <v>TROYES / LA CHAPELLE</v>
          </cell>
          <cell r="S130" t="str">
            <v>89</v>
          </cell>
          <cell r="T130" t="str">
            <v>1 RUE DES CARILLONS</v>
          </cell>
          <cell r="U130">
            <v>89800</v>
          </cell>
          <cell r="V130" t="str">
            <v>LIGNORELLES</v>
          </cell>
          <cell r="X130" t="str">
            <v>Directeur Logistique et Transports</v>
          </cell>
          <cell r="Y130" t="str">
            <v>France</v>
          </cell>
          <cell r="Z130" t="str">
            <v>89800</v>
          </cell>
          <cell r="AA130" t="str">
            <v>LIGNORELLES</v>
          </cell>
          <cell r="AK130">
            <v>54.660000000000004</v>
          </cell>
          <cell r="AL130">
            <v>-4.3175997072813881E-2</v>
          </cell>
          <cell r="AN130">
            <v>54.660000000000004</v>
          </cell>
          <cell r="AO130">
            <v>76.524000000000001</v>
          </cell>
          <cell r="AQ130" t="str">
            <v>033-G-G-7-BO-TXP</v>
          </cell>
          <cell r="AY130">
            <v>0</v>
          </cell>
          <cell r="AZ130">
            <v>54.660000000000004</v>
          </cell>
          <cell r="BA130">
            <v>0</v>
          </cell>
        </row>
        <row r="131">
          <cell r="A131">
            <v>629707</v>
          </cell>
          <cell r="B131" t="str">
            <v>RIESTER AUTOMOBILE</v>
          </cell>
          <cell r="H131" t="str">
            <v>compte HS</v>
          </cell>
          <cell r="I131">
            <v>1</v>
          </cell>
          <cell r="J131">
            <v>0</v>
          </cell>
          <cell r="K131">
            <v>0</v>
          </cell>
          <cell r="L131" t="str">
            <v>non</v>
          </cell>
          <cell r="M131" t="str">
            <v>NON</v>
          </cell>
          <cell r="O131" t="str">
            <v>Non affecté</v>
          </cell>
          <cell r="P131" t="str">
            <v>FM</v>
          </cell>
          <cell r="Q131" t="str">
            <v>Ok mon client</v>
          </cell>
          <cell r="R131" t="str">
            <v>TROYES / LA CHAPELLE</v>
          </cell>
          <cell r="S131" t="str">
            <v>10</v>
          </cell>
          <cell r="T131" t="str">
            <v>ROND POINT DU VAL THIBAULT</v>
          </cell>
          <cell r="U131">
            <v>10100</v>
          </cell>
          <cell r="V131" t="str">
            <v>ROMILLY SUR SEINE</v>
          </cell>
          <cell r="X131" t="str">
            <v>Directeur Logistique et Transports</v>
          </cell>
          <cell r="Y131" t="str">
            <v>France</v>
          </cell>
          <cell r="Z131" t="str">
            <v>10100</v>
          </cell>
          <cell r="AA131" t="str">
            <v>ROMILLY SUR SEINE</v>
          </cell>
          <cell r="AI131">
            <v>51.76</v>
          </cell>
          <cell r="AJ131">
            <v>0.77183153013910355</v>
          </cell>
          <cell r="AN131">
            <v>51.76</v>
          </cell>
          <cell r="AO131">
            <v>72.463999999999999</v>
          </cell>
          <cell r="AY131">
            <v>51.76</v>
          </cell>
          <cell r="AZ131">
            <v>0</v>
          </cell>
          <cell r="BA131">
            <v>0</v>
          </cell>
        </row>
        <row r="132">
          <cell r="A132">
            <v>578605</v>
          </cell>
          <cell r="B132" t="str">
            <v>SODIP</v>
          </cell>
          <cell r="C132">
            <v>0.1</v>
          </cell>
          <cell r="D132">
            <v>0.1</v>
          </cell>
          <cell r="E132">
            <v>0.02</v>
          </cell>
          <cell r="F132">
            <v>41275</v>
          </cell>
          <cell r="I132">
            <v>1</v>
          </cell>
          <cell r="J132">
            <v>0</v>
          </cell>
          <cell r="K132">
            <v>0</v>
          </cell>
          <cell r="L132" t="str">
            <v>ok</v>
          </cell>
          <cell r="M132" t="str">
            <v>ok</v>
          </cell>
          <cell r="O132" t="str">
            <v>Non affecté</v>
          </cell>
          <cell r="P132" t="str">
            <v>FM</v>
          </cell>
          <cell r="Q132" t="str">
            <v>Ok mon client</v>
          </cell>
          <cell r="R132" t="str">
            <v>TROYES / LA CHAPELLE</v>
          </cell>
          <cell r="S132" t="str">
            <v>10</v>
          </cell>
          <cell r="T132" t="str">
            <v>ZA les barbes d'or</v>
          </cell>
          <cell r="U132">
            <v>10260</v>
          </cell>
          <cell r="V132" t="str">
            <v>ST PARRES LES VAUDES</v>
          </cell>
          <cell r="W132" t="str">
            <v>Mme</v>
          </cell>
          <cell r="X132" t="str">
            <v>GROS</v>
          </cell>
          <cell r="Y132" t="str">
            <v>France</v>
          </cell>
          <cell r="Z132" t="str">
            <v>10260</v>
          </cell>
          <cell r="AA132" t="str">
            <v>SAINT PARRES LES VAUDES</v>
          </cell>
          <cell r="AC132">
            <v>186.44</v>
          </cell>
          <cell r="AF132">
            <v>186.44</v>
          </cell>
          <cell r="AI132">
            <v>50.85</v>
          </cell>
          <cell r="AJ132">
            <v>0.52507374631268444</v>
          </cell>
          <cell r="AN132">
            <v>50.85</v>
          </cell>
          <cell r="AO132">
            <v>71.19</v>
          </cell>
          <cell r="AP132">
            <v>-0.61816133876850454</v>
          </cell>
          <cell r="AQ132" t="str">
            <v>033-G-GENERAL-KG-TXP</v>
          </cell>
          <cell r="AY132">
            <v>55.935000000000009</v>
          </cell>
          <cell r="AZ132">
            <v>0</v>
          </cell>
          <cell r="BA132">
            <v>0</v>
          </cell>
        </row>
        <row r="133">
          <cell r="A133">
            <v>567752</v>
          </cell>
          <cell r="B133" t="str">
            <v>DE SAINT VINCENT</v>
          </cell>
          <cell r="C133">
            <v>0.72909999999999997</v>
          </cell>
          <cell r="F133">
            <v>41275</v>
          </cell>
          <cell r="H133" t="str">
            <v>Passage sur un TS +150 sans envoi de tarif</v>
          </cell>
          <cell r="I133">
            <v>1</v>
          </cell>
          <cell r="J133">
            <v>0</v>
          </cell>
          <cell r="K133">
            <v>0</v>
          </cell>
          <cell r="L133" t="str">
            <v>non</v>
          </cell>
          <cell r="M133" t="str">
            <v>OK</v>
          </cell>
          <cell r="O133" t="str">
            <v>Non affecté</v>
          </cell>
          <cell r="P133" t="str">
            <v>FM</v>
          </cell>
          <cell r="Q133" t="str">
            <v>Ok mon client</v>
          </cell>
          <cell r="R133" t="str">
            <v>TROYES / LA CHAPELLE</v>
          </cell>
          <cell r="S133" t="str">
            <v>89</v>
          </cell>
          <cell r="T133" t="str">
            <v>R N 6  LE BOUCHET</v>
          </cell>
          <cell r="U133">
            <v>89460</v>
          </cell>
          <cell r="V133" t="str">
            <v>BAZARNES</v>
          </cell>
          <cell r="X133" t="str">
            <v>Directeur Logistique et Transports</v>
          </cell>
          <cell r="Y133" t="str">
            <v>France</v>
          </cell>
          <cell r="Z133" t="str">
            <v>89460</v>
          </cell>
          <cell r="AA133" t="str">
            <v>BAZARNES</v>
          </cell>
          <cell r="AI133">
            <v>42.91</v>
          </cell>
          <cell r="AJ133">
            <v>0.84199487298997899</v>
          </cell>
          <cell r="AN133">
            <v>42.91</v>
          </cell>
          <cell r="AO133">
            <v>60.073999999999991</v>
          </cell>
          <cell r="AQ133" t="str">
            <v>033-G-G-7-BO-TXP</v>
          </cell>
          <cell r="AY133">
            <v>74.195680999999993</v>
          </cell>
          <cell r="AZ133">
            <v>0</v>
          </cell>
          <cell r="BA133">
            <v>0</v>
          </cell>
        </row>
        <row r="134">
          <cell r="A134">
            <v>27924</v>
          </cell>
          <cell r="B134" t="str">
            <v>ELECTRICFIL INDUSTRIE</v>
          </cell>
          <cell r="C134">
            <v>0.1</v>
          </cell>
          <cell r="D134">
            <v>0.1</v>
          </cell>
          <cell r="E134">
            <v>0.02</v>
          </cell>
          <cell r="H134" t="str">
            <v>PROSPECT EN NEGOCIATION AVEC EUX</v>
          </cell>
          <cell r="I134">
            <v>1</v>
          </cell>
          <cell r="J134" t="str">
            <v>A faire</v>
          </cell>
          <cell r="K134">
            <v>0</v>
          </cell>
          <cell r="M134" t="str">
            <v>En attente</v>
          </cell>
          <cell r="O134" t="str">
            <v>Non affecté</v>
          </cell>
          <cell r="P134" t="str">
            <v>FM</v>
          </cell>
          <cell r="Q134" t="str">
            <v>Ok mon client</v>
          </cell>
          <cell r="R134" t="str">
            <v>TROYES / LA CHAPELLE</v>
          </cell>
          <cell r="S134" t="str">
            <v>01</v>
          </cell>
          <cell r="T134" t="str">
            <v>DEPOT DE JOINVILLE</v>
          </cell>
          <cell r="U134">
            <v>52000</v>
          </cell>
          <cell r="V134" t="str">
            <v>JOINVILLE</v>
          </cell>
          <cell r="X134" t="str">
            <v>Directeur Logistique et Transports</v>
          </cell>
          <cell r="Y134" t="str">
            <v>France</v>
          </cell>
          <cell r="Z134" t="str">
            <v>01708</v>
          </cell>
          <cell r="AA134" t="str">
            <v>MIRIBEL CEDEX</v>
          </cell>
          <cell r="AI134">
            <v>31.58</v>
          </cell>
          <cell r="AJ134">
            <v>0.45693476884103867</v>
          </cell>
          <cell r="AN134">
            <v>31.58</v>
          </cell>
          <cell r="AO134">
            <v>44.211999999999996</v>
          </cell>
          <cell r="AY134">
            <v>31.58</v>
          </cell>
          <cell r="AZ134">
            <v>0</v>
          </cell>
          <cell r="BA134">
            <v>0</v>
          </cell>
        </row>
        <row r="135">
          <cell r="A135">
            <v>33141</v>
          </cell>
          <cell r="B135" t="str">
            <v>STE DES FORGES DE FRONCLES</v>
          </cell>
          <cell r="C135">
            <v>0.1</v>
          </cell>
          <cell r="D135">
            <v>0.1</v>
          </cell>
          <cell r="E135">
            <v>0.02</v>
          </cell>
          <cell r="F135">
            <v>41275</v>
          </cell>
          <cell r="H135" t="str">
            <v>Passage sur un TS plein</v>
          </cell>
          <cell r="I135">
            <v>1</v>
          </cell>
          <cell r="J135" t="str">
            <v>A faire</v>
          </cell>
          <cell r="K135">
            <v>0</v>
          </cell>
          <cell r="M135" t="str">
            <v>OK</v>
          </cell>
          <cell r="O135" t="str">
            <v>Non affecté</v>
          </cell>
          <cell r="P135" t="str">
            <v>FM</v>
          </cell>
          <cell r="Q135" t="str">
            <v>Ok mon client</v>
          </cell>
          <cell r="R135" t="str">
            <v>TROYES / LA CHAPELLE</v>
          </cell>
          <cell r="S135" t="str">
            <v>52</v>
          </cell>
          <cell r="T135" t="str">
            <v>79 RUE DES ECOLES</v>
          </cell>
          <cell r="U135">
            <v>52320</v>
          </cell>
          <cell r="V135" t="str">
            <v>FRONCLES</v>
          </cell>
          <cell r="W135" t="str">
            <v>M</v>
          </cell>
          <cell r="X135" t="str">
            <v>DEMANGE</v>
          </cell>
          <cell r="Y135" t="str">
            <v>France</v>
          </cell>
          <cell r="Z135" t="str">
            <v>52320</v>
          </cell>
          <cell r="AA135" t="str">
            <v>FRONCLES</v>
          </cell>
          <cell r="AI135">
            <v>31.53</v>
          </cell>
          <cell r="AN135">
            <v>31.53</v>
          </cell>
          <cell r="AO135">
            <v>44.141999999999996</v>
          </cell>
          <cell r="AY135">
            <v>34.683000000000007</v>
          </cell>
          <cell r="AZ135">
            <v>0</v>
          </cell>
          <cell r="BA135">
            <v>0</v>
          </cell>
        </row>
        <row r="136">
          <cell r="A136">
            <v>5579</v>
          </cell>
          <cell r="B136" t="str">
            <v>MANOIR INDUSTRIES</v>
          </cell>
          <cell r="C136">
            <v>0.03</v>
          </cell>
          <cell r="D136">
            <v>0.03</v>
          </cell>
          <cell r="E136">
            <v>0.03</v>
          </cell>
          <cell r="F136">
            <v>41275</v>
          </cell>
          <cell r="H136" t="str">
            <v>PROSPECT EN NEGOCIATION AVEC EUX SUITE MAIL IDEM QUE 20559 DES FORGES DE BOLOGNE</v>
          </cell>
          <cell r="J136">
            <v>0</v>
          </cell>
          <cell r="K136">
            <v>0</v>
          </cell>
          <cell r="L136" t="str">
            <v>ok</v>
          </cell>
          <cell r="M136" t="str">
            <v>ok</v>
          </cell>
          <cell r="O136" t="str">
            <v>Non affecté</v>
          </cell>
          <cell r="P136" t="str">
            <v>FM</v>
          </cell>
          <cell r="Q136" t="str">
            <v>Ok mon client</v>
          </cell>
          <cell r="R136" t="str">
            <v>TROYES / LA CHAPELLE</v>
          </cell>
          <cell r="S136" t="str">
            <v>10</v>
          </cell>
          <cell r="T136" t="str">
            <v>BP 102</v>
          </cell>
          <cell r="U136">
            <v>10200</v>
          </cell>
          <cell r="V136" t="str">
            <v>BAR SUR AUBE</v>
          </cell>
          <cell r="X136" t="str">
            <v>Directeur Logistique et Transports</v>
          </cell>
          <cell r="Y136" t="str">
            <v>France</v>
          </cell>
          <cell r="Z136" t="str">
            <v>10200</v>
          </cell>
          <cell r="AA136" t="str">
            <v>BAR SUR AUBE</v>
          </cell>
          <cell r="AI136">
            <v>22.169999999999998</v>
          </cell>
          <cell r="AJ136">
            <v>0.2580063148398738</v>
          </cell>
          <cell r="AN136">
            <v>22.169999999999998</v>
          </cell>
          <cell r="AO136">
            <v>31.037999999999997</v>
          </cell>
          <cell r="AY136">
            <v>22.835099999999997</v>
          </cell>
          <cell r="AZ136">
            <v>0</v>
          </cell>
          <cell r="BA136">
            <v>0</v>
          </cell>
        </row>
        <row r="137">
          <cell r="A137">
            <v>30714</v>
          </cell>
          <cell r="B137" t="str">
            <v>BOFFY GARAGE SA</v>
          </cell>
          <cell r="H137" t="str">
            <v>compte HS</v>
          </cell>
          <cell r="I137">
            <v>1</v>
          </cell>
          <cell r="J137">
            <v>0</v>
          </cell>
          <cell r="K137">
            <v>0</v>
          </cell>
          <cell r="L137" t="str">
            <v>non</v>
          </cell>
          <cell r="M137" t="str">
            <v>NON</v>
          </cell>
          <cell r="O137" t="str">
            <v>Non affecté</v>
          </cell>
          <cell r="P137" t="str">
            <v>FM</v>
          </cell>
          <cell r="Q137" t="str">
            <v>Ok mon client</v>
          </cell>
          <cell r="R137" t="str">
            <v>TROYES / LA CHAPELLE</v>
          </cell>
          <cell r="S137" t="str">
            <v>52</v>
          </cell>
          <cell r="T137" t="str">
            <v>ROUTE DE DIJON</v>
          </cell>
          <cell r="U137">
            <v>52205</v>
          </cell>
          <cell r="V137" t="str">
            <v>LANGRES CEDEX</v>
          </cell>
          <cell r="X137" t="str">
            <v>Directeur Logistique et Transports</v>
          </cell>
          <cell r="Y137" t="str">
            <v>France</v>
          </cell>
          <cell r="Z137" t="str">
            <v>52205</v>
          </cell>
          <cell r="AA137" t="str">
            <v>LANGRES CEDEX</v>
          </cell>
          <cell r="AC137">
            <v>-58.26</v>
          </cell>
          <cell r="AF137">
            <v>-58.26</v>
          </cell>
          <cell r="AO137">
            <v>0</v>
          </cell>
          <cell r="AP137">
            <v>-1</v>
          </cell>
          <cell r="AY137">
            <v>0</v>
          </cell>
          <cell r="AZ137">
            <v>0</v>
          </cell>
          <cell r="BA137">
            <v>0</v>
          </cell>
        </row>
        <row r="138">
          <cell r="A138">
            <v>34025</v>
          </cell>
          <cell r="B138" t="str">
            <v>ASSA ABLOY AUBE ANJOU</v>
          </cell>
          <cell r="C138">
            <v>0.1</v>
          </cell>
          <cell r="D138">
            <v>0.1</v>
          </cell>
          <cell r="E138">
            <v>0.02</v>
          </cell>
          <cell r="H138" t="str">
            <v>PROSPECT EN NEGOCIATION AVEC EUX</v>
          </cell>
          <cell r="I138">
            <v>1</v>
          </cell>
          <cell r="J138" t="str">
            <v>A faire</v>
          </cell>
          <cell r="K138">
            <v>0</v>
          </cell>
          <cell r="M138" t="str">
            <v>En attente</v>
          </cell>
          <cell r="O138" t="str">
            <v>Non affecté</v>
          </cell>
          <cell r="P138" t="str">
            <v>FM</v>
          </cell>
          <cell r="Q138" t="str">
            <v>Ok mon client</v>
          </cell>
          <cell r="R138" t="str">
            <v>TROYES / LA CHAPELLE</v>
          </cell>
          <cell r="S138" t="str">
            <v>10</v>
          </cell>
          <cell r="T138" t="str">
            <v>524 X 
50 rue de la Paix</v>
          </cell>
          <cell r="U138">
            <v>10001</v>
          </cell>
          <cell r="V138" t="str">
            <v>TROYES CEDEX</v>
          </cell>
          <cell r="W138" t="str">
            <v>Mme</v>
          </cell>
          <cell r="X138" t="str">
            <v>SANCHEZ</v>
          </cell>
          <cell r="Y138" t="str">
            <v>France</v>
          </cell>
          <cell r="Z138" t="str">
            <v>10001</v>
          </cell>
          <cell r="AA138" t="str">
            <v>TROYES</v>
          </cell>
          <cell r="AD138">
            <v>162.04</v>
          </cell>
          <cell r="AF138">
            <v>162.04</v>
          </cell>
          <cell r="AO138">
            <v>0</v>
          </cell>
          <cell r="AP138">
            <v>-1</v>
          </cell>
          <cell r="AQ138" t="str">
            <v>033-G-GENERAL-KG-TXP</v>
          </cell>
          <cell r="AY138">
            <v>0</v>
          </cell>
          <cell r="AZ138">
            <v>0</v>
          </cell>
          <cell r="BA138">
            <v>0</v>
          </cell>
        </row>
        <row r="139">
          <cell r="A139">
            <v>380981</v>
          </cell>
          <cell r="B139" t="str">
            <v>SOCIETE FORESTIERE DU NORD</v>
          </cell>
          <cell r="H139" t="str">
            <v>compte HS</v>
          </cell>
          <cell r="I139">
            <v>1</v>
          </cell>
          <cell r="J139">
            <v>0</v>
          </cell>
          <cell r="K139">
            <v>0</v>
          </cell>
          <cell r="L139" t="str">
            <v>non</v>
          </cell>
          <cell r="M139" t="str">
            <v>NON</v>
          </cell>
          <cell r="N139" t="str">
            <v>Porte Feuille</v>
          </cell>
          <cell r="O139" t="str">
            <v>Non affecté</v>
          </cell>
          <cell r="P139" t="str">
            <v>FM</v>
          </cell>
          <cell r="Q139" t="str">
            <v>Ok mon client</v>
          </cell>
          <cell r="R139" t="str">
            <v>TROYES / LA CHAPELLE</v>
          </cell>
          <cell r="S139" t="str">
            <v>91</v>
          </cell>
          <cell r="T139" t="str">
            <v>PARC DES BOIS BRULES</v>
          </cell>
          <cell r="U139">
            <v>91430</v>
          </cell>
          <cell r="V139" t="str">
            <v>IGNY</v>
          </cell>
          <cell r="X139" t="str">
            <v>Directeur Logistique et Transports</v>
          </cell>
          <cell r="Y139" t="str">
            <v>France</v>
          </cell>
          <cell r="Z139" t="str">
            <v>91430</v>
          </cell>
          <cell r="AA139" t="str">
            <v>IGNY</v>
          </cell>
          <cell r="AB139">
            <v>23710</v>
          </cell>
          <cell r="AF139">
            <v>23710</v>
          </cell>
          <cell r="AH139">
            <v>0.19300684150513114</v>
          </cell>
          <cell r="AO139">
            <v>0</v>
          </cell>
          <cell r="AP139">
            <v>-1</v>
          </cell>
          <cell r="AY139">
            <v>0</v>
          </cell>
          <cell r="AZ139">
            <v>0</v>
          </cell>
          <cell r="BA139">
            <v>0</v>
          </cell>
        </row>
        <row r="140">
          <cell r="A140">
            <v>398717</v>
          </cell>
          <cell r="B140" t="str">
            <v>ARIANE INTERNATIONAL</v>
          </cell>
          <cell r="H140" t="str">
            <v>Pas de hausse suite mail du 12/02/2013</v>
          </cell>
          <cell r="J140">
            <v>0</v>
          </cell>
          <cell r="K140">
            <v>0</v>
          </cell>
          <cell r="L140" t="str">
            <v>NON</v>
          </cell>
          <cell r="M140" t="str">
            <v>NON</v>
          </cell>
          <cell r="N140" t="str">
            <v>Porte Feuille</v>
          </cell>
          <cell r="O140" t="str">
            <v>Non affecté</v>
          </cell>
          <cell r="P140" t="str">
            <v>FM</v>
          </cell>
          <cell r="Q140" t="str">
            <v>Ok mon client</v>
          </cell>
          <cell r="R140" t="str">
            <v>TROYES / LA CHAPELLE</v>
          </cell>
          <cell r="S140" t="str">
            <v>78</v>
          </cell>
          <cell r="T140" t="str">
            <v>LA CHATAIGNERIE</v>
          </cell>
          <cell r="U140">
            <v>78170</v>
          </cell>
          <cell r="V140" t="str">
            <v>LA CELLE ST CLOUD</v>
          </cell>
          <cell r="X140" t="str">
            <v>Directeur Logistique et Transports</v>
          </cell>
          <cell r="Y140" t="str">
            <v>France</v>
          </cell>
          <cell r="Z140" t="str">
            <v>78170</v>
          </cell>
          <cell r="AA140" t="str">
            <v>LA CELLE ST CLOUD</v>
          </cell>
          <cell r="AB140">
            <v>1600</v>
          </cell>
          <cell r="AF140">
            <v>1600</v>
          </cell>
          <cell r="AO140">
            <v>0</v>
          </cell>
          <cell r="AP140">
            <v>-1</v>
          </cell>
          <cell r="AY140">
            <v>0</v>
          </cell>
          <cell r="AZ140">
            <v>0</v>
          </cell>
          <cell r="BA140">
            <v>0</v>
          </cell>
        </row>
        <row r="141">
          <cell r="A141">
            <v>436386</v>
          </cell>
          <cell r="B141" t="str">
            <v>ROYALE DE CHAMPAGNE - BAYEL</v>
          </cell>
          <cell r="H141" t="str">
            <v>compte HS</v>
          </cell>
          <cell r="I141">
            <v>1</v>
          </cell>
          <cell r="J141">
            <v>0</v>
          </cell>
          <cell r="K141">
            <v>0</v>
          </cell>
          <cell r="L141" t="str">
            <v>non</v>
          </cell>
          <cell r="M141" t="str">
            <v>NON</v>
          </cell>
          <cell r="O141" t="str">
            <v>Non affecté</v>
          </cell>
          <cell r="P141" t="str">
            <v>FM</v>
          </cell>
          <cell r="Q141" t="str">
            <v>Ok mon client</v>
          </cell>
          <cell r="R141" t="str">
            <v>TROYES / LA CHAPELLE</v>
          </cell>
          <cell r="S141" t="str">
            <v>75</v>
          </cell>
          <cell r="T141" t="str">
            <v>22 RUE DE LA TREMOILLE</v>
          </cell>
          <cell r="U141">
            <v>75008</v>
          </cell>
          <cell r="V141" t="str">
            <v>PARIS</v>
          </cell>
          <cell r="X141" t="str">
            <v>Directeur Logistique et Transports</v>
          </cell>
          <cell r="Y141" t="str">
            <v>France</v>
          </cell>
          <cell r="Z141" t="str">
            <v>75008</v>
          </cell>
          <cell r="AA141" t="str">
            <v>PARIS</v>
          </cell>
          <cell r="AB141">
            <v>316.29000000000002</v>
          </cell>
          <cell r="AC141">
            <v>3274.52</v>
          </cell>
          <cell r="AD141">
            <v>32.299999999999997</v>
          </cell>
          <cell r="AF141">
            <v>3623.11</v>
          </cell>
          <cell r="AO141">
            <v>0</v>
          </cell>
          <cell r="AP141">
            <v>-1</v>
          </cell>
          <cell r="AY141">
            <v>0</v>
          </cell>
          <cell r="AZ141">
            <v>0</v>
          </cell>
          <cell r="BA141">
            <v>0</v>
          </cell>
        </row>
        <row r="142">
          <cell r="A142">
            <v>512285</v>
          </cell>
          <cell r="B142" t="str">
            <v>SCARA</v>
          </cell>
          <cell r="C142">
            <v>0.72909000000000002</v>
          </cell>
          <cell r="F142">
            <v>41275</v>
          </cell>
          <cell r="H142" t="str">
            <v>Passage sur un TS +150 sans envoi de tarif</v>
          </cell>
          <cell r="I142">
            <v>1</v>
          </cell>
          <cell r="J142">
            <v>0</v>
          </cell>
          <cell r="K142">
            <v>0</v>
          </cell>
          <cell r="L142" t="str">
            <v>non</v>
          </cell>
          <cell r="M142" t="str">
            <v>OK</v>
          </cell>
          <cell r="O142" t="str">
            <v>Non affecté</v>
          </cell>
          <cell r="P142" t="str">
            <v>FM</v>
          </cell>
          <cell r="Q142" t="str">
            <v>Ok mon client</v>
          </cell>
          <cell r="R142" t="str">
            <v>TROYES / LA CHAPELLE</v>
          </cell>
          <cell r="S142" t="str">
            <v>10</v>
          </cell>
          <cell r="T142" t="str">
            <v>ZI DE VILLETTE</v>
          </cell>
          <cell r="U142">
            <v>10700</v>
          </cell>
          <cell r="V142" t="str">
            <v>ARCIS SUR AUBE</v>
          </cell>
          <cell r="X142" t="str">
            <v>Directeur Logistique et Transports</v>
          </cell>
          <cell r="Y142" t="str">
            <v>France</v>
          </cell>
          <cell r="Z142" t="str">
            <v>10700</v>
          </cell>
          <cell r="AA142" t="str">
            <v>ARCIS SUR AUBE</v>
          </cell>
          <cell r="AB142">
            <v>344.53</v>
          </cell>
          <cell r="AC142">
            <v>146.56</v>
          </cell>
          <cell r="AF142">
            <v>491.09</v>
          </cell>
          <cell r="AI142">
            <v>-11.4</v>
          </cell>
          <cell r="AN142">
            <v>-11.4</v>
          </cell>
          <cell r="AO142">
            <v>-15.959999999999999</v>
          </cell>
          <cell r="AP142">
            <v>-1.0324991345781833</v>
          </cell>
          <cell r="AQ142" t="str">
            <v>033-G-GENERAL-KG</v>
          </cell>
          <cell r="AY142">
            <v>-19.711626000000003</v>
          </cell>
          <cell r="AZ142">
            <v>0</v>
          </cell>
          <cell r="BA142">
            <v>0</v>
          </cell>
        </row>
        <row r="143">
          <cell r="A143">
            <v>36439</v>
          </cell>
          <cell r="B143" t="str">
            <v>GHM</v>
          </cell>
          <cell r="C143">
            <v>0.1</v>
          </cell>
          <cell r="D143">
            <v>0.1</v>
          </cell>
          <cell r="E143">
            <v>0.02</v>
          </cell>
          <cell r="F143">
            <v>41275</v>
          </cell>
          <cell r="I143">
            <v>1</v>
          </cell>
          <cell r="J143">
            <v>0</v>
          </cell>
          <cell r="K143">
            <v>0</v>
          </cell>
          <cell r="L143" t="str">
            <v>ok</v>
          </cell>
          <cell r="M143" t="str">
            <v>ok</v>
          </cell>
          <cell r="O143" t="str">
            <v>Non affecté</v>
          </cell>
          <cell r="P143" t="str">
            <v>FM</v>
          </cell>
          <cell r="Q143" t="str">
            <v>Ok mon client</v>
          </cell>
          <cell r="R143" t="str">
            <v>TROYES / LA CHAPELLE</v>
          </cell>
          <cell r="S143" t="str">
            <v>52</v>
          </cell>
          <cell r="T143" t="str">
            <v>140 rue Maulijean</v>
          </cell>
          <cell r="U143">
            <v>52130</v>
          </cell>
          <cell r="V143" t="str">
            <v>WASSY</v>
          </cell>
          <cell r="W143" t="str">
            <v>M</v>
          </cell>
          <cell r="X143" t="str">
            <v>SAUSSARD</v>
          </cell>
          <cell r="Y143" t="str">
            <v>France</v>
          </cell>
          <cell r="Z143" t="str">
            <v>52130</v>
          </cell>
          <cell r="AA143" t="str">
            <v>WASSY</v>
          </cell>
          <cell r="AQ143" t="str">
            <v>033-G-GENERAL-KG-TXP</v>
          </cell>
          <cell r="AY143">
            <v>0</v>
          </cell>
          <cell r="AZ143">
            <v>0</v>
          </cell>
          <cell r="BA143">
            <v>0</v>
          </cell>
        </row>
      </sheetData>
      <sheetData sheetId="6">
        <row r="1">
          <cell r="A1">
            <v>41585</v>
          </cell>
          <cell r="C1" t="str">
            <v>VALIDE</v>
          </cell>
          <cell r="I1" t="str">
            <v>Suivi</v>
          </cell>
          <cell r="K1" t="str">
            <v>ATMA</v>
          </cell>
          <cell r="M1" t="str">
            <v>Doublon</v>
          </cell>
          <cell r="Z1" t="str">
            <v>2011 Janv à Dec</v>
          </cell>
          <cell r="AE1" t="str">
            <v>2012 Janv-Août</v>
          </cell>
          <cell r="AO1">
            <v>11.2</v>
          </cell>
          <cell r="AW1" t="str">
            <v>Prévision 2013</v>
          </cell>
        </row>
        <row r="2">
          <cell r="A2" t="str">
            <v>Client payeur</v>
          </cell>
          <cell r="B2" t="str">
            <v>Libellé Client payeur</v>
          </cell>
          <cell r="C2" t="str">
            <v>Taux groupage National</v>
          </cell>
          <cell r="D2" t="str">
            <v>Taux groupage International</v>
          </cell>
          <cell r="E2" t="str">
            <v>Taux lot</v>
          </cell>
          <cell r="F2" t="str">
            <v>Date d'application</v>
          </cell>
          <cell r="G2" t="str">
            <v>Envoi des tarifs par courrier</v>
          </cell>
          <cell r="H2" t="str">
            <v>Commentaire</v>
          </cell>
          <cell r="I2" t="str">
            <v>A envoyer</v>
          </cell>
          <cell r="J2" t="str">
            <v>A rensigner dans INES</v>
          </cell>
          <cell r="K2" t="str">
            <v>ENVOI OK</v>
          </cell>
          <cell r="L2" t="str">
            <v>INES OK</v>
          </cell>
          <cell r="M2" t="str">
            <v>INFO</v>
          </cell>
          <cell r="N2" t="str">
            <v>Direction</v>
          </cell>
          <cell r="O2" t="str">
            <v>Commerciaux</v>
          </cell>
          <cell r="P2" t="str">
            <v>Commentaire</v>
          </cell>
          <cell r="Q2" t="str">
            <v>Agence</v>
          </cell>
          <cell r="R2" t="str">
            <v>CP</v>
          </cell>
          <cell r="S2" t="str">
            <v>Adresse</v>
          </cell>
          <cell r="T2" t="str">
            <v>Code CP</v>
          </cell>
          <cell r="U2" t="str">
            <v>Ville</v>
          </cell>
          <cell r="V2" t="str">
            <v>Civilité</v>
          </cell>
          <cell r="W2" t="str">
            <v>Nom</v>
          </cell>
          <cell r="X2" t="str">
            <v>Code postal</v>
          </cell>
          <cell r="Y2" t="str">
            <v>Localité</v>
          </cell>
          <cell r="Z2" t="str">
            <v>501</v>
          </cell>
          <cell r="AA2" t="str">
            <v>551</v>
          </cell>
          <cell r="AB2" t="str">
            <v>553</v>
          </cell>
          <cell r="AC2" t="str">
            <v>Autre prestation</v>
          </cell>
          <cell r="AD2" t="str">
            <v>Total 2011</v>
          </cell>
          <cell r="AE2" t="str">
            <v>501</v>
          </cell>
          <cell r="AF2" t="str">
            <v>501 Renta</v>
          </cell>
          <cell r="AG2" t="str">
            <v>551</v>
          </cell>
          <cell r="AH2" t="str">
            <v>551 Renta</v>
          </cell>
          <cell r="AI2" t="str">
            <v>553</v>
          </cell>
          <cell r="AJ2" t="str">
            <v>553 Renta</v>
          </cell>
          <cell r="AK2" t="str">
            <v>Autre prestation</v>
          </cell>
          <cell r="AL2" t="str">
            <v>Total cumulé Août 2012</v>
          </cell>
          <cell r="AM2" t="str">
            <v>Prévision fin 2012</v>
          </cell>
          <cell r="AN2" t="str">
            <v>Taux d'évoluation 2012/2011</v>
          </cell>
          <cell r="AO2" t="str">
            <v>Contrat INES G</v>
          </cell>
          <cell r="AP2" t="str">
            <v>Contrat INES LOT</v>
          </cell>
          <cell r="AQ2" t="str">
            <v>Date d'ouverture de compte dans INES</v>
          </cell>
          <cell r="AW2" t="str">
            <v>Taux groupage National</v>
          </cell>
          <cell r="AX2" t="str">
            <v>Taux groupage International</v>
          </cell>
          <cell r="AY2" t="str">
            <v>Taux lot</v>
          </cell>
        </row>
        <row r="3">
          <cell r="A3">
            <v>871759</v>
          </cell>
          <cell r="B3" t="str">
            <v>NOUVELLES IMAGES sa</v>
          </cell>
          <cell r="C3">
            <v>3.5000000000000003E-2</v>
          </cell>
          <cell r="D3">
            <v>3.5000000000000003E-2</v>
          </cell>
          <cell r="E3">
            <v>1.4999999999999999E-2</v>
          </cell>
          <cell r="F3">
            <v>41334</v>
          </cell>
          <cell r="H3" t="str">
            <v>EN COURS</v>
          </cell>
          <cell r="I3">
            <v>0</v>
          </cell>
          <cell r="J3">
            <v>0</v>
          </cell>
          <cell r="K3" t="str">
            <v>OK</v>
          </cell>
          <cell r="L3" t="str">
            <v>OK</v>
          </cell>
          <cell r="N3" t="str">
            <v>Non affecté</v>
          </cell>
          <cell r="O3" t="str">
            <v>NM</v>
          </cell>
          <cell r="P3" t="str">
            <v>Ok mon client</v>
          </cell>
          <cell r="Q3" t="str">
            <v>ORLEANS / ST JEAN DE</v>
          </cell>
          <cell r="R3" t="str">
            <v>45</v>
          </cell>
          <cell r="X3" t="str">
            <v>45700</v>
          </cell>
          <cell r="Y3" t="str">
            <v>LONBREUIL</v>
          </cell>
          <cell r="AD3">
            <v>0</v>
          </cell>
          <cell r="AE3">
            <v>23699.82</v>
          </cell>
          <cell r="AF3">
            <v>0.24981245311327827</v>
          </cell>
          <cell r="AG3">
            <v>104520.05999999998</v>
          </cell>
          <cell r="AH3">
            <v>0.44717373767859192</v>
          </cell>
          <cell r="AI3">
            <v>69457.490000000005</v>
          </cell>
          <cell r="AJ3">
            <v>0.56297503437639296</v>
          </cell>
          <cell r="AL3">
            <v>197677.36999999997</v>
          </cell>
          <cell r="AM3">
            <v>276748.31799999991</v>
          </cell>
          <cell r="AW3">
            <v>108178.26209999998</v>
          </cell>
          <cell r="AX3">
            <v>71888.50215</v>
          </cell>
          <cell r="AY3">
            <v>24055.317299999999</v>
          </cell>
          <cell r="BH3" t="str">
            <v>Autre Agence 259</v>
          </cell>
        </row>
        <row r="4">
          <cell r="A4">
            <v>553290</v>
          </cell>
          <cell r="B4" t="str">
            <v>NOUVELLES IMAGES sa</v>
          </cell>
          <cell r="C4">
            <v>3.5000000000000003E-2</v>
          </cell>
          <cell r="D4">
            <v>3.5000000000000003E-2</v>
          </cell>
          <cell r="E4">
            <v>1.4999999999999999E-2</v>
          </cell>
          <cell r="F4">
            <v>41334</v>
          </cell>
          <cell r="H4" t="str">
            <v>EN COURS</v>
          </cell>
          <cell r="I4">
            <v>0</v>
          </cell>
          <cell r="J4">
            <v>0</v>
          </cell>
          <cell r="K4" t="str">
            <v>OK</v>
          </cell>
          <cell r="L4" t="str">
            <v>OK</v>
          </cell>
          <cell r="M4" t="str">
            <v>Porte Feuille</v>
          </cell>
          <cell r="N4" t="str">
            <v>Non affecté</v>
          </cell>
          <cell r="O4" t="str">
            <v>NM</v>
          </cell>
          <cell r="P4" t="str">
            <v>Ok mon client</v>
          </cell>
          <cell r="Q4" t="str">
            <v>ORLEANS / ST JEAN DE</v>
          </cell>
          <cell r="R4" t="str">
            <v>45</v>
          </cell>
          <cell r="S4" t="str">
            <v xml:space="preserve"> BP51005</v>
          </cell>
          <cell r="T4" t="str">
            <v>45700</v>
          </cell>
          <cell r="U4" t="str">
            <v>VILLEMANDEUR</v>
          </cell>
          <cell r="X4" t="str">
            <v>45700</v>
          </cell>
          <cell r="Y4" t="str">
            <v>LOMBREUIL</v>
          </cell>
          <cell r="Z4">
            <v>47426.93</v>
          </cell>
          <cell r="AA4">
            <v>273053.38</v>
          </cell>
          <cell r="AB4">
            <v>240039.06999999998</v>
          </cell>
          <cell r="AD4">
            <v>560519.38</v>
          </cell>
          <cell r="AE4">
            <v>11943.68</v>
          </cell>
          <cell r="AF4">
            <v>5.8393787387305156E-2</v>
          </cell>
          <cell r="AG4">
            <v>90872.76999999999</v>
          </cell>
          <cell r="AH4">
            <v>0.4531205552554427</v>
          </cell>
          <cell r="AI4">
            <v>66181.62999999999</v>
          </cell>
          <cell r="AJ4">
            <v>0.30871238186990174</v>
          </cell>
          <cell r="AL4">
            <v>168998.07999999996</v>
          </cell>
          <cell r="AM4">
            <v>236597.31199999992</v>
          </cell>
          <cell r="AN4">
            <v>-0.57789628611949162</v>
          </cell>
          <cell r="AW4">
            <v>94053.316949999979</v>
          </cell>
          <cell r="AX4">
            <v>68497.987049999982</v>
          </cell>
          <cell r="AY4">
            <v>12122.8352</v>
          </cell>
        </row>
        <row r="5">
          <cell r="A5">
            <v>302553</v>
          </cell>
          <cell r="B5" t="str">
            <v>GBC</v>
          </cell>
          <cell r="C5">
            <v>3.5000000000000003E-2</v>
          </cell>
          <cell r="F5">
            <v>41275</v>
          </cell>
          <cell r="G5" t="str">
            <v>OUI</v>
          </cell>
          <cell r="H5" t="str">
            <v>SGO Minorée</v>
          </cell>
          <cell r="I5">
            <v>0</v>
          </cell>
          <cell r="J5">
            <v>0</v>
          </cell>
          <cell r="K5" t="str">
            <v>OK</v>
          </cell>
          <cell r="L5" t="str">
            <v>OK</v>
          </cell>
          <cell r="M5" t="str">
            <v>Porte Feuille</v>
          </cell>
          <cell r="N5" t="str">
            <v>Non affecté</v>
          </cell>
          <cell r="O5" t="str">
            <v>NM</v>
          </cell>
          <cell r="P5" t="str">
            <v>Ok mon client</v>
          </cell>
          <cell r="Q5" t="str">
            <v>ORLEANS / ST JEAN DE</v>
          </cell>
          <cell r="R5" t="str">
            <v>45</v>
          </cell>
          <cell r="S5" t="str">
            <v>2123 R N 20</v>
          </cell>
          <cell r="T5" t="str">
            <v>45770</v>
          </cell>
          <cell r="U5" t="str">
            <v>SARAN</v>
          </cell>
          <cell r="V5" t="str">
            <v>M,</v>
          </cell>
          <cell r="W5" t="str">
            <v>TOULON</v>
          </cell>
          <cell r="X5" t="str">
            <v>45770</v>
          </cell>
          <cell r="Y5" t="str">
            <v>SARAN</v>
          </cell>
          <cell r="Z5">
            <v>1537.48</v>
          </cell>
          <cell r="AA5">
            <v>207258.97999999998</v>
          </cell>
          <cell r="AB5">
            <v>22.94</v>
          </cell>
          <cell r="AD5">
            <v>208819.4</v>
          </cell>
          <cell r="AG5">
            <v>140258.73000000001</v>
          </cell>
          <cell r="AH5">
            <v>0.49401060454489865</v>
          </cell>
          <cell r="AL5">
            <v>140258.73000000001</v>
          </cell>
          <cell r="AM5">
            <v>196362.22200000001</v>
          </cell>
          <cell r="AN5">
            <v>-5.9655271492974227E-2</v>
          </cell>
          <cell r="AW5">
            <v>145167.78555</v>
          </cell>
          <cell r="AX5">
            <v>0</v>
          </cell>
          <cell r="AY5">
            <v>0</v>
          </cell>
        </row>
        <row r="6">
          <cell r="A6">
            <v>17868</v>
          </cell>
          <cell r="B6" t="str">
            <v>DEERE JOHN</v>
          </cell>
          <cell r="H6" t="str">
            <v>EN COURS</v>
          </cell>
          <cell r="I6">
            <v>0</v>
          </cell>
          <cell r="J6">
            <v>0</v>
          </cell>
          <cell r="M6" t="str">
            <v>Porte Feuille</v>
          </cell>
          <cell r="N6" t="str">
            <v>Non affecté</v>
          </cell>
          <cell r="O6" t="str">
            <v>NM</v>
          </cell>
          <cell r="P6" t="str">
            <v>Ok mon client</v>
          </cell>
          <cell r="Q6" t="str">
            <v>ORLEANS / ST JEAN DE</v>
          </cell>
          <cell r="R6" t="str">
            <v>45</v>
          </cell>
          <cell r="S6" t="str">
            <v>USINE DE SARAN - BP11013</v>
          </cell>
          <cell r="T6">
            <v>45401</v>
          </cell>
          <cell r="U6" t="str">
            <v>FLEURY LES AUBRAIS</v>
          </cell>
          <cell r="W6" t="str">
            <v>Amandine ROUSSEL</v>
          </cell>
          <cell r="X6" t="str">
            <v>45401</v>
          </cell>
          <cell r="Y6" t="str">
            <v>FLEURY LES AUBRAIS CEDEX</v>
          </cell>
          <cell r="Z6">
            <v>210453.97</v>
          </cell>
          <cell r="AA6">
            <v>648.83000000000004</v>
          </cell>
          <cell r="AB6">
            <v>20662.799999999996</v>
          </cell>
          <cell r="AD6">
            <v>231765.59999999998</v>
          </cell>
          <cell r="AE6">
            <v>113383.91</v>
          </cell>
          <cell r="AF6">
            <v>0.18142706491600111</v>
          </cell>
          <cell r="AI6">
            <v>12489.34</v>
          </cell>
          <cell r="AJ6">
            <v>0.3482146995300377</v>
          </cell>
          <cell r="AL6">
            <v>125873.25</v>
          </cell>
          <cell r="AM6">
            <v>176222.55</v>
          </cell>
          <cell r="AN6">
            <v>-0.23965182926197848</v>
          </cell>
          <cell r="AW6">
            <v>0</v>
          </cell>
          <cell r="AX6">
            <v>12489.34</v>
          </cell>
          <cell r="AY6">
            <v>113383.91</v>
          </cell>
        </row>
        <row r="7">
          <cell r="A7">
            <v>68661</v>
          </cell>
          <cell r="B7" t="str">
            <v>PLISSON</v>
          </cell>
          <cell r="C7">
            <v>3.5000000000000003E-2</v>
          </cell>
          <cell r="D7">
            <v>3.5000000000000003E-2</v>
          </cell>
          <cell r="F7">
            <v>41275</v>
          </cell>
          <cell r="G7" t="str">
            <v>OUI</v>
          </cell>
          <cell r="H7" t="str">
            <v>SGO Minorée</v>
          </cell>
          <cell r="I7">
            <v>0</v>
          </cell>
          <cell r="J7">
            <v>0</v>
          </cell>
          <cell r="K7" t="str">
            <v>OK</v>
          </cell>
          <cell r="L7" t="str">
            <v>OK</v>
          </cell>
          <cell r="M7" t="str">
            <v>Porte Feuille</v>
          </cell>
          <cell r="N7" t="str">
            <v>Non affecté</v>
          </cell>
          <cell r="O7" t="str">
            <v>NM</v>
          </cell>
          <cell r="P7" t="str">
            <v>Ok mon client</v>
          </cell>
          <cell r="Q7" t="str">
            <v>ORLEANS / ST JEAN DE</v>
          </cell>
          <cell r="R7" t="str">
            <v>45</v>
          </cell>
          <cell r="S7" t="str">
            <v>ZI TAVERS  BP 135</v>
          </cell>
          <cell r="T7">
            <v>45190</v>
          </cell>
          <cell r="U7" t="str">
            <v>BEAUGENCY</v>
          </cell>
          <cell r="V7" t="str">
            <v>MME</v>
          </cell>
          <cell r="W7" t="str">
            <v>Sylviane ROMBY</v>
          </cell>
          <cell r="X7" t="str">
            <v>45190</v>
          </cell>
          <cell r="Y7" t="str">
            <v>BEAUGENCY</v>
          </cell>
          <cell r="Z7">
            <v>42781.440000000002</v>
          </cell>
          <cell r="AA7">
            <v>53104.7</v>
          </cell>
          <cell r="AB7">
            <v>851.83999999999992</v>
          </cell>
          <cell r="AD7">
            <v>96737.98</v>
          </cell>
          <cell r="AE7">
            <v>692.85</v>
          </cell>
          <cell r="AF7">
            <v>-1.031969401746423E-2</v>
          </cell>
          <cell r="AG7">
            <v>99368.209999999977</v>
          </cell>
          <cell r="AH7">
            <v>0.55614109276960055</v>
          </cell>
          <cell r="AI7">
            <v>263.15999999999997</v>
          </cell>
          <cell r="AJ7">
            <v>0.28932968536251708</v>
          </cell>
          <cell r="AL7">
            <v>100324.21999999999</v>
          </cell>
          <cell r="AM7">
            <v>140453.90799999997</v>
          </cell>
          <cell r="AN7">
            <v>0.45190036012742851</v>
          </cell>
          <cell r="AS7" t="str">
            <v>AVANCEMENT</v>
          </cell>
          <cell r="AW7">
            <v>102846.09734999997</v>
          </cell>
          <cell r="AX7">
            <v>272.37059999999997</v>
          </cell>
          <cell r="AY7">
            <v>692.85</v>
          </cell>
        </row>
        <row r="8">
          <cell r="A8">
            <v>303293</v>
          </cell>
          <cell r="B8" t="str">
            <v>PEPINIERES TRAVERS</v>
          </cell>
          <cell r="C8">
            <v>3.5000000000000003E-2</v>
          </cell>
          <cell r="E8">
            <v>0.02</v>
          </cell>
          <cell r="F8">
            <v>41306</v>
          </cell>
          <cell r="G8" t="str">
            <v>OUI</v>
          </cell>
          <cell r="H8" t="str">
            <v>AO Annuel</v>
          </cell>
          <cell r="I8">
            <v>0</v>
          </cell>
          <cell r="J8">
            <v>0</v>
          </cell>
          <cell r="K8" t="str">
            <v>OK</v>
          </cell>
          <cell r="L8" t="str">
            <v>OK</v>
          </cell>
          <cell r="M8" t="str">
            <v>Porte Feuille</v>
          </cell>
          <cell r="N8" t="str">
            <v>Non affecté</v>
          </cell>
          <cell r="O8" t="str">
            <v>NM</v>
          </cell>
          <cell r="P8" t="str">
            <v>Ok mon client</v>
          </cell>
          <cell r="Q8" t="str">
            <v>ORLEANS / ST JEAN DE</v>
          </cell>
          <cell r="R8" t="str">
            <v>45</v>
          </cell>
          <cell r="S8" t="str">
            <v>7 COURS CHARETTE</v>
          </cell>
          <cell r="T8">
            <v>45650</v>
          </cell>
          <cell r="U8" t="str">
            <v>ST JEAN LE BLANC</v>
          </cell>
          <cell r="X8" t="str">
            <v>45590</v>
          </cell>
          <cell r="Y8" t="str">
            <v>SAINT-CYR-EN-VAL</v>
          </cell>
          <cell r="AA8">
            <v>38198.019999999997</v>
          </cell>
          <cell r="AB8">
            <v>935.66</v>
          </cell>
          <cell r="AD8">
            <v>39133.68</v>
          </cell>
          <cell r="AE8">
            <v>2350.58</v>
          </cell>
          <cell r="AF8">
            <v>7.2084336631809853E-2</v>
          </cell>
          <cell r="AG8">
            <v>97216.130000000019</v>
          </cell>
          <cell r="AH8">
            <v>0.1858300675001118</v>
          </cell>
          <cell r="AL8">
            <v>99566.710000000021</v>
          </cell>
          <cell r="AM8">
            <v>139393.39400000003</v>
          </cell>
          <cell r="AN8">
            <v>2.5619802175517363</v>
          </cell>
          <cell r="AS8" t="str">
            <v>Nombre de OK</v>
          </cell>
          <cell r="AT8">
            <v>126</v>
          </cell>
          <cell r="AW8">
            <v>100618.69455000001</v>
          </cell>
          <cell r="AX8">
            <v>0</v>
          </cell>
          <cell r="AY8">
            <v>2397.5915999999997</v>
          </cell>
        </row>
        <row r="9">
          <cell r="A9">
            <v>549891</v>
          </cell>
          <cell r="B9" t="str">
            <v>DEMOSPEC</v>
          </cell>
          <cell r="C9">
            <v>0.03</v>
          </cell>
          <cell r="D9">
            <v>0.03</v>
          </cell>
          <cell r="F9">
            <v>41275</v>
          </cell>
          <cell r="G9" t="str">
            <v>OUI</v>
          </cell>
          <cell r="I9">
            <v>0</v>
          </cell>
          <cell r="J9">
            <v>0</v>
          </cell>
          <cell r="K9" t="str">
            <v>OK</v>
          </cell>
          <cell r="L9" t="str">
            <v>OK</v>
          </cell>
          <cell r="M9" t="str">
            <v>Porte Feuille</v>
          </cell>
          <cell r="N9" t="str">
            <v>Non affecté</v>
          </cell>
          <cell r="O9" t="str">
            <v>NM</v>
          </cell>
          <cell r="P9" t="str">
            <v>Ok mon client</v>
          </cell>
          <cell r="Q9" t="str">
            <v>ORLEANS / ST JEAN DE</v>
          </cell>
          <cell r="R9" t="str">
            <v>45</v>
          </cell>
          <cell r="S9" t="str">
            <v>1140 AVENUE DU GENERAL JUIN</v>
          </cell>
          <cell r="T9">
            <v>45200</v>
          </cell>
          <cell r="U9" t="str">
            <v>AMILLY</v>
          </cell>
          <cell r="W9" t="str">
            <v>PATRICE TURBAN</v>
          </cell>
          <cell r="X9" t="str">
            <v>45200</v>
          </cell>
          <cell r="Y9" t="str">
            <v>AMILLY</v>
          </cell>
          <cell r="Z9">
            <v>193285.43999999997</v>
          </cell>
          <cell r="AA9">
            <v>13457.679999999997</v>
          </cell>
          <cell r="AB9">
            <v>22335.78</v>
          </cell>
          <cell r="AD9">
            <v>229078.89999999997</v>
          </cell>
          <cell r="AE9">
            <v>76744.23</v>
          </cell>
          <cell r="AF9">
            <v>0.22805889971727708</v>
          </cell>
          <cell r="AG9">
            <v>3898.03</v>
          </cell>
          <cell r="AH9">
            <v>0.31812035604429201</v>
          </cell>
          <cell r="AI9">
            <v>14412.83</v>
          </cell>
          <cell r="AJ9">
            <v>0.42523015951759502</v>
          </cell>
          <cell r="AL9">
            <v>95055.09</v>
          </cell>
          <cell r="AM9">
            <v>133077.12599999999</v>
          </cell>
          <cell r="AN9">
            <v>-0.41907733099818445</v>
          </cell>
          <cell r="AS9" t="str">
            <v>Nombre de En attente</v>
          </cell>
          <cell r="AT9">
            <v>0</v>
          </cell>
          <cell r="AW9">
            <v>4014.9709000000003</v>
          </cell>
          <cell r="AX9">
            <v>14845.214900000001</v>
          </cell>
          <cell r="AY9">
            <v>76744.23</v>
          </cell>
        </row>
        <row r="10">
          <cell r="A10">
            <v>610706</v>
          </cell>
          <cell r="B10" t="str">
            <v>MSL CIRCUITS</v>
          </cell>
          <cell r="C10">
            <v>0.02</v>
          </cell>
          <cell r="D10">
            <v>0.02</v>
          </cell>
          <cell r="E10">
            <v>0</v>
          </cell>
          <cell r="F10">
            <v>41275</v>
          </cell>
          <cell r="G10" t="str">
            <v>OUI</v>
          </cell>
          <cell r="I10">
            <v>0</v>
          </cell>
          <cell r="J10">
            <v>0</v>
          </cell>
          <cell r="K10" t="str">
            <v>OK</v>
          </cell>
          <cell r="L10" t="str">
            <v>OK</v>
          </cell>
          <cell r="M10" t="str">
            <v>Porte Feuille</v>
          </cell>
          <cell r="N10" t="str">
            <v>Non affecté</v>
          </cell>
          <cell r="O10" t="str">
            <v>NM</v>
          </cell>
          <cell r="P10" t="str">
            <v>Ok mon client</v>
          </cell>
          <cell r="Q10" t="str">
            <v>ORLEANS / ST JEAN DE</v>
          </cell>
          <cell r="R10" t="str">
            <v>45</v>
          </cell>
          <cell r="S10" t="str">
            <v xml:space="preserve">PARC ACTIVITES SYNERGIE </v>
          </cell>
          <cell r="T10" t="str">
            <v>45130</v>
          </cell>
          <cell r="U10" t="str">
            <v>MEUNG SUR LOIRE</v>
          </cell>
          <cell r="V10" t="str">
            <v>Mr</v>
          </cell>
          <cell r="W10" t="str">
            <v>Jean-Charles PENE</v>
          </cell>
          <cell r="X10" t="str">
            <v>45130</v>
          </cell>
          <cell r="Y10" t="str">
            <v>MEUNG SUR LOIRE</v>
          </cell>
          <cell r="Z10">
            <v>98437.99</v>
          </cell>
          <cell r="AA10">
            <v>39901.780000000006</v>
          </cell>
          <cell r="AB10">
            <v>26971.170000000006</v>
          </cell>
          <cell r="AD10">
            <v>165310.94000000003</v>
          </cell>
          <cell r="AE10">
            <v>29730</v>
          </cell>
          <cell r="AF10">
            <v>0.14410696266397577</v>
          </cell>
          <cell r="AG10">
            <v>22472.639999999999</v>
          </cell>
          <cell r="AH10">
            <v>0.42422389967395191</v>
          </cell>
          <cell r="AI10">
            <v>19238.469999999998</v>
          </cell>
          <cell r="AJ10">
            <v>0.39706327998016394</v>
          </cell>
          <cell r="AL10">
            <v>71441.11</v>
          </cell>
          <cell r="AM10">
            <v>100017.55399999999</v>
          </cell>
          <cell r="AN10">
            <v>-0.39497316995475329</v>
          </cell>
          <cell r="AS10" t="str">
            <v>Nombre de non</v>
          </cell>
          <cell r="AT10">
            <v>33</v>
          </cell>
          <cell r="AW10">
            <v>22922.092799999999</v>
          </cell>
          <cell r="AX10">
            <v>19623.239399999999</v>
          </cell>
          <cell r="AY10">
            <v>29730</v>
          </cell>
        </row>
        <row r="11">
          <cell r="A11">
            <v>64114</v>
          </cell>
          <cell r="B11" t="str">
            <v>PAREXGROUP</v>
          </cell>
          <cell r="E11">
            <v>1.2E-2</v>
          </cell>
          <cell r="F11">
            <v>41306</v>
          </cell>
          <cell r="G11" t="str">
            <v>NON</v>
          </cell>
          <cell r="H11" t="str">
            <v>Négo S. BATISSE</v>
          </cell>
          <cell r="I11">
            <v>0</v>
          </cell>
          <cell r="J11">
            <v>0</v>
          </cell>
          <cell r="K11" t="str">
            <v>OK</v>
          </cell>
          <cell r="L11" t="str">
            <v>OK</v>
          </cell>
          <cell r="N11" t="str">
            <v>Non affecté</v>
          </cell>
          <cell r="O11" t="str">
            <v>NM</v>
          </cell>
          <cell r="P11" t="str">
            <v>Ok mon client</v>
          </cell>
          <cell r="Q11" t="str">
            <v>ORLEANS / ST JEAN DE</v>
          </cell>
          <cell r="R11" t="str">
            <v>92</v>
          </cell>
          <cell r="V11" t="str">
            <v>M,</v>
          </cell>
          <cell r="W11" t="str">
            <v>LEFRANCOIS</v>
          </cell>
          <cell r="X11" t="str">
            <v>92440</v>
          </cell>
          <cell r="Y11" t="str">
            <v>ISSY LES MOULINEAUX</v>
          </cell>
          <cell r="Z11">
            <v>18169.29</v>
          </cell>
          <cell r="AD11">
            <v>18169.29</v>
          </cell>
          <cell r="AE11">
            <v>62854.31</v>
          </cell>
          <cell r="AF11">
            <v>0.29926498131729629</v>
          </cell>
          <cell r="AL11">
            <v>62854.31</v>
          </cell>
          <cell r="AM11">
            <v>87996.033999999985</v>
          </cell>
          <cell r="AN11">
            <v>3.84311902116153</v>
          </cell>
          <cell r="AQ11">
            <v>40833</v>
          </cell>
          <cell r="AS11" t="str">
            <v>Nombre de données rensignées</v>
          </cell>
          <cell r="AT11">
            <v>124</v>
          </cell>
          <cell r="AU11">
            <v>1.282258064516129</v>
          </cell>
          <cell r="AW11">
            <v>0</v>
          </cell>
          <cell r="AX11">
            <v>0</v>
          </cell>
          <cell r="AY11">
            <v>63608.561719999998</v>
          </cell>
        </row>
        <row r="12">
          <cell r="A12">
            <v>862050</v>
          </cell>
          <cell r="B12" t="str">
            <v>ANTARTIC</v>
          </cell>
          <cell r="H12" t="str">
            <v>PAS DE HAUSSE NEGO EN SEPTEMBRE</v>
          </cell>
          <cell r="I12">
            <v>0</v>
          </cell>
          <cell r="J12">
            <v>0</v>
          </cell>
          <cell r="L12" t="str">
            <v>NON</v>
          </cell>
          <cell r="N12" t="str">
            <v>Non affecté</v>
          </cell>
          <cell r="O12" t="str">
            <v>NM</v>
          </cell>
          <cell r="P12" t="str">
            <v>Ok mon client</v>
          </cell>
          <cell r="Q12" t="str">
            <v>ORLEANS / ST JEAN DE</v>
          </cell>
          <cell r="R12" t="str">
            <v>45</v>
          </cell>
          <cell r="S12" t="str">
            <v>ZI DES GENETS BP 83</v>
          </cell>
          <cell r="T12">
            <v>45110</v>
          </cell>
          <cell r="U12" t="str">
            <v>SAINT MARTIN D'ABBAT</v>
          </cell>
          <cell r="V12" t="str">
            <v>Mme</v>
          </cell>
          <cell r="W12" t="str">
            <v>Maria OLIVEIRA</v>
          </cell>
          <cell r="X12" t="str">
            <v>45110</v>
          </cell>
          <cell r="Y12" t="str">
            <v>SAINT MARTIN D'ABBAT</v>
          </cell>
          <cell r="Z12">
            <v>2685.29</v>
          </cell>
          <cell r="AD12">
            <v>2685.29</v>
          </cell>
          <cell r="AE12">
            <v>60856.850000000006</v>
          </cell>
          <cell r="AF12">
            <v>9.6830019956669192E-2</v>
          </cell>
          <cell r="AG12">
            <v>118.65</v>
          </cell>
          <cell r="AL12">
            <v>60975.500000000007</v>
          </cell>
          <cell r="AM12">
            <v>85365.700000000012</v>
          </cell>
          <cell r="AN12">
            <v>30.790123226914044</v>
          </cell>
          <cell r="AQ12">
            <v>40843</v>
          </cell>
          <cell r="AS12" t="str">
            <v>Nombre traité :</v>
          </cell>
          <cell r="AT12">
            <v>159</v>
          </cell>
          <cell r="AU12">
            <v>0.91907514450867056</v>
          </cell>
          <cell r="AW12">
            <v>118.65</v>
          </cell>
          <cell r="AX12">
            <v>0</v>
          </cell>
          <cell r="AY12">
            <v>60856.850000000006</v>
          </cell>
        </row>
        <row r="13">
          <cell r="A13">
            <v>640064</v>
          </cell>
          <cell r="B13" t="str">
            <v>SOC CONDITION DISTRIB MIEL VILLENEU</v>
          </cell>
          <cell r="H13" t="str">
            <v>EN COURS</v>
          </cell>
          <cell r="I13">
            <v>0</v>
          </cell>
          <cell r="J13">
            <v>0</v>
          </cell>
          <cell r="M13" t="str">
            <v>Porte Feuille</v>
          </cell>
          <cell r="N13" t="str">
            <v>Non affecté</v>
          </cell>
          <cell r="O13" t="str">
            <v>NM</v>
          </cell>
          <cell r="P13" t="str">
            <v>Ok mon client</v>
          </cell>
          <cell r="Q13" t="str">
            <v>ORLEANS / ST JEAN DE</v>
          </cell>
          <cell r="R13" t="str">
            <v>45</v>
          </cell>
          <cell r="S13" t="str">
            <v>BP 307</v>
          </cell>
          <cell r="T13" t="str">
            <v>45203</v>
          </cell>
          <cell r="U13" t="str">
            <v>MONTARGIS</v>
          </cell>
          <cell r="X13" t="str">
            <v>45203</v>
          </cell>
          <cell r="Y13" t="str">
            <v>MONTARGIS</v>
          </cell>
          <cell r="Z13">
            <v>18256.509999999998</v>
          </cell>
          <cell r="AA13">
            <v>74911.429999999993</v>
          </cell>
          <cell r="AB13">
            <v>3348.34</v>
          </cell>
          <cell r="AD13">
            <v>96516.279999999984</v>
          </cell>
          <cell r="AE13">
            <v>11670.710000000001</v>
          </cell>
          <cell r="AF13">
            <v>0.16380408732630644</v>
          </cell>
          <cell r="AG13">
            <v>34257.61</v>
          </cell>
          <cell r="AH13">
            <v>-0.18686738508611495</v>
          </cell>
          <cell r="AI13">
            <v>2681.1800000000003</v>
          </cell>
          <cell r="AJ13">
            <v>0.10319337008332162</v>
          </cell>
          <cell r="AL13">
            <v>48609.5</v>
          </cell>
          <cell r="AM13">
            <v>68053.3</v>
          </cell>
          <cell r="AN13">
            <v>-0.29490340904145895</v>
          </cell>
          <cell r="AS13" t="str">
            <v>Nombre total :</v>
          </cell>
          <cell r="AT13">
            <v>173</v>
          </cell>
          <cell r="AW13">
            <v>34257.61</v>
          </cell>
          <cell r="AX13">
            <v>2681.1800000000003</v>
          </cell>
          <cell r="AY13">
            <v>11670.710000000001</v>
          </cell>
        </row>
        <row r="14">
          <cell r="A14">
            <v>812059</v>
          </cell>
          <cell r="B14" t="str">
            <v>LES EMBALLAGES METALLIQUES LABRY</v>
          </cell>
          <cell r="G14" t="str">
            <v>NON</v>
          </cell>
          <cell r="H14" t="str">
            <v>Négo tarifaire en sept 2012 // PAS DE HAUSSE</v>
          </cell>
          <cell r="I14">
            <v>0</v>
          </cell>
          <cell r="J14">
            <v>0</v>
          </cell>
          <cell r="L14" t="str">
            <v>NON</v>
          </cell>
          <cell r="M14" t="str">
            <v>Porte Feuille</v>
          </cell>
          <cell r="N14" t="str">
            <v>Non affecté</v>
          </cell>
          <cell r="O14" t="str">
            <v>NM</v>
          </cell>
          <cell r="P14" t="str">
            <v>Ok mon client</v>
          </cell>
          <cell r="Q14" t="str">
            <v>ORLEANS / ST JEAN DE</v>
          </cell>
          <cell r="R14" t="str">
            <v>45</v>
          </cell>
          <cell r="S14" t="str">
            <v>12 RTE DE BOISSY LE GIRARD</v>
          </cell>
          <cell r="T14">
            <v>45480</v>
          </cell>
          <cell r="U14" t="str">
            <v>AUTRUY SUR JUINE</v>
          </cell>
          <cell r="V14" t="str">
            <v>Mr</v>
          </cell>
          <cell r="W14" t="str">
            <v xml:space="preserve">Laurent Duchesne </v>
          </cell>
          <cell r="X14" t="str">
            <v>45480</v>
          </cell>
          <cell r="Y14" t="str">
            <v>AUTRUY SUR JUINE</v>
          </cell>
          <cell r="Z14">
            <v>62734.35</v>
          </cell>
          <cell r="AA14">
            <v>507.49</v>
          </cell>
          <cell r="AB14">
            <v>325.88</v>
          </cell>
          <cell r="AD14">
            <v>63567.719999999994</v>
          </cell>
          <cell r="AE14">
            <v>44563.6</v>
          </cell>
          <cell r="AF14">
            <v>0.17115022125681104</v>
          </cell>
          <cell r="AG14">
            <v>666.41000000000008</v>
          </cell>
          <cell r="AH14">
            <v>0.36102399423778153</v>
          </cell>
          <cell r="AI14">
            <v>84.55</v>
          </cell>
          <cell r="AJ14">
            <v>5.3222945002955489E-3</v>
          </cell>
          <cell r="AL14">
            <v>45314.560000000005</v>
          </cell>
          <cell r="AM14">
            <v>63440.384000000005</v>
          </cell>
          <cell r="AN14">
            <v>-2.0031550604613368E-3</v>
          </cell>
          <cell r="AQ14">
            <v>40469</v>
          </cell>
          <cell r="AW14">
            <v>666.41000000000008</v>
          </cell>
          <cell r="AX14">
            <v>84.55</v>
          </cell>
          <cell r="AY14">
            <v>44563.6</v>
          </cell>
        </row>
        <row r="15">
          <cell r="A15">
            <v>567317</v>
          </cell>
          <cell r="B15" t="str">
            <v>GFIL GOFFIN</v>
          </cell>
          <cell r="H15" t="str">
            <v>Demande dérogation/ PAS DE HAUSSE</v>
          </cell>
          <cell r="I15">
            <v>0</v>
          </cell>
          <cell r="J15">
            <v>0</v>
          </cell>
          <cell r="L15" t="str">
            <v>NON</v>
          </cell>
          <cell r="M15" t="str">
            <v>Porte Feuille</v>
          </cell>
          <cell r="N15" t="str">
            <v>Non affecté</v>
          </cell>
          <cell r="O15" t="str">
            <v>NM</v>
          </cell>
          <cell r="P15" t="str">
            <v>Ok mon client</v>
          </cell>
          <cell r="Q15" t="str">
            <v>ORLEANS / ST JEAN DE</v>
          </cell>
          <cell r="R15" t="str">
            <v>45</v>
          </cell>
          <cell r="S15" t="str">
            <v>3 RUE DU LOING</v>
          </cell>
          <cell r="T15" t="str">
            <v>45120</v>
          </cell>
          <cell r="U15" t="str">
            <v>CHALETTE SUR LOING</v>
          </cell>
          <cell r="V15" t="str">
            <v>Mme</v>
          </cell>
          <cell r="W15" t="str">
            <v>Anne-Sophie PASQUET</v>
          </cell>
          <cell r="X15" t="str">
            <v>45120</v>
          </cell>
          <cell r="Y15" t="str">
            <v>CHALETTE SUR LOING</v>
          </cell>
          <cell r="Z15">
            <v>1337.31</v>
          </cell>
          <cell r="AA15">
            <v>54435.66</v>
          </cell>
          <cell r="AB15">
            <v>165.44</v>
          </cell>
          <cell r="AD15">
            <v>55938.41</v>
          </cell>
          <cell r="AG15">
            <v>40108.33</v>
          </cell>
          <cell r="AH15">
            <v>0.14849347831938733</v>
          </cell>
          <cell r="AI15">
            <v>889.33</v>
          </cell>
          <cell r="AJ15">
            <v>0.42349858882529551</v>
          </cell>
          <cell r="AL15">
            <v>40997.660000000003</v>
          </cell>
          <cell r="AM15">
            <v>57396.724000000002</v>
          </cell>
          <cell r="AN15">
            <v>2.6069993766358435E-2</v>
          </cell>
          <cell r="AW15">
            <v>40108.33</v>
          </cell>
          <cell r="AX15">
            <v>889.33</v>
          </cell>
          <cell r="AY15">
            <v>0</v>
          </cell>
        </row>
        <row r="16">
          <cell r="A16">
            <v>686118</v>
          </cell>
          <cell r="B16" t="str">
            <v>NATIONAL ELECTRONIQUE SERVICE</v>
          </cell>
          <cell r="C16">
            <v>3.5000000000000003E-2</v>
          </cell>
          <cell r="D16">
            <v>3.5000000000000003E-2</v>
          </cell>
          <cell r="E16">
            <v>0.02</v>
          </cell>
          <cell r="F16">
            <v>41334</v>
          </cell>
          <cell r="I16">
            <v>0</v>
          </cell>
          <cell r="J16">
            <v>0</v>
          </cell>
          <cell r="K16" t="str">
            <v>OK</v>
          </cell>
          <cell r="L16" t="str">
            <v>OK</v>
          </cell>
          <cell r="M16" t="str">
            <v>Porte Feuille</v>
          </cell>
          <cell r="N16" t="str">
            <v>Non affecté</v>
          </cell>
          <cell r="O16" t="str">
            <v>NM</v>
          </cell>
          <cell r="P16" t="str">
            <v>Ok mon client</v>
          </cell>
          <cell r="Q16" t="str">
            <v>ORLEANS / ST JEAN DE</v>
          </cell>
          <cell r="R16" t="str">
            <v>45</v>
          </cell>
          <cell r="S16" t="str">
            <v>RUE DES GENETS</v>
          </cell>
          <cell r="T16" t="str">
            <v>45590</v>
          </cell>
          <cell r="U16" t="str">
            <v>ST CYR EN VAL</v>
          </cell>
          <cell r="X16" t="str">
            <v>45590</v>
          </cell>
          <cell r="Y16" t="str">
            <v>ST CYR EN VAL</v>
          </cell>
          <cell r="Z16">
            <v>4674.62</v>
          </cell>
          <cell r="AA16">
            <v>93955.749999999985</v>
          </cell>
          <cell r="AB16">
            <v>650.89</v>
          </cell>
          <cell r="AD16">
            <v>99281.25999999998</v>
          </cell>
          <cell r="AE16">
            <v>625.6</v>
          </cell>
          <cell r="AF16">
            <v>-0.1508951406649616</v>
          </cell>
          <cell r="AG16">
            <v>37794.86</v>
          </cell>
          <cell r="AH16">
            <v>0.20880503144654089</v>
          </cell>
          <cell r="AI16">
            <v>1430.3899999999999</v>
          </cell>
          <cell r="AJ16">
            <v>0.44208810301803975</v>
          </cell>
          <cell r="AL16">
            <v>39850.85</v>
          </cell>
          <cell r="AM16">
            <v>55791.189999999995</v>
          </cell>
          <cell r="AN16">
            <v>-0.43804913434821424</v>
          </cell>
          <cell r="AW16">
            <v>39117.680099999998</v>
          </cell>
          <cell r="AX16">
            <v>1480.4536499999997</v>
          </cell>
          <cell r="AY16">
            <v>638.11200000000008</v>
          </cell>
        </row>
        <row r="17">
          <cell r="A17">
            <v>303150</v>
          </cell>
          <cell r="B17" t="str">
            <v>SICEM</v>
          </cell>
          <cell r="E17">
            <v>1.4999999999999999E-2</v>
          </cell>
          <cell r="F17">
            <v>41365</v>
          </cell>
          <cell r="H17" t="str">
            <v>EN COURS</v>
          </cell>
          <cell r="I17">
            <v>0</v>
          </cell>
          <cell r="J17">
            <v>0</v>
          </cell>
          <cell r="K17" t="str">
            <v>OK</v>
          </cell>
          <cell r="L17" t="str">
            <v>OK</v>
          </cell>
          <cell r="M17" t="str">
            <v>Porte Feuille</v>
          </cell>
          <cell r="N17" t="str">
            <v>Non affecté</v>
          </cell>
          <cell r="O17" t="str">
            <v>NM</v>
          </cell>
          <cell r="P17" t="str">
            <v>Ok mon client</v>
          </cell>
          <cell r="Q17" t="str">
            <v>ORLEANS / ST JEAN DE</v>
          </cell>
          <cell r="R17" t="str">
            <v>45</v>
          </cell>
          <cell r="S17" t="str">
            <v>DOMAINE DES ROCHES</v>
          </cell>
          <cell r="T17">
            <v>45250</v>
          </cell>
          <cell r="U17" t="str">
            <v>BRIARE</v>
          </cell>
          <cell r="X17" t="str">
            <v>45250</v>
          </cell>
          <cell r="Y17" t="str">
            <v>BRIARE</v>
          </cell>
          <cell r="Z17">
            <v>15842.96</v>
          </cell>
          <cell r="AA17">
            <v>33946.389999999992</v>
          </cell>
          <cell r="AB17">
            <v>11989.89</v>
          </cell>
          <cell r="AD17">
            <v>61779.239999999991</v>
          </cell>
          <cell r="AE17">
            <v>10705.25</v>
          </cell>
          <cell r="AF17">
            <v>0.20412881530090377</v>
          </cell>
          <cell r="AG17">
            <v>21210.57</v>
          </cell>
          <cell r="AH17">
            <v>0.31045408580469341</v>
          </cell>
          <cell r="AI17">
            <v>7407.0599999999995</v>
          </cell>
          <cell r="AJ17">
            <v>0.54830526551695291</v>
          </cell>
          <cell r="AL17">
            <v>39322.879999999997</v>
          </cell>
          <cell r="AM17">
            <v>55052.031999999992</v>
          </cell>
          <cell r="AN17">
            <v>-0.10889107732629921</v>
          </cell>
          <cell r="AW17">
            <v>21210.57</v>
          </cell>
          <cell r="AX17">
            <v>7407.0599999999995</v>
          </cell>
          <cell r="AY17">
            <v>10865.828749999999</v>
          </cell>
        </row>
        <row r="18">
          <cell r="A18">
            <v>800792</v>
          </cell>
          <cell r="B18" t="str">
            <v>SAS SEMOFLEX</v>
          </cell>
          <cell r="G18" t="str">
            <v>NON</v>
          </cell>
          <cell r="H18" t="str">
            <v>Négo par agence de Haguenau // EN COURS</v>
          </cell>
          <cell r="I18">
            <v>0</v>
          </cell>
          <cell r="J18">
            <v>0</v>
          </cell>
          <cell r="M18" t="str">
            <v>Porte Feuille</v>
          </cell>
          <cell r="N18" t="str">
            <v>Non affecté</v>
          </cell>
          <cell r="O18" t="str">
            <v>NM</v>
          </cell>
          <cell r="P18" t="str">
            <v>Ok mon client</v>
          </cell>
          <cell r="Q18" t="str">
            <v>ORLEANS / ST JEAN DE</v>
          </cell>
          <cell r="R18">
            <v>64</v>
          </cell>
          <cell r="S18" t="str">
            <v>RN 134</v>
          </cell>
          <cell r="T18">
            <v>64680</v>
          </cell>
          <cell r="U18" t="str">
            <v>OGEU LES BAINS</v>
          </cell>
          <cell r="V18" t="str">
            <v>MR</v>
          </cell>
          <cell r="W18" t="str">
            <v>URANGA</v>
          </cell>
          <cell r="X18" t="str">
            <v>111720</v>
          </cell>
          <cell r="Y18" t="str">
            <v>OGEU LES BAINS</v>
          </cell>
          <cell r="Z18">
            <v>38248</v>
          </cell>
          <cell r="AA18">
            <v>355</v>
          </cell>
          <cell r="AB18">
            <v>474</v>
          </cell>
          <cell r="AD18">
            <v>39077</v>
          </cell>
          <cell r="AE18">
            <v>29897</v>
          </cell>
          <cell r="AF18">
            <v>0.25913218425319817</v>
          </cell>
          <cell r="AG18">
            <v>6335</v>
          </cell>
          <cell r="AH18">
            <v>0.41243787748572819</v>
          </cell>
          <cell r="AI18">
            <v>202</v>
          </cell>
          <cell r="AJ18">
            <v>0.55400034937549136</v>
          </cell>
          <cell r="AL18">
            <v>36434</v>
          </cell>
          <cell r="AM18">
            <v>51007.6</v>
          </cell>
          <cell r="AN18">
            <v>0.30531002891726589</v>
          </cell>
          <cell r="AQ18">
            <v>40569</v>
          </cell>
          <cell r="AW18">
            <v>6335</v>
          </cell>
          <cell r="AX18">
            <v>202</v>
          </cell>
          <cell r="AY18">
            <v>29897</v>
          </cell>
        </row>
        <row r="19">
          <cell r="A19">
            <v>386576</v>
          </cell>
          <cell r="B19" t="str">
            <v>CEPRODI</v>
          </cell>
          <cell r="H19" t="str">
            <v>EN COURS</v>
          </cell>
          <cell r="I19">
            <v>0</v>
          </cell>
          <cell r="J19">
            <v>0</v>
          </cell>
          <cell r="M19" t="str">
            <v>Porte Feuille</v>
          </cell>
          <cell r="N19" t="str">
            <v>Non affecté</v>
          </cell>
          <cell r="O19" t="str">
            <v>NM</v>
          </cell>
          <cell r="P19" t="str">
            <v>Ok mon client</v>
          </cell>
          <cell r="Q19" t="str">
            <v>ORLEANS / ST JEAN DE</v>
          </cell>
          <cell r="R19" t="str">
            <v>75</v>
          </cell>
          <cell r="S19" t="str">
            <v>RUE DU CHATEAU D'EAU</v>
          </cell>
          <cell r="T19">
            <v>45230</v>
          </cell>
          <cell r="U19" t="str">
            <v>CHATILLON COLIGNY</v>
          </cell>
          <cell r="V19" t="str">
            <v>Mr</v>
          </cell>
          <cell r="W19" t="str">
            <v>Emmanuel</v>
          </cell>
          <cell r="X19" t="str">
            <v>75008</v>
          </cell>
          <cell r="Y19" t="str">
            <v>PARIS 08</v>
          </cell>
          <cell r="Z19">
            <v>58609.340000000011</v>
          </cell>
          <cell r="AA19">
            <v>6692.1099999999988</v>
          </cell>
          <cell r="AB19">
            <v>1055.17</v>
          </cell>
          <cell r="AD19">
            <v>66356.62000000001</v>
          </cell>
          <cell r="AE19">
            <v>28600.479999999996</v>
          </cell>
          <cell r="AF19">
            <v>0.29564119203593747</v>
          </cell>
          <cell r="AG19">
            <v>4644.0700000000006</v>
          </cell>
          <cell r="AH19">
            <v>0.41348213958876595</v>
          </cell>
          <cell r="AI19">
            <v>1463.57</v>
          </cell>
          <cell r="AJ19">
            <v>0.3179212473609051</v>
          </cell>
          <cell r="AL19">
            <v>34708.119999999995</v>
          </cell>
          <cell r="AM19">
            <v>48591.367999999988</v>
          </cell>
          <cell r="AN19">
            <v>-0.26772388346483023</v>
          </cell>
          <cell r="AW19">
            <v>4644.0700000000006</v>
          </cell>
          <cell r="AX19">
            <v>1463.57</v>
          </cell>
          <cell r="AY19">
            <v>28600.479999999996</v>
          </cell>
        </row>
        <row r="20">
          <cell r="A20">
            <v>462891</v>
          </cell>
          <cell r="B20" t="str">
            <v>LAITERIE DE ST DENIS DE L'HOTEL</v>
          </cell>
          <cell r="G20" t="str">
            <v>NON</v>
          </cell>
          <cell r="H20" t="str">
            <v>AO GLOBAL // PAS DE HAUSSE</v>
          </cell>
          <cell r="I20">
            <v>0</v>
          </cell>
          <cell r="J20">
            <v>0</v>
          </cell>
          <cell r="L20" t="str">
            <v>NON</v>
          </cell>
          <cell r="M20" t="str">
            <v>Porte Feuille</v>
          </cell>
          <cell r="N20" t="str">
            <v>Non affecté</v>
          </cell>
          <cell r="O20" t="str">
            <v>NM</v>
          </cell>
          <cell r="P20" t="str">
            <v>Ok mon client</v>
          </cell>
          <cell r="Q20" t="str">
            <v>ORLEANS / ST JEAN DE</v>
          </cell>
          <cell r="R20" t="str">
            <v>45</v>
          </cell>
          <cell r="S20" t="str">
            <v>10 ROUTE DE L'AERODROME -   BP 10</v>
          </cell>
          <cell r="T20">
            <v>45550</v>
          </cell>
          <cell r="U20" t="str">
            <v>ST DENIS DE L HOTEL</v>
          </cell>
          <cell r="V20" t="str">
            <v>Mr</v>
          </cell>
          <cell r="W20" t="str">
            <v>MOSER Christian</v>
          </cell>
          <cell r="X20" t="str">
            <v>45550</v>
          </cell>
          <cell r="Y20" t="str">
            <v>ST DENIS DE L'HOTEL</v>
          </cell>
          <cell r="Z20">
            <v>45331.65</v>
          </cell>
          <cell r="AD20">
            <v>45331.65</v>
          </cell>
          <cell r="AE20">
            <v>32682.31</v>
          </cell>
          <cell r="AF20">
            <v>0.1664463951994731</v>
          </cell>
          <cell r="AL20">
            <v>32682.31</v>
          </cell>
          <cell r="AM20">
            <v>45755.233999999997</v>
          </cell>
          <cell r="AN20">
            <v>9.3441116747348119E-3</v>
          </cell>
          <cell r="AQ20">
            <v>40588</v>
          </cell>
          <cell r="AW20">
            <v>0</v>
          </cell>
          <cell r="AX20">
            <v>0</v>
          </cell>
          <cell r="AY20">
            <v>32682.31</v>
          </cell>
        </row>
        <row r="21">
          <cell r="A21">
            <v>499057</v>
          </cell>
          <cell r="B21" t="str">
            <v>VISCO</v>
          </cell>
          <cell r="C21">
            <v>0.03</v>
          </cell>
          <cell r="D21">
            <v>0.03</v>
          </cell>
          <cell r="F21">
            <v>41275</v>
          </cell>
          <cell r="G21" t="str">
            <v>OUI</v>
          </cell>
          <cell r="H21" t="str">
            <v>SGO Minorée</v>
          </cell>
          <cell r="I21">
            <v>0</v>
          </cell>
          <cell r="J21">
            <v>0</v>
          </cell>
          <cell r="K21" t="str">
            <v>OK</v>
          </cell>
          <cell r="L21" t="str">
            <v>OK</v>
          </cell>
          <cell r="M21" t="str">
            <v>Porte Feuille</v>
          </cell>
          <cell r="N21" t="str">
            <v>Non affecté</v>
          </cell>
          <cell r="O21" t="str">
            <v>NM</v>
          </cell>
          <cell r="P21" t="str">
            <v>Ok mon client</v>
          </cell>
          <cell r="Q21" t="str">
            <v>ORLEANS / ST JEAN DE</v>
          </cell>
          <cell r="R21" t="str">
            <v>45</v>
          </cell>
          <cell r="S21" t="str">
            <v>111 AVENUE GENERAL LECLERC</v>
          </cell>
          <cell r="T21" t="str">
            <v>45120</v>
          </cell>
          <cell r="U21" t="str">
            <v>CHALETTE SUR LOING</v>
          </cell>
          <cell r="V21" t="str">
            <v>Mr</v>
          </cell>
          <cell r="W21" t="str">
            <v>Thierry BOYER</v>
          </cell>
          <cell r="X21" t="str">
            <v>45120</v>
          </cell>
          <cell r="Y21" t="str">
            <v>CHALETTE SUR LOING</v>
          </cell>
          <cell r="Z21">
            <v>1472.06</v>
          </cell>
          <cell r="AA21">
            <v>44725.17</v>
          </cell>
          <cell r="AB21">
            <v>1069.21</v>
          </cell>
          <cell r="AD21">
            <v>47266.439999999995</v>
          </cell>
          <cell r="AE21">
            <v>345.68</v>
          </cell>
          <cell r="AF21">
            <v>0.56607266836380465</v>
          </cell>
          <cell r="AG21">
            <v>29905.78</v>
          </cell>
          <cell r="AH21">
            <v>0.7055742874888099</v>
          </cell>
          <cell r="AI21">
            <v>331.36</v>
          </cell>
          <cell r="AJ21">
            <v>0.61003138580395944</v>
          </cell>
          <cell r="AL21">
            <v>30582.82</v>
          </cell>
          <cell r="AM21">
            <v>42815.947999999997</v>
          </cell>
          <cell r="AN21">
            <v>-9.4157546030545158E-2</v>
          </cell>
          <cell r="AW21">
            <v>30802.953399999999</v>
          </cell>
          <cell r="AX21">
            <v>341.30080000000004</v>
          </cell>
          <cell r="AY21">
            <v>345.68</v>
          </cell>
        </row>
        <row r="22">
          <cell r="A22">
            <v>631133</v>
          </cell>
          <cell r="B22" t="str">
            <v>ADB CONDITIONNEMENT</v>
          </cell>
          <cell r="C22">
            <v>0</v>
          </cell>
          <cell r="D22">
            <v>0</v>
          </cell>
          <cell r="E22">
            <v>0</v>
          </cell>
          <cell r="H22" t="str">
            <v>mail de NM pas de hausse annulee le 22 02 2013</v>
          </cell>
          <cell r="I22">
            <v>0</v>
          </cell>
          <cell r="J22">
            <v>0</v>
          </cell>
          <cell r="K22" t="str">
            <v>OK</v>
          </cell>
          <cell r="L22" t="str">
            <v>OK</v>
          </cell>
          <cell r="M22" t="str">
            <v>Porte Feuille</v>
          </cell>
          <cell r="N22" t="str">
            <v>Non affecté</v>
          </cell>
          <cell r="O22" t="str">
            <v>NM</v>
          </cell>
          <cell r="P22" t="str">
            <v>Ok mon client</v>
          </cell>
          <cell r="Q22" t="str">
            <v>ORLEANS / ST JEAN DE</v>
          </cell>
          <cell r="R22" t="str">
            <v>45</v>
          </cell>
          <cell r="S22" t="str">
            <v>RUE DENIS PAPIN</v>
          </cell>
          <cell r="T22" t="str">
            <v>45500</v>
          </cell>
          <cell r="U22" t="str">
            <v>GIEN</v>
          </cell>
          <cell r="V22" t="str">
            <v>Mme</v>
          </cell>
          <cell r="W22" t="str">
            <v>Jezabelle</v>
          </cell>
          <cell r="X22" t="str">
            <v>45500</v>
          </cell>
          <cell r="Y22" t="str">
            <v>GIEN</v>
          </cell>
          <cell r="Z22">
            <v>25904.839999999997</v>
          </cell>
          <cell r="AB22">
            <v>386.71000000000004</v>
          </cell>
          <cell r="AD22">
            <v>26291.549999999996</v>
          </cell>
          <cell r="AE22">
            <v>30552.86</v>
          </cell>
          <cell r="AF22">
            <v>-9.9897030916254625E-2</v>
          </cell>
          <cell r="AL22">
            <v>30552.86</v>
          </cell>
          <cell r="AM22">
            <v>42774.004000000001</v>
          </cell>
          <cell r="AN22">
            <v>0.62691069944525935</v>
          </cell>
          <cell r="AW22">
            <v>0</v>
          </cell>
          <cell r="AX22">
            <v>0</v>
          </cell>
          <cell r="AY22">
            <v>30552.86</v>
          </cell>
        </row>
        <row r="23">
          <cell r="A23">
            <v>381919</v>
          </cell>
          <cell r="B23" t="str">
            <v>SERTA FRANCE</v>
          </cell>
          <cell r="H23" t="str">
            <v>OK dérogation // PAS DE HAUSSE</v>
          </cell>
          <cell r="I23">
            <v>0</v>
          </cell>
          <cell r="J23">
            <v>0</v>
          </cell>
          <cell r="L23" t="str">
            <v>NON</v>
          </cell>
          <cell r="M23" t="str">
            <v>Porte Feuille</v>
          </cell>
          <cell r="N23" t="str">
            <v>Non affecté</v>
          </cell>
          <cell r="O23" t="str">
            <v>NM</v>
          </cell>
          <cell r="P23" t="str">
            <v>Ok mon client</v>
          </cell>
          <cell r="Q23" t="str">
            <v>ORLEANS / ST JEAN DE</v>
          </cell>
          <cell r="R23" t="str">
            <v>45</v>
          </cell>
          <cell r="S23" t="str">
            <v>14-16 RUE DE VAULUIZARD</v>
          </cell>
          <cell r="T23">
            <v>45330</v>
          </cell>
          <cell r="U23" t="str">
            <v>MALESHERBES</v>
          </cell>
          <cell r="X23" t="str">
            <v>45330</v>
          </cell>
          <cell r="Y23" t="str">
            <v>MALESHERBES</v>
          </cell>
          <cell r="Z23">
            <v>4243.97</v>
          </cell>
          <cell r="AA23">
            <v>35831.949999999997</v>
          </cell>
          <cell r="AB23">
            <v>9810.83</v>
          </cell>
          <cell r="AD23">
            <v>49886.75</v>
          </cell>
          <cell r="AE23">
            <v>671.36999999999989</v>
          </cell>
          <cell r="AG23">
            <v>22359.850000000002</v>
          </cell>
          <cell r="AH23">
            <v>0.53308535920011002</v>
          </cell>
          <cell r="AI23">
            <v>7308.52</v>
          </cell>
          <cell r="AJ23">
            <v>0.41806057306873878</v>
          </cell>
          <cell r="AL23">
            <v>30339.74</v>
          </cell>
          <cell r="AM23">
            <v>42475.635999999999</v>
          </cell>
          <cell r="AN23">
            <v>-0.14855876560409331</v>
          </cell>
          <cell r="AW23">
            <v>22359.850000000002</v>
          </cell>
          <cell r="AX23">
            <v>7308.52</v>
          </cell>
          <cell r="AY23">
            <v>671.36999999999989</v>
          </cell>
        </row>
        <row r="24">
          <cell r="A24">
            <v>79513</v>
          </cell>
          <cell r="B24" t="str">
            <v>FAIENCERIES DE GIEN</v>
          </cell>
          <cell r="C24">
            <v>2.5000000000000001E-2</v>
          </cell>
          <cell r="D24">
            <v>2.5000000000000001E-2</v>
          </cell>
          <cell r="E24">
            <v>0</v>
          </cell>
          <cell r="F24">
            <v>41351</v>
          </cell>
          <cell r="H24" t="str">
            <v>EN COURS</v>
          </cell>
          <cell r="I24">
            <v>0</v>
          </cell>
          <cell r="J24">
            <v>0</v>
          </cell>
          <cell r="K24" t="str">
            <v>OK</v>
          </cell>
          <cell r="L24" t="str">
            <v>OK</v>
          </cell>
          <cell r="M24" t="str">
            <v>Porte Feuille</v>
          </cell>
          <cell r="N24" t="str">
            <v>Non affecté</v>
          </cell>
          <cell r="O24" t="str">
            <v>NM</v>
          </cell>
          <cell r="P24" t="str">
            <v>Ok mon client</v>
          </cell>
          <cell r="Q24" t="str">
            <v>ORLEANS / ST JEAN DE</v>
          </cell>
          <cell r="R24" t="str">
            <v>45</v>
          </cell>
          <cell r="S24" t="str">
            <v>78 PLACE DE LA VICTOIRE</v>
          </cell>
          <cell r="T24">
            <v>45500</v>
          </cell>
          <cell r="U24" t="str">
            <v>GIEN</v>
          </cell>
          <cell r="V24" t="str">
            <v>Mme</v>
          </cell>
          <cell r="W24" t="str">
            <v>Spenzo</v>
          </cell>
          <cell r="X24" t="str">
            <v>45500</v>
          </cell>
          <cell r="Y24" t="str">
            <v>GIEN</v>
          </cell>
          <cell r="Z24">
            <v>2466.06</v>
          </cell>
          <cell r="AA24">
            <v>718.99</v>
          </cell>
          <cell r="AB24">
            <v>54001.760000000002</v>
          </cell>
          <cell r="AD24">
            <v>57186.810000000005</v>
          </cell>
          <cell r="AE24">
            <v>2810.4300000000003</v>
          </cell>
          <cell r="AF24">
            <v>0.18161989446454807</v>
          </cell>
          <cell r="AI24">
            <v>26440.689999999995</v>
          </cell>
          <cell r="AJ24">
            <v>0.41927385404843848</v>
          </cell>
          <cell r="AL24">
            <v>29251.119999999995</v>
          </cell>
          <cell r="AM24">
            <v>40951.567999999992</v>
          </cell>
          <cell r="AN24">
            <v>-0.28389836747319896</v>
          </cell>
          <cell r="AW24">
            <v>0</v>
          </cell>
          <cell r="AX24">
            <v>27101.707249999992</v>
          </cell>
          <cell r="AY24">
            <v>2810.4300000000003</v>
          </cell>
        </row>
        <row r="25">
          <cell r="A25">
            <v>583361</v>
          </cell>
          <cell r="B25" t="str">
            <v>TREESCO</v>
          </cell>
          <cell r="G25" t="str">
            <v>OUI</v>
          </cell>
          <cell r="H25" t="str">
            <v>PAS DE HAUSSE APPEL D OFFRE EN COURS</v>
          </cell>
          <cell r="I25">
            <v>0</v>
          </cell>
          <cell r="J25">
            <v>0</v>
          </cell>
          <cell r="L25" t="str">
            <v>NON</v>
          </cell>
          <cell r="N25" t="str">
            <v>Non affecté</v>
          </cell>
          <cell r="O25" t="str">
            <v>NM</v>
          </cell>
          <cell r="P25" t="str">
            <v>Ok mon client</v>
          </cell>
          <cell r="Q25" t="str">
            <v>ORLEANS / ST JEAN DE</v>
          </cell>
          <cell r="R25" t="str">
            <v>45</v>
          </cell>
          <cell r="S25" t="str">
            <v>2 EME AVENUE</v>
          </cell>
          <cell r="T25">
            <v>45130</v>
          </cell>
          <cell r="U25" t="str">
            <v>MEUNG-SUR-LOING</v>
          </cell>
          <cell r="V25" t="str">
            <v>Mme</v>
          </cell>
          <cell r="W25" t="str">
            <v>PEREIRA Marie</v>
          </cell>
          <cell r="X25" t="str">
            <v>45130</v>
          </cell>
          <cell r="Y25" t="str">
            <v>MEUNG-SUR-LOING</v>
          </cell>
          <cell r="Z25">
            <v>4134.8500000000004</v>
          </cell>
          <cell r="AA25">
            <v>366.49</v>
          </cell>
          <cell r="AB25">
            <v>3195.93</v>
          </cell>
          <cell r="AD25">
            <v>7697.27</v>
          </cell>
          <cell r="AE25">
            <v>16318.56</v>
          </cell>
          <cell r="AF25">
            <v>0.12887472914276757</v>
          </cell>
          <cell r="AG25">
            <v>1033.45</v>
          </cell>
          <cell r="AH25">
            <v>0.38564033093037864</v>
          </cell>
          <cell r="AI25">
            <v>4728.0599999999995</v>
          </cell>
          <cell r="AJ25">
            <v>0.40078594603283357</v>
          </cell>
          <cell r="AL25">
            <v>22080.07</v>
          </cell>
          <cell r="AM25">
            <v>30912.097999999998</v>
          </cell>
          <cell r="AN25">
            <v>3.0159820299924514</v>
          </cell>
          <cell r="AW25">
            <v>1033.45</v>
          </cell>
          <cell r="AX25">
            <v>4728.0599999999995</v>
          </cell>
          <cell r="AY25">
            <v>16318.56</v>
          </cell>
        </row>
        <row r="26">
          <cell r="A26">
            <v>302177</v>
          </cell>
          <cell r="B26" t="str">
            <v>DISTRIBUTION SANITAIRE CHAUFFAGE</v>
          </cell>
          <cell r="H26" t="str">
            <v>EN COURS</v>
          </cell>
          <cell r="I26">
            <v>0</v>
          </cell>
          <cell r="J26">
            <v>0</v>
          </cell>
          <cell r="N26" t="str">
            <v>Non affecté</v>
          </cell>
          <cell r="O26" t="str">
            <v>NM</v>
          </cell>
          <cell r="P26" t="str">
            <v>Ok mon client</v>
          </cell>
          <cell r="Q26" t="str">
            <v>ORLEANS / ST JEAN DE</v>
          </cell>
          <cell r="R26" t="str">
            <v>60</v>
          </cell>
          <cell r="S26" t="str">
            <v>2 AVENUE DES CHARMES</v>
          </cell>
          <cell r="T26">
            <v>60550</v>
          </cell>
          <cell r="U26" t="str">
            <v>VERNEUIL EN HALATTE</v>
          </cell>
          <cell r="X26" t="str">
            <v>60550</v>
          </cell>
          <cell r="Y26" t="str">
            <v>VERNEUIL EN HALATTE</v>
          </cell>
          <cell r="Z26">
            <v>3574.1400000000003</v>
          </cell>
          <cell r="AB26">
            <v>10124.619999999999</v>
          </cell>
          <cell r="AD26">
            <v>13698.759999999998</v>
          </cell>
          <cell r="AE26">
            <v>19599.39</v>
          </cell>
          <cell r="AF26">
            <v>0.381103187395118</v>
          </cell>
          <cell r="AI26">
            <v>1599.02</v>
          </cell>
          <cell r="AJ26">
            <v>-0.62216857825418015</v>
          </cell>
          <cell r="AL26">
            <v>21198.41</v>
          </cell>
          <cell r="AM26">
            <v>29677.773999999998</v>
          </cell>
          <cell r="AN26">
            <v>1.1664569639879816</v>
          </cell>
          <cell r="AQ26">
            <v>40969</v>
          </cell>
          <cell r="AW26">
            <v>0</v>
          </cell>
          <cell r="AX26">
            <v>1599.02</v>
          </cell>
          <cell r="AY26">
            <v>19599.39</v>
          </cell>
        </row>
        <row r="27">
          <cell r="A27">
            <v>482264</v>
          </cell>
          <cell r="B27" t="str">
            <v>JCC EMBALLAGES</v>
          </cell>
          <cell r="C27">
            <v>5.5E-2</v>
          </cell>
          <cell r="F27">
            <v>41288</v>
          </cell>
          <cell r="G27" t="str">
            <v>OUI</v>
          </cell>
          <cell r="H27" t="str">
            <v>SGO Minorée/ RECTIFICATION DE HAUSSE SUITE MAIL DE NM</v>
          </cell>
          <cell r="I27">
            <v>0</v>
          </cell>
          <cell r="J27">
            <v>0</v>
          </cell>
          <cell r="K27" t="str">
            <v>OK</v>
          </cell>
          <cell r="L27" t="str">
            <v>OK</v>
          </cell>
          <cell r="M27" t="str">
            <v>Porte Feuille</v>
          </cell>
          <cell r="N27" t="str">
            <v>Non affecté</v>
          </cell>
          <cell r="O27" t="str">
            <v>NM</v>
          </cell>
          <cell r="P27" t="str">
            <v>Ok mon client</v>
          </cell>
          <cell r="Q27" t="str">
            <v>ORLEANS / ST JEAN DE</v>
          </cell>
          <cell r="R27" t="str">
            <v>45</v>
          </cell>
          <cell r="S27" t="str">
            <v>CHEMIN CROIX D'ALVAULT</v>
          </cell>
          <cell r="T27">
            <v>45240</v>
          </cell>
          <cell r="U27" t="str">
            <v>LA FERTE ST AUBIN</v>
          </cell>
          <cell r="V27" t="str">
            <v xml:space="preserve">Mr </v>
          </cell>
          <cell r="W27" t="str">
            <v>Jean-Claude CLEMENT</v>
          </cell>
          <cell r="X27" t="str">
            <v>45240</v>
          </cell>
          <cell r="Y27" t="str">
            <v>LA FERTE ST AUBIN</v>
          </cell>
          <cell r="Z27">
            <v>3262.75</v>
          </cell>
          <cell r="AA27">
            <v>21417.69</v>
          </cell>
          <cell r="AD27">
            <v>24680.44</v>
          </cell>
          <cell r="AE27">
            <v>2561.79</v>
          </cell>
          <cell r="AF27">
            <v>9.392651232146268E-2</v>
          </cell>
          <cell r="AG27">
            <v>17757.79</v>
          </cell>
          <cell r="AH27">
            <v>0.65927235314754795</v>
          </cell>
          <cell r="AI27">
            <v>41.08</v>
          </cell>
          <cell r="AJ27">
            <v>0.54454722492697172</v>
          </cell>
          <cell r="AL27">
            <v>20360.660000000003</v>
          </cell>
          <cell r="AM27">
            <v>28504.924000000003</v>
          </cell>
          <cell r="AN27">
            <v>0.15496012226686418</v>
          </cell>
          <cell r="AW27">
            <v>18734.46845</v>
          </cell>
          <cell r="AX27">
            <v>41.08</v>
          </cell>
          <cell r="AY27">
            <v>2561.79</v>
          </cell>
        </row>
        <row r="28">
          <cell r="A28">
            <v>383790</v>
          </cell>
          <cell r="B28" t="str">
            <v>NUM'AXES</v>
          </cell>
          <cell r="H28" t="str">
            <v>EN COURS</v>
          </cell>
          <cell r="I28">
            <v>0</v>
          </cell>
          <cell r="J28">
            <v>0</v>
          </cell>
          <cell r="M28" t="str">
            <v>Porte Feuille</v>
          </cell>
          <cell r="N28" t="str">
            <v>Non affecté</v>
          </cell>
          <cell r="O28" t="str">
            <v>NM</v>
          </cell>
          <cell r="P28" t="str">
            <v>Ok mon client</v>
          </cell>
          <cell r="Q28" t="str">
            <v>ORLEANS / ST JEAN DE</v>
          </cell>
          <cell r="R28" t="str">
            <v>45</v>
          </cell>
          <cell r="S28" t="str">
            <v>745 RUE DE LA BERGERESSE</v>
          </cell>
          <cell r="T28">
            <v>45161</v>
          </cell>
          <cell r="U28" t="str">
            <v>OLIVET</v>
          </cell>
          <cell r="X28" t="str">
            <v>45161</v>
          </cell>
          <cell r="Y28" t="str">
            <v>OLIVET CEDEX</v>
          </cell>
          <cell r="Z28">
            <v>2897.25</v>
          </cell>
          <cell r="AA28">
            <v>13630.45</v>
          </cell>
          <cell r="AB28">
            <v>7917.26</v>
          </cell>
          <cell r="AD28">
            <v>24444.959999999999</v>
          </cell>
          <cell r="AE28">
            <v>238.81</v>
          </cell>
          <cell r="AF28">
            <v>0.24626271931661153</v>
          </cell>
          <cell r="AG28">
            <v>13382.43</v>
          </cell>
          <cell r="AH28">
            <v>0.58631578868710676</v>
          </cell>
          <cell r="AI28">
            <v>5289.6900000000005</v>
          </cell>
          <cell r="AJ28">
            <v>0.37874620251848395</v>
          </cell>
          <cell r="AL28">
            <v>18910.93</v>
          </cell>
          <cell r="AM28">
            <v>26475.302</v>
          </cell>
          <cell r="AN28">
            <v>8.3057693692278445E-2</v>
          </cell>
          <cell r="AW28">
            <v>13382.43</v>
          </cell>
          <cell r="AX28">
            <v>5289.6900000000005</v>
          </cell>
          <cell r="AY28">
            <v>238.81</v>
          </cell>
        </row>
        <row r="29">
          <cell r="A29">
            <v>394273</v>
          </cell>
          <cell r="B29" t="str">
            <v>PM FILTRATION</v>
          </cell>
          <cell r="H29" t="str">
            <v>EN COURS</v>
          </cell>
          <cell r="I29">
            <v>0</v>
          </cell>
          <cell r="J29">
            <v>0</v>
          </cell>
          <cell r="N29" t="str">
            <v>Non affecté</v>
          </cell>
          <cell r="O29" t="str">
            <v>NM</v>
          </cell>
          <cell r="P29" t="str">
            <v>Ok mon client</v>
          </cell>
          <cell r="Q29" t="str">
            <v>ORLEANS / ST JEAN DE</v>
          </cell>
          <cell r="R29" t="str">
            <v>45</v>
          </cell>
          <cell r="S29" t="str">
            <v>ZAC DES AULNAIES</v>
          </cell>
          <cell r="T29">
            <v>45160</v>
          </cell>
          <cell r="U29" t="str">
            <v>OLIVET</v>
          </cell>
          <cell r="X29" t="str">
            <v>45160</v>
          </cell>
          <cell r="Y29" t="str">
            <v>OLIVET</v>
          </cell>
          <cell r="Z29">
            <v>1307.45</v>
          </cell>
          <cell r="AA29">
            <v>174.59</v>
          </cell>
          <cell r="AB29">
            <v>17112.579999999998</v>
          </cell>
          <cell r="AD29">
            <v>18594.62</v>
          </cell>
          <cell r="AI29">
            <v>18040.030000000002</v>
          </cell>
          <cell r="AJ29">
            <v>0.5527491110552859</v>
          </cell>
          <cell r="AL29">
            <v>18040.030000000002</v>
          </cell>
          <cell r="AM29">
            <v>25256.042000000001</v>
          </cell>
          <cell r="AN29">
            <v>0.35824458902628842</v>
          </cell>
          <cell r="AW29">
            <v>0</v>
          </cell>
          <cell r="AX29">
            <v>18040.030000000002</v>
          </cell>
          <cell r="AY29">
            <v>0</v>
          </cell>
        </row>
        <row r="30">
          <cell r="A30">
            <v>562930</v>
          </cell>
          <cell r="B30" t="str">
            <v>TMA SOCOM</v>
          </cell>
          <cell r="C30">
            <v>0.03</v>
          </cell>
          <cell r="D30">
            <v>0.03</v>
          </cell>
          <cell r="E30">
            <v>1.4999999999999999E-2</v>
          </cell>
          <cell r="F30">
            <v>41306</v>
          </cell>
          <cell r="I30">
            <v>0</v>
          </cell>
          <cell r="J30">
            <v>0</v>
          </cell>
          <cell r="K30" t="str">
            <v>OK</v>
          </cell>
          <cell r="L30" t="str">
            <v>OK</v>
          </cell>
          <cell r="N30" t="str">
            <v>Non affecté</v>
          </cell>
          <cell r="O30" t="str">
            <v>NM</v>
          </cell>
          <cell r="P30" t="str">
            <v>Ok mon client</v>
          </cell>
          <cell r="Q30" t="str">
            <v>ORLEANS / ST JEAN DE</v>
          </cell>
          <cell r="R30" t="str">
            <v>77</v>
          </cell>
          <cell r="S30" t="str">
            <v>RUE NEUVE</v>
          </cell>
          <cell r="T30">
            <v>45300</v>
          </cell>
          <cell r="U30" t="str">
            <v>DADONVILLE</v>
          </cell>
          <cell r="V30" t="str">
            <v>Mr</v>
          </cell>
          <cell r="W30" t="str">
            <v>ASSELINEAU</v>
          </cell>
          <cell r="X30" t="str">
            <v>77144</v>
          </cell>
          <cell r="Y30" t="str">
            <v>MONTEVRAIN</v>
          </cell>
          <cell r="Z30">
            <v>1541.8200000000002</v>
          </cell>
          <cell r="AA30">
            <v>15342.52</v>
          </cell>
          <cell r="AB30">
            <v>48.34</v>
          </cell>
          <cell r="AD30">
            <v>16932.68</v>
          </cell>
          <cell r="AE30">
            <v>2676.8900000000003</v>
          </cell>
          <cell r="AF30">
            <v>0.23045026131070021</v>
          </cell>
          <cell r="AG30">
            <v>14770.810000000001</v>
          </cell>
          <cell r="AH30">
            <v>0.67047033981210258</v>
          </cell>
          <cell r="AI30">
            <v>126.76</v>
          </cell>
          <cell r="AJ30">
            <v>0.63071946986431049</v>
          </cell>
          <cell r="AL30">
            <v>17574.46</v>
          </cell>
          <cell r="AM30">
            <v>24604.243999999999</v>
          </cell>
          <cell r="AN30">
            <v>0.45306259847820884</v>
          </cell>
          <cell r="AW30">
            <v>15213.934300000003</v>
          </cell>
          <cell r="AX30">
            <v>130.56280000000001</v>
          </cell>
          <cell r="AY30">
            <v>2717.0433499999999</v>
          </cell>
        </row>
        <row r="31">
          <cell r="A31">
            <v>447976</v>
          </cell>
          <cell r="B31" t="str">
            <v>CARUELLE NICOLAS</v>
          </cell>
          <cell r="H31" t="str">
            <v>EN COURS</v>
          </cell>
          <cell r="I31">
            <v>0</v>
          </cell>
          <cell r="J31">
            <v>0</v>
          </cell>
          <cell r="N31" t="str">
            <v>Non affecté</v>
          </cell>
          <cell r="O31" t="str">
            <v>NM</v>
          </cell>
          <cell r="P31" t="str">
            <v>Ok mon client</v>
          </cell>
          <cell r="Q31" t="str">
            <v>ORLEANS / ST JEAN DE</v>
          </cell>
          <cell r="R31" t="str">
            <v>45</v>
          </cell>
          <cell r="S31" t="str">
            <v>2 RUE DE L'INDUSTRIE</v>
          </cell>
          <cell r="T31">
            <v>45550</v>
          </cell>
          <cell r="U31" t="str">
            <v>ST DENIS DE L HOTEL</v>
          </cell>
          <cell r="X31" t="str">
            <v>45550</v>
          </cell>
          <cell r="Y31" t="str">
            <v>ST DENIS DE L'HOTEL</v>
          </cell>
          <cell r="Z31">
            <v>1941</v>
          </cell>
          <cell r="AD31">
            <v>1941</v>
          </cell>
          <cell r="AE31">
            <v>16081.42</v>
          </cell>
          <cell r="AF31">
            <v>0.25788891776969958</v>
          </cell>
          <cell r="AG31">
            <v>1070.3699999999999</v>
          </cell>
          <cell r="AH31">
            <v>0.378215009762979</v>
          </cell>
          <cell r="AL31">
            <v>17151.79</v>
          </cell>
          <cell r="AM31">
            <v>24012.506000000001</v>
          </cell>
          <cell r="AN31">
            <v>11.37120350334879</v>
          </cell>
          <cell r="AW31">
            <v>1070.3699999999999</v>
          </cell>
          <cell r="AX31">
            <v>0</v>
          </cell>
          <cell r="AY31">
            <v>16081.42</v>
          </cell>
        </row>
        <row r="32">
          <cell r="A32">
            <v>390466</v>
          </cell>
          <cell r="B32" t="str">
            <v>DURALEX INTERNATIONAL</v>
          </cell>
          <cell r="G32" t="str">
            <v>NON</v>
          </cell>
          <cell r="H32" t="str">
            <v>CLIENT PERDU / Offre en cours / PAS DE HAUSSE</v>
          </cell>
          <cell r="I32">
            <v>0</v>
          </cell>
          <cell r="J32">
            <v>0</v>
          </cell>
          <cell r="L32" t="str">
            <v>NON</v>
          </cell>
          <cell r="M32" t="str">
            <v>Porte Feuille</v>
          </cell>
          <cell r="N32" t="str">
            <v>Non affecté</v>
          </cell>
          <cell r="O32" t="str">
            <v>NM</v>
          </cell>
          <cell r="P32" t="str">
            <v>Ok mon client</v>
          </cell>
          <cell r="Q32" t="str">
            <v>ORLEANS / ST JEAN DE</v>
          </cell>
          <cell r="R32" t="str">
            <v>45</v>
          </cell>
          <cell r="S32" t="str">
            <v>7 RUE DU PETIT BOIS</v>
          </cell>
          <cell r="T32">
            <v>45380</v>
          </cell>
          <cell r="U32" t="str">
            <v>LA CHAPELLE ST MESMIN</v>
          </cell>
          <cell r="V32" t="str">
            <v>Mr</v>
          </cell>
          <cell r="W32" t="str">
            <v>Janick CABOTIN</v>
          </cell>
          <cell r="X32" t="str">
            <v>45370</v>
          </cell>
          <cell r="Y32" t="str">
            <v>LA CHAPELLE ST MESMIN</v>
          </cell>
          <cell r="Z32">
            <v>46227.670000000006</v>
          </cell>
          <cell r="AA32">
            <v>2028.11</v>
          </cell>
          <cell r="AB32">
            <v>126.19</v>
          </cell>
          <cell r="AD32">
            <v>48381.970000000008</v>
          </cell>
          <cell r="AE32">
            <v>15196.399999999998</v>
          </cell>
          <cell r="AF32">
            <v>-6.040707009554877E-2</v>
          </cell>
          <cell r="AG32">
            <v>1654.74</v>
          </cell>
          <cell r="AH32">
            <v>0.3999298983526115</v>
          </cell>
          <cell r="AL32">
            <v>16851.14</v>
          </cell>
          <cell r="AM32">
            <v>23591.595999999998</v>
          </cell>
          <cell r="AN32">
            <v>-0.51238868528916881</v>
          </cell>
          <cell r="AQ32">
            <v>40354</v>
          </cell>
          <cell r="AW32">
            <v>1654.74</v>
          </cell>
          <cell r="AX32">
            <v>0</v>
          </cell>
          <cell r="AY32">
            <v>15196.399999999998</v>
          </cell>
        </row>
        <row r="33">
          <cell r="A33">
            <v>807642</v>
          </cell>
          <cell r="B33" t="str">
            <v>LA BISCUITERIE DE FRANCE</v>
          </cell>
          <cell r="H33" t="str">
            <v>EN COURS</v>
          </cell>
          <cell r="I33">
            <v>0</v>
          </cell>
          <cell r="J33">
            <v>0</v>
          </cell>
          <cell r="M33" t="str">
            <v>Porte Feuille</v>
          </cell>
          <cell r="N33" t="str">
            <v>Non affecté</v>
          </cell>
          <cell r="O33" t="str">
            <v>NM</v>
          </cell>
          <cell r="P33" t="str">
            <v>Ok mon client</v>
          </cell>
          <cell r="Q33" t="str">
            <v>ORLEANS / ST JEAN DE</v>
          </cell>
          <cell r="R33" t="str">
            <v>45</v>
          </cell>
          <cell r="S33" t="str">
            <v>20 RUE NICEPHORE NIEPCE</v>
          </cell>
          <cell r="T33" t="str">
            <v>45700</v>
          </cell>
          <cell r="U33" t="str">
            <v>VILLEMANDEUR</v>
          </cell>
          <cell r="V33" t="str">
            <v>Mme</v>
          </cell>
          <cell r="W33" t="str">
            <v>Yvette BARINCOU</v>
          </cell>
          <cell r="X33" t="str">
            <v>45700</v>
          </cell>
          <cell r="Y33" t="str">
            <v>VILLEMANDEUR</v>
          </cell>
          <cell r="Z33">
            <v>22256.31</v>
          </cell>
          <cell r="AA33">
            <v>8673.64</v>
          </cell>
          <cell r="AB33">
            <v>1079.05</v>
          </cell>
          <cell r="AD33">
            <v>32009</v>
          </cell>
          <cell r="AE33">
            <v>9803.3700000000008</v>
          </cell>
          <cell r="AF33">
            <v>0.20629334606364946</v>
          </cell>
          <cell r="AG33">
            <v>5198.6499999999996</v>
          </cell>
          <cell r="AH33">
            <v>-0.35173934936903273</v>
          </cell>
          <cell r="AI33">
            <v>957.72</v>
          </cell>
          <cell r="AJ33">
            <v>0.23158125548176919</v>
          </cell>
          <cell r="AL33">
            <v>15959.74</v>
          </cell>
          <cell r="AM33">
            <v>22343.635999999999</v>
          </cell>
          <cell r="AN33">
            <v>-0.30195769939704464</v>
          </cell>
          <cell r="AW33">
            <v>5198.6499999999996</v>
          </cell>
          <cell r="AX33">
            <v>957.72</v>
          </cell>
          <cell r="AY33">
            <v>9803.3700000000008</v>
          </cell>
        </row>
        <row r="34">
          <cell r="A34">
            <v>865236</v>
          </cell>
          <cell r="B34" t="str">
            <v>KLAC INDUSTRIE</v>
          </cell>
          <cell r="C34">
            <v>3.5000000000000003E-2</v>
          </cell>
          <cell r="D34">
            <v>3.5000000000000003E-2</v>
          </cell>
          <cell r="F34">
            <v>41275</v>
          </cell>
          <cell r="I34">
            <v>0</v>
          </cell>
          <cell r="J34">
            <v>0</v>
          </cell>
          <cell r="K34" t="str">
            <v>OK</v>
          </cell>
          <cell r="L34" t="str">
            <v>OK</v>
          </cell>
          <cell r="M34" t="str">
            <v>Porte Feuille</v>
          </cell>
          <cell r="N34" t="str">
            <v>Non affecté</v>
          </cell>
          <cell r="O34" t="str">
            <v>NM</v>
          </cell>
          <cell r="P34" t="str">
            <v>Ok mon client</v>
          </cell>
          <cell r="Q34" t="str">
            <v>ORLEANS / ST JEAN DE</v>
          </cell>
          <cell r="R34" t="str">
            <v>45</v>
          </cell>
          <cell r="S34" t="str">
            <v>288 RUE DE SAULES</v>
          </cell>
          <cell r="T34">
            <v>45075</v>
          </cell>
          <cell r="U34" t="str">
            <v>ORLEANS</v>
          </cell>
          <cell r="W34" t="str">
            <v>Directeur Logistique et Transports</v>
          </cell>
          <cell r="X34" t="str">
            <v>45075</v>
          </cell>
          <cell r="Y34" t="str">
            <v>ORLEANS</v>
          </cell>
          <cell r="AA34">
            <v>457.04</v>
          </cell>
          <cell r="AB34">
            <v>88.1</v>
          </cell>
          <cell r="AD34">
            <v>545.14</v>
          </cell>
          <cell r="AE34">
            <v>799.98</v>
          </cell>
          <cell r="AF34">
            <v>-0.21104277606940178</v>
          </cell>
          <cell r="AG34">
            <v>8233.19</v>
          </cell>
          <cell r="AH34">
            <v>0.3672004079551251</v>
          </cell>
          <cell r="AI34">
            <v>6749.5199999999995</v>
          </cell>
          <cell r="AJ34">
            <v>0.41684955203841884</v>
          </cell>
          <cell r="AL34">
            <v>15782.689999999999</v>
          </cell>
          <cell r="AM34">
            <v>22095.765999999996</v>
          </cell>
          <cell r="AN34">
            <v>39.532277946949399</v>
          </cell>
          <cell r="AW34">
            <v>8521.3516500000005</v>
          </cell>
          <cell r="AX34">
            <v>6985.7531999999992</v>
          </cell>
          <cell r="AY34">
            <v>799.98</v>
          </cell>
        </row>
        <row r="35">
          <cell r="A35">
            <v>499519</v>
          </cell>
          <cell r="B35" t="str">
            <v>CABLERIE PLANCHER</v>
          </cell>
          <cell r="C35">
            <v>3.5000000000000003E-2</v>
          </cell>
          <cell r="D35">
            <v>3.5000000000000003E-2</v>
          </cell>
          <cell r="F35">
            <v>41275</v>
          </cell>
          <cell r="I35">
            <v>0</v>
          </cell>
          <cell r="J35">
            <v>0</v>
          </cell>
          <cell r="K35" t="str">
            <v>OK</v>
          </cell>
          <cell r="L35" t="str">
            <v>OK</v>
          </cell>
          <cell r="N35" t="str">
            <v>Non affecté</v>
          </cell>
          <cell r="O35" t="str">
            <v>NM</v>
          </cell>
          <cell r="P35" t="str">
            <v>Ok mon client</v>
          </cell>
          <cell r="Q35" t="str">
            <v>ORLEANS / ST JEAN DE</v>
          </cell>
          <cell r="R35" t="str">
            <v>45</v>
          </cell>
          <cell r="S35" t="str">
            <v>15 RUE DU CLOS DE BORDEAUX</v>
          </cell>
          <cell r="T35" t="str">
            <v>45190</v>
          </cell>
          <cell r="U35" t="str">
            <v>BEAUGENCY</v>
          </cell>
          <cell r="V35" t="str">
            <v>M,</v>
          </cell>
          <cell r="W35" t="str">
            <v>SOREL</v>
          </cell>
          <cell r="X35" t="str">
            <v>45190</v>
          </cell>
          <cell r="Y35" t="str">
            <v>BEAUGENCY</v>
          </cell>
          <cell r="Z35">
            <v>247.71</v>
          </cell>
          <cell r="AA35">
            <v>18941.099999999999</v>
          </cell>
          <cell r="AB35">
            <v>3338.92</v>
          </cell>
          <cell r="AD35">
            <v>22527.729999999996</v>
          </cell>
          <cell r="AG35">
            <v>13328.050000000001</v>
          </cell>
          <cell r="AH35">
            <v>0.36401274004824447</v>
          </cell>
          <cell r="AI35">
            <v>2261.77</v>
          </cell>
          <cell r="AJ35">
            <v>0.56827175176963185</v>
          </cell>
          <cell r="AL35">
            <v>15589.820000000002</v>
          </cell>
          <cell r="AM35">
            <v>21825.748</v>
          </cell>
          <cell r="AN35">
            <v>-3.1160796050023531E-2</v>
          </cell>
          <cell r="AW35">
            <v>13794.53175</v>
          </cell>
          <cell r="AX35">
            <v>2340.9319499999997</v>
          </cell>
          <cell r="AY35">
            <v>0</v>
          </cell>
        </row>
        <row r="36">
          <cell r="A36">
            <v>839765</v>
          </cell>
          <cell r="B36" t="str">
            <v>CAILLETTE</v>
          </cell>
          <cell r="C36">
            <v>3.5000000000000003E-2</v>
          </cell>
          <cell r="D36">
            <v>0</v>
          </cell>
          <cell r="E36">
            <v>1.4999999999999999E-2</v>
          </cell>
          <cell r="F36">
            <v>41306</v>
          </cell>
          <cell r="H36" t="str">
            <v>CLIENT PERDU</v>
          </cell>
          <cell r="I36">
            <v>0</v>
          </cell>
          <cell r="J36">
            <v>0</v>
          </cell>
          <cell r="K36" t="str">
            <v>OK</v>
          </cell>
          <cell r="L36" t="str">
            <v>OK</v>
          </cell>
          <cell r="M36" t="str">
            <v>Porte Feuille</v>
          </cell>
          <cell r="N36" t="str">
            <v>Non affecté</v>
          </cell>
          <cell r="O36" t="str">
            <v>NM</v>
          </cell>
          <cell r="P36" t="str">
            <v>Ok mon client</v>
          </cell>
          <cell r="Q36" t="str">
            <v>ORLEANS / ST JEAN DE</v>
          </cell>
          <cell r="R36" t="str">
            <v>45</v>
          </cell>
          <cell r="S36" t="str">
            <v>53 RUE DES BRUYERES</v>
          </cell>
          <cell r="T36">
            <v>45590</v>
          </cell>
          <cell r="U36" t="str">
            <v>ST CYR EN VAL</v>
          </cell>
          <cell r="X36" t="str">
            <v>45075</v>
          </cell>
          <cell r="Y36" t="str">
            <v>ST CYR EN VAL</v>
          </cell>
          <cell r="Z36">
            <v>4007.18</v>
          </cell>
          <cell r="AA36">
            <v>28256.850000000002</v>
          </cell>
          <cell r="AD36">
            <v>32264.030000000002</v>
          </cell>
          <cell r="AE36">
            <v>1720.9899999999998</v>
          </cell>
          <cell r="AF36">
            <v>0.19687505447445955</v>
          </cell>
          <cell r="AG36">
            <v>12514.04</v>
          </cell>
          <cell r="AH36">
            <v>0.3135629622251539</v>
          </cell>
          <cell r="AL36">
            <v>14235.03</v>
          </cell>
          <cell r="AM36">
            <v>19929.042000000001</v>
          </cell>
          <cell r="AN36">
            <v>-0.3823139266855381</v>
          </cell>
          <cell r="AQ36">
            <v>40554</v>
          </cell>
          <cell r="AW36">
            <v>12952.0314</v>
          </cell>
          <cell r="AX36">
            <v>0</v>
          </cell>
          <cell r="AY36">
            <v>1746.8048499999995</v>
          </cell>
        </row>
        <row r="37">
          <cell r="A37">
            <v>525252</v>
          </cell>
          <cell r="B37" t="str">
            <v>RCS 4X4</v>
          </cell>
          <cell r="C37">
            <v>3.5000000000000003E-2</v>
          </cell>
          <cell r="D37">
            <v>0</v>
          </cell>
          <cell r="E37">
            <v>0</v>
          </cell>
          <cell r="F37">
            <v>41306</v>
          </cell>
          <cell r="I37">
            <v>0</v>
          </cell>
          <cell r="J37">
            <v>0</v>
          </cell>
          <cell r="K37" t="str">
            <v>OK</v>
          </cell>
          <cell r="L37" t="str">
            <v>OK</v>
          </cell>
          <cell r="N37" t="str">
            <v>Non affecté</v>
          </cell>
          <cell r="O37" t="str">
            <v>NM</v>
          </cell>
          <cell r="P37" t="str">
            <v>Ok mon client</v>
          </cell>
          <cell r="Q37" t="str">
            <v>ORLEANS / ST JEAN DE</v>
          </cell>
          <cell r="R37" t="str">
            <v>45</v>
          </cell>
          <cell r="S37" t="str">
            <v>RTE NATIONALE 20</v>
          </cell>
          <cell r="T37">
            <v>45520</v>
          </cell>
          <cell r="U37" t="str">
            <v>CERCOTTES</v>
          </cell>
          <cell r="X37" t="str">
            <v>45520</v>
          </cell>
          <cell r="Y37" t="str">
            <v>CERCOTTES</v>
          </cell>
          <cell r="AA37">
            <v>16619.12</v>
          </cell>
          <cell r="AB37">
            <v>40.479999999999997</v>
          </cell>
          <cell r="AD37">
            <v>16659.599999999999</v>
          </cell>
          <cell r="AG37">
            <v>13919.98</v>
          </cell>
          <cell r="AH37">
            <v>0.53002712127082474</v>
          </cell>
          <cell r="AL37">
            <v>13919.98</v>
          </cell>
          <cell r="AM37">
            <v>19487.971999999998</v>
          </cell>
          <cell r="AN37">
            <v>0.16977430430502527</v>
          </cell>
          <cell r="AQ37">
            <v>40413</v>
          </cell>
          <cell r="AW37">
            <v>14407.179299999998</v>
          </cell>
          <cell r="AX37">
            <v>0</v>
          </cell>
          <cell r="AY37">
            <v>0</v>
          </cell>
        </row>
        <row r="38">
          <cell r="A38">
            <v>544838</v>
          </cell>
          <cell r="B38" t="str">
            <v>KRONOFRANCE</v>
          </cell>
          <cell r="C38">
            <v>3.5000000000000003E-2</v>
          </cell>
          <cell r="D38">
            <v>3.5000000000000003E-2</v>
          </cell>
          <cell r="E38">
            <v>1.4999999999999999E-2</v>
          </cell>
          <cell r="F38">
            <v>41306</v>
          </cell>
          <cell r="I38">
            <v>0</v>
          </cell>
          <cell r="J38">
            <v>0</v>
          </cell>
          <cell r="K38" t="str">
            <v>OK</v>
          </cell>
          <cell r="L38" t="str">
            <v>OK</v>
          </cell>
          <cell r="M38" t="str">
            <v>Porte Feuille</v>
          </cell>
          <cell r="N38" t="str">
            <v>Non affecté</v>
          </cell>
          <cell r="O38" t="str">
            <v>NM</v>
          </cell>
          <cell r="P38" t="str">
            <v>Ok mon client</v>
          </cell>
          <cell r="Q38" t="str">
            <v>ORLEANS / ST JEAN DE</v>
          </cell>
          <cell r="R38" t="str">
            <v>45</v>
          </cell>
          <cell r="S38" t="str">
            <v>ROUTE DE CERDON</v>
          </cell>
          <cell r="T38" t="str">
            <v>45600</v>
          </cell>
          <cell r="U38" t="str">
            <v>SULLY SUR LOIRE</v>
          </cell>
          <cell r="V38" t="str">
            <v>Mme</v>
          </cell>
          <cell r="W38" t="str">
            <v xml:space="preserve">Estelle Minet </v>
          </cell>
          <cell r="X38" t="str">
            <v>45600</v>
          </cell>
          <cell r="Y38" t="str">
            <v>SULLY SUR LOIRE</v>
          </cell>
          <cell r="Z38">
            <v>9362.41</v>
          </cell>
          <cell r="AA38">
            <v>8484.49</v>
          </cell>
          <cell r="AB38">
            <v>4960.4799999999996</v>
          </cell>
          <cell r="AD38">
            <v>22807.38</v>
          </cell>
          <cell r="AE38">
            <v>7157.29</v>
          </cell>
          <cell r="AF38">
            <v>0.1931303607929816</v>
          </cell>
          <cell r="AG38">
            <v>4432.4699999999993</v>
          </cell>
          <cell r="AH38">
            <v>0.13481642760981935</v>
          </cell>
          <cell r="AI38">
            <v>1590.04</v>
          </cell>
          <cell r="AJ38">
            <v>0.46813474107591763</v>
          </cell>
          <cell r="AL38">
            <v>13179.8</v>
          </cell>
          <cell r="AM38">
            <v>18451.719999999998</v>
          </cell>
          <cell r="AN38">
            <v>-0.19097590341371973</v>
          </cell>
          <cell r="AW38">
            <v>4587.6064499999993</v>
          </cell>
          <cell r="AX38">
            <v>1645.6913999999999</v>
          </cell>
          <cell r="AY38">
            <v>7264.6493499999997</v>
          </cell>
        </row>
        <row r="39">
          <cell r="A39">
            <v>301021</v>
          </cell>
          <cell r="B39" t="str">
            <v>CONFIDENCE AND LIGHT</v>
          </cell>
          <cell r="C39">
            <v>0.03</v>
          </cell>
          <cell r="D39">
            <v>0.03</v>
          </cell>
          <cell r="E39">
            <v>1.4999999999999999E-2</v>
          </cell>
          <cell r="F39">
            <v>41306</v>
          </cell>
          <cell r="I39">
            <v>0</v>
          </cell>
          <cell r="J39">
            <v>0</v>
          </cell>
          <cell r="K39" t="str">
            <v>OK</v>
          </cell>
          <cell r="L39" t="str">
            <v>OK</v>
          </cell>
          <cell r="M39" t="str">
            <v>Porte Feuille</v>
          </cell>
          <cell r="N39" t="str">
            <v>Non affecté</v>
          </cell>
          <cell r="O39" t="str">
            <v>NM</v>
          </cell>
          <cell r="P39" t="str">
            <v>Ok mon client</v>
          </cell>
          <cell r="Q39" t="str">
            <v>ORLEANS / ST JEAN DE</v>
          </cell>
          <cell r="R39" t="str">
            <v>45</v>
          </cell>
          <cell r="S39" t="str">
            <v>1 BIS ROUTE DE LIGNY LE RIBAULT</v>
          </cell>
          <cell r="T39">
            <v>45240</v>
          </cell>
          <cell r="U39" t="str">
            <v>LA FERTE ST AUBIN</v>
          </cell>
          <cell r="V39" t="str">
            <v>MME</v>
          </cell>
          <cell r="W39" t="str">
            <v>FERNANDEZ</v>
          </cell>
          <cell r="X39" t="str">
            <v>45240</v>
          </cell>
          <cell r="Y39" t="str">
            <v>LA FERTE SAINT AUBIN</v>
          </cell>
          <cell r="Z39">
            <v>1470.29</v>
          </cell>
          <cell r="AA39">
            <v>21659.31</v>
          </cell>
          <cell r="AD39">
            <v>23129.600000000002</v>
          </cell>
          <cell r="AE39">
            <v>944.47</v>
          </cell>
          <cell r="AF39">
            <v>0.1961186045188093</v>
          </cell>
          <cell r="AG39">
            <v>11820.390000000001</v>
          </cell>
          <cell r="AH39">
            <v>0.75949343661564261</v>
          </cell>
          <cell r="AL39">
            <v>12764.86</v>
          </cell>
          <cell r="AM39">
            <v>17870.804</v>
          </cell>
          <cell r="AN39">
            <v>-0.2273621679579414</v>
          </cell>
          <cell r="AW39">
            <v>12175.001700000001</v>
          </cell>
          <cell r="AX39">
            <v>0</v>
          </cell>
          <cell r="AY39">
            <v>958.63704999999993</v>
          </cell>
        </row>
        <row r="40">
          <cell r="A40">
            <v>833452</v>
          </cell>
          <cell r="B40" t="str">
            <v>BEAUC REALIS ETUD ELECTRO BREE</v>
          </cell>
          <cell r="C40">
            <v>3.5000000000000003E-2</v>
          </cell>
          <cell r="D40">
            <v>3.5000000000000003E-2</v>
          </cell>
          <cell r="E40">
            <v>0</v>
          </cell>
          <cell r="F40">
            <v>41306</v>
          </cell>
          <cell r="H40" t="str">
            <v>CLIENT PERDU</v>
          </cell>
          <cell r="I40">
            <v>0</v>
          </cell>
          <cell r="J40">
            <v>0</v>
          </cell>
          <cell r="K40" t="str">
            <v>OK</v>
          </cell>
          <cell r="L40" t="str">
            <v>OK</v>
          </cell>
          <cell r="M40" t="str">
            <v>Porte Feuille</v>
          </cell>
          <cell r="N40" t="str">
            <v>Non affecté</v>
          </cell>
          <cell r="O40" t="str">
            <v>NM</v>
          </cell>
          <cell r="P40" t="str">
            <v>Ok mon client</v>
          </cell>
          <cell r="Q40" t="str">
            <v>ORLEANS / ST JEAN DE</v>
          </cell>
          <cell r="R40" t="str">
            <v>45</v>
          </cell>
          <cell r="S40" t="str">
            <v xml:space="preserve">6 ROUTE DE BRIARRES </v>
          </cell>
          <cell r="T40" t="str">
            <v>45390</v>
          </cell>
          <cell r="U40" t="str">
            <v>PUISEAUX</v>
          </cell>
          <cell r="X40" t="str">
            <v>45390</v>
          </cell>
          <cell r="Y40" t="str">
            <v>PUISEAUX</v>
          </cell>
          <cell r="Z40">
            <v>663.21</v>
          </cell>
          <cell r="AA40">
            <v>25841.61</v>
          </cell>
          <cell r="AB40">
            <v>554.49</v>
          </cell>
          <cell r="AD40">
            <v>27059.31</v>
          </cell>
          <cell r="AE40">
            <v>631.59</v>
          </cell>
          <cell r="AF40">
            <v>0.16084801849300975</v>
          </cell>
          <cell r="AG40">
            <v>11467.529999999999</v>
          </cell>
          <cell r="AH40">
            <v>0.52739907586916546</v>
          </cell>
          <cell r="AI40">
            <v>436.66000000000008</v>
          </cell>
          <cell r="AJ40">
            <v>0.46985875314487224</v>
          </cell>
          <cell r="AL40">
            <v>12535.779999999999</v>
          </cell>
          <cell r="AM40">
            <v>17550.091999999997</v>
          </cell>
          <cell r="AN40">
            <v>-0.35142130379525582</v>
          </cell>
          <cell r="AW40">
            <v>11868.893549999997</v>
          </cell>
          <cell r="AX40">
            <v>451.94310000000007</v>
          </cell>
          <cell r="AY40">
            <v>631.59</v>
          </cell>
        </row>
        <row r="41">
          <cell r="A41">
            <v>302822</v>
          </cell>
          <cell r="B41" t="str">
            <v>MESNARD CATTEAU</v>
          </cell>
          <cell r="H41" t="str">
            <v xml:space="preserve">PAS DE HAUSSE </v>
          </cell>
          <cell r="I41">
            <v>0</v>
          </cell>
          <cell r="J41">
            <v>0</v>
          </cell>
          <cell r="L41" t="str">
            <v>NON</v>
          </cell>
          <cell r="N41" t="str">
            <v>Non affecté</v>
          </cell>
          <cell r="O41" t="str">
            <v>NM</v>
          </cell>
          <cell r="P41" t="str">
            <v>Ok mon client</v>
          </cell>
          <cell r="Q41" t="str">
            <v>ORLEANS / ST JEAN DE</v>
          </cell>
          <cell r="R41" t="str">
            <v>45</v>
          </cell>
          <cell r="S41" t="str">
            <v>ZA LES BLOTTINS</v>
          </cell>
          <cell r="T41">
            <v>45340</v>
          </cell>
          <cell r="U41" t="str">
            <v>SAINT LOUP LES VIGNES</v>
          </cell>
          <cell r="V41" t="str">
            <v>Mme</v>
          </cell>
          <cell r="W41" t="str">
            <v>Maryline FOIRY</v>
          </cell>
          <cell r="X41" t="str">
            <v>45340</v>
          </cell>
          <cell r="Y41" t="str">
            <v>SAINT LOUP LES VIGNES</v>
          </cell>
          <cell r="AE41">
            <v>12200</v>
          </cell>
          <cell r="AF41">
            <v>0.11661475409836071</v>
          </cell>
          <cell r="AL41">
            <v>12200</v>
          </cell>
          <cell r="AM41">
            <v>17080</v>
          </cell>
          <cell r="AQ41">
            <v>40935</v>
          </cell>
          <cell r="AW41">
            <v>0</v>
          </cell>
          <cell r="AX41">
            <v>0</v>
          </cell>
          <cell r="AY41">
            <v>12200</v>
          </cell>
        </row>
        <row r="42">
          <cell r="A42">
            <v>810654</v>
          </cell>
          <cell r="B42" t="str">
            <v>DHL STOCK EXPRESS</v>
          </cell>
          <cell r="C42">
            <v>3.5000000000000003E-2</v>
          </cell>
          <cell r="D42">
            <v>0</v>
          </cell>
          <cell r="E42">
            <v>0</v>
          </cell>
          <cell r="F42">
            <v>41306</v>
          </cell>
          <cell r="I42">
            <v>0</v>
          </cell>
          <cell r="J42">
            <v>0</v>
          </cell>
          <cell r="K42" t="str">
            <v>OK</v>
          </cell>
          <cell r="L42" t="str">
            <v>OK</v>
          </cell>
          <cell r="N42" t="str">
            <v>Non affecté</v>
          </cell>
          <cell r="O42" t="str">
            <v>NM</v>
          </cell>
          <cell r="P42" t="str">
            <v>Ok mon client</v>
          </cell>
          <cell r="Q42" t="str">
            <v>ORLEANS / ST JEAN DE</v>
          </cell>
          <cell r="R42" t="str">
            <v>93</v>
          </cell>
          <cell r="S42" t="str">
            <v>PARC SYNERGIE VAL DE LOIRE</v>
          </cell>
          <cell r="T42">
            <v>45130</v>
          </cell>
          <cell r="U42" t="str">
            <v>MEUNG SUR LOIRE</v>
          </cell>
          <cell r="V42" t="str">
            <v>Mr</v>
          </cell>
          <cell r="W42" t="str">
            <v>Olivier LAPIERRE</v>
          </cell>
          <cell r="X42" t="str">
            <v>93213</v>
          </cell>
          <cell r="Y42" t="str">
            <v>SAINT DENIS LA PLAINE CEDEX</v>
          </cell>
          <cell r="AA42">
            <v>15244.010000000002</v>
          </cell>
          <cell r="AD42">
            <v>15244.010000000002</v>
          </cell>
          <cell r="AG42">
            <v>11952.74</v>
          </cell>
          <cell r="AH42">
            <v>0.43194029151474772</v>
          </cell>
          <cell r="AL42">
            <v>11952.74</v>
          </cell>
          <cell r="AM42">
            <v>16733.835999999999</v>
          </cell>
          <cell r="AN42">
            <v>9.7731896003741658E-2</v>
          </cell>
          <cell r="AW42">
            <v>12371.085899999998</v>
          </cell>
          <cell r="AX42">
            <v>0</v>
          </cell>
          <cell r="AY42">
            <v>0</v>
          </cell>
        </row>
        <row r="43">
          <cell r="A43">
            <v>67378</v>
          </cell>
          <cell r="B43" t="str">
            <v>SIKORSKI INDUSTRIE</v>
          </cell>
          <cell r="H43" t="str">
            <v>EN COURS</v>
          </cell>
          <cell r="I43">
            <v>0</v>
          </cell>
          <cell r="J43">
            <v>0</v>
          </cell>
          <cell r="N43" t="str">
            <v>Non affecté</v>
          </cell>
          <cell r="O43" t="str">
            <v>NM</v>
          </cell>
          <cell r="P43" t="str">
            <v>Ok mon client</v>
          </cell>
          <cell r="Q43" t="str">
            <v>ORLEANS / ST JEAN DE</v>
          </cell>
          <cell r="R43" t="str">
            <v>45</v>
          </cell>
          <cell r="S43" t="str">
            <v>ZA LE MOULIN A VENT</v>
          </cell>
          <cell r="T43">
            <v>45250</v>
          </cell>
          <cell r="U43" t="str">
            <v>BRIARE</v>
          </cell>
          <cell r="W43" t="str">
            <v>Julien SIKORSKI</v>
          </cell>
          <cell r="X43" t="str">
            <v>45250</v>
          </cell>
          <cell r="Y43" t="str">
            <v>BRIARE</v>
          </cell>
          <cell r="Z43">
            <v>265.16000000000003</v>
          </cell>
          <cell r="AA43">
            <v>15712.789999999997</v>
          </cell>
          <cell r="AB43">
            <v>1476.5</v>
          </cell>
          <cell r="AD43">
            <v>17454.449999999997</v>
          </cell>
          <cell r="AE43">
            <v>1586.47</v>
          </cell>
          <cell r="AF43">
            <v>2.2988143488373577E-2</v>
          </cell>
          <cell r="AG43">
            <v>9602.09</v>
          </cell>
          <cell r="AH43">
            <v>0.46245661100864444</v>
          </cell>
          <cell r="AI43">
            <v>243.4</v>
          </cell>
          <cell r="AJ43">
            <v>0.72325390304026305</v>
          </cell>
          <cell r="AL43">
            <v>11431.96</v>
          </cell>
          <cell r="AM43">
            <v>16004.743999999997</v>
          </cell>
          <cell r="AN43">
            <v>-8.3056527132049474E-2</v>
          </cell>
          <cell r="AW43">
            <v>9602.09</v>
          </cell>
          <cell r="AX43">
            <v>243.4</v>
          </cell>
          <cell r="AY43">
            <v>1586.47</v>
          </cell>
        </row>
        <row r="44">
          <cell r="A44">
            <v>637035</v>
          </cell>
          <cell r="B44" t="str">
            <v>GARDEN ARROSAGE</v>
          </cell>
          <cell r="C44">
            <v>3.5000000000000003E-2</v>
          </cell>
          <cell r="D44">
            <v>0</v>
          </cell>
          <cell r="E44">
            <v>0</v>
          </cell>
          <cell r="F44">
            <v>41306</v>
          </cell>
          <cell r="I44">
            <v>0</v>
          </cell>
          <cell r="J44">
            <v>0</v>
          </cell>
          <cell r="K44" t="str">
            <v>OK</v>
          </cell>
          <cell r="L44" t="str">
            <v>OK</v>
          </cell>
          <cell r="N44" t="str">
            <v>Non affecté</v>
          </cell>
          <cell r="O44" t="str">
            <v>NM</v>
          </cell>
          <cell r="P44" t="str">
            <v>Ok mon client</v>
          </cell>
          <cell r="Q44" t="str">
            <v>ORLEANS / ST JEAN DE</v>
          </cell>
          <cell r="R44" t="str">
            <v>45</v>
          </cell>
          <cell r="S44" t="str">
            <v>170 ROUTE D ORLEANS</v>
          </cell>
          <cell r="T44" t="str">
            <v>45140</v>
          </cell>
          <cell r="U44" t="str">
            <v>INGRE</v>
          </cell>
          <cell r="X44" t="str">
            <v>45140</v>
          </cell>
          <cell r="Y44" t="str">
            <v>INGRE</v>
          </cell>
          <cell r="AA44">
            <v>6939.6600000000008</v>
          </cell>
          <cell r="AD44">
            <v>6939.6600000000008</v>
          </cell>
          <cell r="AG44">
            <v>11172</v>
          </cell>
          <cell r="AH44">
            <v>0.21278195488721788</v>
          </cell>
          <cell r="AL44">
            <v>11172</v>
          </cell>
          <cell r="AM44">
            <v>15640.8</v>
          </cell>
          <cell r="AN44">
            <v>1.2538279973370452</v>
          </cell>
          <cell r="AW44">
            <v>11563.019999999999</v>
          </cell>
          <cell r="AX44">
            <v>0</v>
          </cell>
          <cell r="AY44">
            <v>0</v>
          </cell>
        </row>
        <row r="45">
          <cell r="A45">
            <v>816584</v>
          </cell>
          <cell r="B45" t="str">
            <v>SAS RIAL</v>
          </cell>
          <cell r="H45" t="str">
            <v>Demande dérogation / pas de hausse</v>
          </cell>
          <cell r="I45">
            <v>0</v>
          </cell>
          <cell r="J45">
            <v>0</v>
          </cell>
          <cell r="L45" t="str">
            <v>NON</v>
          </cell>
          <cell r="M45" t="str">
            <v>Porte Feuille</v>
          </cell>
          <cell r="N45" t="str">
            <v>Non affecté</v>
          </cell>
          <cell r="O45" t="str">
            <v>NM</v>
          </cell>
          <cell r="P45" t="str">
            <v>Ok mon client</v>
          </cell>
          <cell r="Q45" t="str">
            <v>ORLEANS / ST JEAN DE</v>
          </cell>
          <cell r="R45" t="str">
            <v>45</v>
          </cell>
          <cell r="S45" t="str">
            <v>Z I  MOULIN A VENT</v>
          </cell>
          <cell r="T45">
            <v>45250</v>
          </cell>
          <cell r="U45" t="str">
            <v>BRIARE</v>
          </cell>
          <cell r="V45" t="str">
            <v>Mr</v>
          </cell>
          <cell r="W45" t="str">
            <v>Chatelain Christophe</v>
          </cell>
          <cell r="X45" t="str">
            <v>45250</v>
          </cell>
          <cell r="Y45" t="str">
            <v>BRIARE</v>
          </cell>
          <cell r="Z45">
            <v>2137.52</v>
          </cell>
          <cell r="AA45">
            <v>37918.03</v>
          </cell>
          <cell r="AB45">
            <v>1186.8899999999999</v>
          </cell>
          <cell r="AD45">
            <v>41242.439999999995</v>
          </cell>
          <cell r="AE45">
            <v>196.43</v>
          </cell>
          <cell r="AG45">
            <v>9764.5399999999991</v>
          </cell>
          <cell r="AH45">
            <v>0.44697650887804191</v>
          </cell>
          <cell r="AI45">
            <v>558.96</v>
          </cell>
          <cell r="AJ45">
            <v>0.22046300271933578</v>
          </cell>
          <cell r="AL45">
            <v>10519.93</v>
          </cell>
          <cell r="AM45">
            <v>14727.902</v>
          </cell>
          <cell r="AN45">
            <v>-0.64289450381694191</v>
          </cell>
          <cell r="AW45">
            <v>9764.5399999999991</v>
          </cell>
          <cell r="AX45">
            <v>558.96</v>
          </cell>
          <cell r="AY45">
            <v>196.43</v>
          </cell>
        </row>
        <row r="46">
          <cell r="A46">
            <v>469591</v>
          </cell>
          <cell r="B46" t="str">
            <v>STENUICK INTERNATIONAL</v>
          </cell>
          <cell r="C46">
            <v>3.5000000000000003E-2</v>
          </cell>
          <cell r="D46">
            <v>0</v>
          </cell>
          <cell r="E46">
            <v>0</v>
          </cell>
          <cell r="F46">
            <v>41306</v>
          </cell>
          <cell r="G46" t="str">
            <v>OUI</v>
          </cell>
          <cell r="H46" t="str">
            <v>CA&gt; 15KE</v>
          </cell>
          <cell r="I46">
            <v>0</v>
          </cell>
          <cell r="J46">
            <v>0</v>
          </cell>
          <cell r="K46" t="str">
            <v>OK</v>
          </cell>
          <cell r="L46" t="str">
            <v>OK</v>
          </cell>
          <cell r="N46" t="str">
            <v>Non affecté</v>
          </cell>
          <cell r="O46" t="str">
            <v>NM</v>
          </cell>
          <cell r="P46" t="str">
            <v>Ok mon client</v>
          </cell>
          <cell r="Q46" t="str">
            <v>ORLEANS / ST JEAN DE</v>
          </cell>
          <cell r="R46" t="str">
            <v>45</v>
          </cell>
          <cell r="S46" t="str">
            <v>34 RUE DES CHATELIERS</v>
          </cell>
          <cell r="T46">
            <v>45000</v>
          </cell>
          <cell r="U46" t="str">
            <v>ORLEANS</v>
          </cell>
          <cell r="X46" t="str">
            <v>45028</v>
          </cell>
          <cell r="Y46" t="str">
            <v>ORLEANS</v>
          </cell>
          <cell r="Z46">
            <v>4075.4</v>
          </cell>
          <cell r="AA46">
            <v>10416.289999999999</v>
          </cell>
          <cell r="AB46">
            <v>1824.7400000000002</v>
          </cell>
          <cell r="AD46">
            <v>16316.429999999998</v>
          </cell>
          <cell r="AE46">
            <v>1692.38</v>
          </cell>
          <cell r="AF46">
            <v>-6.9499757737623874E-2</v>
          </cell>
          <cell r="AG46">
            <v>7671.3899999999994</v>
          </cell>
          <cell r="AH46">
            <v>0.35215268600062044</v>
          </cell>
          <cell r="AI46">
            <v>903.43000000000006</v>
          </cell>
          <cell r="AJ46">
            <v>0.50275062816156202</v>
          </cell>
          <cell r="AL46">
            <v>10267.200000000001</v>
          </cell>
          <cell r="AM46">
            <v>14374.08</v>
          </cell>
          <cell r="AN46">
            <v>-0.1190425846830464</v>
          </cell>
          <cell r="AW46">
            <v>7939.888649999999</v>
          </cell>
          <cell r="AX46">
            <v>903.43000000000006</v>
          </cell>
          <cell r="AY46">
            <v>1692.38</v>
          </cell>
        </row>
        <row r="47">
          <cell r="A47">
            <v>302218</v>
          </cell>
          <cell r="B47" t="str">
            <v>CHARPENTIER SA</v>
          </cell>
          <cell r="G47" t="str">
            <v>OUI</v>
          </cell>
          <cell r="H47" t="str">
            <v>CA &gt; 15KE // EN COURS</v>
          </cell>
          <cell r="I47">
            <v>0</v>
          </cell>
          <cell r="J47">
            <v>0</v>
          </cell>
          <cell r="M47" t="str">
            <v>Porte Feuille</v>
          </cell>
          <cell r="N47" t="str">
            <v>Non affecté</v>
          </cell>
          <cell r="O47" t="str">
            <v>NM</v>
          </cell>
          <cell r="P47" t="str">
            <v>Ok mon client</v>
          </cell>
          <cell r="Q47" t="str">
            <v>ORLEANS / ST JEAN DE</v>
          </cell>
          <cell r="R47" t="str">
            <v>45</v>
          </cell>
          <cell r="S47" t="str">
            <v>26 RTE D'ISDES</v>
          </cell>
          <cell r="T47">
            <v>45600</v>
          </cell>
          <cell r="U47" t="str">
            <v>SULLY SUR LOIRE</v>
          </cell>
          <cell r="V47" t="str">
            <v>Mr</v>
          </cell>
          <cell r="W47" t="str">
            <v>P. Poteau</v>
          </cell>
          <cell r="X47" t="str">
            <v>45600</v>
          </cell>
          <cell r="Y47" t="str">
            <v>SULLY SUR LOIRE</v>
          </cell>
          <cell r="Z47">
            <v>21861.040000000001</v>
          </cell>
          <cell r="AA47">
            <v>20577.620000000003</v>
          </cell>
          <cell r="AB47">
            <v>2270.91</v>
          </cell>
          <cell r="AC47">
            <v>259.17</v>
          </cell>
          <cell r="AD47">
            <v>44968.740000000005</v>
          </cell>
          <cell r="AE47">
            <v>411.96000000000004</v>
          </cell>
          <cell r="AF47">
            <v>4.7577434702399174E-3</v>
          </cell>
          <cell r="AG47">
            <v>8251.33</v>
          </cell>
          <cell r="AH47">
            <v>0.37020372078628611</v>
          </cell>
          <cell r="AI47">
            <v>1601.0700000000002</v>
          </cell>
          <cell r="AJ47">
            <v>0.32413948172159873</v>
          </cell>
          <cell r="AL47">
            <v>10264.36</v>
          </cell>
          <cell r="AM47">
            <v>14370.103999999999</v>
          </cell>
          <cell r="AN47">
            <v>-0.68044236952158332</v>
          </cell>
          <cell r="AW47">
            <v>8251.33</v>
          </cell>
          <cell r="AX47">
            <v>1601.0700000000002</v>
          </cell>
          <cell r="AY47">
            <v>411.96000000000004</v>
          </cell>
        </row>
        <row r="48">
          <cell r="A48">
            <v>549490</v>
          </cell>
          <cell r="B48" t="str">
            <v>ART ET FLORITUDE</v>
          </cell>
          <cell r="G48" t="str">
            <v>OUI</v>
          </cell>
          <cell r="H48" t="str">
            <v>CA &gt; 15KE // EN COURS</v>
          </cell>
          <cell r="I48">
            <v>0</v>
          </cell>
          <cell r="J48">
            <v>0</v>
          </cell>
          <cell r="N48" t="str">
            <v>Non affecté</v>
          </cell>
          <cell r="O48" t="str">
            <v>NM</v>
          </cell>
          <cell r="P48" t="str">
            <v>Ok mon client</v>
          </cell>
          <cell r="Q48" t="str">
            <v>ORLEANS / ST JEAN DE</v>
          </cell>
          <cell r="R48" t="str">
            <v>45</v>
          </cell>
          <cell r="S48" t="str">
            <v>9 RUE DE SANTRANGES - ZA LES OUCHES</v>
          </cell>
          <cell r="T48" t="str">
            <v>45630</v>
          </cell>
          <cell r="U48" t="str">
            <v>BEAULIEU SUR LOIRE</v>
          </cell>
          <cell r="X48" t="str">
            <v>45630</v>
          </cell>
          <cell r="Y48" t="str">
            <v>BEAULIEU SUR LOIRE</v>
          </cell>
          <cell r="Z48">
            <v>3627.96</v>
          </cell>
          <cell r="AA48">
            <v>8975.630000000001</v>
          </cell>
          <cell r="AB48">
            <v>4996.79</v>
          </cell>
          <cell r="AD48">
            <v>17600.38</v>
          </cell>
          <cell r="AG48">
            <v>5666</v>
          </cell>
          <cell r="AH48">
            <v>0.52435580656547875</v>
          </cell>
          <cell r="AI48">
            <v>4509.7699999999995</v>
          </cell>
          <cell r="AJ48">
            <v>0.64045394776230269</v>
          </cell>
          <cell r="AL48">
            <v>10175.77</v>
          </cell>
          <cell r="AM48">
            <v>14246.078</v>
          </cell>
          <cell r="AN48">
            <v>-0.1905812260871641</v>
          </cell>
          <cell r="AW48">
            <v>5666</v>
          </cell>
          <cell r="AX48">
            <v>4509.7699999999995</v>
          </cell>
          <cell r="AY48">
            <v>0</v>
          </cell>
        </row>
        <row r="49">
          <cell r="A49">
            <v>606760</v>
          </cell>
          <cell r="B49" t="str">
            <v>TORK ENGINEERING</v>
          </cell>
          <cell r="G49" t="str">
            <v>OUI</v>
          </cell>
          <cell r="H49" t="str">
            <v>HORS SERVICE DEPUIS OCTOBRE 2012</v>
          </cell>
          <cell r="I49">
            <v>0</v>
          </cell>
          <cell r="J49">
            <v>0</v>
          </cell>
          <cell r="K49" t="str">
            <v>NON</v>
          </cell>
          <cell r="L49" t="str">
            <v>NON</v>
          </cell>
          <cell r="N49" t="str">
            <v>Non affecté</v>
          </cell>
          <cell r="O49" t="str">
            <v>NM</v>
          </cell>
          <cell r="P49" t="str">
            <v>Ok mon client</v>
          </cell>
          <cell r="Q49" t="str">
            <v>ORLEANS / ST JEAN DE</v>
          </cell>
          <cell r="R49" t="str">
            <v>45</v>
          </cell>
          <cell r="S49" t="str">
            <v>566 RUE ST GABRIEL ZI AMILLY</v>
          </cell>
          <cell r="T49" t="str">
            <v>45200</v>
          </cell>
          <cell r="U49" t="str">
            <v>AMILLY</v>
          </cell>
          <cell r="X49" t="str">
            <v>45200</v>
          </cell>
          <cell r="Y49" t="str">
            <v>AMILLY</v>
          </cell>
          <cell r="Z49">
            <v>501.9</v>
          </cell>
          <cell r="AA49">
            <v>12159.050000000001</v>
          </cell>
          <cell r="AB49">
            <v>47.11</v>
          </cell>
          <cell r="AD49">
            <v>12708.060000000001</v>
          </cell>
          <cell r="AE49">
            <v>1306.46</v>
          </cell>
          <cell r="AF49">
            <v>0.19455414674703803</v>
          </cell>
          <cell r="AG49">
            <v>8416.57</v>
          </cell>
          <cell r="AH49">
            <v>0.48081387853749585</v>
          </cell>
          <cell r="AI49">
            <v>148.34</v>
          </cell>
          <cell r="AJ49">
            <v>-5.5885128758258205E-2</v>
          </cell>
          <cell r="AL49">
            <v>9871.369999999999</v>
          </cell>
          <cell r="AM49">
            <v>13819.917999999998</v>
          </cell>
          <cell r="AN49">
            <v>8.7492347376389112E-2</v>
          </cell>
          <cell r="AW49">
            <v>8416.57</v>
          </cell>
          <cell r="AX49">
            <v>148.34</v>
          </cell>
          <cell r="AY49">
            <v>1306.46</v>
          </cell>
        </row>
        <row r="50">
          <cell r="A50">
            <v>62930</v>
          </cell>
          <cell r="B50" t="str">
            <v>FAUCHON SAS</v>
          </cell>
          <cell r="C50">
            <v>2.5000000000000001E-2</v>
          </cell>
          <cell r="D50">
            <v>2.5000000000000001E-2</v>
          </cell>
          <cell r="E50">
            <v>1.4999999999999999E-2</v>
          </cell>
          <cell r="F50">
            <v>41334</v>
          </cell>
          <cell r="G50" t="str">
            <v>OUI</v>
          </cell>
          <cell r="H50" t="str">
            <v>renta = 82% / CA &gt; 15 KE</v>
          </cell>
          <cell r="I50">
            <v>0</v>
          </cell>
          <cell r="J50">
            <v>0</v>
          </cell>
          <cell r="K50" t="str">
            <v>OK</v>
          </cell>
          <cell r="L50" t="str">
            <v>OK</v>
          </cell>
          <cell r="N50" t="str">
            <v>Non affecté</v>
          </cell>
          <cell r="O50" t="str">
            <v>NM</v>
          </cell>
          <cell r="P50" t="str">
            <v>Ok mon client</v>
          </cell>
          <cell r="Q50" t="str">
            <v>ORLEANS / ST JEAN DE</v>
          </cell>
          <cell r="R50" t="str">
            <v>75</v>
          </cell>
          <cell r="S50" t="str">
            <v>26 PLACE DE LA MADELEINE</v>
          </cell>
          <cell r="T50">
            <v>75008</v>
          </cell>
          <cell r="U50" t="str">
            <v>PARIS</v>
          </cell>
          <cell r="X50" t="str">
            <v>75008</v>
          </cell>
          <cell r="Y50" t="str">
            <v>PARIS</v>
          </cell>
          <cell r="Z50">
            <v>16194.32</v>
          </cell>
          <cell r="AA50">
            <v>2535.29</v>
          </cell>
          <cell r="AD50">
            <v>18729.61</v>
          </cell>
          <cell r="AE50">
            <v>8068.8900000000012</v>
          </cell>
          <cell r="AF50">
            <v>0.20683018358163269</v>
          </cell>
          <cell r="AG50">
            <v>1164.57</v>
          </cell>
          <cell r="AH50">
            <v>0.82294752569617968</v>
          </cell>
          <cell r="AL50">
            <v>9233.4600000000009</v>
          </cell>
          <cell r="AM50">
            <v>12926.844000000001</v>
          </cell>
          <cell r="AN50">
            <v>-0.30981776983076526</v>
          </cell>
          <cell r="AO50" t="str">
            <v>024-G-91FAUCHON024</v>
          </cell>
          <cell r="AQ50">
            <v>39206</v>
          </cell>
          <cell r="AW50">
            <v>1193.6842499999998</v>
          </cell>
          <cell r="AX50">
            <v>0</v>
          </cell>
          <cell r="AY50">
            <v>8189.92335</v>
          </cell>
        </row>
        <row r="51">
          <cell r="A51">
            <v>300424</v>
          </cell>
          <cell r="B51" t="str">
            <v>RETIF</v>
          </cell>
          <cell r="C51">
            <v>0.1</v>
          </cell>
          <cell r="D51">
            <v>0.1</v>
          </cell>
          <cell r="E51">
            <v>0.02</v>
          </cell>
          <cell r="F51">
            <v>41306</v>
          </cell>
          <cell r="G51" t="str">
            <v>OUI</v>
          </cell>
          <cell r="I51">
            <v>0</v>
          </cell>
          <cell r="J51">
            <v>0</v>
          </cell>
          <cell r="K51" t="str">
            <v>OK</v>
          </cell>
          <cell r="L51" t="str">
            <v>OK</v>
          </cell>
          <cell r="N51" t="str">
            <v>Non affecté</v>
          </cell>
          <cell r="O51" t="str">
            <v>NM</v>
          </cell>
          <cell r="P51" t="str">
            <v>Ok mon client</v>
          </cell>
          <cell r="Q51" t="str">
            <v>ORLEANS / ST JEAN DE</v>
          </cell>
          <cell r="R51" t="str">
            <v>45</v>
          </cell>
          <cell r="S51" t="str">
            <v>12 RUE DES BAS CHAMPS</v>
          </cell>
          <cell r="T51">
            <v>45380</v>
          </cell>
          <cell r="U51" t="str">
            <v>LA CHAPELLE ST MESMIN</v>
          </cell>
          <cell r="X51" t="str">
            <v>45380</v>
          </cell>
          <cell r="Y51" t="str">
            <v>LA CHAPELLE ST MESMIN</v>
          </cell>
          <cell r="Z51">
            <v>511.94000000000005</v>
          </cell>
          <cell r="AA51">
            <v>14843.460000000001</v>
          </cell>
          <cell r="AD51">
            <v>15355.400000000001</v>
          </cell>
          <cell r="AE51">
            <v>779.46000000000015</v>
          </cell>
          <cell r="AF51">
            <v>0.19816283067764867</v>
          </cell>
          <cell r="AG51">
            <v>8417.56</v>
          </cell>
          <cell r="AH51">
            <v>0.42229999065646201</v>
          </cell>
          <cell r="AL51">
            <v>9197.02</v>
          </cell>
          <cell r="AM51">
            <v>12875.828</v>
          </cell>
          <cell r="AN51">
            <v>-0.16147882829493221</v>
          </cell>
          <cell r="AW51">
            <v>9259.3160000000007</v>
          </cell>
          <cell r="AX51">
            <v>0</v>
          </cell>
          <cell r="AY51">
            <v>795.04920000000016</v>
          </cell>
        </row>
        <row r="52">
          <cell r="A52">
            <v>569774</v>
          </cell>
          <cell r="B52" t="str">
            <v>KULKER</v>
          </cell>
          <cell r="C52">
            <v>0.1</v>
          </cell>
          <cell r="D52">
            <v>0.1</v>
          </cell>
          <cell r="E52">
            <v>0.02</v>
          </cell>
          <cell r="F52">
            <v>41275</v>
          </cell>
          <cell r="G52" t="str">
            <v>OUI</v>
          </cell>
          <cell r="I52">
            <v>0</v>
          </cell>
          <cell r="J52">
            <v>0</v>
          </cell>
          <cell r="K52" t="str">
            <v>OK</v>
          </cell>
          <cell r="L52" t="str">
            <v>OK</v>
          </cell>
          <cell r="N52" t="str">
            <v>Non affecté</v>
          </cell>
          <cell r="O52" t="str">
            <v>NM</v>
          </cell>
          <cell r="P52" t="str">
            <v>Ok mon client</v>
          </cell>
          <cell r="Q52" t="str">
            <v>ORLEANS / ST JEAN DE</v>
          </cell>
          <cell r="R52" t="str">
            <v>45</v>
          </cell>
          <cell r="S52" t="str">
            <v>ROUTE D'ORLEANS</v>
          </cell>
          <cell r="T52" t="str">
            <v>45600</v>
          </cell>
          <cell r="U52" t="str">
            <v>SULLY SUR LOIRE</v>
          </cell>
          <cell r="V52" t="str">
            <v>Mme</v>
          </cell>
          <cell r="W52" t="str">
            <v>Carole Veillard</v>
          </cell>
          <cell r="X52" t="str">
            <v>45600</v>
          </cell>
          <cell r="Y52" t="str">
            <v>SULLY SUR LOIRE</v>
          </cell>
          <cell r="Z52">
            <v>3544.9</v>
          </cell>
          <cell r="AB52">
            <v>5772.48</v>
          </cell>
          <cell r="AD52">
            <v>9317.3799999999992</v>
          </cell>
          <cell r="AE52">
            <v>6391.47</v>
          </cell>
          <cell r="AF52">
            <v>0.18811478423586436</v>
          </cell>
          <cell r="AI52">
            <v>2470.2599999999998</v>
          </cell>
          <cell r="AJ52">
            <v>0.42786589265907232</v>
          </cell>
          <cell r="AL52">
            <v>8861.73</v>
          </cell>
          <cell r="AM52">
            <v>12406.421999999999</v>
          </cell>
          <cell r="AN52">
            <v>0.33153547456473809</v>
          </cell>
          <cell r="AW52">
            <v>0</v>
          </cell>
          <cell r="AX52">
            <v>2717.2860000000001</v>
          </cell>
          <cell r="AY52">
            <v>6519.2994000000008</v>
          </cell>
        </row>
        <row r="53">
          <cell r="A53">
            <v>302385</v>
          </cell>
          <cell r="B53" t="str">
            <v>DUBUS  INDUSTRIES</v>
          </cell>
          <cell r="C53">
            <v>0.1</v>
          </cell>
          <cell r="D53">
            <v>0.1</v>
          </cell>
          <cell r="E53">
            <v>0.02</v>
          </cell>
          <cell r="F53">
            <v>41275</v>
          </cell>
          <cell r="G53" t="str">
            <v>OUI</v>
          </cell>
          <cell r="H53" t="str">
            <v>MAIL DE NM TS+76%</v>
          </cell>
          <cell r="I53">
            <v>0</v>
          </cell>
          <cell r="J53">
            <v>0</v>
          </cell>
          <cell r="K53" t="str">
            <v>OK</v>
          </cell>
          <cell r="L53" t="str">
            <v>OK</v>
          </cell>
          <cell r="N53" t="str">
            <v>Non affecté</v>
          </cell>
          <cell r="O53" t="str">
            <v>NM</v>
          </cell>
          <cell r="P53" t="str">
            <v>Ok mon client</v>
          </cell>
          <cell r="Q53" t="str">
            <v>ORLEANS / ST JEAN DE</v>
          </cell>
          <cell r="R53" t="str">
            <v>45</v>
          </cell>
          <cell r="S53" t="str">
            <v>ROUTE D'ETAMPES</v>
          </cell>
          <cell r="T53">
            <v>45330</v>
          </cell>
          <cell r="U53" t="str">
            <v>MALESHERBES</v>
          </cell>
          <cell r="V53" t="str">
            <v>Mr</v>
          </cell>
          <cell r="W53" t="str">
            <v>CHESTIER Fabrice</v>
          </cell>
          <cell r="X53" t="str">
            <v>45330</v>
          </cell>
          <cell r="Y53" t="str">
            <v>MALESHERBES</v>
          </cell>
          <cell r="Z53">
            <v>1298.57</v>
          </cell>
          <cell r="AA53">
            <v>8414.07</v>
          </cell>
          <cell r="AB53">
            <v>306.21000000000004</v>
          </cell>
          <cell r="AD53">
            <v>10018.849999999999</v>
          </cell>
          <cell r="AE53">
            <v>690.9</v>
          </cell>
          <cell r="AF53">
            <v>0.18222608192213052</v>
          </cell>
          <cell r="AG53">
            <v>7705.4900000000007</v>
          </cell>
          <cell r="AH53">
            <v>0.71187036775078572</v>
          </cell>
          <cell r="AI53">
            <v>274.49</v>
          </cell>
          <cell r="AJ53">
            <v>0.57437429414550634</v>
          </cell>
          <cell r="AL53">
            <v>8670.880000000001</v>
          </cell>
          <cell r="AM53">
            <v>12139.232</v>
          </cell>
          <cell r="AN53">
            <v>0.21163925999490973</v>
          </cell>
          <cell r="AW53">
            <v>8476.0390000000007</v>
          </cell>
          <cell r="AX53">
            <v>301.93900000000002</v>
          </cell>
          <cell r="AY53">
            <v>704.71799999999996</v>
          </cell>
        </row>
        <row r="54">
          <cell r="A54">
            <v>876113</v>
          </cell>
          <cell r="B54" t="str">
            <v>DECORS DE FERRYVILLE</v>
          </cell>
          <cell r="H54" t="str">
            <v>Démarrage 07/12 // PAS DE HAUSSE</v>
          </cell>
          <cell r="I54">
            <v>0</v>
          </cell>
          <cell r="J54">
            <v>0</v>
          </cell>
          <cell r="L54" t="str">
            <v>NON</v>
          </cell>
          <cell r="N54" t="str">
            <v>Non affecté</v>
          </cell>
          <cell r="O54" t="str">
            <v>NM</v>
          </cell>
          <cell r="P54" t="str">
            <v>Ok mon client</v>
          </cell>
          <cell r="Q54" t="str">
            <v>ORLEANS / ST JEAN DE</v>
          </cell>
          <cell r="R54" t="str">
            <v>45</v>
          </cell>
          <cell r="S54" t="str">
            <v>RN 7 KM 26</v>
          </cell>
          <cell r="T54">
            <v>45700</v>
          </cell>
          <cell r="U54" t="str">
            <v>MORMANT SUR VERNISSON</v>
          </cell>
          <cell r="X54" t="str">
            <v>45700</v>
          </cell>
          <cell r="Y54" t="str">
            <v>MORMANT SUR VERNISSON</v>
          </cell>
          <cell r="AG54">
            <v>8602.39</v>
          </cell>
          <cell r="AH54">
            <v>0.10450584081865801</v>
          </cell>
          <cell r="AL54">
            <v>8602.39</v>
          </cell>
          <cell r="AM54">
            <v>12043.345999999998</v>
          </cell>
          <cell r="AQ54">
            <v>41101</v>
          </cell>
          <cell r="AW54">
            <v>8602.39</v>
          </cell>
          <cell r="AX54">
            <v>0</v>
          </cell>
          <cell r="AY54">
            <v>0</v>
          </cell>
        </row>
        <row r="55">
          <cell r="A55">
            <v>399069</v>
          </cell>
          <cell r="B55" t="str">
            <v>NOREP INTERNATIONAL</v>
          </cell>
          <cell r="C55">
            <v>0.1</v>
          </cell>
          <cell r="D55">
            <v>0.1</v>
          </cell>
          <cell r="E55">
            <v>0.02</v>
          </cell>
          <cell r="F55">
            <v>41275</v>
          </cell>
          <cell r="G55" t="str">
            <v>OUI</v>
          </cell>
          <cell r="H55" t="str">
            <v>TS-1</v>
          </cell>
          <cell r="I55">
            <v>0</v>
          </cell>
          <cell r="J55">
            <v>0</v>
          </cell>
          <cell r="K55" t="str">
            <v>OK</v>
          </cell>
          <cell r="L55" t="str">
            <v>OK</v>
          </cell>
          <cell r="N55" t="str">
            <v>Non affecté</v>
          </cell>
          <cell r="O55" t="str">
            <v>NM</v>
          </cell>
          <cell r="P55" t="str">
            <v>Ok mon client</v>
          </cell>
          <cell r="Q55" t="str">
            <v>ORLEANS / ST JEAN DE</v>
          </cell>
          <cell r="R55" t="str">
            <v>45</v>
          </cell>
          <cell r="S55" t="str">
            <v>24 RUE LAVOISIER</v>
          </cell>
          <cell r="T55">
            <v>45800</v>
          </cell>
          <cell r="U55" t="str">
            <v>ST JEAN DE BRAYE</v>
          </cell>
          <cell r="X55" t="str">
            <v>45800</v>
          </cell>
          <cell r="Y55" t="str">
            <v>ST JEAN DE BRAYE</v>
          </cell>
          <cell r="Z55">
            <v>9961.17</v>
          </cell>
          <cell r="AB55">
            <v>5960.2199999999993</v>
          </cell>
          <cell r="AD55">
            <v>15921.39</v>
          </cell>
          <cell r="AE55">
            <v>3710</v>
          </cell>
          <cell r="AF55">
            <v>0.11859838274932614</v>
          </cell>
          <cell r="AI55">
            <v>4460.3900000000003</v>
          </cell>
          <cell r="AJ55">
            <v>0.57060032867081134</v>
          </cell>
          <cell r="AL55">
            <v>8170.39</v>
          </cell>
          <cell r="AM55">
            <v>11438.546</v>
          </cell>
          <cell r="AN55">
            <v>-0.28156109485415526</v>
          </cell>
          <cell r="AW55">
            <v>0</v>
          </cell>
          <cell r="AX55">
            <v>4906.429000000001</v>
          </cell>
          <cell r="AY55">
            <v>3784.2000000000003</v>
          </cell>
        </row>
        <row r="56">
          <cell r="A56">
            <v>822355</v>
          </cell>
          <cell r="B56" t="str">
            <v>MT DECO</v>
          </cell>
          <cell r="G56" t="str">
            <v>OUI</v>
          </cell>
          <cell r="H56" t="str">
            <v>26 KE à fin Nov // EN COURS</v>
          </cell>
          <cell r="I56">
            <v>0</v>
          </cell>
          <cell r="J56">
            <v>0</v>
          </cell>
          <cell r="N56" t="str">
            <v>Non affecté</v>
          </cell>
          <cell r="O56" t="str">
            <v>NM</v>
          </cell>
          <cell r="P56" t="str">
            <v>Ok mon client</v>
          </cell>
          <cell r="Q56" t="str">
            <v>ORLEANS / ST JEAN DE</v>
          </cell>
          <cell r="R56" t="str">
            <v>45</v>
          </cell>
          <cell r="S56" t="str">
            <v>ZA LE BUSSOY</v>
          </cell>
          <cell r="T56">
            <v>45290</v>
          </cell>
          <cell r="U56" t="str">
            <v>VARENNES CHANGY</v>
          </cell>
          <cell r="V56" t="str">
            <v>Mme</v>
          </cell>
          <cell r="W56" t="str">
            <v xml:space="preserve">Veronique </v>
          </cell>
          <cell r="X56" t="str">
            <v>45290</v>
          </cell>
          <cell r="Y56" t="str">
            <v>VARENNES CHANGY</v>
          </cell>
          <cell r="Z56">
            <v>2346.62</v>
          </cell>
          <cell r="AA56">
            <v>13881.49</v>
          </cell>
          <cell r="AB56">
            <v>4850.72</v>
          </cell>
          <cell r="AD56">
            <v>21078.83</v>
          </cell>
          <cell r="AE56">
            <v>1099.5</v>
          </cell>
          <cell r="AF56">
            <v>0.19054115507048658</v>
          </cell>
          <cell r="AG56">
            <v>3537.4699999999993</v>
          </cell>
          <cell r="AH56">
            <v>0.43352169771051108</v>
          </cell>
          <cell r="AI56">
            <v>3380.45</v>
          </cell>
          <cell r="AJ56">
            <v>0.40799006049490455</v>
          </cell>
          <cell r="AL56">
            <v>8017.4199999999992</v>
          </cell>
          <cell r="AM56">
            <v>11224.387999999999</v>
          </cell>
          <cell r="AN56">
            <v>-0.4675042210597079</v>
          </cell>
          <cell r="AW56">
            <v>3537.4699999999993</v>
          </cell>
          <cell r="AX56">
            <v>3380.45</v>
          </cell>
          <cell r="AY56">
            <v>1099.5</v>
          </cell>
        </row>
        <row r="57">
          <cell r="A57">
            <v>302853</v>
          </cell>
          <cell r="B57" t="str">
            <v>M  P  O</v>
          </cell>
          <cell r="C57">
            <v>0.1</v>
          </cell>
          <cell r="D57">
            <v>0.1</v>
          </cell>
          <cell r="E57">
            <v>0.02</v>
          </cell>
          <cell r="F57">
            <v>41275</v>
          </cell>
          <cell r="G57" t="str">
            <v>OUI</v>
          </cell>
          <cell r="H57" t="str">
            <v>MAIL DE NM TS+25%</v>
          </cell>
          <cell r="I57">
            <v>0</v>
          </cell>
          <cell r="J57">
            <v>0</v>
          </cell>
          <cell r="K57" t="str">
            <v>OK</v>
          </cell>
          <cell r="L57" t="str">
            <v>OK</v>
          </cell>
          <cell r="N57" t="str">
            <v>Non affecté</v>
          </cell>
          <cell r="O57" t="str">
            <v>NM</v>
          </cell>
          <cell r="P57" t="str">
            <v>Ok mon client</v>
          </cell>
          <cell r="Q57" t="str">
            <v>ORLEANS / ST JEAN DE</v>
          </cell>
          <cell r="R57" t="str">
            <v>45</v>
          </cell>
          <cell r="S57" t="str">
            <v xml:space="preserve"> 108 RUE P  HAMEAU</v>
          </cell>
          <cell r="T57">
            <v>45110</v>
          </cell>
          <cell r="U57" t="str">
            <v>CHATEAUNEUF SUR LOIRE</v>
          </cell>
          <cell r="X57" t="str">
            <v>45110</v>
          </cell>
          <cell r="Y57" t="str">
            <v>CHATEAUNEUF SUR LOIRE</v>
          </cell>
          <cell r="AA57">
            <v>16466.5</v>
          </cell>
          <cell r="AD57">
            <v>16466.5</v>
          </cell>
          <cell r="AE57">
            <v>644.77</v>
          </cell>
          <cell r="AF57">
            <v>0.31243609181622645</v>
          </cell>
          <cell r="AG57">
            <v>7039.49</v>
          </cell>
          <cell r="AH57">
            <v>0.28397237241664813</v>
          </cell>
          <cell r="AL57">
            <v>7684.26</v>
          </cell>
          <cell r="AM57">
            <v>10757.964</v>
          </cell>
          <cell r="AN57">
            <v>-0.34667573558436826</v>
          </cell>
          <cell r="AW57">
            <v>7743.4390000000003</v>
          </cell>
          <cell r="AX57">
            <v>0</v>
          </cell>
          <cell r="AY57">
            <v>657.66539999999998</v>
          </cell>
        </row>
        <row r="58">
          <cell r="A58">
            <v>68912</v>
          </cell>
          <cell r="B58" t="str">
            <v>BOWDEN SAS</v>
          </cell>
          <cell r="C58">
            <v>0.1</v>
          </cell>
          <cell r="D58">
            <v>0.1</v>
          </cell>
          <cell r="E58">
            <v>0.02</v>
          </cell>
          <cell r="F58">
            <v>41275</v>
          </cell>
          <cell r="G58" t="str">
            <v>OUI</v>
          </cell>
          <cell r="H58" t="str">
            <v>TS+14</v>
          </cell>
          <cell r="I58">
            <v>0</v>
          </cell>
          <cell r="J58">
            <v>0</v>
          </cell>
          <cell r="K58" t="str">
            <v>OK</v>
          </cell>
          <cell r="L58" t="str">
            <v>OK</v>
          </cell>
          <cell r="M58" t="str">
            <v>Porte Feuille</v>
          </cell>
          <cell r="N58" t="str">
            <v>Non affecté</v>
          </cell>
          <cell r="O58" t="str">
            <v>NM</v>
          </cell>
          <cell r="P58" t="str">
            <v>Ok mon client</v>
          </cell>
          <cell r="Q58" t="str">
            <v>ORLEANS / ST JEAN DE</v>
          </cell>
          <cell r="R58" t="str">
            <v>45</v>
          </cell>
          <cell r="S58" t="str">
            <v>ROUTE DE NANCRAY</v>
          </cell>
          <cell r="T58" t="str">
            <v>45300</v>
          </cell>
          <cell r="U58" t="str">
            <v>BOYNES</v>
          </cell>
          <cell r="V58" t="str">
            <v>Mme</v>
          </cell>
          <cell r="W58" t="str">
            <v>Sandrine Fournier</v>
          </cell>
          <cell r="X58" t="str">
            <v>45300</v>
          </cell>
          <cell r="Y58" t="str">
            <v>BOYNES</v>
          </cell>
          <cell r="Z58">
            <v>17147.21</v>
          </cell>
          <cell r="AA58">
            <v>10939.869999999999</v>
          </cell>
          <cell r="AB58">
            <v>10078.650000000001</v>
          </cell>
          <cell r="AD58">
            <v>38165.729999999996</v>
          </cell>
          <cell r="AE58">
            <v>2039.13</v>
          </cell>
          <cell r="AF58">
            <v>8.4825391220765739E-2</v>
          </cell>
          <cell r="AG58">
            <v>1485.25</v>
          </cell>
          <cell r="AH58">
            <v>0.29480558828480052</v>
          </cell>
          <cell r="AI58">
            <v>3438.62</v>
          </cell>
          <cell r="AJ58">
            <v>0.42636077608809669</v>
          </cell>
          <cell r="AL58">
            <v>6963</v>
          </cell>
          <cell r="AM58">
            <v>9748.1999999999989</v>
          </cell>
          <cell r="AN58">
            <v>-0.74458237796054205</v>
          </cell>
          <cell r="AW58">
            <v>1633.7750000000001</v>
          </cell>
          <cell r="AX58">
            <v>3782.482</v>
          </cell>
          <cell r="AY58">
            <v>2079.9126000000001</v>
          </cell>
        </row>
        <row r="59">
          <cell r="A59">
            <v>495222</v>
          </cell>
          <cell r="B59" t="str">
            <v>C2E</v>
          </cell>
          <cell r="C59">
            <v>0.1</v>
          </cell>
          <cell r="D59">
            <v>0.1</v>
          </cell>
          <cell r="E59">
            <v>0.02</v>
          </cell>
          <cell r="F59">
            <v>41275</v>
          </cell>
          <cell r="G59" t="str">
            <v>OUI</v>
          </cell>
          <cell r="H59" t="str">
            <v>TS+40</v>
          </cell>
          <cell r="I59">
            <v>0</v>
          </cell>
          <cell r="J59">
            <v>0</v>
          </cell>
          <cell r="K59" t="str">
            <v>OK</v>
          </cell>
          <cell r="L59" t="str">
            <v>OK</v>
          </cell>
          <cell r="M59" t="str">
            <v>Porte Feuille</v>
          </cell>
          <cell r="N59" t="str">
            <v>Non affecté</v>
          </cell>
          <cell r="O59" t="str">
            <v>NM</v>
          </cell>
          <cell r="P59" t="str">
            <v>Ok mon client</v>
          </cell>
          <cell r="Q59" t="str">
            <v>ORLEANS / ST JEAN DE</v>
          </cell>
          <cell r="R59" t="str">
            <v>45</v>
          </cell>
          <cell r="S59" t="str">
            <v>27 RUE DE L'INDUSTRIE</v>
          </cell>
          <cell r="T59">
            <v>45550</v>
          </cell>
          <cell r="U59" t="str">
            <v>ST DENIS DE L HOTEL</v>
          </cell>
          <cell r="V59" t="str">
            <v xml:space="preserve">Mr </v>
          </cell>
          <cell r="W59" t="str">
            <v>CARTIER Lionel</v>
          </cell>
          <cell r="X59" t="str">
            <v>45550</v>
          </cell>
          <cell r="Y59" t="str">
            <v>ST DENIS DE L HOTEL</v>
          </cell>
          <cell r="Z59">
            <v>16420.399999999998</v>
          </cell>
          <cell r="AA59">
            <v>7323.33</v>
          </cell>
          <cell r="AB59">
            <v>491.14</v>
          </cell>
          <cell r="AD59">
            <v>24234.869999999995</v>
          </cell>
          <cell r="AE59">
            <v>3985.5</v>
          </cell>
          <cell r="AF59">
            <v>-0.107765650483001</v>
          </cell>
          <cell r="AG59">
            <v>2611.9400000000005</v>
          </cell>
          <cell r="AH59">
            <v>0.22577854008897588</v>
          </cell>
          <cell r="AL59">
            <v>6597.4400000000005</v>
          </cell>
          <cell r="AM59">
            <v>9236.4159999999993</v>
          </cell>
          <cell r="AN59">
            <v>-0.61887907795667974</v>
          </cell>
          <cell r="AW59">
            <v>2873.1340000000009</v>
          </cell>
          <cell r="AX59">
            <v>0</v>
          </cell>
          <cell r="AY59">
            <v>4065.21</v>
          </cell>
        </row>
        <row r="60">
          <cell r="A60">
            <v>39126</v>
          </cell>
          <cell r="B60" t="str">
            <v>CML CONSORTIUM MATERIEL LABO</v>
          </cell>
          <cell r="C60">
            <v>0.1</v>
          </cell>
          <cell r="D60">
            <v>0.1</v>
          </cell>
          <cell r="E60">
            <v>0.02</v>
          </cell>
          <cell r="F60">
            <v>41275</v>
          </cell>
          <cell r="G60" t="str">
            <v>OUI</v>
          </cell>
          <cell r="I60">
            <v>0</v>
          </cell>
          <cell r="J60">
            <v>0</v>
          </cell>
          <cell r="K60" t="str">
            <v>OK</v>
          </cell>
          <cell r="L60" t="str">
            <v>OK</v>
          </cell>
          <cell r="N60" t="str">
            <v>Non affecté</v>
          </cell>
          <cell r="O60" t="str">
            <v>NM</v>
          </cell>
          <cell r="P60" t="str">
            <v>Ok mon client</v>
          </cell>
          <cell r="Q60" t="str">
            <v>ORLEANS / ST JEAN DE</v>
          </cell>
          <cell r="R60" t="str">
            <v>77</v>
          </cell>
          <cell r="S60" t="str">
            <v>1 RUE DES PALIS</v>
          </cell>
          <cell r="T60" t="str">
            <v>77792</v>
          </cell>
          <cell r="U60" t="str">
            <v>NEMOURS CEDEX</v>
          </cell>
          <cell r="V60" t="str">
            <v>Mr</v>
          </cell>
          <cell r="W60" t="str">
            <v>Sébastien POIRIER</v>
          </cell>
          <cell r="X60" t="str">
            <v>77792</v>
          </cell>
          <cell r="Y60" t="str">
            <v>NEMOURS CEDEX</v>
          </cell>
          <cell r="Z60">
            <v>1626.3899999999999</v>
          </cell>
          <cell r="AA60">
            <v>346.07</v>
          </cell>
          <cell r="AB60">
            <v>6202.45</v>
          </cell>
          <cell r="AD60">
            <v>8174.91</v>
          </cell>
          <cell r="AE60">
            <v>2294.98</v>
          </cell>
          <cell r="AF60">
            <v>0.25271679927493923</v>
          </cell>
          <cell r="AG60">
            <v>53.05</v>
          </cell>
          <cell r="AH60">
            <v>0.76738925541941561</v>
          </cell>
          <cell r="AI60">
            <v>3821.2400000000002</v>
          </cell>
          <cell r="AJ60">
            <v>0.47908532308884039</v>
          </cell>
          <cell r="AL60">
            <v>6169.27</v>
          </cell>
          <cell r="AM60">
            <v>8636.9779999999992</v>
          </cell>
          <cell r="AN60">
            <v>5.6522701778979778E-2</v>
          </cell>
          <cell r="AQ60">
            <v>40576</v>
          </cell>
          <cell r="AW60">
            <v>58.355000000000004</v>
          </cell>
          <cell r="AX60">
            <v>4203.3640000000005</v>
          </cell>
          <cell r="AY60">
            <v>2340.8796000000002</v>
          </cell>
        </row>
        <row r="61">
          <cell r="A61">
            <v>520804</v>
          </cell>
          <cell r="B61" t="str">
            <v>PONCTUATION COMMUNICATION</v>
          </cell>
          <cell r="C61">
            <v>0.1</v>
          </cell>
          <cell r="D61">
            <v>0.1</v>
          </cell>
          <cell r="E61">
            <v>0.02</v>
          </cell>
          <cell r="F61">
            <v>41275</v>
          </cell>
          <cell r="G61" t="str">
            <v>OUI</v>
          </cell>
          <cell r="H61" t="str">
            <v>TS+157</v>
          </cell>
          <cell r="I61">
            <v>0</v>
          </cell>
          <cell r="J61">
            <v>0</v>
          </cell>
          <cell r="K61" t="str">
            <v>OK</v>
          </cell>
          <cell r="L61" t="str">
            <v>OK</v>
          </cell>
          <cell r="N61" t="str">
            <v>Non affecté</v>
          </cell>
          <cell r="O61" t="str">
            <v>NM</v>
          </cell>
          <cell r="P61" t="str">
            <v>Ok mon client</v>
          </cell>
          <cell r="Q61" t="str">
            <v>ORLEANS / ST JEAN DE</v>
          </cell>
          <cell r="R61" t="str">
            <v>45</v>
          </cell>
          <cell r="S61" t="str">
            <v xml:space="preserve"> 1 RUE DU LEVEREAU</v>
          </cell>
          <cell r="T61" t="str">
            <v>45380</v>
          </cell>
          <cell r="U61" t="str">
            <v>LA CHAPELLE ST MESMIN</v>
          </cell>
          <cell r="X61" t="str">
            <v>45380</v>
          </cell>
          <cell r="Y61" t="str">
            <v>LA CHAPELLE ST MESMIN</v>
          </cell>
          <cell r="AA61">
            <v>446.73</v>
          </cell>
          <cell r="AB61">
            <v>7405.0599999999995</v>
          </cell>
          <cell r="AD61">
            <v>7851.7899999999991</v>
          </cell>
          <cell r="AG61">
            <v>342.96999999999997</v>
          </cell>
          <cell r="AH61">
            <v>0.75758812724144975</v>
          </cell>
          <cell r="AI61">
            <v>5609.71</v>
          </cell>
          <cell r="AJ61">
            <v>0.49685277848587561</v>
          </cell>
          <cell r="AL61">
            <v>5952.68</v>
          </cell>
          <cell r="AM61">
            <v>8333.7520000000004</v>
          </cell>
          <cell r="AN61">
            <v>6.1382436361645087E-2</v>
          </cell>
          <cell r="AW61">
            <v>377.267</v>
          </cell>
          <cell r="AX61">
            <v>6170.6810000000005</v>
          </cell>
          <cell r="AY61">
            <v>0</v>
          </cell>
        </row>
        <row r="62">
          <cell r="A62">
            <v>613976</v>
          </cell>
          <cell r="B62" t="str">
            <v>ATLANTIC INTERNATIONAL</v>
          </cell>
          <cell r="C62">
            <v>0.1</v>
          </cell>
          <cell r="D62">
            <v>0.1</v>
          </cell>
          <cell r="E62">
            <v>0.02</v>
          </cell>
          <cell r="F62">
            <v>41275</v>
          </cell>
          <cell r="G62" t="str">
            <v>OUI</v>
          </cell>
          <cell r="H62" t="str">
            <v>TS+51</v>
          </cell>
          <cell r="I62">
            <v>0</v>
          </cell>
          <cell r="J62">
            <v>0</v>
          </cell>
          <cell r="K62" t="str">
            <v>OK</v>
          </cell>
          <cell r="L62" t="str">
            <v>OK</v>
          </cell>
          <cell r="N62" t="str">
            <v>Non affecté</v>
          </cell>
          <cell r="O62" t="str">
            <v>NM</v>
          </cell>
          <cell r="P62" t="str">
            <v>Ok mon client</v>
          </cell>
          <cell r="Q62" t="str">
            <v>ORLEANS / ST JEAN DE</v>
          </cell>
          <cell r="R62" t="str">
            <v>45</v>
          </cell>
          <cell r="S62" t="str">
            <v>17 RUE DE LA CROIX FAUCHET</v>
          </cell>
          <cell r="T62" t="str">
            <v>45140</v>
          </cell>
          <cell r="U62" t="str">
            <v>ST JEAN DE LA RUELLE</v>
          </cell>
          <cell r="X62" t="str">
            <v>45140</v>
          </cell>
          <cell r="Y62" t="str">
            <v>ST JEAN DE LA RUELLE</v>
          </cell>
          <cell r="AB62">
            <v>7290.9400000000005</v>
          </cell>
          <cell r="AD62">
            <v>7290.9400000000005</v>
          </cell>
          <cell r="AI62">
            <v>5397.88</v>
          </cell>
          <cell r="AJ62">
            <v>0.42136171978628623</v>
          </cell>
          <cell r="AL62">
            <v>5397.88</v>
          </cell>
          <cell r="AM62">
            <v>7557.0319999999992</v>
          </cell>
          <cell r="AN62">
            <v>3.6496254255281135E-2</v>
          </cell>
          <cell r="AW62">
            <v>0</v>
          </cell>
          <cell r="AX62">
            <v>5937.6680000000006</v>
          </cell>
          <cell r="AY62">
            <v>0</v>
          </cell>
        </row>
        <row r="63">
          <cell r="A63">
            <v>506295</v>
          </cell>
          <cell r="B63" t="str">
            <v>JOURDAIN</v>
          </cell>
          <cell r="G63" t="str">
            <v>NON</v>
          </cell>
          <cell r="H63" t="str">
            <v>SUR COTATIONS // A LA COTATION</v>
          </cell>
          <cell r="I63">
            <v>0</v>
          </cell>
          <cell r="J63">
            <v>0</v>
          </cell>
          <cell r="L63" t="str">
            <v>NON</v>
          </cell>
          <cell r="N63" t="str">
            <v>Non affecté</v>
          </cell>
          <cell r="O63" t="str">
            <v>NM</v>
          </cell>
          <cell r="P63" t="str">
            <v>Ok mon client</v>
          </cell>
          <cell r="Q63" t="str">
            <v>ORLEANS / ST JEAN DE</v>
          </cell>
          <cell r="R63" t="str">
            <v>45</v>
          </cell>
          <cell r="S63" t="str">
            <v>152 ROUTE NATIONALE ZI</v>
          </cell>
          <cell r="T63">
            <v>45300</v>
          </cell>
          <cell r="U63" t="str">
            <v>ESCRENNES</v>
          </cell>
          <cell r="V63" t="str">
            <v>Mme</v>
          </cell>
          <cell r="W63" t="str">
            <v>Catherine CORTES</v>
          </cell>
          <cell r="X63" t="str">
            <v>45300</v>
          </cell>
          <cell r="Y63" t="str">
            <v>ESCRENNES</v>
          </cell>
          <cell r="AE63">
            <v>5350</v>
          </cell>
          <cell r="AF63">
            <v>-0.48411214953271026</v>
          </cell>
          <cell r="AL63">
            <v>5350</v>
          </cell>
          <cell r="AM63">
            <v>7489.9999999999991</v>
          </cell>
          <cell r="AQ63">
            <v>40928</v>
          </cell>
          <cell r="AW63">
            <v>0</v>
          </cell>
          <cell r="AX63">
            <v>0</v>
          </cell>
          <cell r="AY63">
            <v>5350</v>
          </cell>
        </row>
        <row r="64">
          <cell r="A64">
            <v>531929</v>
          </cell>
          <cell r="B64" t="str">
            <v>SDH FERROVIAIRE</v>
          </cell>
          <cell r="G64" t="str">
            <v>OUI</v>
          </cell>
          <cell r="H64" t="str">
            <v>RJ // PAS DE HAUSSE</v>
          </cell>
          <cell r="I64">
            <v>0</v>
          </cell>
          <cell r="J64">
            <v>0</v>
          </cell>
          <cell r="L64" t="str">
            <v>NON</v>
          </cell>
          <cell r="M64" t="str">
            <v>Porte Feuille</v>
          </cell>
          <cell r="N64" t="str">
            <v>Non affecté</v>
          </cell>
          <cell r="O64" t="str">
            <v>NM</v>
          </cell>
          <cell r="P64" t="str">
            <v>Ok mon client</v>
          </cell>
          <cell r="Q64" t="str">
            <v>ORLEANS / ST JEAN DE</v>
          </cell>
          <cell r="R64" t="str">
            <v>45</v>
          </cell>
          <cell r="S64" t="str">
            <v>64 RUE DE L'INDUSTRIE</v>
          </cell>
          <cell r="T64" t="str">
            <v>45550</v>
          </cell>
          <cell r="U64" t="str">
            <v>ST DENIS DE L HOTEL</v>
          </cell>
          <cell r="X64" t="str">
            <v>45550</v>
          </cell>
          <cell r="Y64" t="str">
            <v>ST DENIS DE L'HOTEL</v>
          </cell>
          <cell r="Z64">
            <v>53946.570000000007</v>
          </cell>
          <cell r="AD64">
            <v>53946.570000000007</v>
          </cell>
          <cell r="AE64">
            <v>5230.68</v>
          </cell>
          <cell r="AF64">
            <v>0.10623475341638186</v>
          </cell>
          <cell r="AL64">
            <v>5230.68</v>
          </cell>
          <cell r="AM64">
            <v>7322.9520000000002</v>
          </cell>
          <cell r="AN64">
            <v>-0.86425546610284953</v>
          </cell>
          <cell r="AW64">
            <v>0</v>
          </cell>
          <cell r="AX64">
            <v>0</v>
          </cell>
          <cell r="AY64">
            <v>5230.68</v>
          </cell>
        </row>
        <row r="65">
          <cell r="A65">
            <v>54518</v>
          </cell>
          <cell r="B65" t="str">
            <v>INTERFORUM</v>
          </cell>
          <cell r="G65" t="str">
            <v>NON</v>
          </cell>
          <cell r="H65" t="str">
            <v>AO Annuel  // PAS DE HAUSSE</v>
          </cell>
          <cell r="I65">
            <v>0</v>
          </cell>
          <cell r="J65">
            <v>0</v>
          </cell>
          <cell r="L65" t="str">
            <v>NON</v>
          </cell>
          <cell r="N65" t="str">
            <v>Non affecté</v>
          </cell>
          <cell r="O65" t="str">
            <v>NM</v>
          </cell>
          <cell r="P65" t="str">
            <v>Ok mon client</v>
          </cell>
          <cell r="Q65" t="str">
            <v>ORLEANS / ST JEAN DE</v>
          </cell>
          <cell r="R65" t="str">
            <v>94</v>
          </cell>
          <cell r="S65" t="str">
            <v>46 ROUTE DE SERMAISES</v>
          </cell>
          <cell r="T65">
            <v>45331</v>
          </cell>
          <cell r="U65" t="str">
            <v>MALESHERBES</v>
          </cell>
          <cell r="V65" t="str">
            <v xml:space="preserve">Mr </v>
          </cell>
          <cell r="W65" t="str">
            <v>Alain Van Maele</v>
          </cell>
          <cell r="X65" t="str">
            <v>94854</v>
          </cell>
          <cell r="Y65" t="str">
            <v>IVRY/SEINE CEDEX</v>
          </cell>
          <cell r="Z65">
            <v>3015</v>
          </cell>
          <cell r="AD65">
            <v>3015</v>
          </cell>
          <cell r="AE65">
            <v>5135.72</v>
          </cell>
          <cell r="AL65">
            <v>5135.72</v>
          </cell>
          <cell r="AM65">
            <v>7190.0079999999998</v>
          </cell>
          <cell r="AN65">
            <v>1.3847456053067995</v>
          </cell>
          <cell r="AW65">
            <v>0</v>
          </cell>
          <cell r="AX65">
            <v>0</v>
          </cell>
          <cell r="AY65">
            <v>5135.72</v>
          </cell>
        </row>
        <row r="66">
          <cell r="A66">
            <v>598427</v>
          </cell>
          <cell r="B66" t="str">
            <v>SARIE INTERNATIONAL</v>
          </cell>
          <cell r="C66">
            <v>0.1</v>
          </cell>
          <cell r="D66">
            <v>0.1</v>
          </cell>
          <cell r="E66">
            <v>0.02</v>
          </cell>
          <cell r="F66">
            <v>41275</v>
          </cell>
          <cell r="G66" t="str">
            <v>OUI</v>
          </cell>
          <cell r="H66" t="str">
            <v>TS+172</v>
          </cell>
          <cell r="I66">
            <v>0</v>
          </cell>
          <cell r="J66">
            <v>0</v>
          </cell>
          <cell r="K66" t="str">
            <v>OK</v>
          </cell>
          <cell r="L66" t="str">
            <v>OK</v>
          </cell>
          <cell r="N66" t="str">
            <v>Non affecté</v>
          </cell>
          <cell r="O66" t="str">
            <v>NM</v>
          </cell>
          <cell r="P66" t="str">
            <v>Ok mon client</v>
          </cell>
          <cell r="Q66" t="str">
            <v>ORLEANS / ST JEAN DE</v>
          </cell>
          <cell r="R66" t="str">
            <v>45</v>
          </cell>
          <cell r="S66" t="str">
            <v>13 RUE DE LA MOUCHETIERE</v>
          </cell>
          <cell r="T66" t="str">
            <v>45140</v>
          </cell>
          <cell r="U66" t="str">
            <v>ST JEAN DE LA RUELLE</v>
          </cell>
          <cell r="X66" t="str">
            <v>45140</v>
          </cell>
          <cell r="Y66" t="str">
            <v>ST JEAN DE LA RUELLE</v>
          </cell>
          <cell r="Z66">
            <v>1853.52</v>
          </cell>
          <cell r="AA66">
            <v>4399.34</v>
          </cell>
          <cell r="AD66">
            <v>6252.8600000000006</v>
          </cell>
          <cell r="AE66">
            <v>233.57</v>
          </cell>
          <cell r="AF66">
            <v>0.22935308472834695</v>
          </cell>
          <cell r="AG66">
            <v>4866.88</v>
          </cell>
          <cell r="AH66">
            <v>0.70690257413373681</v>
          </cell>
          <cell r="AL66">
            <v>5100.45</v>
          </cell>
          <cell r="AM66">
            <v>7140.6299999999992</v>
          </cell>
          <cell r="AN66">
            <v>0.14197823076160332</v>
          </cell>
          <cell r="AW66">
            <v>5353.5680000000002</v>
          </cell>
          <cell r="AX66">
            <v>0</v>
          </cell>
          <cell r="AY66">
            <v>238.2414</v>
          </cell>
        </row>
        <row r="67">
          <cell r="A67">
            <v>845624</v>
          </cell>
          <cell r="B67" t="str">
            <v>CENTRE DISTRIBUTION ORLEANAIS</v>
          </cell>
          <cell r="C67">
            <v>0.1</v>
          </cell>
          <cell r="D67">
            <v>0.1</v>
          </cell>
          <cell r="E67">
            <v>0.02</v>
          </cell>
          <cell r="F67">
            <v>41275</v>
          </cell>
          <cell r="G67" t="str">
            <v>OUI</v>
          </cell>
          <cell r="H67" t="str">
            <v>TS+2</v>
          </cell>
          <cell r="I67">
            <v>0</v>
          </cell>
          <cell r="J67">
            <v>0</v>
          </cell>
          <cell r="K67" t="str">
            <v>OK</v>
          </cell>
          <cell r="L67" t="str">
            <v>OK</v>
          </cell>
          <cell r="N67" t="str">
            <v>Non affecté</v>
          </cell>
          <cell r="O67" t="str">
            <v>NM</v>
          </cell>
          <cell r="P67" t="str">
            <v>Ok mon client</v>
          </cell>
          <cell r="Q67" t="str">
            <v>ORLEANS / ST JEAN DE</v>
          </cell>
          <cell r="R67" t="str">
            <v>45</v>
          </cell>
          <cell r="S67" t="str">
            <v>113 RUE DE CUREMBOURG</v>
          </cell>
          <cell r="T67">
            <v>45400</v>
          </cell>
          <cell r="U67" t="str">
            <v>FLEURY LES AUBRAIS</v>
          </cell>
          <cell r="X67" t="str">
            <v>45400</v>
          </cell>
          <cell r="Y67" t="str">
            <v>FLEURY LES AUBRAIS</v>
          </cell>
          <cell r="AA67">
            <v>3487.2100000000005</v>
          </cell>
          <cell r="AD67">
            <v>3487.2100000000005</v>
          </cell>
          <cell r="AG67">
            <v>5054.8499999999995</v>
          </cell>
          <cell r="AH67">
            <v>0.13918995218522545</v>
          </cell>
          <cell r="AL67">
            <v>5054.8499999999995</v>
          </cell>
          <cell r="AM67">
            <v>7076.7899999999991</v>
          </cell>
          <cell r="AN67">
            <v>1.029355846077523</v>
          </cell>
          <cell r="AQ67">
            <v>40655</v>
          </cell>
          <cell r="AW67">
            <v>5560.335</v>
          </cell>
          <cell r="AX67">
            <v>0</v>
          </cell>
          <cell r="AY67">
            <v>0</v>
          </cell>
        </row>
        <row r="68">
          <cell r="A68">
            <v>493501</v>
          </cell>
          <cell r="B68" t="str">
            <v>PSF PROJET SANS FRONTIERES</v>
          </cell>
          <cell r="C68">
            <v>0.1</v>
          </cell>
          <cell r="D68">
            <v>0.1</v>
          </cell>
          <cell r="E68">
            <v>0.02</v>
          </cell>
          <cell r="F68">
            <v>41275</v>
          </cell>
          <cell r="G68" t="str">
            <v>OUI</v>
          </cell>
          <cell r="H68" t="str">
            <v>TS+172</v>
          </cell>
          <cell r="I68">
            <v>0</v>
          </cell>
          <cell r="J68">
            <v>0</v>
          </cell>
          <cell r="K68" t="str">
            <v>OK</v>
          </cell>
          <cell r="L68" t="str">
            <v>OK</v>
          </cell>
          <cell r="N68" t="str">
            <v>Non affecté</v>
          </cell>
          <cell r="O68" t="str">
            <v>NM</v>
          </cell>
          <cell r="P68" t="str">
            <v>Ok mon client</v>
          </cell>
          <cell r="Q68" t="str">
            <v>ORLEANS / ST JEAN DE</v>
          </cell>
          <cell r="R68" t="str">
            <v>45</v>
          </cell>
          <cell r="S68" t="str">
            <v>9 RUE DE LA MOUCHETIERE</v>
          </cell>
          <cell r="T68">
            <v>45140</v>
          </cell>
          <cell r="U68" t="str">
            <v>ST JEAN DE LA RUELLE</v>
          </cell>
          <cell r="X68" t="str">
            <v>45140</v>
          </cell>
          <cell r="Y68" t="str">
            <v>SAINT JEAN DE LA RUELLE</v>
          </cell>
          <cell r="Z68">
            <v>438.99</v>
          </cell>
          <cell r="AA68">
            <v>4113.24</v>
          </cell>
          <cell r="AD68">
            <v>4552.2299999999996</v>
          </cell>
          <cell r="AE68">
            <v>1225.46</v>
          </cell>
          <cell r="AF68">
            <v>0.23294109966869586</v>
          </cell>
          <cell r="AG68">
            <v>3736.97</v>
          </cell>
          <cell r="AH68">
            <v>0.70604259600692543</v>
          </cell>
          <cell r="AL68">
            <v>4962.43</v>
          </cell>
          <cell r="AM68">
            <v>6947.402</v>
          </cell>
          <cell r="AN68">
            <v>0.52615355551015663</v>
          </cell>
          <cell r="AW68">
            <v>4110.6670000000004</v>
          </cell>
          <cell r="AX68">
            <v>0</v>
          </cell>
          <cell r="AY68">
            <v>1249.9692</v>
          </cell>
        </row>
        <row r="69">
          <cell r="A69">
            <v>818480</v>
          </cell>
          <cell r="B69" t="str">
            <v>LHOSTE IMPRIMERIE</v>
          </cell>
          <cell r="C69">
            <v>0.1</v>
          </cell>
          <cell r="D69">
            <v>0.1</v>
          </cell>
          <cell r="E69">
            <v>0.02</v>
          </cell>
          <cell r="F69">
            <v>41275</v>
          </cell>
          <cell r="G69" t="str">
            <v>OUI</v>
          </cell>
          <cell r="H69" t="str">
            <v>TS+116</v>
          </cell>
          <cell r="I69">
            <v>0</v>
          </cell>
          <cell r="J69">
            <v>0</v>
          </cell>
          <cell r="K69" t="str">
            <v>OK</v>
          </cell>
          <cell r="L69" t="str">
            <v>OK</v>
          </cell>
          <cell r="N69" t="str">
            <v>Non affecté</v>
          </cell>
          <cell r="O69" t="str">
            <v>NM</v>
          </cell>
          <cell r="P69" t="str">
            <v>Ok mon client</v>
          </cell>
          <cell r="Q69" t="str">
            <v>ORLEANS / ST JEAN DE</v>
          </cell>
          <cell r="R69" t="str">
            <v>45</v>
          </cell>
          <cell r="S69" t="str">
            <v>191 RUE THOMAS EDISON</v>
          </cell>
          <cell r="T69">
            <v>45770</v>
          </cell>
          <cell r="U69" t="str">
            <v>SARAN</v>
          </cell>
          <cell r="X69" t="str">
            <v>45770</v>
          </cell>
          <cell r="Y69" t="str">
            <v>SARAN</v>
          </cell>
          <cell r="Z69">
            <v>400.61</v>
          </cell>
          <cell r="AA69">
            <v>4058.4599999999996</v>
          </cell>
          <cell r="AD69">
            <v>4459.07</v>
          </cell>
          <cell r="AE69">
            <v>210</v>
          </cell>
          <cell r="AF69">
            <v>0.2857142857142857</v>
          </cell>
          <cell r="AG69">
            <v>3881.39</v>
          </cell>
          <cell r="AH69">
            <v>0.75428647984356123</v>
          </cell>
          <cell r="AL69">
            <v>4091.39</v>
          </cell>
          <cell r="AM69">
            <v>5727.9459999999999</v>
          </cell>
          <cell r="AN69">
            <v>0.28456068193591944</v>
          </cell>
          <cell r="AW69">
            <v>4269.5290000000005</v>
          </cell>
          <cell r="AX69">
            <v>0</v>
          </cell>
          <cell r="AY69">
            <v>214.20000000000002</v>
          </cell>
        </row>
        <row r="70">
          <cell r="A70">
            <v>868964</v>
          </cell>
          <cell r="B70" t="str">
            <v>FRANCE ALLIUM</v>
          </cell>
          <cell r="G70" t="str">
            <v>OUI</v>
          </cell>
          <cell r="H70" t="str">
            <v>AO // PAS DE HAUSSE</v>
          </cell>
          <cell r="I70">
            <v>0</v>
          </cell>
          <cell r="J70">
            <v>0</v>
          </cell>
          <cell r="L70" t="str">
            <v>NON</v>
          </cell>
          <cell r="N70" t="str">
            <v>Non affecté</v>
          </cell>
          <cell r="O70" t="str">
            <v>NM</v>
          </cell>
          <cell r="P70" t="str">
            <v>Ok mon client</v>
          </cell>
          <cell r="Q70" t="str">
            <v>ORLEANS / ST JEAN DE</v>
          </cell>
          <cell r="R70" t="str">
            <v>08</v>
          </cell>
          <cell r="V70" t="str">
            <v>Mme</v>
          </cell>
          <cell r="W70" t="str">
            <v>Sochoy Karine</v>
          </cell>
          <cell r="X70" t="str">
            <v>08300</v>
          </cell>
          <cell r="Y70" t="str">
            <v>ACY ROMANCE</v>
          </cell>
          <cell r="AE70">
            <v>4020</v>
          </cell>
          <cell r="AF70">
            <v>0.1044776119402985</v>
          </cell>
          <cell r="AL70">
            <v>4020</v>
          </cell>
          <cell r="AM70">
            <v>5628</v>
          </cell>
          <cell r="AQ70">
            <v>40963</v>
          </cell>
          <cell r="AW70">
            <v>0</v>
          </cell>
          <cell r="AX70">
            <v>0</v>
          </cell>
          <cell r="AY70">
            <v>4020</v>
          </cell>
        </row>
        <row r="71">
          <cell r="A71">
            <v>563487</v>
          </cell>
          <cell r="B71" t="str">
            <v>MECA SOUDE</v>
          </cell>
          <cell r="C71">
            <v>0.1</v>
          </cell>
          <cell r="D71">
            <v>0.1</v>
          </cell>
          <cell r="E71">
            <v>0.02</v>
          </cell>
          <cell r="F71">
            <v>41275</v>
          </cell>
          <cell r="G71" t="str">
            <v>OUI</v>
          </cell>
          <cell r="H71" t="str">
            <v>TS+63</v>
          </cell>
          <cell r="I71">
            <v>0</v>
          </cell>
          <cell r="J71">
            <v>0</v>
          </cell>
          <cell r="K71" t="str">
            <v>OK</v>
          </cell>
          <cell r="L71" t="str">
            <v>OK</v>
          </cell>
          <cell r="N71" t="str">
            <v>Non affecté</v>
          </cell>
          <cell r="O71" t="str">
            <v>NM</v>
          </cell>
          <cell r="P71" t="str">
            <v>Ok mon client</v>
          </cell>
          <cell r="Q71" t="str">
            <v>ORLEANS / ST JEAN DE</v>
          </cell>
          <cell r="R71" t="str">
            <v>45</v>
          </cell>
          <cell r="S71" t="str">
            <v>ZA DU RU CHARLOT</v>
          </cell>
          <cell r="T71" t="str">
            <v>45220</v>
          </cell>
          <cell r="U71" t="str">
            <v>CHATEAURENARD</v>
          </cell>
          <cell r="X71" t="str">
            <v>45220</v>
          </cell>
          <cell r="Y71" t="str">
            <v>CHATEAURENARD</v>
          </cell>
          <cell r="AA71">
            <v>4693.8500000000004</v>
          </cell>
          <cell r="AB71">
            <v>1552.37</v>
          </cell>
          <cell r="AD71">
            <v>6246.22</v>
          </cell>
          <cell r="AE71">
            <v>260.29000000000002</v>
          </cell>
          <cell r="AF71">
            <v>0.23162626301433023</v>
          </cell>
          <cell r="AG71">
            <v>2650.3900000000003</v>
          </cell>
          <cell r="AH71">
            <v>0.47961243439644713</v>
          </cell>
          <cell r="AI71">
            <v>1012.25</v>
          </cell>
          <cell r="AJ71">
            <v>0.21572734008397143</v>
          </cell>
          <cell r="AL71">
            <v>3922.9300000000003</v>
          </cell>
          <cell r="AM71">
            <v>5492.1019999999999</v>
          </cell>
          <cell r="AN71">
            <v>-0.12073189865230494</v>
          </cell>
          <cell r="AW71">
            <v>2915.4290000000005</v>
          </cell>
          <cell r="AX71">
            <v>1113.4750000000001</v>
          </cell>
          <cell r="AY71">
            <v>265.49580000000003</v>
          </cell>
        </row>
        <row r="72">
          <cell r="A72">
            <v>492490</v>
          </cell>
          <cell r="B72" t="str">
            <v>ELIPS SIGNS</v>
          </cell>
          <cell r="G72" t="str">
            <v>OUI</v>
          </cell>
          <cell r="H72" t="str">
            <v>CLIENT HORS SERVICE DEPUIS MARS 2012</v>
          </cell>
          <cell r="I72">
            <v>0</v>
          </cell>
          <cell r="J72">
            <v>0</v>
          </cell>
          <cell r="K72" t="str">
            <v>NON</v>
          </cell>
          <cell r="L72" t="str">
            <v>NON</v>
          </cell>
          <cell r="N72" t="str">
            <v>Non affecté</v>
          </cell>
          <cell r="O72" t="str">
            <v>NM</v>
          </cell>
          <cell r="P72" t="str">
            <v>Ok mon client</v>
          </cell>
          <cell r="Q72" t="str">
            <v>ORLEANS / ST JEAN DE</v>
          </cell>
          <cell r="R72" t="str">
            <v>45</v>
          </cell>
          <cell r="S72" t="str">
            <v>250 RUE EMMANUEL LEGER  Z.I.</v>
          </cell>
          <cell r="T72">
            <v>45310</v>
          </cell>
          <cell r="U72" t="str">
            <v>PATAY</v>
          </cell>
          <cell r="X72" t="str">
            <v>45310</v>
          </cell>
          <cell r="Y72" t="str">
            <v>PATAY</v>
          </cell>
          <cell r="Z72">
            <v>3385.0899999999997</v>
          </cell>
          <cell r="AA72">
            <v>11462.01</v>
          </cell>
          <cell r="AB72">
            <v>249.46</v>
          </cell>
          <cell r="AD72">
            <v>15096.56</v>
          </cell>
          <cell r="AE72">
            <v>623</v>
          </cell>
          <cell r="AF72">
            <v>0.27768860353130015</v>
          </cell>
          <cell r="AG72">
            <v>3216.92</v>
          </cell>
          <cell r="AH72">
            <v>0.33924749315726022</v>
          </cell>
          <cell r="AL72">
            <v>3839.92</v>
          </cell>
          <cell r="AM72">
            <v>5375.8879999999999</v>
          </cell>
          <cell r="AN72">
            <v>-0.64389980233907584</v>
          </cell>
          <cell r="AW72">
            <v>3216.92</v>
          </cell>
          <cell r="AX72">
            <v>0</v>
          </cell>
          <cell r="AY72">
            <v>623</v>
          </cell>
        </row>
        <row r="73">
          <cell r="A73">
            <v>590751</v>
          </cell>
          <cell r="B73" t="str">
            <v>MERCERIE DISTRIBUTION   MD</v>
          </cell>
          <cell r="C73">
            <v>0.1</v>
          </cell>
          <cell r="D73">
            <v>0.1</v>
          </cell>
          <cell r="E73">
            <v>0.02</v>
          </cell>
          <cell r="F73">
            <v>41275</v>
          </cell>
          <cell r="G73" t="str">
            <v>OUI</v>
          </cell>
          <cell r="I73">
            <v>0</v>
          </cell>
          <cell r="J73">
            <v>0</v>
          </cell>
          <cell r="K73" t="str">
            <v>OK</v>
          </cell>
          <cell r="L73" t="str">
            <v>OK</v>
          </cell>
          <cell r="N73" t="str">
            <v>Non affecté</v>
          </cell>
          <cell r="O73" t="str">
            <v>NM</v>
          </cell>
          <cell r="P73" t="str">
            <v>Ok mon client</v>
          </cell>
          <cell r="Q73" t="str">
            <v>ORLEANS / ST JEAN DE</v>
          </cell>
          <cell r="R73" t="str">
            <v>45</v>
          </cell>
          <cell r="S73" t="str">
            <v>2 BIS ROUTE DE PITHIVIERS</v>
          </cell>
          <cell r="T73" t="str">
            <v>45480</v>
          </cell>
          <cell r="U73" t="str">
            <v>BAZOCHES LES GALLERANDES</v>
          </cell>
          <cell r="X73" t="str">
            <v>45480</v>
          </cell>
          <cell r="Y73" t="str">
            <v>BAZOCHES LES GALLERANDES</v>
          </cell>
          <cell r="Z73">
            <v>246.98</v>
          </cell>
          <cell r="AB73">
            <v>4307.46</v>
          </cell>
          <cell r="AD73">
            <v>4554.4399999999996</v>
          </cell>
          <cell r="AI73">
            <v>3677.2400000000002</v>
          </cell>
          <cell r="AJ73">
            <v>0.52887219762648052</v>
          </cell>
          <cell r="AL73">
            <v>3677.2400000000002</v>
          </cell>
          <cell r="AM73">
            <v>5148.1360000000004</v>
          </cell>
          <cell r="AN73">
            <v>0.130355433379296</v>
          </cell>
          <cell r="AW73">
            <v>0</v>
          </cell>
          <cell r="AX73">
            <v>4044.9640000000004</v>
          </cell>
          <cell r="AY73">
            <v>0</v>
          </cell>
        </row>
        <row r="74">
          <cell r="A74">
            <v>481076</v>
          </cell>
          <cell r="B74" t="str">
            <v>SIFA TECHNOLOGIES</v>
          </cell>
          <cell r="C74">
            <v>0.1</v>
          </cell>
          <cell r="D74">
            <v>0.1</v>
          </cell>
          <cell r="E74">
            <v>0.02</v>
          </cell>
          <cell r="F74">
            <v>41320</v>
          </cell>
          <cell r="G74" t="str">
            <v>COURRIER SPECIFIQUE</v>
          </cell>
          <cell r="H74" t="str">
            <v>COURRIER SPECIFIQUE //attendre nm mail</v>
          </cell>
          <cell r="I74">
            <v>0</v>
          </cell>
          <cell r="J74">
            <v>0</v>
          </cell>
          <cell r="K74" t="str">
            <v>OK</v>
          </cell>
          <cell r="L74" t="str">
            <v>ok</v>
          </cell>
          <cell r="N74" t="str">
            <v>Non affecté</v>
          </cell>
          <cell r="O74" t="str">
            <v>NM</v>
          </cell>
          <cell r="P74" t="str">
            <v>Ok mon client</v>
          </cell>
          <cell r="Q74" t="str">
            <v>ORLEANS / ST JEAN DE</v>
          </cell>
          <cell r="R74" t="str">
            <v>45</v>
          </cell>
          <cell r="S74" t="str">
            <v>60 RUE DES MONTEES</v>
          </cell>
          <cell r="T74">
            <v>45100</v>
          </cell>
          <cell r="U74" t="str">
            <v>ORLEANS</v>
          </cell>
          <cell r="X74" t="str">
            <v>45100</v>
          </cell>
          <cell r="Y74" t="str">
            <v>ORLEANS</v>
          </cell>
          <cell r="Z74">
            <v>192.43</v>
          </cell>
          <cell r="AA74">
            <v>5360.7999999999993</v>
          </cell>
          <cell r="AB74">
            <v>86.070000000000007</v>
          </cell>
          <cell r="AD74">
            <v>5639.2999999999993</v>
          </cell>
          <cell r="AG74">
            <v>3316.7999999999997</v>
          </cell>
          <cell r="AH74">
            <v>0.56043475639170282</v>
          </cell>
          <cell r="AI74">
            <v>139.37</v>
          </cell>
          <cell r="AJ74">
            <v>0.68120829446796316</v>
          </cell>
          <cell r="AL74">
            <v>3456.1699999999996</v>
          </cell>
          <cell r="AM74">
            <v>4838.637999999999</v>
          </cell>
          <cell r="AN74">
            <v>-0.14197896902097784</v>
          </cell>
          <cell r="AW74">
            <v>3648.48</v>
          </cell>
          <cell r="AX74">
            <v>153.30700000000002</v>
          </cell>
          <cell r="AY74">
            <v>0</v>
          </cell>
        </row>
        <row r="75">
          <cell r="A75">
            <v>300714</v>
          </cell>
          <cell r="B75" t="str">
            <v>SAS PACY TECHNOLOGIES</v>
          </cell>
          <cell r="C75">
            <v>0.1</v>
          </cell>
          <cell r="D75">
            <v>0.1</v>
          </cell>
          <cell r="E75">
            <v>0.02</v>
          </cell>
          <cell r="F75">
            <v>41320</v>
          </cell>
          <cell r="G75" t="str">
            <v>COURRIER SPECIFIQUE  = sifa</v>
          </cell>
          <cell r="H75" t="str">
            <v>COURRIER SPECIFIQUE //attendre nm mail</v>
          </cell>
          <cell r="I75">
            <v>0</v>
          </cell>
          <cell r="J75">
            <v>0</v>
          </cell>
          <cell r="K75" t="str">
            <v>OK</v>
          </cell>
          <cell r="L75" t="str">
            <v>ok</v>
          </cell>
          <cell r="N75" t="str">
            <v>Non affecté</v>
          </cell>
          <cell r="O75" t="str">
            <v>NA</v>
          </cell>
          <cell r="P75" t="str">
            <v>Ok mon client</v>
          </cell>
          <cell r="Q75" t="str">
            <v>ORLEANS / ST JEAN DE</v>
          </cell>
          <cell r="R75">
            <v>45</v>
          </cell>
          <cell r="S75" t="str">
            <v>24 RUE ALBERT CAMUS</v>
          </cell>
          <cell r="T75">
            <v>27120</v>
          </cell>
          <cell r="U75" t="str">
            <v>PACY SUR EURE</v>
          </cell>
          <cell r="X75">
            <v>27120</v>
          </cell>
          <cell r="Y75" t="str">
            <v>PACY SUR EURE</v>
          </cell>
          <cell r="AA75">
            <v>7502.67</v>
          </cell>
          <cell r="AD75">
            <v>7502.67</v>
          </cell>
          <cell r="AG75">
            <v>3425.53</v>
          </cell>
          <cell r="AH75">
            <v>0.37018355779730644</v>
          </cell>
          <cell r="AL75">
            <v>3425.53</v>
          </cell>
          <cell r="AM75">
            <v>4795.7420000000002</v>
          </cell>
          <cell r="AN75">
            <v>-0.36079529021001855</v>
          </cell>
          <cell r="AW75">
            <v>3768.0830000000005</v>
          </cell>
          <cell r="AX75">
            <v>0</v>
          </cell>
          <cell r="AY75">
            <v>0</v>
          </cell>
        </row>
        <row r="76">
          <cell r="A76">
            <v>386521</v>
          </cell>
          <cell r="B76" t="str">
            <v>SOMADO</v>
          </cell>
          <cell r="C76">
            <v>0.2</v>
          </cell>
          <cell r="D76">
            <v>0.1</v>
          </cell>
          <cell r="E76">
            <v>0.02</v>
          </cell>
          <cell r="F76">
            <v>41275</v>
          </cell>
          <cell r="G76" t="str">
            <v>OUI</v>
          </cell>
          <cell r="H76" t="str">
            <v>TS+48</v>
          </cell>
          <cell r="I76">
            <v>0</v>
          </cell>
          <cell r="J76">
            <v>0</v>
          </cell>
          <cell r="K76" t="str">
            <v>OK</v>
          </cell>
          <cell r="L76" t="str">
            <v>OK</v>
          </cell>
          <cell r="N76" t="str">
            <v>Non affecté</v>
          </cell>
          <cell r="O76" t="str">
            <v>NM</v>
          </cell>
          <cell r="P76" t="str">
            <v>Ok mon client</v>
          </cell>
          <cell r="Q76" t="str">
            <v>ORLEANS / ST JEAN DE</v>
          </cell>
          <cell r="R76" t="str">
            <v>45</v>
          </cell>
          <cell r="S76" t="str">
            <v>8 AVENUE FRANCOIS RABELAIS</v>
          </cell>
          <cell r="T76">
            <v>45800</v>
          </cell>
          <cell r="U76" t="str">
            <v>ST JEAN DE BRAYE</v>
          </cell>
          <cell r="X76" t="str">
            <v>45802</v>
          </cell>
          <cell r="Y76" t="str">
            <v>SAINT JEAN DE BRAYE CEDEX</v>
          </cell>
          <cell r="Z76">
            <v>1104.71</v>
          </cell>
          <cell r="AA76">
            <v>5273.32</v>
          </cell>
          <cell r="AB76">
            <v>575.67999999999995</v>
          </cell>
          <cell r="AD76">
            <v>6953.71</v>
          </cell>
          <cell r="AE76">
            <v>618.02</v>
          </cell>
          <cell r="AF76">
            <v>0.23773652587211913</v>
          </cell>
          <cell r="AG76">
            <v>2601.3800000000006</v>
          </cell>
          <cell r="AH76">
            <v>0.45645772628374137</v>
          </cell>
          <cell r="AI76">
            <v>202.56</v>
          </cell>
          <cell r="AJ76">
            <v>0.27964724994198198</v>
          </cell>
          <cell r="AL76">
            <v>3421.9600000000005</v>
          </cell>
          <cell r="AM76">
            <v>4790.7440000000006</v>
          </cell>
          <cell r="AN76">
            <v>-0.31105208586495547</v>
          </cell>
          <cell r="AW76">
            <v>3121.6560000000004</v>
          </cell>
          <cell r="AX76">
            <v>222.81600000000003</v>
          </cell>
          <cell r="AY76">
            <v>630.38040000000001</v>
          </cell>
        </row>
        <row r="77">
          <cell r="A77">
            <v>586240</v>
          </cell>
          <cell r="B77" t="str">
            <v>ARTISANAT SEL</v>
          </cell>
          <cell r="G77" t="str">
            <v>OUI</v>
          </cell>
          <cell r="H77" t="str">
            <v>PAS DE CONTRAT</v>
          </cell>
          <cell r="I77">
            <v>0</v>
          </cell>
          <cell r="J77">
            <v>0</v>
          </cell>
          <cell r="K77" t="str">
            <v>NON</v>
          </cell>
          <cell r="L77" t="str">
            <v>NON</v>
          </cell>
          <cell r="N77" t="str">
            <v>Non affecté</v>
          </cell>
          <cell r="O77" t="str">
            <v>NM</v>
          </cell>
          <cell r="P77" t="str">
            <v>Ok mon client</v>
          </cell>
          <cell r="Q77" t="str">
            <v>ORLEANS / ST JEAN DE</v>
          </cell>
          <cell r="R77" t="str">
            <v>45</v>
          </cell>
          <cell r="S77" t="str">
            <v>PARC D'ACTIVITÉS ARBORIA</v>
          </cell>
          <cell r="T77">
            <v>45701</v>
          </cell>
          <cell r="U77" t="str">
            <v>VILLEMANDEUR</v>
          </cell>
          <cell r="X77" t="str">
            <v>45700</v>
          </cell>
          <cell r="Y77" t="str">
            <v>VILLEMANDEUR</v>
          </cell>
          <cell r="AB77">
            <v>1449.04</v>
          </cell>
          <cell r="AD77">
            <v>1449.04</v>
          </cell>
          <cell r="AE77">
            <v>367</v>
          </cell>
          <cell r="AF77">
            <v>0.18256130790190736</v>
          </cell>
          <cell r="AI77">
            <v>2960.88</v>
          </cell>
          <cell r="AJ77">
            <v>0.51552916700440399</v>
          </cell>
          <cell r="AL77">
            <v>3327.88</v>
          </cell>
          <cell r="AM77">
            <v>4659.0320000000002</v>
          </cell>
          <cell r="AN77">
            <v>2.2152542372881356</v>
          </cell>
          <cell r="AW77">
            <v>0</v>
          </cell>
          <cell r="AX77">
            <v>2960.88</v>
          </cell>
          <cell r="AY77">
            <v>367</v>
          </cell>
        </row>
        <row r="78">
          <cell r="A78">
            <v>484381</v>
          </cell>
          <cell r="B78" t="str">
            <v>MORIN</v>
          </cell>
          <cell r="G78" t="str">
            <v>OUI</v>
          </cell>
          <cell r="H78" t="str">
            <v>AO en cours / Pot. GRN= 180 KE  // EN COURS</v>
          </cell>
          <cell r="I78">
            <v>0</v>
          </cell>
          <cell r="J78">
            <v>0</v>
          </cell>
          <cell r="N78" t="str">
            <v>Non affecté</v>
          </cell>
          <cell r="O78" t="str">
            <v>NM</v>
          </cell>
          <cell r="P78" t="str">
            <v>Ok mon client</v>
          </cell>
          <cell r="Q78" t="str">
            <v>ORLEANS / ST JEAN DE</v>
          </cell>
          <cell r="R78" t="str">
            <v>45</v>
          </cell>
          <cell r="S78" t="str">
            <v>ZA DES GARDOIRS</v>
          </cell>
          <cell r="T78">
            <v>45740</v>
          </cell>
          <cell r="U78" t="str">
            <v>LAILLY EN VAL</v>
          </cell>
          <cell r="X78" t="str">
            <v>45740</v>
          </cell>
          <cell r="Y78" t="str">
            <v>LAILLY EN VAL</v>
          </cell>
          <cell r="Z78">
            <v>1214.3200000000002</v>
          </cell>
          <cell r="AB78">
            <v>3784.37</v>
          </cell>
          <cell r="AD78">
            <v>4998.6900000000005</v>
          </cell>
          <cell r="AI78">
            <v>3327.4500000000003</v>
          </cell>
          <cell r="AJ78">
            <v>0.56635862296954143</v>
          </cell>
          <cell r="AL78">
            <v>3327.4500000000003</v>
          </cell>
          <cell r="AM78">
            <v>4658.43</v>
          </cell>
          <cell r="AN78">
            <v>-6.8069834296585752E-2</v>
          </cell>
          <cell r="AQ78">
            <v>40669</v>
          </cell>
          <cell r="AW78">
            <v>0</v>
          </cell>
          <cell r="AX78">
            <v>3327.4500000000003</v>
          </cell>
          <cell r="AY78">
            <v>0</v>
          </cell>
        </row>
        <row r="79">
          <cell r="A79">
            <v>301982</v>
          </cell>
          <cell r="B79" t="str">
            <v>A E M L</v>
          </cell>
          <cell r="C79">
            <v>0.2</v>
          </cell>
          <cell r="D79">
            <v>0.1</v>
          </cell>
          <cell r="E79">
            <v>0.02</v>
          </cell>
          <cell r="F79">
            <v>41306</v>
          </cell>
          <cell r="G79" t="str">
            <v>OUI</v>
          </cell>
          <cell r="I79">
            <v>0</v>
          </cell>
          <cell r="J79">
            <v>0</v>
          </cell>
          <cell r="K79" t="str">
            <v>OK</v>
          </cell>
          <cell r="L79" t="str">
            <v>OK</v>
          </cell>
          <cell r="N79" t="str">
            <v>Non affecté</v>
          </cell>
          <cell r="O79" t="str">
            <v>NM</v>
          </cell>
          <cell r="P79" t="str">
            <v>Ok mon client</v>
          </cell>
          <cell r="Q79" t="str">
            <v>ORLEANS / ST JEAN DE</v>
          </cell>
          <cell r="R79" t="str">
            <v>46</v>
          </cell>
          <cell r="S79" t="str">
            <v>CHENEVIERES</v>
          </cell>
          <cell r="T79">
            <v>45130</v>
          </cell>
          <cell r="U79" t="str">
            <v>MEUNG SUR LOIRE</v>
          </cell>
          <cell r="X79" t="str">
            <v>45130</v>
          </cell>
          <cell r="Y79" t="str">
            <v>MEUNG SUR LOIRE</v>
          </cell>
          <cell r="Z79">
            <v>1482.8400000000001</v>
          </cell>
          <cell r="AA79">
            <v>200</v>
          </cell>
          <cell r="AB79">
            <v>2119.0700000000002</v>
          </cell>
          <cell r="AD79">
            <v>3801.9100000000003</v>
          </cell>
          <cell r="AE79">
            <v>862.35</v>
          </cell>
          <cell r="AF79">
            <v>0.21145706499681105</v>
          </cell>
          <cell r="AI79">
            <v>2405.52</v>
          </cell>
          <cell r="AJ79">
            <v>0.21098140942498908</v>
          </cell>
          <cell r="AL79">
            <v>3267.87</v>
          </cell>
          <cell r="AM79">
            <v>4575.0179999999991</v>
          </cell>
          <cell r="AN79">
            <v>0.2033472649273651</v>
          </cell>
          <cell r="AW79">
            <v>0</v>
          </cell>
          <cell r="AX79">
            <v>2646.0720000000001</v>
          </cell>
          <cell r="AY79">
            <v>879.59700000000009</v>
          </cell>
        </row>
        <row r="80">
          <cell r="A80">
            <v>391097</v>
          </cell>
          <cell r="B80" t="str">
            <v>GUINAULT SA</v>
          </cell>
          <cell r="C80">
            <v>0.2</v>
          </cell>
          <cell r="D80">
            <v>0.1</v>
          </cell>
          <cell r="E80">
            <v>0.02</v>
          </cell>
          <cell r="F80">
            <v>41275</v>
          </cell>
          <cell r="G80" t="str">
            <v>OUI</v>
          </cell>
          <cell r="H80" t="str">
            <v>TS+55</v>
          </cell>
          <cell r="I80">
            <v>0</v>
          </cell>
          <cell r="J80">
            <v>0</v>
          </cell>
          <cell r="K80" t="str">
            <v>OK</v>
          </cell>
          <cell r="L80" t="str">
            <v>OK</v>
          </cell>
          <cell r="N80" t="str">
            <v>Non affecté</v>
          </cell>
          <cell r="O80" t="str">
            <v>NM</v>
          </cell>
          <cell r="P80" t="str">
            <v>Ok mon client</v>
          </cell>
          <cell r="Q80" t="str">
            <v>ORLEANS / ST JEAN DE</v>
          </cell>
          <cell r="R80" t="str">
            <v>45</v>
          </cell>
          <cell r="S80" t="str">
            <v>RUE DU ROND D'EAU</v>
          </cell>
          <cell r="T80">
            <v>45590</v>
          </cell>
          <cell r="U80" t="str">
            <v>ST CYR EN VAL</v>
          </cell>
          <cell r="V80" t="str">
            <v>Mme</v>
          </cell>
          <cell r="W80" t="str">
            <v>Blandine Bringer</v>
          </cell>
          <cell r="X80" t="str">
            <v>45590</v>
          </cell>
          <cell r="Y80" t="str">
            <v>SAINT CYR EN VAL</v>
          </cell>
          <cell r="AB80">
            <v>3731.2999999999997</v>
          </cell>
          <cell r="AD80">
            <v>3731.2999999999997</v>
          </cell>
          <cell r="AI80">
            <v>3205.0200000000004</v>
          </cell>
          <cell r="AJ80">
            <v>0.59008992143574757</v>
          </cell>
          <cell r="AL80">
            <v>3205.0200000000004</v>
          </cell>
          <cell r="AM80">
            <v>4487.0280000000002</v>
          </cell>
          <cell r="AN80">
            <v>0.20253745343445995</v>
          </cell>
          <cell r="AW80">
            <v>0</v>
          </cell>
          <cell r="AX80">
            <v>3525.5220000000008</v>
          </cell>
          <cell r="AY80">
            <v>0</v>
          </cell>
        </row>
        <row r="81">
          <cell r="A81">
            <v>582395</v>
          </cell>
          <cell r="B81" t="str">
            <v>CENTRADIS</v>
          </cell>
          <cell r="G81" t="str">
            <v>NON</v>
          </cell>
          <cell r="H81" t="str">
            <v>Offre GRN en cours (Pot. 600 KE) // PAS DE HAUSSE</v>
          </cell>
          <cell r="I81">
            <v>0</v>
          </cell>
          <cell r="J81">
            <v>0</v>
          </cell>
          <cell r="L81" t="str">
            <v>NON</v>
          </cell>
          <cell r="N81" t="str">
            <v>Non affecté</v>
          </cell>
          <cell r="O81" t="str">
            <v>NM</v>
          </cell>
          <cell r="P81" t="str">
            <v>Ok mon client</v>
          </cell>
          <cell r="Q81" t="str">
            <v>ORLEANS / ST JEAN DE</v>
          </cell>
          <cell r="R81" t="str">
            <v>45</v>
          </cell>
          <cell r="S81" t="str">
            <v>P A  DE LA SAUSSAYE</v>
          </cell>
          <cell r="T81">
            <v>45075</v>
          </cell>
          <cell r="U81" t="str">
            <v>ORLEANS CEDEX 2</v>
          </cell>
          <cell r="X81" t="str">
            <v>45075</v>
          </cell>
          <cell r="Y81" t="str">
            <v>ORLEANS CEDEX 2</v>
          </cell>
          <cell r="AE81">
            <v>2298.9700000000003</v>
          </cell>
          <cell r="AF81">
            <v>-6.134486313436005E-2</v>
          </cell>
          <cell r="AI81">
            <v>403.37</v>
          </cell>
          <cell r="AJ81">
            <v>0.51131715298609215</v>
          </cell>
          <cell r="AL81">
            <v>2702.34</v>
          </cell>
          <cell r="AM81">
            <v>3783.2759999999998</v>
          </cell>
          <cell r="AQ81">
            <v>40924</v>
          </cell>
          <cell r="AW81">
            <v>0</v>
          </cell>
          <cell r="AX81">
            <v>403.37</v>
          </cell>
          <cell r="AY81">
            <v>2298.9700000000003</v>
          </cell>
        </row>
        <row r="82">
          <cell r="A82">
            <v>468894</v>
          </cell>
          <cell r="B82" t="str">
            <v>SPIE OUEST CENTRE</v>
          </cell>
          <cell r="C82">
            <v>0.2</v>
          </cell>
          <cell r="D82">
            <v>0.1</v>
          </cell>
          <cell r="E82">
            <v>0.02</v>
          </cell>
          <cell r="F82">
            <v>41275</v>
          </cell>
          <cell r="G82" t="str">
            <v>OUI</v>
          </cell>
          <cell r="H82" t="str">
            <v>TS+138</v>
          </cell>
          <cell r="I82">
            <v>0</v>
          </cell>
          <cell r="J82">
            <v>0</v>
          </cell>
          <cell r="K82" t="str">
            <v>OK</v>
          </cell>
          <cell r="L82" t="str">
            <v>OK</v>
          </cell>
          <cell r="N82" t="str">
            <v>Non affecté</v>
          </cell>
          <cell r="O82" t="str">
            <v>NM</v>
          </cell>
          <cell r="P82" t="str">
            <v>Ok mon client</v>
          </cell>
          <cell r="Q82" t="str">
            <v>ORLEANS / ST JEAN DE</v>
          </cell>
          <cell r="R82">
            <v>86</v>
          </cell>
          <cell r="S82" t="str">
            <v>1 AVENUE DES ENTREPRISES</v>
          </cell>
          <cell r="T82" t="str">
            <v>86440</v>
          </cell>
          <cell r="U82" t="str">
            <v>MIGNE AUXANCES</v>
          </cell>
          <cell r="V82" t="str">
            <v>Mr</v>
          </cell>
          <cell r="W82" t="str">
            <v>Alain. Girerd</v>
          </cell>
          <cell r="Z82">
            <v>237.84</v>
          </cell>
          <cell r="AA82">
            <v>2570.23</v>
          </cell>
          <cell r="AD82">
            <v>2808.07</v>
          </cell>
          <cell r="AE82">
            <v>203.36</v>
          </cell>
          <cell r="AF82">
            <v>0.31156569630212438</v>
          </cell>
          <cell r="AG82">
            <v>2440.87</v>
          </cell>
          <cell r="AH82">
            <v>0.52319869554707954</v>
          </cell>
          <cell r="AL82">
            <v>2644.23</v>
          </cell>
          <cell r="AM82">
            <v>3701.9219999999996</v>
          </cell>
          <cell r="AN82">
            <v>0.31831542660973522</v>
          </cell>
          <cell r="AW82">
            <v>2929.0439999999999</v>
          </cell>
          <cell r="AX82">
            <v>0</v>
          </cell>
          <cell r="AY82">
            <v>207.42720000000003</v>
          </cell>
        </row>
        <row r="83">
          <cell r="A83">
            <v>380212</v>
          </cell>
          <cell r="B83" t="str">
            <v>S.F.C.     JARDIBRIC</v>
          </cell>
          <cell r="G83" t="str">
            <v>NON</v>
          </cell>
          <cell r="H83" t="str">
            <v>AO en cours  // PAS DE HAUSSE</v>
          </cell>
          <cell r="I83">
            <v>0</v>
          </cell>
          <cell r="J83">
            <v>0</v>
          </cell>
          <cell r="L83" t="str">
            <v>NON</v>
          </cell>
          <cell r="N83" t="str">
            <v>Non affecté</v>
          </cell>
          <cell r="O83" t="str">
            <v>NM</v>
          </cell>
          <cell r="P83" t="str">
            <v>Ok mon client</v>
          </cell>
          <cell r="Q83" t="str">
            <v>ORLEANS / ST JEAN DE</v>
          </cell>
          <cell r="R83" t="str">
            <v>45</v>
          </cell>
          <cell r="S83" t="str">
            <v xml:space="preserve">RUE HENRI DUNANT </v>
          </cell>
          <cell r="T83">
            <v>45140</v>
          </cell>
          <cell r="U83" t="str">
            <v>ST JEAN DE LA RUELLE</v>
          </cell>
          <cell r="X83" t="str">
            <v>45142</v>
          </cell>
          <cell r="Y83" t="str">
            <v>ST JEAN DE LA RUELLE CEDEX</v>
          </cell>
          <cell r="Z83">
            <v>3559.56</v>
          </cell>
          <cell r="AA83">
            <v>534.22</v>
          </cell>
          <cell r="AD83">
            <v>4093.7799999999997</v>
          </cell>
          <cell r="AE83">
            <v>2615.41</v>
          </cell>
          <cell r="AF83">
            <v>-4.8864231611872155E-3</v>
          </cell>
          <cell r="AL83">
            <v>2615.41</v>
          </cell>
          <cell r="AM83">
            <v>3661.5739999999996</v>
          </cell>
          <cell r="AN83">
            <v>-0.10557626447928325</v>
          </cell>
          <cell r="AW83">
            <v>0</v>
          </cell>
          <cell r="AX83">
            <v>0</v>
          </cell>
          <cell r="AY83">
            <v>2615.41</v>
          </cell>
        </row>
        <row r="84">
          <cell r="A84">
            <v>801162</v>
          </cell>
          <cell r="B84" t="str">
            <v>ELVIA PRINTED CIRCUIT BOARDS SAS</v>
          </cell>
          <cell r="C84">
            <v>0.2</v>
          </cell>
          <cell r="D84">
            <v>0.1</v>
          </cell>
          <cell r="E84">
            <v>0.02</v>
          </cell>
          <cell r="F84">
            <v>41275</v>
          </cell>
          <cell r="G84" t="str">
            <v>OUI</v>
          </cell>
          <cell r="H84" t="str">
            <v>TS+63 / IDEM QUE SGCI</v>
          </cell>
          <cell r="I84">
            <v>0</v>
          </cell>
          <cell r="J84">
            <v>0</v>
          </cell>
          <cell r="K84" t="str">
            <v>OK</v>
          </cell>
          <cell r="L84" t="str">
            <v>OK</v>
          </cell>
          <cell r="N84" t="str">
            <v>Non affecté</v>
          </cell>
          <cell r="O84" t="str">
            <v>NM</v>
          </cell>
          <cell r="P84" t="str">
            <v>Ok mon client</v>
          </cell>
          <cell r="Q84" t="str">
            <v>ORLEANS / ST JEAN DE</v>
          </cell>
          <cell r="R84" t="str">
            <v>50</v>
          </cell>
          <cell r="S84" t="str">
            <v>ZONE INDUSTRIELLE</v>
          </cell>
          <cell r="T84">
            <v>45270</v>
          </cell>
          <cell r="U84" t="str">
            <v>BELLEGARDE</v>
          </cell>
          <cell r="V84" t="str">
            <v>Mme</v>
          </cell>
          <cell r="W84" t="str">
            <v>CODIASSE</v>
          </cell>
          <cell r="X84" t="str">
            <v>50211</v>
          </cell>
          <cell r="Y84" t="str">
            <v>COUTANCES</v>
          </cell>
          <cell r="AA84">
            <v>179.34</v>
          </cell>
          <cell r="AB84">
            <v>2144.9299999999998</v>
          </cell>
          <cell r="AD84">
            <v>2324.27</v>
          </cell>
          <cell r="AE84">
            <v>1175.8300000000002</v>
          </cell>
          <cell r="AF84">
            <v>0.21757396902613468</v>
          </cell>
          <cell r="AG84">
            <v>526.23</v>
          </cell>
          <cell r="AH84">
            <v>0.66866199190468034</v>
          </cell>
          <cell r="AI84">
            <v>894.8</v>
          </cell>
          <cell r="AJ84">
            <v>0.10716361198033067</v>
          </cell>
          <cell r="AL84">
            <v>2596.86</v>
          </cell>
          <cell r="AM84">
            <v>3635.6039999999998</v>
          </cell>
          <cell r="AN84">
            <v>0.5641917677378272</v>
          </cell>
          <cell r="AW84">
            <v>631.476</v>
          </cell>
          <cell r="AX84">
            <v>984.28</v>
          </cell>
          <cell r="AY84">
            <v>1199.3466000000001</v>
          </cell>
        </row>
        <row r="85">
          <cell r="A85">
            <v>399070</v>
          </cell>
          <cell r="B85" t="str">
            <v>CENTRALE IMPRIMERIE</v>
          </cell>
          <cell r="C85">
            <v>0.2</v>
          </cell>
          <cell r="D85">
            <v>0.1</v>
          </cell>
          <cell r="E85">
            <v>0.02</v>
          </cell>
          <cell r="F85">
            <v>41275</v>
          </cell>
          <cell r="G85" t="str">
            <v>OUI</v>
          </cell>
          <cell r="H85" t="str">
            <v>TS+183</v>
          </cell>
          <cell r="I85">
            <v>0</v>
          </cell>
          <cell r="J85">
            <v>0</v>
          </cell>
          <cell r="K85" t="str">
            <v>OK</v>
          </cell>
          <cell r="L85" t="str">
            <v>OK</v>
          </cell>
          <cell r="N85" t="str">
            <v>Non affecté</v>
          </cell>
          <cell r="O85" t="str">
            <v>NM</v>
          </cell>
          <cell r="P85" t="str">
            <v>Ok mon client</v>
          </cell>
          <cell r="Q85" t="str">
            <v>ORLEANS / ST JEAN DE</v>
          </cell>
          <cell r="R85" t="str">
            <v>45</v>
          </cell>
          <cell r="S85" t="str">
            <v>RUE JACQUES BREL  Z.I.</v>
          </cell>
          <cell r="T85">
            <v>45500</v>
          </cell>
          <cell r="U85" t="str">
            <v>GIEN</v>
          </cell>
          <cell r="X85" t="str">
            <v>45500</v>
          </cell>
          <cell r="Y85" t="str">
            <v>GIEN</v>
          </cell>
          <cell r="AA85">
            <v>5778.4600000000009</v>
          </cell>
          <cell r="AD85">
            <v>5778.4600000000009</v>
          </cell>
          <cell r="AG85">
            <v>2466.4499999999998</v>
          </cell>
          <cell r="AH85">
            <v>0.74436943785602783</v>
          </cell>
          <cell r="AL85">
            <v>2466.4499999999998</v>
          </cell>
          <cell r="AM85">
            <v>3453.0299999999997</v>
          </cell>
          <cell r="AN85">
            <v>-0.40243075144588714</v>
          </cell>
          <cell r="AW85">
            <v>2959.74</v>
          </cell>
          <cell r="AX85">
            <v>0</v>
          </cell>
          <cell r="AY85">
            <v>0</v>
          </cell>
        </row>
        <row r="86">
          <cell r="A86">
            <v>554750</v>
          </cell>
          <cell r="B86" t="str">
            <v>VR2M</v>
          </cell>
          <cell r="C86">
            <v>0.2</v>
          </cell>
          <cell r="D86">
            <v>0.1</v>
          </cell>
          <cell r="E86">
            <v>0.02</v>
          </cell>
          <cell r="F86">
            <v>41275</v>
          </cell>
          <cell r="G86" t="str">
            <v>OUI</v>
          </cell>
          <cell r="H86" t="str">
            <v>TS+131</v>
          </cell>
          <cell r="I86">
            <v>0</v>
          </cell>
          <cell r="J86">
            <v>0</v>
          </cell>
          <cell r="K86" t="str">
            <v>OK</v>
          </cell>
          <cell r="L86" t="str">
            <v>OK</v>
          </cell>
          <cell r="N86" t="str">
            <v>Non affecté</v>
          </cell>
          <cell r="O86" t="str">
            <v>NM</v>
          </cell>
          <cell r="P86" t="str">
            <v>Ok mon client</v>
          </cell>
          <cell r="Q86" t="str">
            <v>ORLEANS / ST JEAN DE</v>
          </cell>
          <cell r="R86" t="str">
            <v>45</v>
          </cell>
          <cell r="S86" t="str">
            <v>170 RUE DE MARIGNY</v>
          </cell>
          <cell r="T86" t="str">
            <v>45400</v>
          </cell>
          <cell r="U86" t="str">
            <v>SEMOY</v>
          </cell>
          <cell r="X86" t="str">
            <v>45400</v>
          </cell>
          <cell r="Y86" t="str">
            <v>SEMOY</v>
          </cell>
          <cell r="Z86">
            <v>234</v>
          </cell>
          <cell r="AA86">
            <v>2589.9300000000003</v>
          </cell>
          <cell r="AB86">
            <v>350.77</v>
          </cell>
          <cell r="AD86">
            <v>3174.7000000000003</v>
          </cell>
          <cell r="AG86">
            <v>2006.75</v>
          </cell>
          <cell r="AH86">
            <v>0.57741123707487219</v>
          </cell>
          <cell r="AI86">
            <v>434.93</v>
          </cell>
          <cell r="AJ86">
            <v>0.55362931966063511</v>
          </cell>
          <cell r="AL86">
            <v>2441.6799999999998</v>
          </cell>
          <cell r="AM86">
            <v>3418.3519999999994</v>
          </cell>
          <cell r="AN86">
            <v>7.6748039184804551E-2</v>
          </cell>
          <cell r="AW86">
            <v>2408.1</v>
          </cell>
          <cell r="AX86">
            <v>478.42300000000006</v>
          </cell>
          <cell r="AY86">
            <v>0</v>
          </cell>
        </row>
        <row r="87">
          <cell r="A87">
            <v>625251</v>
          </cell>
          <cell r="B87" t="str">
            <v>HYDROTEC</v>
          </cell>
          <cell r="C87">
            <v>0.2</v>
          </cell>
          <cell r="D87">
            <v>0.1</v>
          </cell>
          <cell r="E87">
            <v>0.02</v>
          </cell>
          <cell r="F87">
            <v>41275</v>
          </cell>
          <cell r="G87" t="str">
            <v>OUI</v>
          </cell>
          <cell r="H87" t="str">
            <v>TS+93</v>
          </cell>
          <cell r="I87">
            <v>0</v>
          </cell>
          <cell r="J87">
            <v>0</v>
          </cell>
          <cell r="K87" t="str">
            <v>OK</v>
          </cell>
          <cell r="L87" t="str">
            <v>OK</v>
          </cell>
          <cell r="N87" t="str">
            <v>Non affecté</v>
          </cell>
          <cell r="O87" t="str">
            <v>NM</v>
          </cell>
          <cell r="P87" t="str">
            <v>Ok mon client</v>
          </cell>
          <cell r="Q87" t="str">
            <v>ORLEANS / ST JEAN DE</v>
          </cell>
          <cell r="R87" t="str">
            <v>45</v>
          </cell>
          <cell r="S87" t="str">
            <v>5 RUE EMILE LECONTE</v>
          </cell>
          <cell r="T87" t="str">
            <v>45140</v>
          </cell>
          <cell r="U87" t="str">
            <v>INGRE</v>
          </cell>
          <cell r="X87" t="str">
            <v>45140</v>
          </cell>
          <cell r="Y87" t="str">
            <v>INGRE</v>
          </cell>
          <cell r="AA87">
            <v>3820.3300000000004</v>
          </cell>
          <cell r="AB87">
            <v>2784.0600000000004</v>
          </cell>
          <cell r="AD87">
            <v>6604.3900000000012</v>
          </cell>
          <cell r="AG87">
            <v>1010.77</v>
          </cell>
          <cell r="AH87">
            <v>0.66645230863599048</v>
          </cell>
          <cell r="AI87">
            <v>1402.73</v>
          </cell>
          <cell r="AJ87">
            <v>0.48605219821348367</v>
          </cell>
          <cell r="AL87">
            <v>2413.5</v>
          </cell>
          <cell r="AM87">
            <v>3378.8999999999996</v>
          </cell>
          <cell r="AN87">
            <v>-0.48838575553533348</v>
          </cell>
          <cell r="AW87">
            <v>1212.924</v>
          </cell>
          <cell r="AX87">
            <v>1543.0030000000002</v>
          </cell>
          <cell r="AY87">
            <v>0</v>
          </cell>
        </row>
        <row r="88">
          <cell r="A88">
            <v>587942</v>
          </cell>
          <cell r="B88" t="str">
            <v>FIORONI</v>
          </cell>
          <cell r="C88">
            <v>0.2</v>
          </cell>
          <cell r="D88">
            <v>0.1</v>
          </cell>
          <cell r="E88">
            <v>0.02</v>
          </cell>
          <cell r="F88">
            <v>41306</v>
          </cell>
          <cell r="G88" t="str">
            <v>OUI</v>
          </cell>
          <cell r="I88">
            <v>0</v>
          </cell>
          <cell r="J88">
            <v>0</v>
          </cell>
          <cell r="K88" t="str">
            <v>OK</v>
          </cell>
          <cell r="L88" t="str">
            <v>OK</v>
          </cell>
          <cell r="N88" t="str">
            <v>Non affecté</v>
          </cell>
          <cell r="O88" t="str">
            <v>NM</v>
          </cell>
          <cell r="P88" t="str">
            <v>Ok mon client</v>
          </cell>
          <cell r="Q88" t="str">
            <v>ORLEANS / ST JEAN DE</v>
          </cell>
          <cell r="R88" t="str">
            <v>45</v>
          </cell>
          <cell r="S88" t="str">
            <v>15-17RUE PIERRE ET MARIE CURIE</v>
          </cell>
          <cell r="T88" t="str">
            <v>45140</v>
          </cell>
          <cell r="U88" t="str">
            <v>INGRE</v>
          </cell>
          <cell r="X88" t="str">
            <v>45140</v>
          </cell>
          <cell r="Y88" t="str">
            <v>INGRE</v>
          </cell>
          <cell r="Z88">
            <v>897.75</v>
          </cell>
          <cell r="AA88">
            <v>35.78</v>
          </cell>
          <cell r="AB88">
            <v>1724.44</v>
          </cell>
          <cell r="AD88">
            <v>2657.9700000000003</v>
          </cell>
          <cell r="AE88">
            <v>320.25</v>
          </cell>
          <cell r="AF88">
            <v>-0.68618266978922715</v>
          </cell>
          <cell r="AG88">
            <v>44.38</v>
          </cell>
          <cell r="AH88">
            <v>0.20076611086074816</v>
          </cell>
          <cell r="AI88">
            <v>2048.79</v>
          </cell>
          <cell r="AJ88">
            <v>0.34755625856249478</v>
          </cell>
          <cell r="AL88">
            <v>2413.42</v>
          </cell>
          <cell r="AM88">
            <v>3378.788</v>
          </cell>
          <cell r="AN88">
            <v>0.27119117221037103</v>
          </cell>
          <cell r="AW88">
            <v>53.256</v>
          </cell>
          <cell r="AX88">
            <v>2253.6690000000003</v>
          </cell>
          <cell r="AY88">
            <v>326.65500000000003</v>
          </cell>
        </row>
        <row r="89">
          <cell r="A89">
            <v>870302</v>
          </cell>
          <cell r="B89" t="str">
            <v>PEPINIERES DES PINELLES</v>
          </cell>
          <cell r="C89">
            <v>0.2</v>
          </cell>
          <cell r="D89">
            <v>0.1</v>
          </cell>
          <cell r="E89">
            <v>0.02</v>
          </cell>
          <cell r="F89">
            <v>41306</v>
          </cell>
          <cell r="G89" t="str">
            <v>OUI</v>
          </cell>
          <cell r="I89">
            <v>0</v>
          </cell>
          <cell r="J89">
            <v>0</v>
          </cell>
          <cell r="K89" t="str">
            <v>OK</v>
          </cell>
          <cell r="L89" t="str">
            <v>OK</v>
          </cell>
          <cell r="N89" t="str">
            <v>Non affecté</v>
          </cell>
          <cell r="O89" t="str">
            <v>NM</v>
          </cell>
          <cell r="P89" t="str">
            <v>Ok mon client</v>
          </cell>
          <cell r="Q89" t="str">
            <v>ORLEANS / ST JEAN DE</v>
          </cell>
          <cell r="R89" t="str">
            <v>45</v>
          </cell>
          <cell r="S89" t="str">
            <v>640 RUE DES PINELLES</v>
          </cell>
          <cell r="T89">
            <v>45560</v>
          </cell>
          <cell r="U89" t="str">
            <v>SAINT DENIS EN VAL</v>
          </cell>
          <cell r="V89" t="str">
            <v>Mme</v>
          </cell>
          <cell r="W89" t="str">
            <v>Denise BAUDU</v>
          </cell>
          <cell r="X89" t="str">
            <v>45560</v>
          </cell>
          <cell r="Y89" t="str">
            <v>SAINT DENIS EN VAL</v>
          </cell>
          <cell r="AE89">
            <v>2277.9</v>
          </cell>
          <cell r="AF89">
            <v>0.24541902629614989</v>
          </cell>
          <cell r="AL89">
            <v>2277.9</v>
          </cell>
          <cell r="AM89">
            <v>3189.06</v>
          </cell>
          <cell r="AQ89">
            <v>40989</v>
          </cell>
          <cell r="AW89">
            <v>0</v>
          </cell>
          <cell r="AX89">
            <v>0</v>
          </cell>
          <cell r="AY89">
            <v>2323.4580000000001</v>
          </cell>
        </row>
        <row r="90">
          <cell r="A90">
            <v>377417</v>
          </cell>
          <cell r="B90" t="str">
            <v>HERMEX</v>
          </cell>
          <cell r="C90">
            <v>0.2</v>
          </cell>
          <cell r="D90">
            <v>0.1</v>
          </cell>
          <cell r="E90">
            <v>0.02</v>
          </cell>
          <cell r="F90">
            <v>41275</v>
          </cell>
          <cell r="G90" t="str">
            <v>OUI</v>
          </cell>
          <cell r="H90" t="str">
            <v>TS+259</v>
          </cell>
          <cell r="I90">
            <v>0</v>
          </cell>
          <cell r="J90">
            <v>0</v>
          </cell>
          <cell r="K90" t="str">
            <v>OK</v>
          </cell>
          <cell r="L90" t="str">
            <v>OK</v>
          </cell>
          <cell r="N90" t="str">
            <v>Non affecté</v>
          </cell>
          <cell r="O90" t="str">
            <v>NM</v>
          </cell>
          <cell r="P90" t="str">
            <v>Ok mon client</v>
          </cell>
          <cell r="Q90" t="str">
            <v>ORLEANS / ST JEAN DE</v>
          </cell>
          <cell r="R90" t="str">
            <v>45</v>
          </cell>
          <cell r="S90" t="str">
            <v>7 ZONE INDUSTRIELLE</v>
          </cell>
          <cell r="T90">
            <v>45270</v>
          </cell>
          <cell r="U90" t="str">
            <v>BELLEGARDE</v>
          </cell>
          <cell r="V90" t="str">
            <v>Mr</v>
          </cell>
          <cell r="W90" t="str">
            <v>LEGER Robert</v>
          </cell>
          <cell r="X90" t="str">
            <v>45270</v>
          </cell>
          <cell r="Y90" t="str">
            <v>BELLEGARDE</v>
          </cell>
          <cell r="AA90">
            <v>2947.79</v>
          </cell>
          <cell r="AB90">
            <v>42.83</v>
          </cell>
          <cell r="AD90">
            <v>2990.62</v>
          </cell>
          <cell r="AE90">
            <v>546.71</v>
          </cell>
          <cell r="AF90">
            <v>0.17689451445921975</v>
          </cell>
          <cell r="AG90">
            <v>1658.81</v>
          </cell>
          <cell r="AH90">
            <v>0.76952152446633437</v>
          </cell>
          <cell r="AI90">
            <v>55.410000000000004</v>
          </cell>
          <cell r="AJ90">
            <v>0.69157191842627674</v>
          </cell>
          <cell r="AL90">
            <v>2260.9299999999998</v>
          </cell>
          <cell r="AM90">
            <v>3165.3019999999997</v>
          </cell>
          <cell r="AN90">
            <v>5.8409961813938205E-2</v>
          </cell>
          <cell r="AW90">
            <v>1990.5719999999999</v>
          </cell>
          <cell r="AX90">
            <v>60.951000000000008</v>
          </cell>
          <cell r="AY90">
            <v>557.64420000000007</v>
          </cell>
        </row>
        <row r="91">
          <cell r="A91">
            <v>845100</v>
          </cell>
          <cell r="B91" t="str">
            <v>COAT'IN TECHNOLOGY</v>
          </cell>
          <cell r="C91">
            <v>0.2</v>
          </cell>
          <cell r="D91">
            <v>0.1</v>
          </cell>
          <cell r="E91">
            <v>0.02</v>
          </cell>
          <cell r="F91">
            <v>41275</v>
          </cell>
          <cell r="G91" t="str">
            <v>OUI</v>
          </cell>
          <cell r="I91">
            <v>0</v>
          </cell>
          <cell r="J91">
            <v>0</v>
          </cell>
          <cell r="K91" t="str">
            <v>OK</v>
          </cell>
          <cell r="L91" t="str">
            <v>OK</v>
          </cell>
          <cell r="N91" t="str">
            <v>Non affecté</v>
          </cell>
          <cell r="O91" t="str">
            <v>NM</v>
          </cell>
          <cell r="P91" t="str">
            <v>Ok mon client</v>
          </cell>
          <cell r="Q91" t="str">
            <v>ORLEANS / ST JEAN DE</v>
          </cell>
          <cell r="R91" t="str">
            <v>45</v>
          </cell>
          <cell r="S91" t="str">
            <v>220 RUE DE L'ORNE GATEAU</v>
          </cell>
          <cell r="T91">
            <v>45400</v>
          </cell>
          <cell r="U91" t="str">
            <v>SEMOY</v>
          </cell>
          <cell r="X91" t="str">
            <v>45400</v>
          </cell>
          <cell r="Y91" t="str">
            <v>SEMOY</v>
          </cell>
          <cell r="Z91">
            <v>199.02</v>
          </cell>
          <cell r="AA91">
            <v>1456.6</v>
          </cell>
          <cell r="AD91">
            <v>1655.62</v>
          </cell>
          <cell r="AG91">
            <v>2065.8199999999997</v>
          </cell>
          <cell r="AH91">
            <v>0.67059569565596222</v>
          </cell>
          <cell r="AL91">
            <v>2065.8199999999997</v>
          </cell>
          <cell r="AM91">
            <v>2892.1479999999992</v>
          </cell>
          <cell r="AN91">
            <v>0.74686703470603133</v>
          </cell>
          <cell r="AQ91">
            <v>40637</v>
          </cell>
          <cell r="AW91">
            <v>2478.9839999999995</v>
          </cell>
          <cell r="AX91">
            <v>0</v>
          </cell>
          <cell r="AY91">
            <v>0</v>
          </cell>
        </row>
        <row r="92">
          <cell r="A92">
            <v>533425</v>
          </cell>
          <cell r="B92" t="str">
            <v>FUCHS LUBRIFIANT FRANCE SA</v>
          </cell>
          <cell r="C92">
            <v>0.2</v>
          </cell>
          <cell r="D92">
            <v>0.05</v>
          </cell>
          <cell r="E92">
            <v>0.02</v>
          </cell>
          <cell r="F92">
            <v>41306</v>
          </cell>
          <cell r="G92" t="str">
            <v>OUI</v>
          </cell>
          <cell r="H92" t="str">
            <v>VU AVEC NATALIE 5% EN MESS INTER</v>
          </cell>
          <cell r="I92">
            <v>0</v>
          </cell>
          <cell r="J92">
            <v>0</v>
          </cell>
          <cell r="K92" t="str">
            <v>OK</v>
          </cell>
          <cell r="L92" t="str">
            <v>OK</v>
          </cell>
          <cell r="N92" t="str">
            <v>Non affecté</v>
          </cell>
          <cell r="O92" t="str">
            <v>NM</v>
          </cell>
          <cell r="P92" t="str">
            <v>Ok mon client</v>
          </cell>
          <cell r="Q92" t="str">
            <v>ORLEANS / ST JEAN DE</v>
          </cell>
          <cell r="R92" t="str">
            <v>92</v>
          </cell>
          <cell r="S92" t="str">
            <v>ZI SYNERGIE VAL DE LOIRE</v>
          </cell>
          <cell r="T92" t="str">
            <v>45330</v>
          </cell>
          <cell r="U92" t="str">
            <v>MEUNG SUR LOIRE</v>
          </cell>
          <cell r="X92" t="str">
            <v>92000</v>
          </cell>
          <cell r="Y92" t="str">
            <v>NANTERRE</v>
          </cell>
          <cell r="AB92">
            <v>2039.7699999999998</v>
          </cell>
          <cell r="AD92">
            <v>2039.7699999999998</v>
          </cell>
          <cell r="AI92">
            <v>1978.13</v>
          </cell>
          <cell r="AJ92">
            <v>0.77020721590593133</v>
          </cell>
          <cell r="AL92">
            <v>1978.13</v>
          </cell>
          <cell r="AM92">
            <v>2769.3820000000001</v>
          </cell>
          <cell r="AN92">
            <v>0.35769326933919032</v>
          </cell>
          <cell r="AW92">
            <v>0</v>
          </cell>
          <cell r="AX92">
            <v>2077.0365000000002</v>
          </cell>
          <cell r="AY92">
            <v>0</v>
          </cell>
        </row>
        <row r="93">
          <cell r="A93">
            <v>448142</v>
          </cell>
          <cell r="B93" t="str">
            <v>PEIGNIN ET JACQUET</v>
          </cell>
          <cell r="C93">
            <v>0.2</v>
          </cell>
          <cell r="D93">
            <v>0.1</v>
          </cell>
          <cell r="E93">
            <v>0.02</v>
          </cell>
          <cell r="F93">
            <v>41275</v>
          </cell>
          <cell r="G93" t="str">
            <v>OUI</v>
          </cell>
          <cell r="H93" t="str">
            <v>TS+85</v>
          </cell>
          <cell r="I93">
            <v>0</v>
          </cell>
          <cell r="J93">
            <v>0</v>
          </cell>
          <cell r="K93" t="str">
            <v>OK</v>
          </cell>
          <cell r="L93" t="str">
            <v>OK</v>
          </cell>
          <cell r="N93" t="str">
            <v>Non affecté</v>
          </cell>
          <cell r="O93" t="str">
            <v>NM</v>
          </cell>
          <cell r="P93" t="str">
            <v>Ok mon client</v>
          </cell>
          <cell r="Q93" t="str">
            <v>ORLEANS / ST JEAN DE</v>
          </cell>
          <cell r="R93" t="str">
            <v>45</v>
          </cell>
          <cell r="S93" t="str">
            <v xml:space="preserve">RUE DES MUIDS </v>
          </cell>
          <cell r="T93">
            <v>45140</v>
          </cell>
          <cell r="U93" t="str">
            <v>INGRE</v>
          </cell>
          <cell r="X93" t="str">
            <v>45140</v>
          </cell>
          <cell r="Y93" t="str">
            <v>INGRE</v>
          </cell>
          <cell r="Z93">
            <v>715.12</v>
          </cell>
          <cell r="AA93">
            <v>2121.6800000000003</v>
          </cell>
          <cell r="AD93">
            <v>2836.8</v>
          </cell>
          <cell r="AG93">
            <v>1972.4799999999998</v>
          </cell>
          <cell r="AH93">
            <v>0.73655499675535374</v>
          </cell>
          <cell r="AL93">
            <v>1972.4799999999998</v>
          </cell>
          <cell r="AM93">
            <v>2761.4719999999998</v>
          </cell>
          <cell r="AN93">
            <v>-2.6553863508178344E-2</v>
          </cell>
          <cell r="AW93">
            <v>2366.9759999999997</v>
          </cell>
          <cell r="AX93">
            <v>0</v>
          </cell>
          <cell r="AY93">
            <v>0</v>
          </cell>
        </row>
        <row r="94">
          <cell r="A94">
            <v>476529</v>
          </cell>
          <cell r="B94" t="str">
            <v>SODIGE</v>
          </cell>
          <cell r="C94">
            <v>0.2</v>
          </cell>
          <cell r="D94">
            <v>0.1</v>
          </cell>
          <cell r="E94">
            <v>0.02</v>
          </cell>
          <cell r="F94">
            <v>41275</v>
          </cell>
          <cell r="G94" t="str">
            <v>OUI</v>
          </cell>
          <cell r="H94" t="str">
            <v>TS+48</v>
          </cell>
          <cell r="I94">
            <v>0</v>
          </cell>
          <cell r="J94">
            <v>0</v>
          </cell>
          <cell r="K94" t="str">
            <v>OK</v>
          </cell>
          <cell r="L94" t="str">
            <v>OK</v>
          </cell>
          <cell r="N94" t="str">
            <v>Non affecté</v>
          </cell>
          <cell r="O94" t="str">
            <v>NM</v>
          </cell>
          <cell r="P94" t="str">
            <v>Ok mon client</v>
          </cell>
          <cell r="Q94" t="str">
            <v>ORLEANS / ST JEAN DE</v>
          </cell>
          <cell r="R94" t="str">
            <v>45</v>
          </cell>
          <cell r="S94" t="str">
            <v>66 RUE DU PETIT HAMEAU</v>
          </cell>
          <cell r="T94">
            <v>45110</v>
          </cell>
          <cell r="U94" t="str">
            <v>CHATEAUNEUF SUR LOIRE</v>
          </cell>
          <cell r="X94" t="str">
            <v>45800</v>
          </cell>
          <cell r="Y94" t="str">
            <v>ST JEAN DE BRAYE</v>
          </cell>
          <cell r="Z94">
            <v>239.72</v>
          </cell>
          <cell r="AA94">
            <v>1598.04</v>
          </cell>
          <cell r="AD94">
            <v>1837.76</v>
          </cell>
          <cell r="AE94">
            <v>690</v>
          </cell>
          <cell r="AF94">
            <v>0.20289855072463769</v>
          </cell>
          <cell r="AG94">
            <v>1112.1799999999998</v>
          </cell>
          <cell r="AH94">
            <v>0.41420453523710182</v>
          </cell>
          <cell r="AI94">
            <v>146.18</v>
          </cell>
          <cell r="AJ94">
            <v>0.57415515118347249</v>
          </cell>
          <cell r="AL94">
            <v>1948.36</v>
          </cell>
          <cell r="AM94">
            <v>2727.7039999999997</v>
          </cell>
          <cell r="AN94">
            <v>0.48425474490684306</v>
          </cell>
          <cell r="AW94">
            <v>1334.6159999999998</v>
          </cell>
          <cell r="AX94">
            <v>160.79800000000003</v>
          </cell>
          <cell r="AY94">
            <v>703.80000000000007</v>
          </cell>
        </row>
        <row r="95">
          <cell r="A95">
            <v>623293</v>
          </cell>
          <cell r="B95" t="str">
            <v>IMPRIMERIE LEBUGLE</v>
          </cell>
          <cell r="C95">
            <v>0.2</v>
          </cell>
          <cell r="D95">
            <v>0.1</v>
          </cell>
          <cell r="E95">
            <v>0.02</v>
          </cell>
          <cell r="F95">
            <v>41275</v>
          </cell>
          <cell r="G95" t="str">
            <v>OUI</v>
          </cell>
          <cell r="H95" t="str">
            <v>TS+183</v>
          </cell>
          <cell r="I95">
            <v>0</v>
          </cell>
          <cell r="J95">
            <v>0</v>
          </cell>
          <cell r="K95" t="str">
            <v>OK</v>
          </cell>
          <cell r="L95" t="str">
            <v>OK</v>
          </cell>
          <cell r="N95" t="str">
            <v>Non affecté</v>
          </cell>
          <cell r="O95" t="str">
            <v>NM</v>
          </cell>
          <cell r="P95" t="str">
            <v>Ok mon client</v>
          </cell>
          <cell r="Q95" t="str">
            <v>ORLEANS / ST JEAN DE</v>
          </cell>
          <cell r="R95" t="str">
            <v>45</v>
          </cell>
          <cell r="S95" t="str">
            <v>RN 152</v>
          </cell>
          <cell r="T95" t="str">
            <v>45190</v>
          </cell>
          <cell r="U95" t="str">
            <v>BEAUGENCY</v>
          </cell>
          <cell r="X95" t="str">
            <v>45190</v>
          </cell>
          <cell r="Y95" t="str">
            <v>BEAUGENCY</v>
          </cell>
          <cell r="AA95">
            <v>4809.4299999999994</v>
          </cell>
          <cell r="AD95">
            <v>4809.4299999999994</v>
          </cell>
          <cell r="AG95">
            <v>1933.46</v>
          </cell>
          <cell r="AH95">
            <v>0.795775449194708</v>
          </cell>
          <cell r="AL95">
            <v>1933.46</v>
          </cell>
          <cell r="AM95">
            <v>2706.8440000000001</v>
          </cell>
          <cell r="AN95">
            <v>-0.43717987370644751</v>
          </cell>
          <cell r="AW95">
            <v>2320.152</v>
          </cell>
          <cell r="AX95">
            <v>0</v>
          </cell>
          <cell r="AY95">
            <v>0</v>
          </cell>
        </row>
        <row r="96">
          <cell r="A96">
            <v>835706</v>
          </cell>
          <cell r="B96" t="str">
            <v>STCM</v>
          </cell>
          <cell r="G96" t="str">
            <v>NON</v>
          </cell>
          <cell r="H96" t="str">
            <v>AO en cours / PAS DE HAUSSE</v>
          </cell>
          <cell r="I96">
            <v>0</v>
          </cell>
          <cell r="J96">
            <v>0</v>
          </cell>
          <cell r="L96" t="str">
            <v>NON</v>
          </cell>
          <cell r="N96" t="str">
            <v>Non affecté</v>
          </cell>
          <cell r="O96" t="str">
            <v>NM</v>
          </cell>
          <cell r="P96" t="str">
            <v>Ok mon client</v>
          </cell>
          <cell r="Q96" t="str">
            <v>ORLEANS / ST JEAN DE</v>
          </cell>
          <cell r="R96" t="str">
            <v>45</v>
          </cell>
          <cell r="S96" t="str">
            <v>11 RUE DE PITHIVIERS</v>
          </cell>
          <cell r="T96">
            <v>45480</v>
          </cell>
          <cell r="U96" t="str">
            <v>BAZOCHES LES GALLERANDES</v>
          </cell>
          <cell r="V96" t="str">
            <v>Mme</v>
          </cell>
          <cell r="W96" t="str">
            <v>Augustin Bergevin</v>
          </cell>
          <cell r="X96" t="str">
            <v>45480</v>
          </cell>
          <cell r="Y96" t="str">
            <v>BAZOCHES LES GALLERANDES</v>
          </cell>
          <cell r="Z96">
            <v>1519.35</v>
          </cell>
          <cell r="AD96">
            <v>1519.35</v>
          </cell>
          <cell r="AE96">
            <v>1860</v>
          </cell>
          <cell r="AF96">
            <v>5.3763440860215055E-2</v>
          </cell>
          <cell r="AL96">
            <v>1860</v>
          </cell>
          <cell r="AM96">
            <v>2604</v>
          </cell>
          <cell r="AN96">
            <v>0.71389080856945419</v>
          </cell>
          <cell r="AQ96">
            <v>40470</v>
          </cell>
          <cell r="AW96">
            <v>0</v>
          </cell>
          <cell r="AX96">
            <v>0</v>
          </cell>
          <cell r="AY96">
            <v>1860</v>
          </cell>
        </row>
        <row r="97">
          <cell r="A97">
            <v>531227</v>
          </cell>
          <cell r="B97" t="str">
            <v>JCM SYSTEM</v>
          </cell>
          <cell r="C97">
            <v>0.2</v>
          </cell>
          <cell r="D97">
            <v>0.1</v>
          </cell>
          <cell r="E97">
            <v>0.02</v>
          </cell>
          <cell r="F97">
            <v>41275</v>
          </cell>
          <cell r="H97" t="str">
            <v>TS+157</v>
          </cell>
          <cell r="I97">
            <v>0</v>
          </cell>
          <cell r="J97">
            <v>0</v>
          </cell>
          <cell r="K97" t="str">
            <v>OK</v>
          </cell>
          <cell r="L97" t="str">
            <v>OK</v>
          </cell>
          <cell r="N97" t="str">
            <v>Non affecté</v>
          </cell>
          <cell r="O97" t="str">
            <v>NM</v>
          </cell>
          <cell r="P97" t="str">
            <v>Ok mon client</v>
          </cell>
          <cell r="Q97" t="str">
            <v>ORLEANS / ST JEAN DE</v>
          </cell>
          <cell r="R97" t="str">
            <v>45</v>
          </cell>
          <cell r="S97" t="str">
            <v>38 RUE DES GRANDS VENTS</v>
          </cell>
          <cell r="T97" t="str">
            <v>45330</v>
          </cell>
          <cell r="U97" t="str">
            <v>COUDRAY</v>
          </cell>
          <cell r="X97" t="str">
            <v>45330</v>
          </cell>
          <cell r="Y97" t="str">
            <v>COUDRAY</v>
          </cell>
          <cell r="AA97">
            <v>2347.94</v>
          </cell>
          <cell r="AD97">
            <v>2347.94</v>
          </cell>
          <cell r="AG97">
            <v>1805.67</v>
          </cell>
          <cell r="AH97">
            <v>0.75854945809588692</v>
          </cell>
          <cell r="AL97">
            <v>1805.67</v>
          </cell>
          <cell r="AM97">
            <v>2527.9380000000001</v>
          </cell>
          <cell r="AN97">
            <v>7.6662095283525078E-2</v>
          </cell>
          <cell r="AW97">
            <v>2166.8040000000001</v>
          </cell>
          <cell r="AX97">
            <v>0</v>
          </cell>
          <cell r="AY97">
            <v>0</v>
          </cell>
        </row>
        <row r="98">
          <cell r="A98">
            <v>301835</v>
          </cell>
          <cell r="B98" t="str">
            <v>SNT THOMAS</v>
          </cell>
          <cell r="C98">
            <v>0.2</v>
          </cell>
          <cell r="D98">
            <v>0.1</v>
          </cell>
          <cell r="E98">
            <v>0.02</v>
          </cell>
          <cell r="F98">
            <v>41306</v>
          </cell>
          <cell r="G98" t="str">
            <v>OUI</v>
          </cell>
          <cell r="I98">
            <v>0</v>
          </cell>
          <cell r="J98">
            <v>0</v>
          </cell>
          <cell r="K98" t="str">
            <v>OK</v>
          </cell>
          <cell r="L98" t="str">
            <v>OK</v>
          </cell>
          <cell r="N98" t="str">
            <v>Non affecté</v>
          </cell>
          <cell r="O98" t="str">
            <v>NM</v>
          </cell>
          <cell r="P98" t="str">
            <v>Ok mon client</v>
          </cell>
          <cell r="Q98" t="str">
            <v>ORLEANS / ST JEAN DE</v>
          </cell>
          <cell r="R98" t="str">
            <v>45</v>
          </cell>
          <cell r="S98" t="str">
            <v>86 RUE ABBE GEORGES THOMAS</v>
          </cell>
          <cell r="T98">
            <v>45450</v>
          </cell>
          <cell r="U98" t="str">
            <v>FAY AUX LOGES</v>
          </cell>
          <cell r="V98" t="str">
            <v xml:space="preserve">Mr </v>
          </cell>
          <cell r="W98" t="str">
            <v>GERVAIS</v>
          </cell>
          <cell r="X98" t="str">
            <v>45450</v>
          </cell>
          <cell r="Y98" t="str">
            <v>FAY AUX LOGES</v>
          </cell>
          <cell r="Z98">
            <v>2282.4699999999998</v>
          </cell>
          <cell r="AA98">
            <v>297.93</v>
          </cell>
          <cell r="AB98">
            <v>1723.1599999999999</v>
          </cell>
          <cell r="AD98">
            <v>4303.5599999999995</v>
          </cell>
          <cell r="AE98">
            <v>730</v>
          </cell>
          <cell r="AF98">
            <v>0.22181347778631202</v>
          </cell>
          <cell r="AI98">
            <v>1075.33</v>
          </cell>
          <cell r="AJ98">
            <v>0.70576474198618089</v>
          </cell>
          <cell r="AL98">
            <v>1805.33</v>
          </cell>
          <cell r="AM98">
            <v>2527.4619999999995</v>
          </cell>
          <cell r="AN98">
            <v>-0.41270436568794211</v>
          </cell>
          <cell r="AW98">
            <v>0</v>
          </cell>
          <cell r="AX98">
            <v>1182.8630000000001</v>
          </cell>
          <cell r="AY98">
            <v>744.6</v>
          </cell>
        </row>
        <row r="99">
          <cell r="A99">
            <v>875743</v>
          </cell>
          <cell r="B99" t="str">
            <v>ALSTEF AUTOMATION</v>
          </cell>
          <cell r="G99" t="str">
            <v>NON</v>
          </cell>
          <cell r="H99" t="str">
            <v>Nouveau client / PAS DE HAUSSE</v>
          </cell>
          <cell r="I99">
            <v>0</v>
          </cell>
          <cell r="J99">
            <v>0</v>
          </cell>
          <cell r="L99" t="str">
            <v>NON</v>
          </cell>
          <cell r="N99" t="str">
            <v>Non affecté</v>
          </cell>
          <cell r="O99" t="str">
            <v>NM</v>
          </cell>
          <cell r="P99" t="str">
            <v>Ok mon client</v>
          </cell>
          <cell r="Q99" t="str">
            <v>ORLEANS / ST JEAN DE</v>
          </cell>
          <cell r="R99" t="str">
            <v>45</v>
          </cell>
          <cell r="S99" t="str">
            <v>104 BLD DE LA SALLE  BOIGNY SUR BIO</v>
          </cell>
          <cell r="T99">
            <v>45963</v>
          </cell>
          <cell r="U99" t="str">
            <v>ORLEANS CEDEX 09</v>
          </cell>
          <cell r="V99" t="str">
            <v>M</v>
          </cell>
          <cell r="W99" t="str">
            <v>MAUD</v>
          </cell>
          <cell r="X99" t="str">
            <v>45963</v>
          </cell>
          <cell r="Y99" t="str">
            <v>ORLEANS CEDEX 09</v>
          </cell>
          <cell r="AE99">
            <v>1774.02</v>
          </cell>
          <cell r="AF99">
            <v>0.13755200054114383</v>
          </cell>
          <cell r="AL99">
            <v>1774.02</v>
          </cell>
          <cell r="AM99">
            <v>2483.6279999999997</v>
          </cell>
          <cell r="AQ99">
            <v>41086</v>
          </cell>
          <cell r="AW99">
            <v>0</v>
          </cell>
          <cell r="AX99">
            <v>0</v>
          </cell>
          <cell r="AY99">
            <v>1774.02</v>
          </cell>
        </row>
        <row r="100">
          <cell r="A100">
            <v>302264</v>
          </cell>
          <cell r="B100" t="str">
            <v>CORBET</v>
          </cell>
          <cell r="C100">
            <v>0.2</v>
          </cell>
          <cell r="D100">
            <v>0.1</v>
          </cell>
          <cell r="E100">
            <v>0.02</v>
          </cell>
          <cell r="F100">
            <v>41306</v>
          </cell>
          <cell r="G100" t="str">
            <v>OUI</v>
          </cell>
          <cell r="I100">
            <v>0</v>
          </cell>
          <cell r="J100">
            <v>0</v>
          </cell>
          <cell r="K100" t="str">
            <v>OK</v>
          </cell>
          <cell r="L100" t="str">
            <v>OK</v>
          </cell>
          <cell r="N100" t="str">
            <v>Non affecté</v>
          </cell>
          <cell r="O100" t="str">
            <v>NM</v>
          </cell>
          <cell r="P100" t="str">
            <v>Ok mon client</v>
          </cell>
          <cell r="Q100" t="str">
            <v>ORLEANS / ST JEAN DE</v>
          </cell>
          <cell r="R100" t="str">
            <v>45</v>
          </cell>
          <cell r="S100" t="str">
            <v>BP 6135</v>
          </cell>
          <cell r="T100">
            <v>45061</v>
          </cell>
          <cell r="U100" t="str">
            <v>ORLEANS</v>
          </cell>
          <cell r="X100" t="str">
            <v>45160</v>
          </cell>
          <cell r="Y100" t="str">
            <v>OLIVET</v>
          </cell>
          <cell r="AA100">
            <v>1680.4300000000003</v>
          </cell>
          <cell r="AD100">
            <v>1680.4300000000003</v>
          </cell>
          <cell r="AG100">
            <v>1599.4900000000002</v>
          </cell>
          <cell r="AH100">
            <v>0.78924532194637032</v>
          </cell>
          <cell r="AI100">
            <v>104.7</v>
          </cell>
          <cell r="AJ100">
            <v>0.4062082139446036</v>
          </cell>
          <cell r="AL100">
            <v>1704.1900000000003</v>
          </cell>
          <cell r="AM100">
            <v>2385.8660000000004</v>
          </cell>
          <cell r="AN100">
            <v>0.41979493343965535</v>
          </cell>
          <cell r="AW100">
            <v>1919.3880000000001</v>
          </cell>
          <cell r="AX100">
            <v>115.17000000000002</v>
          </cell>
          <cell r="AY100">
            <v>0</v>
          </cell>
        </row>
        <row r="101">
          <cell r="A101">
            <v>622396</v>
          </cell>
          <cell r="B101" t="str">
            <v>MULTI WING</v>
          </cell>
          <cell r="C101">
            <v>0.2</v>
          </cell>
          <cell r="D101">
            <v>0.1</v>
          </cell>
          <cell r="E101">
            <v>0.02</v>
          </cell>
          <cell r="F101">
            <v>41275</v>
          </cell>
          <cell r="G101" t="str">
            <v>OUI</v>
          </cell>
          <cell r="H101" t="str">
            <v>TS+58,05</v>
          </cell>
          <cell r="I101">
            <v>0</v>
          </cell>
          <cell r="J101">
            <v>0</v>
          </cell>
          <cell r="K101" t="str">
            <v>OK</v>
          </cell>
          <cell r="L101" t="str">
            <v>OK</v>
          </cell>
          <cell r="N101" t="str">
            <v>Non affecté</v>
          </cell>
          <cell r="O101" t="str">
            <v>NM</v>
          </cell>
          <cell r="P101" t="str">
            <v>Ok mon client</v>
          </cell>
          <cell r="Q101" t="str">
            <v>ORLEANS / ST JEAN DE</v>
          </cell>
          <cell r="R101" t="str">
            <v>45</v>
          </cell>
          <cell r="S101" t="str">
            <v>RUE DE CUIRY</v>
          </cell>
          <cell r="T101" t="str">
            <v>45550</v>
          </cell>
          <cell r="U101" t="str">
            <v>GIEN</v>
          </cell>
          <cell r="X101" t="str">
            <v>45550</v>
          </cell>
          <cell r="Y101" t="str">
            <v>GIEN</v>
          </cell>
          <cell r="AB101">
            <v>2713.3399999999997</v>
          </cell>
          <cell r="AD101">
            <v>2713.3399999999997</v>
          </cell>
          <cell r="AE101">
            <v>246.04000000000002</v>
          </cell>
          <cell r="AF101">
            <v>0.14648024711429034</v>
          </cell>
          <cell r="AI101">
            <v>1382.8700000000001</v>
          </cell>
          <cell r="AJ101">
            <v>0.65551353344855257</v>
          </cell>
          <cell r="AL101">
            <v>1628.91</v>
          </cell>
          <cell r="AM101">
            <v>2280.4740000000002</v>
          </cell>
          <cell r="AN101">
            <v>-0.15953253186110095</v>
          </cell>
          <cell r="AW101">
            <v>0</v>
          </cell>
          <cell r="AX101">
            <v>1521.1570000000002</v>
          </cell>
          <cell r="AY101">
            <v>250.96080000000003</v>
          </cell>
        </row>
        <row r="102">
          <cell r="A102">
            <v>552179</v>
          </cell>
          <cell r="B102" t="str">
            <v>SUPER U</v>
          </cell>
          <cell r="C102">
            <v>0.2</v>
          </cell>
          <cell r="D102">
            <v>0.1</v>
          </cell>
          <cell r="E102">
            <v>0.02</v>
          </cell>
          <cell r="F102">
            <v>41275</v>
          </cell>
          <cell r="G102" t="str">
            <v>OUI</v>
          </cell>
          <cell r="H102" t="str">
            <v>TS+281</v>
          </cell>
          <cell r="I102">
            <v>0</v>
          </cell>
          <cell r="J102">
            <v>0</v>
          </cell>
          <cell r="K102" t="str">
            <v>OK</v>
          </cell>
          <cell r="L102" t="str">
            <v>OK</v>
          </cell>
          <cell r="N102" t="str">
            <v>Non affecté</v>
          </cell>
          <cell r="O102" t="str">
            <v>NM</v>
          </cell>
          <cell r="P102" t="str">
            <v>Ok mon client</v>
          </cell>
          <cell r="Q102" t="str">
            <v>ORLEANS / ST JEAN DE</v>
          </cell>
          <cell r="R102" t="str">
            <v>45</v>
          </cell>
          <cell r="S102" t="str">
            <v>RUE DE SAVOIE</v>
          </cell>
          <cell r="T102" t="str">
            <v>45600</v>
          </cell>
          <cell r="U102" t="str">
            <v>SAINT PERE SUR LOIRE</v>
          </cell>
          <cell r="X102" t="str">
            <v>45600</v>
          </cell>
          <cell r="Y102" t="str">
            <v>ST PERE SUR LOIRE</v>
          </cell>
          <cell r="AA102">
            <v>2394.67</v>
          </cell>
          <cell r="AD102">
            <v>2394.67</v>
          </cell>
          <cell r="AG102">
            <v>1583.57</v>
          </cell>
          <cell r="AH102">
            <v>0.73641203104378095</v>
          </cell>
          <cell r="AL102">
            <v>1583.57</v>
          </cell>
          <cell r="AM102">
            <v>2216.9979999999996</v>
          </cell>
          <cell r="AN102">
            <v>-7.4194774227764326E-2</v>
          </cell>
          <cell r="AW102">
            <v>1900.2839999999999</v>
          </cell>
          <cell r="AX102">
            <v>0</v>
          </cell>
          <cell r="AY102">
            <v>0</v>
          </cell>
        </row>
        <row r="103">
          <cell r="A103">
            <v>397350</v>
          </cell>
          <cell r="B103" t="str">
            <v>JIDET</v>
          </cell>
          <cell r="C103">
            <v>0.2</v>
          </cell>
          <cell r="D103">
            <v>0.1</v>
          </cell>
          <cell r="E103">
            <v>0.02</v>
          </cell>
          <cell r="F103">
            <v>41275</v>
          </cell>
          <cell r="G103" t="str">
            <v>OUI</v>
          </cell>
          <cell r="H103" t="str">
            <v>TS+78</v>
          </cell>
          <cell r="I103">
            <v>0</v>
          </cell>
          <cell r="J103">
            <v>0</v>
          </cell>
          <cell r="K103" t="str">
            <v>OK</v>
          </cell>
          <cell r="L103" t="str">
            <v>OK</v>
          </cell>
          <cell r="N103" t="str">
            <v>Non affecté</v>
          </cell>
          <cell r="O103" t="str">
            <v>NM</v>
          </cell>
          <cell r="P103" t="str">
            <v>Ok mon client</v>
          </cell>
          <cell r="Q103" t="str">
            <v>ORLEANS / ST JEAN DE</v>
          </cell>
          <cell r="R103" t="str">
            <v>45</v>
          </cell>
          <cell r="S103" t="str">
            <v>490 RUE DU MARECHAL JUIN</v>
          </cell>
          <cell r="T103">
            <v>45200</v>
          </cell>
          <cell r="U103" t="str">
            <v>AMILLY</v>
          </cell>
          <cell r="W103" t="str">
            <v>Barbara BONNION</v>
          </cell>
          <cell r="X103" t="str">
            <v>45200</v>
          </cell>
          <cell r="Y103" t="str">
            <v>AMILLY</v>
          </cell>
          <cell r="Z103">
            <v>470.81</v>
          </cell>
          <cell r="AA103">
            <v>13239.44</v>
          </cell>
          <cell r="AB103">
            <v>1800.48</v>
          </cell>
          <cell r="AD103">
            <v>15510.73</v>
          </cell>
          <cell r="AG103">
            <v>1451.06</v>
          </cell>
          <cell r="AH103">
            <v>0.5515691976899646</v>
          </cell>
          <cell r="AI103">
            <v>128.84</v>
          </cell>
          <cell r="AJ103">
            <v>4.8897857808134097E-2</v>
          </cell>
          <cell r="AL103">
            <v>1579.8999999999999</v>
          </cell>
          <cell r="AM103">
            <v>2211.8599999999997</v>
          </cell>
          <cell r="AN103">
            <v>-0.85739807217326325</v>
          </cell>
          <cell r="AW103">
            <v>1741.2719999999999</v>
          </cell>
          <cell r="AX103">
            <v>141.72400000000002</v>
          </cell>
          <cell r="AY103">
            <v>0</v>
          </cell>
        </row>
        <row r="104">
          <cell r="A104">
            <v>558463</v>
          </cell>
          <cell r="B104" t="str">
            <v>PREVOST OFFSET IMPRIMERIE</v>
          </cell>
          <cell r="C104">
            <v>0.2</v>
          </cell>
          <cell r="D104">
            <v>0.1</v>
          </cell>
          <cell r="E104">
            <v>0.02</v>
          </cell>
          <cell r="F104">
            <v>41306</v>
          </cell>
          <cell r="G104" t="str">
            <v>OUI</v>
          </cell>
          <cell r="I104">
            <v>0</v>
          </cell>
          <cell r="J104">
            <v>0</v>
          </cell>
          <cell r="K104" t="str">
            <v>OK</v>
          </cell>
          <cell r="L104" t="str">
            <v>OK</v>
          </cell>
          <cell r="N104" t="str">
            <v>Non affecté</v>
          </cell>
          <cell r="O104" t="str">
            <v>NM</v>
          </cell>
          <cell r="P104" t="str">
            <v>Ok mon client</v>
          </cell>
          <cell r="Q104" t="str">
            <v>ORLEANS / ST JEAN DE</v>
          </cell>
          <cell r="R104" t="str">
            <v>45</v>
          </cell>
          <cell r="S104" t="str">
            <v>90 RUE LEON FOUCAULT</v>
          </cell>
          <cell r="T104" t="str">
            <v>45140</v>
          </cell>
          <cell r="U104" t="str">
            <v>ST JEAN DE LA RUELLE</v>
          </cell>
          <cell r="X104" t="str">
            <v>45140</v>
          </cell>
          <cell r="Y104" t="str">
            <v>SAINT JEAN DE LA RUELLE</v>
          </cell>
          <cell r="AA104">
            <v>2666.32</v>
          </cell>
          <cell r="AD104">
            <v>2666.32</v>
          </cell>
          <cell r="AG104">
            <v>1488.7199999999998</v>
          </cell>
          <cell r="AH104">
            <v>0.7036245902520285</v>
          </cell>
          <cell r="AL104">
            <v>1488.7199999999998</v>
          </cell>
          <cell r="AM104">
            <v>2084.2079999999996</v>
          </cell>
          <cell r="AN104">
            <v>-0.21832038164961465</v>
          </cell>
          <cell r="AW104">
            <v>1786.4639999999997</v>
          </cell>
          <cell r="AX104">
            <v>0</v>
          </cell>
          <cell r="AY104">
            <v>0</v>
          </cell>
        </row>
        <row r="105">
          <cell r="A105">
            <v>599309</v>
          </cell>
          <cell r="B105" t="str">
            <v>AGENCE MARTIN MONTOIR</v>
          </cell>
          <cell r="G105" t="str">
            <v>OUI</v>
          </cell>
          <cell r="I105">
            <v>0</v>
          </cell>
          <cell r="J105">
            <v>0</v>
          </cell>
          <cell r="K105" t="str">
            <v>NON</v>
          </cell>
          <cell r="L105" t="str">
            <v>NON</v>
          </cell>
          <cell r="N105" t="str">
            <v>Non affecté</v>
          </cell>
          <cell r="O105" t="str">
            <v>NM</v>
          </cell>
          <cell r="P105" t="str">
            <v>Ok mon client</v>
          </cell>
          <cell r="Q105" t="str">
            <v>ORLEANS / ST JEAN DE</v>
          </cell>
          <cell r="R105" t="str">
            <v>44</v>
          </cell>
          <cell r="S105" t="str">
            <v>TMDC ZONE PORTUAIRE</v>
          </cell>
          <cell r="T105" t="str">
            <v>44550</v>
          </cell>
          <cell r="U105" t="str">
            <v>MONTOIR DE BRETAGNE</v>
          </cell>
          <cell r="X105" t="str">
            <v>44550</v>
          </cell>
          <cell r="Y105" t="str">
            <v>MONTOIR DE BRETAGNE</v>
          </cell>
          <cell r="Z105">
            <v>4816.09</v>
          </cell>
          <cell r="AB105">
            <v>429.78</v>
          </cell>
          <cell r="AD105">
            <v>5245.87</v>
          </cell>
          <cell r="AE105">
            <v>1413.6</v>
          </cell>
          <cell r="AF105">
            <v>0.22891907187323141</v>
          </cell>
          <cell r="AL105">
            <v>1413.6</v>
          </cell>
          <cell r="AM105">
            <v>1979.0399999999997</v>
          </cell>
          <cell r="AN105">
            <v>-0.62274322467007381</v>
          </cell>
          <cell r="AW105">
            <v>0</v>
          </cell>
          <cell r="AX105">
            <v>0</v>
          </cell>
          <cell r="AY105">
            <v>1413.6</v>
          </cell>
        </row>
        <row r="106">
          <cell r="A106">
            <v>600542</v>
          </cell>
          <cell r="B106" t="str">
            <v>FRAMEPACK</v>
          </cell>
          <cell r="C106">
            <v>0.2</v>
          </cell>
          <cell r="D106">
            <v>0.1</v>
          </cell>
          <cell r="E106">
            <v>0.02</v>
          </cell>
          <cell r="F106">
            <v>41275</v>
          </cell>
          <cell r="G106" t="str">
            <v>OUI</v>
          </cell>
          <cell r="H106" t="str">
            <v>TS+40</v>
          </cell>
          <cell r="I106">
            <v>0</v>
          </cell>
          <cell r="J106">
            <v>0</v>
          </cell>
          <cell r="K106" t="str">
            <v>OK</v>
          </cell>
          <cell r="L106" t="str">
            <v>OK</v>
          </cell>
          <cell r="N106" t="str">
            <v>Non affecté</v>
          </cell>
          <cell r="O106" t="str">
            <v>NM</v>
          </cell>
          <cell r="P106" t="str">
            <v>Ok mon client</v>
          </cell>
          <cell r="Q106" t="str">
            <v>ORLEANS / ST JEAN DE</v>
          </cell>
          <cell r="R106" t="str">
            <v>45</v>
          </cell>
          <cell r="S106" t="str">
            <v>3 ET 5,RUE GUSTAVE EIFFEL</v>
          </cell>
          <cell r="T106">
            <v>45380</v>
          </cell>
          <cell r="U106" t="str">
            <v>LA CHAPELLE ST MESMIN</v>
          </cell>
          <cell r="X106" t="str">
            <v>45380</v>
          </cell>
          <cell r="Y106" t="str">
            <v>LA CHAPELLE SAINT MESMIN</v>
          </cell>
          <cell r="Z106">
            <v>1787</v>
          </cell>
          <cell r="AA106">
            <v>3177.49</v>
          </cell>
          <cell r="AB106">
            <v>211.95999999999998</v>
          </cell>
          <cell r="AD106">
            <v>5176.45</v>
          </cell>
          <cell r="AE106">
            <v>896.34999999999991</v>
          </cell>
          <cell r="AF106">
            <v>-2.6384782729960369E-2</v>
          </cell>
          <cell r="AG106">
            <v>399.28999999999996</v>
          </cell>
          <cell r="AH106">
            <v>0.49896065516291405</v>
          </cell>
          <cell r="AI106">
            <v>73.84</v>
          </cell>
          <cell r="AJ106">
            <v>0.56243228602383533</v>
          </cell>
          <cell r="AL106">
            <v>1369.4799999999998</v>
          </cell>
          <cell r="AM106">
            <v>1917.2719999999995</v>
          </cell>
          <cell r="AN106">
            <v>-0.62961643597446137</v>
          </cell>
          <cell r="AW106">
            <v>479.14799999999991</v>
          </cell>
          <cell r="AX106">
            <v>81.224000000000004</v>
          </cell>
          <cell r="AY106">
            <v>914.27699999999993</v>
          </cell>
        </row>
        <row r="107">
          <cell r="A107">
            <v>495783</v>
          </cell>
          <cell r="B107" t="str">
            <v>THERMOBILE</v>
          </cell>
          <cell r="C107">
            <v>0.2</v>
          </cell>
          <cell r="D107">
            <v>0.1</v>
          </cell>
          <cell r="E107">
            <v>0.02</v>
          </cell>
          <cell r="F107">
            <v>41275</v>
          </cell>
          <cell r="G107" t="str">
            <v>OUI</v>
          </cell>
          <cell r="I107">
            <v>0</v>
          </cell>
          <cell r="J107">
            <v>0</v>
          </cell>
          <cell r="K107" t="str">
            <v>OK</v>
          </cell>
          <cell r="L107" t="str">
            <v>OK</v>
          </cell>
          <cell r="N107" t="str">
            <v>Non affecté</v>
          </cell>
          <cell r="O107" t="str">
            <v>NM</v>
          </cell>
          <cell r="P107" t="str">
            <v>Ok mon client</v>
          </cell>
          <cell r="Q107" t="str">
            <v>ORLEANS / ST JEAN DE</v>
          </cell>
          <cell r="R107" t="str">
            <v>45</v>
          </cell>
          <cell r="S107" t="str">
            <v>3 RUE DENIS PAPIN</v>
          </cell>
          <cell r="T107" t="str">
            <v>45240</v>
          </cell>
          <cell r="U107" t="str">
            <v>LA FERTE ST AUBIN</v>
          </cell>
          <cell r="X107" t="str">
            <v>45240</v>
          </cell>
          <cell r="Y107" t="str">
            <v>LA FERTE ST AUBIN</v>
          </cell>
          <cell r="Z107">
            <v>1215</v>
          </cell>
          <cell r="AB107">
            <v>449.44</v>
          </cell>
          <cell r="AD107">
            <v>1664.44</v>
          </cell>
          <cell r="AE107">
            <v>958.08999999999992</v>
          </cell>
          <cell r="AF107">
            <v>0.55119038921186947</v>
          </cell>
          <cell r="AI107">
            <v>274.42</v>
          </cell>
          <cell r="AJ107">
            <v>0.39024123606151173</v>
          </cell>
          <cell r="AL107">
            <v>1232.51</v>
          </cell>
          <cell r="AM107">
            <v>1725.5139999999999</v>
          </cell>
          <cell r="AN107">
            <v>3.6693422412342747E-2</v>
          </cell>
          <cell r="AW107">
            <v>0</v>
          </cell>
          <cell r="AX107">
            <v>301.86200000000002</v>
          </cell>
          <cell r="AY107">
            <v>977.25179999999989</v>
          </cell>
        </row>
        <row r="108">
          <cell r="A108">
            <v>300335</v>
          </cell>
          <cell r="B108" t="str">
            <v>IRRI  SARL</v>
          </cell>
          <cell r="C108">
            <v>0.2</v>
          </cell>
          <cell r="D108">
            <v>0.1</v>
          </cell>
          <cell r="E108">
            <v>0.02</v>
          </cell>
          <cell r="F108">
            <v>41275</v>
          </cell>
          <cell r="G108" t="str">
            <v>OUI</v>
          </cell>
          <cell r="H108" t="str">
            <v>TS+285</v>
          </cell>
          <cell r="I108">
            <v>0</v>
          </cell>
          <cell r="J108">
            <v>0</v>
          </cell>
          <cell r="K108" t="str">
            <v>OK</v>
          </cell>
          <cell r="L108" t="str">
            <v>OK</v>
          </cell>
          <cell r="N108" t="str">
            <v>Non affecté</v>
          </cell>
          <cell r="O108" t="str">
            <v>NM</v>
          </cell>
          <cell r="P108" t="str">
            <v>Ok mon client</v>
          </cell>
          <cell r="Q108" t="str">
            <v>ORLEANS / ST JEAN DE</v>
          </cell>
          <cell r="R108" t="str">
            <v>45</v>
          </cell>
          <cell r="S108" t="str">
            <v>112 RUE DE LA CORNALLIERE</v>
          </cell>
          <cell r="T108">
            <v>45650</v>
          </cell>
          <cell r="U108" t="str">
            <v>ST JEAN LE BLANC</v>
          </cell>
          <cell r="X108" t="str">
            <v>45650</v>
          </cell>
          <cell r="Y108" t="str">
            <v>ST JEAN LE BLANC</v>
          </cell>
          <cell r="AA108">
            <v>636.24</v>
          </cell>
          <cell r="AD108">
            <v>636.24</v>
          </cell>
          <cell r="AG108">
            <v>1101.7</v>
          </cell>
          <cell r="AH108">
            <v>0.81894345103022603</v>
          </cell>
          <cell r="AL108">
            <v>1101.7</v>
          </cell>
          <cell r="AM108">
            <v>1542.3799999999999</v>
          </cell>
          <cell r="AN108">
            <v>1.4242109895636865</v>
          </cell>
          <cell r="AW108">
            <v>1322.04</v>
          </cell>
          <cell r="AX108">
            <v>0</v>
          </cell>
          <cell r="AY108">
            <v>0</v>
          </cell>
        </row>
        <row r="109">
          <cell r="A109">
            <v>527733</v>
          </cell>
          <cell r="B109" t="str">
            <v>FENWICK LINDE</v>
          </cell>
          <cell r="C109">
            <v>0.2</v>
          </cell>
          <cell r="D109">
            <v>0.1</v>
          </cell>
          <cell r="E109">
            <v>0.02</v>
          </cell>
          <cell r="F109">
            <v>41275</v>
          </cell>
          <cell r="G109" t="str">
            <v>OUI</v>
          </cell>
          <cell r="H109" t="str">
            <v>TS+285</v>
          </cell>
          <cell r="I109">
            <v>0</v>
          </cell>
          <cell r="J109">
            <v>0</v>
          </cell>
          <cell r="K109" t="str">
            <v>OK</v>
          </cell>
          <cell r="L109" t="str">
            <v>OK</v>
          </cell>
          <cell r="N109" t="str">
            <v>Non affecté</v>
          </cell>
          <cell r="O109" t="str">
            <v>NM</v>
          </cell>
          <cell r="P109" t="str">
            <v>Ok mon client</v>
          </cell>
          <cell r="Q109" t="str">
            <v>ORLEANS / ST JEAN DE</v>
          </cell>
          <cell r="R109" t="str">
            <v>34</v>
          </cell>
          <cell r="S109" t="str">
            <v>Z I D'ORMES  POLE 45</v>
          </cell>
          <cell r="T109" t="str">
            <v>45140</v>
          </cell>
          <cell r="U109" t="str">
            <v>ORMES</v>
          </cell>
          <cell r="X109" t="str">
            <v>34132</v>
          </cell>
          <cell r="Y109" t="str">
            <v>MAUGUIO CEDEX</v>
          </cell>
          <cell r="AA109">
            <v>1666.8500000000001</v>
          </cell>
          <cell r="AD109">
            <v>1666.8500000000001</v>
          </cell>
          <cell r="AG109">
            <v>1075.17</v>
          </cell>
          <cell r="AH109">
            <v>0.86710008649794923</v>
          </cell>
          <cell r="AL109">
            <v>1075.17</v>
          </cell>
          <cell r="AM109">
            <v>1505.2380000000001</v>
          </cell>
          <cell r="AN109">
            <v>-9.6956534781174164E-2</v>
          </cell>
          <cell r="AW109">
            <v>1290.204</v>
          </cell>
          <cell r="AX109">
            <v>0</v>
          </cell>
          <cell r="AY109">
            <v>0</v>
          </cell>
        </row>
        <row r="110">
          <cell r="A110">
            <v>533197</v>
          </cell>
          <cell r="B110" t="str">
            <v>COMPREX SERVICES</v>
          </cell>
          <cell r="C110">
            <v>0.2</v>
          </cell>
          <cell r="D110">
            <v>0.1</v>
          </cell>
          <cell r="E110">
            <v>0.02</v>
          </cell>
          <cell r="F110">
            <v>41306</v>
          </cell>
          <cell r="G110" t="str">
            <v>OUI</v>
          </cell>
          <cell r="I110">
            <v>0</v>
          </cell>
          <cell r="J110">
            <v>0</v>
          </cell>
          <cell r="K110" t="str">
            <v>OK</v>
          </cell>
          <cell r="L110" t="str">
            <v>OK</v>
          </cell>
          <cell r="N110" t="str">
            <v>Non affecté</v>
          </cell>
          <cell r="O110" t="str">
            <v>NM</v>
          </cell>
          <cell r="P110" t="str">
            <v>Ok mon client</v>
          </cell>
          <cell r="Q110" t="str">
            <v>ORLEANS / ST JEAN DE</v>
          </cell>
          <cell r="R110" t="str">
            <v>45</v>
          </cell>
          <cell r="S110" t="str">
            <v>LES BARRES  ROUTE D'ORLEANS</v>
          </cell>
          <cell r="T110" t="str">
            <v>45260</v>
          </cell>
          <cell r="U110" t="str">
            <v>LORRIS</v>
          </cell>
          <cell r="V110" t="str">
            <v>Mr</v>
          </cell>
          <cell r="W110" t="str">
            <v>LE ROUX Jean-Christophe</v>
          </cell>
          <cell r="X110" t="str">
            <v>45260</v>
          </cell>
          <cell r="Y110" t="str">
            <v>LORRIS</v>
          </cell>
          <cell r="Z110">
            <v>2439.3599999999997</v>
          </cell>
          <cell r="AA110">
            <v>1121.57</v>
          </cell>
          <cell r="AB110">
            <v>308.83999999999997</v>
          </cell>
          <cell r="AD110">
            <v>3869.7699999999995</v>
          </cell>
          <cell r="AE110">
            <v>433.45</v>
          </cell>
          <cell r="AF110">
            <v>0.3078786480562925</v>
          </cell>
          <cell r="AG110">
            <v>592.07000000000005</v>
          </cell>
          <cell r="AH110">
            <v>0.53230192375901497</v>
          </cell>
          <cell r="AL110">
            <v>1025.52</v>
          </cell>
          <cell r="AM110">
            <v>1435.7279999999998</v>
          </cell>
          <cell r="AN110">
            <v>-0.62898880295211346</v>
          </cell>
          <cell r="AW110">
            <v>710.48400000000004</v>
          </cell>
          <cell r="AX110">
            <v>0</v>
          </cell>
          <cell r="AY110">
            <v>442.11899999999997</v>
          </cell>
        </row>
        <row r="111">
          <cell r="A111">
            <v>594455</v>
          </cell>
          <cell r="B111" t="str">
            <v>VIASTORE SYSTEMS</v>
          </cell>
          <cell r="C111">
            <v>0.2</v>
          </cell>
          <cell r="D111">
            <v>0.1</v>
          </cell>
          <cell r="E111">
            <v>0.02</v>
          </cell>
          <cell r="F111">
            <v>41306</v>
          </cell>
          <cell r="G111" t="str">
            <v>OUI</v>
          </cell>
          <cell r="I111">
            <v>0</v>
          </cell>
          <cell r="J111">
            <v>0</v>
          </cell>
          <cell r="K111" t="str">
            <v>OK</v>
          </cell>
          <cell r="L111" t="str">
            <v>OK</v>
          </cell>
          <cell r="N111" t="str">
            <v>Non affecté</v>
          </cell>
          <cell r="O111" t="str">
            <v>NM</v>
          </cell>
          <cell r="P111" t="str">
            <v>Ok mon client</v>
          </cell>
          <cell r="Q111" t="str">
            <v>ORLEANS / ST JEAN DE</v>
          </cell>
          <cell r="R111" t="str">
            <v>45</v>
          </cell>
          <cell r="S111" t="str">
            <v>31 ALLEE DU GRAND COQUILLE</v>
          </cell>
          <cell r="T111" t="str">
            <v>45800</v>
          </cell>
          <cell r="U111" t="str">
            <v>ST JEAN DE BRAYE</v>
          </cell>
          <cell r="W111" t="str">
            <v>Michèle GERVAIS</v>
          </cell>
          <cell r="X111" t="str">
            <v>45800</v>
          </cell>
          <cell r="Y111" t="str">
            <v>ST JEAN DE BRAYE</v>
          </cell>
          <cell r="AA111">
            <v>1965.78</v>
          </cell>
          <cell r="AB111">
            <v>186.17999999999998</v>
          </cell>
          <cell r="AD111">
            <v>2151.96</v>
          </cell>
          <cell r="AG111">
            <v>879.96</v>
          </cell>
          <cell r="AH111">
            <v>0.74019273603345603</v>
          </cell>
          <cell r="AI111">
            <v>130.57000000000002</v>
          </cell>
          <cell r="AJ111">
            <v>0.41349467718465177</v>
          </cell>
          <cell r="AL111">
            <v>1010.5300000000001</v>
          </cell>
          <cell r="AM111">
            <v>1414.742</v>
          </cell>
          <cell r="AN111">
            <v>-0.34257978772839648</v>
          </cell>
          <cell r="AW111">
            <v>1055.952</v>
          </cell>
          <cell r="AX111">
            <v>143.62700000000004</v>
          </cell>
          <cell r="AY111">
            <v>0</v>
          </cell>
        </row>
        <row r="112">
          <cell r="A112">
            <v>486517</v>
          </cell>
          <cell r="B112" t="str">
            <v>SORELEC</v>
          </cell>
          <cell r="C112">
            <v>0.2</v>
          </cell>
          <cell r="D112">
            <v>0.1</v>
          </cell>
          <cell r="E112">
            <v>0.02</v>
          </cell>
          <cell r="F112">
            <v>41275</v>
          </cell>
          <cell r="G112" t="str">
            <v>OUI</v>
          </cell>
          <cell r="I112">
            <v>0</v>
          </cell>
          <cell r="J112">
            <v>0</v>
          </cell>
          <cell r="K112" t="str">
            <v>OK</v>
          </cell>
          <cell r="L112" t="str">
            <v>OK</v>
          </cell>
          <cell r="N112" t="str">
            <v>Non affecté</v>
          </cell>
          <cell r="O112" t="str">
            <v>NM</v>
          </cell>
          <cell r="P112" t="str">
            <v>Ok mon client</v>
          </cell>
          <cell r="Q112" t="str">
            <v>ORLEANS / ST JEAN DE</v>
          </cell>
          <cell r="R112" t="str">
            <v>45</v>
          </cell>
          <cell r="S112" t="str">
            <v>10 RUE DE LA BIONNE</v>
          </cell>
          <cell r="T112">
            <v>45800</v>
          </cell>
          <cell r="U112" t="str">
            <v>ST JEAN DE BRAYE</v>
          </cell>
          <cell r="X112" t="str">
            <v>45800</v>
          </cell>
          <cell r="Y112" t="str">
            <v>SAINT JEAN DE BRAYE</v>
          </cell>
          <cell r="Z112">
            <v>799.71</v>
          </cell>
          <cell r="AA112">
            <v>1952.9900000000002</v>
          </cell>
          <cell r="AB112">
            <v>203.51</v>
          </cell>
          <cell r="AD112">
            <v>2956.21</v>
          </cell>
          <cell r="AG112">
            <v>831.19999999999982</v>
          </cell>
          <cell r="AH112">
            <v>0.6929379210779596</v>
          </cell>
          <cell r="AI112">
            <v>172.11</v>
          </cell>
          <cell r="AJ112">
            <v>0.71465922956248906</v>
          </cell>
          <cell r="AL112">
            <v>1003.3099999999998</v>
          </cell>
          <cell r="AM112">
            <v>1404.6339999999998</v>
          </cell>
          <cell r="AN112">
            <v>-0.52485310583483591</v>
          </cell>
          <cell r="AW112">
            <v>997.43999999999971</v>
          </cell>
          <cell r="AX112">
            <v>189.32100000000003</v>
          </cell>
          <cell r="AY112">
            <v>0</v>
          </cell>
        </row>
        <row r="113">
          <cell r="A113">
            <v>817960</v>
          </cell>
          <cell r="B113" t="str">
            <v>BCI SAS</v>
          </cell>
          <cell r="C113">
            <v>0.2</v>
          </cell>
          <cell r="D113">
            <v>0.1</v>
          </cell>
          <cell r="E113">
            <v>0.02</v>
          </cell>
          <cell r="F113">
            <v>41275</v>
          </cell>
          <cell r="G113" t="str">
            <v>OUI</v>
          </cell>
          <cell r="I113">
            <v>0</v>
          </cell>
          <cell r="J113">
            <v>0</v>
          </cell>
          <cell r="K113" t="str">
            <v>OK</v>
          </cell>
          <cell r="L113" t="str">
            <v>OK</v>
          </cell>
          <cell r="N113" t="str">
            <v>Non affecté</v>
          </cell>
          <cell r="O113" t="str">
            <v>NM</v>
          </cell>
          <cell r="P113" t="str">
            <v>Ok mon client</v>
          </cell>
          <cell r="Q113" t="str">
            <v>ORLEANS / ST JEAN DE</v>
          </cell>
          <cell r="R113" t="str">
            <v>45</v>
          </cell>
          <cell r="S113" t="str">
            <v>RUE ANTOINE LAVOISIER</v>
          </cell>
          <cell r="T113">
            <v>45500</v>
          </cell>
          <cell r="U113" t="str">
            <v>GIEN</v>
          </cell>
          <cell r="X113" t="str">
            <v>45500</v>
          </cell>
          <cell r="Y113" t="str">
            <v>GIEN</v>
          </cell>
          <cell r="Z113">
            <v>184.6</v>
          </cell>
          <cell r="AA113">
            <v>2022.1</v>
          </cell>
          <cell r="AD113">
            <v>2206.6999999999998</v>
          </cell>
          <cell r="AG113">
            <v>1000.4100000000001</v>
          </cell>
          <cell r="AH113">
            <v>0.63722873621815046</v>
          </cell>
          <cell r="AL113">
            <v>1000.4100000000001</v>
          </cell>
          <cell r="AM113">
            <v>1400.5740000000001</v>
          </cell>
          <cell r="AN113">
            <v>-0.36530837902750701</v>
          </cell>
          <cell r="AW113">
            <v>1200.492</v>
          </cell>
          <cell r="AX113">
            <v>0</v>
          </cell>
          <cell r="AY113">
            <v>0</v>
          </cell>
        </row>
        <row r="114">
          <cell r="A114">
            <v>497417</v>
          </cell>
          <cell r="B114" t="str">
            <v>EXCEL MANUTENTION</v>
          </cell>
          <cell r="C114">
            <v>0.2</v>
          </cell>
          <cell r="D114">
            <v>0.1</v>
          </cell>
          <cell r="E114">
            <v>0.02</v>
          </cell>
          <cell r="F114">
            <v>41275</v>
          </cell>
          <cell r="G114" t="str">
            <v>OUI</v>
          </cell>
          <cell r="H114" t="str">
            <v>TS+225</v>
          </cell>
          <cell r="I114">
            <v>0</v>
          </cell>
          <cell r="J114">
            <v>0</v>
          </cell>
          <cell r="K114" t="str">
            <v>OK</v>
          </cell>
          <cell r="L114" t="str">
            <v>OK</v>
          </cell>
          <cell r="N114" t="str">
            <v>Non affecté</v>
          </cell>
          <cell r="O114" t="str">
            <v>NM</v>
          </cell>
          <cell r="P114" t="str">
            <v>Ok mon client</v>
          </cell>
          <cell r="Q114" t="str">
            <v>ORLEANS / ST JEAN DE</v>
          </cell>
          <cell r="R114" t="str">
            <v>45</v>
          </cell>
          <cell r="S114" t="str">
            <v>ROUTE DE L'AERODROME</v>
          </cell>
          <cell r="T114" t="str">
            <v>45550</v>
          </cell>
          <cell r="U114" t="str">
            <v>ST DENIS DE L HOTEL</v>
          </cell>
          <cell r="X114" t="str">
            <v>45550</v>
          </cell>
          <cell r="Y114" t="str">
            <v>ST DENIS DE L'HOTEL</v>
          </cell>
          <cell r="AB114">
            <v>402.56</v>
          </cell>
          <cell r="AD114">
            <v>402.56</v>
          </cell>
          <cell r="AI114">
            <v>898.72</v>
          </cell>
          <cell r="AJ114">
            <v>0.28441561331671728</v>
          </cell>
          <cell r="AL114">
            <v>898.72</v>
          </cell>
          <cell r="AM114">
            <v>1258.2079999999999</v>
          </cell>
          <cell r="AN114">
            <v>2.1255166931637515</v>
          </cell>
          <cell r="AW114">
            <v>0</v>
          </cell>
          <cell r="AX114">
            <v>988.5920000000001</v>
          </cell>
          <cell r="AY114">
            <v>0</v>
          </cell>
        </row>
        <row r="115">
          <cell r="A115">
            <v>612320</v>
          </cell>
          <cell r="B115" t="str">
            <v>ECO MULCH</v>
          </cell>
          <cell r="C115">
            <v>0.2</v>
          </cell>
          <cell r="D115">
            <v>0.1</v>
          </cell>
          <cell r="E115">
            <v>0.02</v>
          </cell>
          <cell r="F115">
            <v>41306</v>
          </cell>
          <cell r="G115" t="str">
            <v>OUI</v>
          </cell>
          <cell r="I115">
            <v>0</v>
          </cell>
          <cell r="J115">
            <v>0</v>
          </cell>
          <cell r="K115" t="str">
            <v>OK</v>
          </cell>
          <cell r="L115" t="str">
            <v>OK</v>
          </cell>
          <cell r="N115" t="str">
            <v>Non affecté</v>
          </cell>
          <cell r="O115" t="str">
            <v>NM</v>
          </cell>
          <cell r="P115" t="str">
            <v>Ok mon client</v>
          </cell>
          <cell r="Q115" t="str">
            <v>ORLEANS / ST JEAN DE</v>
          </cell>
          <cell r="R115" t="str">
            <v>45</v>
          </cell>
          <cell r="S115" t="str">
            <v>LES AVRILS</v>
          </cell>
          <cell r="T115">
            <v>45290</v>
          </cell>
          <cell r="U115" t="str">
            <v>NOGENT SUR VERNISSON</v>
          </cell>
          <cell r="X115" t="str">
            <v>45290</v>
          </cell>
          <cell r="Y115" t="str">
            <v>NOGENT SUR VERNISSON</v>
          </cell>
          <cell r="Z115">
            <v>203.39</v>
          </cell>
          <cell r="AA115">
            <v>2552.9800000000005</v>
          </cell>
          <cell r="AB115">
            <v>79.98</v>
          </cell>
          <cell r="AD115">
            <v>2836.3500000000004</v>
          </cell>
          <cell r="AG115">
            <v>467.82000000000005</v>
          </cell>
          <cell r="AH115">
            <v>0.79733658244623995</v>
          </cell>
          <cell r="AI115">
            <v>424.95000000000005</v>
          </cell>
          <cell r="AJ115">
            <v>0.2007059654076952</v>
          </cell>
          <cell r="AL115">
            <v>892.7700000000001</v>
          </cell>
          <cell r="AM115">
            <v>1249.8780000000002</v>
          </cell>
          <cell r="AN115">
            <v>-0.5593357660373367</v>
          </cell>
          <cell r="AW115">
            <v>561.38400000000001</v>
          </cell>
          <cell r="AX115">
            <v>467.44500000000011</v>
          </cell>
          <cell r="AY115">
            <v>0</v>
          </cell>
        </row>
        <row r="116">
          <cell r="A116">
            <v>634381</v>
          </cell>
          <cell r="B116" t="str">
            <v>SOLS ET FONDATIONS</v>
          </cell>
          <cell r="G116" t="str">
            <v>NON</v>
          </cell>
          <cell r="H116" t="str">
            <v xml:space="preserve">Nouveau client / PAS DE HAUSSE </v>
          </cell>
          <cell r="I116">
            <v>0</v>
          </cell>
          <cell r="J116">
            <v>0</v>
          </cell>
          <cell r="L116" t="str">
            <v>NON</v>
          </cell>
          <cell r="N116" t="str">
            <v>Non affecté</v>
          </cell>
          <cell r="O116" t="str">
            <v>NM</v>
          </cell>
          <cell r="P116" t="str">
            <v>Ok mon client</v>
          </cell>
          <cell r="Q116" t="str">
            <v>ORLEANS / ST JEAN DE</v>
          </cell>
          <cell r="R116" t="str">
            <v>45</v>
          </cell>
          <cell r="S116" t="str">
            <v>920 RUE ST GABRIEL</v>
          </cell>
          <cell r="T116">
            <v>45200</v>
          </cell>
          <cell r="U116" t="str">
            <v>AMILLY</v>
          </cell>
          <cell r="X116" t="str">
            <v>45200</v>
          </cell>
          <cell r="Y116" t="str">
            <v>AMILLY</v>
          </cell>
          <cell r="AE116">
            <v>855.96</v>
          </cell>
          <cell r="AF116">
            <v>0.14715640917799902</v>
          </cell>
          <cell r="AL116">
            <v>855.96</v>
          </cell>
          <cell r="AM116">
            <v>1198.3440000000001</v>
          </cell>
          <cell r="AW116">
            <v>0</v>
          </cell>
          <cell r="AX116">
            <v>0</v>
          </cell>
          <cell r="AY116">
            <v>855.96</v>
          </cell>
        </row>
        <row r="117">
          <cell r="A117">
            <v>493522</v>
          </cell>
          <cell r="B117" t="str">
            <v>MILLET HENRY</v>
          </cell>
          <cell r="C117">
            <v>0.2</v>
          </cell>
          <cell r="D117">
            <v>0.1</v>
          </cell>
          <cell r="E117">
            <v>0.02</v>
          </cell>
          <cell r="F117">
            <v>41275</v>
          </cell>
          <cell r="G117" t="str">
            <v>OUI</v>
          </cell>
          <cell r="H117" t="str">
            <v>TS+44</v>
          </cell>
          <cell r="I117">
            <v>0</v>
          </cell>
          <cell r="J117">
            <v>0</v>
          </cell>
          <cell r="K117" t="str">
            <v>OK</v>
          </cell>
          <cell r="L117" t="str">
            <v>OK</v>
          </cell>
          <cell r="N117" t="str">
            <v>Non affecté</v>
          </cell>
          <cell r="O117" t="str">
            <v>NM</v>
          </cell>
          <cell r="P117" t="str">
            <v>Ok mon client</v>
          </cell>
          <cell r="Q117" t="str">
            <v>ORLEANS / ST JEAN DE</v>
          </cell>
          <cell r="R117" t="str">
            <v>45</v>
          </cell>
          <cell r="S117" t="str">
            <v>1482 ROUTE DE GIEN</v>
          </cell>
          <cell r="T117">
            <v>45570</v>
          </cell>
          <cell r="U117" t="str">
            <v>OUZOUER SUR LOIRE</v>
          </cell>
          <cell r="X117" t="str">
            <v>45570</v>
          </cell>
          <cell r="Y117" t="str">
            <v>OUZOUER SUR LOIRE</v>
          </cell>
          <cell r="AE117">
            <v>805</v>
          </cell>
          <cell r="AF117">
            <v>8.0745341614906832E-2</v>
          </cell>
          <cell r="AL117">
            <v>805</v>
          </cell>
          <cell r="AM117">
            <v>1127</v>
          </cell>
          <cell r="AW117">
            <v>0</v>
          </cell>
          <cell r="AX117">
            <v>0</v>
          </cell>
          <cell r="AY117">
            <v>821.1</v>
          </cell>
        </row>
        <row r="118">
          <cell r="A118">
            <v>625119</v>
          </cell>
          <cell r="B118" t="str">
            <v>VINTAGE GARAGE SARL</v>
          </cell>
          <cell r="C118">
            <v>0.2</v>
          </cell>
          <cell r="D118">
            <v>0.1</v>
          </cell>
          <cell r="E118">
            <v>0.02</v>
          </cell>
          <cell r="F118">
            <v>41275</v>
          </cell>
          <cell r="G118" t="str">
            <v>OUI</v>
          </cell>
          <cell r="H118" t="str">
            <v>TS+281</v>
          </cell>
          <cell r="I118">
            <v>0</v>
          </cell>
          <cell r="J118">
            <v>0</v>
          </cell>
          <cell r="K118" t="str">
            <v>OK</v>
          </cell>
          <cell r="L118" t="str">
            <v>OK</v>
          </cell>
          <cell r="N118" t="str">
            <v>Non affecté</v>
          </cell>
          <cell r="O118" t="str">
            <v>NM</v>
          </cell>
          <cell r="P118" t="str">
            <v>Ok mon client</v>
          </cell>
          <cell r="Q118" t="str">
            <v>ORLEANS / ST JEAN DE</v>
          </cell>
          <cell r="R118" t="str">
            <v>45</v>
          </cell>
          <cell r="S118" t="str">
            <v>3523 RUE DU GENERAL DE GAULLE</v>
          </cell>
          <cell r="T118" t="str">
            <v>45160</v>
          </cell>
          <cell r="U118" t="str">
            <v>OLIVET</v>
          </cell>
          <cell r="X118" t="str">
            <v>45160</v>
          </cell>
          <cell r="Y118" t="str">
            <v>OLIVET</v>
          </cell>
          <cell r="AA118">
            <v>1150.7</v>
          </cell>
          <cell r="AB118">
            <v>57.32</v>
          </cell>
          <cell r="AD118">
            <v>1208.02</v>
          </cell>
          <cell r="AG118">
            <v>760.65000000000009</v>
          </cell>
          <cell r="AH118">
            <v>0.83724446197331226</v>
          </cell>
          <cell r="AI118">
            <v>40.230000000000004</v>
          </cell>
          <cell r="AJ118">
            <v>-0.10042257022122827</v>
          </cell>
          <cell r="AL118">
            <v>800.88000000000011</v>
          </cell>
          <cell r="AM118">
            <v>1121.232</v>
          </cell>
          <cell r="AN118">
            <v>-7.1843181404281364E-2</v>
          </cell>
          <cell r="AW118">
            <v>912.78000000000009</v>
          </cell>
          <cell r="AX118">
            <v>44.253000000000007</v>
          </cell>
          <cell r="AY118">
            <v>0</v>
          </cell>
        </row>
        <row r="119">
          <cell r="A119">
            <v>586561</v>
          </cell>
          <cell r="B119" t="str">
            <v>J P'EMBALL</v>
          </cell>
          <cell r="C119">
            <v>0.2</v>
          </cell>
          <cell r="D119">
            <v>0.1</v>
          </cell>
          <cell r="E119">
            <v>0.02</v>
          </cell>
          <cell r="F119">
            <v>41275</v>
          </cell>
          <cell r="G119" t="str">
            <v>OUI</v>
          </cell>
          <cell r="H119" t="str">
            <v>TS+210</v>
          </cell>
          <cell r="I119">
            <v>0</v>
          </cell>
          <cell r="J119">
            <v>0</v>
          </cell>
          <cell r="K119" t="str">
            <v>OK</v>
          </cell>
          <cell r="L119" t="str">
            <v>OK</v>
          </cell>
          <cell r="N119" t="str">
            <v>Non affecté</v>
          </cell>
          <cell r="O119" t="str">
            <v>NM</v>
          </cell>
          <cell r="P119" t="str">
            <v>Ok mon client</v>
          </cell>
          <cell r="Q119" t="str">
            <v>ORLEANS / ST JEAN DE</v>
          </cell>
          <cell r="R119" t="str">
            <v>45</v>
          </cell>
          <cell r="S119" t="str">
            <v>7,RUE J MONNET</v>
          </cell>
          <cell r="T119" t="str">
            <v>45130</v>
          </cell>
          <cell r="U119" t="str">
            <v>ST AY</v>
          </cell>
          <cell r="V119" t="str">
            <v xml:space="preserve">Mr </v>
          </cell>
          <cell r="W119" t="str">
            <v>BAILLY Jean-Philippe</v>
          </cell>
          <cell r="X119" t="str">
            <v>45130</v>
          </cell>
          <cell r="Y119" t="str">
            <v>ST AY</v>
          </cell>
          <cell r="Z119">
            <v>606</v>
          </cell>
          <cell r="AD119">
            <v>606</v>
          </cell>
          <cell r="AE119">
            <v>552.62</v>
          </cell>
          <cell r="AF119">
            <v>0.14950598964930695</v>
          </cell>
          <cell r="AI119">
            <v>171.81</v>
          </cell>
          <cell r="AJ119">
            <v>0.6971654734881555</v>
          </cell>
          <cell r="AL119">
            <v>724.43000000000006</v>
          </cell>
          <cell r="AM119">
            <v>1014.202</v>
          </cell>
          <cell r="AN119">
            <v>0.6736006600660065</v>
          </cell>
          <cell r="AW119">
            <v>0</v>
          </cell>
          <cell r="AX119">
            <v>188.99100000000001</v>
          </cell>
          <cell r="AY119">
            <v>563.67240000000004</v>
          </cell>
        </row>
        <row r="120">
          <cell r="A120">
            <v>469590</v>
          </cell>
          <cell r="B120" t="str">
            <v>LOIRET MEDICAL SCE</v>
          </cell>
          <cell r="C120">
            <v>0.2</v>
          </cell>
          <cell r="D120">
            <v>0.1</v>
          </cell>
          <cell r="E120">
            <v>0.02</v>
          </cell>
          <cell r="F120">
            <v>41275</v>
          </cell>
          <cell r="G120" t="str">
            <v>OUI</v>
          </cell>
          <cell r="H120" t="str">
            <v>TS+281</v>
          </cell>
          <cell r="I120">
            <v>0</v>
          </cell>
          <cell r="J120">
            <v>0</v>
          </cell>
          <cell r="K120" t="str">
            <v>OK</v>
          </cell>
          <cell r="L120" t="str">
            <v>OK</v>
          </cell>
          <cell r="N120" t="str">
            <v>Non affecté</v>
          </cell>
          <cell r="O120" t="str">
            <v>NM</v>
          </cell>
          <cell r="P120" t="str">
            <v>Ok mon client</v>
          </cell>
          <cell r="Q120" t="str">
            <v>ORLEANS / ST JEAN DE</v>
          </cell>
          <cell r="R120" t="str">
            <v>45</v>
          </cell>
          <cell r="S120" t="str">
            <v>2 RUE ANDRE DESSAUX</v>
          </cell>
          <cell r="T120">
            <v>45400</v>
          </cell>
          <cell r="U120" t="str">
            <v>FLEURY LES AUBRAIS</v>
          </cell>
          <cell r="X120" t="str">
            <v>45400</v>
          </cell>
          <cell r="Y120" t="str">
            <v>FLEURY LES AUBRAIS</v>
          </cell>
          <cell r="AA120">
            <v>1072.31</v>
          </cell>
          <cell r="AD120">
            <v>1072.31</v>
          </cell>
          <cell r="AG120">
            <v>708.22</v>
          </cell>
          <cell r="AH120">
            <v>0.79617915337042178</v>
          </cell>
          <cell r="AL120">
            <v>708.22</v>
          </cell>
          <cell r="AM120">
            <v>991.50799999999992</v>
          </cell>
          <cell r="AN120">
            <v>-7.5353209426378576E-2</v>
          </cell>
          <cell r="AW120">
            <v>849.86400000000003</v>
          </cell>
          <cell r="AX120">
            <v>0</v>
          </cell>
          <cell r="AY120">
            <v>0</v>
          </cell>
        </row>
        <row r="121">
          <cell r="A121">
            <v>83713</v>
          </cell>
          <cell r="B121" t="str">
            <v>COREPE</v>
          </cell>
          <cell r="C121">
            <v>0.2</v>
          </cell>
          <cell r="D121">
            <v>0.1</v>
          </cell>
          <cell r="E121">
            <v>0.02</v>
          </cell>
          <cell r="F121">
            <v>41275</v>
          </cell>
          <cell r="G121" t="str">
            <v>OUI</v>
          </cell>
          <cell r="H121" t="str">
            <v>TS+248</v>
          </cell>
          <cell r="I121">
            <v>0</v>
          </cell>
          <cell r="J121">
            <v>0</v>
          </cell>
          <cell r="K121" t="str">
            <v>OK</v>
          </cell>
          <cell r="L121" t="str">
            <v>OK</v>
          </cell>
          <cell r="N121" t="str">
            <v>Non affecté</v>
          </cell>
          <cell r="O121" t="str">
            <v>NM</v>
          </cell>
          <cell r="P121" t="str">
            <v>Ok mon client</v>
          </cell>
          <cell r="Q121" t="str">
            <v>ORLEANS / ST JEAN DE</v>
          </cell>
          <cell r="R121" t="str">
            <v>45</v>
          </cell>
          <cell r="S121" t="str">
            <v>ROUTE DE FERROLLES</v>
          </cell>
          <cell r="T121">
            <v>45640</v>
          </cell>
          <cell r="U121" t="str">
            <v>SANDILLON</v>
          </cell>
          <cell r="V121" t="str">
            <v>Mr</v>
          </cell>
          <cell r="W121" t="str">
            <v>SIMON Jean-Pierre</v>
          </cell>
          <cell r="X121" t="str">
            <v>45640</v>
          </cell>
          <cell r="Y121" t="str">
            <v>SANDILLON</v>
          </cell>
          <cell r="AB121">
            <v>1590.9299999999998</v>
          </cell>
          <cell r="AD121">
            <v>1590.9299999999998</v>
          </cell>
          <cell r="AI121">
            <v>671.81000000000006</v>
          </cell>
          <cell r="AJ121">
            <v>0.16412378499873456</v>
          </cell>
          <cell r="AL121">
            <v>671.81000000000006</v>
          </cell>
          <cell r="AM121">
            <v>940.53399999999999</v>
          </cell>
          <cell r="AN121">
            <v>-0.40881496986039612</v>
          </cell>
          <cell r="AW121">
            <v>0</v>
          </cell>
          <cell r="AX121">
            <v>738.9910000000001</v>
          </cell>
          <cell r="AY121">
            <v>0</v>
          </cell>
        </row>
        <row r="122">
          <cell r="A122">
            <v>835695</v>
          </cell>
          <cell r="B122" t="str">
            <v>TERRE DE VIGNOBLES</v>
          </cell>
          <cell r="C122">
            <v>0.2</v>
          </cell>
          <cell r="D122">
            <v>0.1</v>
          </cell>
          <cell r="E122">
            <v>0.02</v>
          </cell>
          <cell r="F122">
            <v>41275</v>
          </cell>
          <cell r="G122" t="str">
            <v>OUI</v>
          </cell>
          <cell r="H122" t="str">
            <v>TS+112</v>
          </cell>
          <cell r="I122">
            <v>0</v>
          </cell>
          <cell r="J122">
            <v>0</v>
          </cell>
          <cell r="K122" t="str">
            <v>OK</v>
          </cell>
          <cell r="L122" t="str">
            <v>OK</v>
          </cell>
          <cell r="N122" t="str">
            <v>Non affecté</v>
          </cell>
          <cell r="O122" t="str">
            <v>NM</v>
          </cell>
          <cell r="P122" t="str">
            <v>Ok mon client</v>
          </cell>
          <cell r="Q122" t="str">
            <v>ORLEANS / ST JEAN DE</v>
          </cell>
          <cell r="R122" t="str">
            <v>45</v>
          </cell>
          <cell r="S122" t="str">
            <v>2 RUE PONTE DE LIMA</v>
          </cell>
          <cell r="T122">
            <v>45120</v>
          </cell>
          <cell r="U122" t="str">
            <v>CHALETTE SUR LOING</v>
          </cell>
          <cell r="V122" t="str">
            <v>Mr</v>
          </cell>
          <cell r="W122" t="str">
            <v>Nicolas LETOURNEAU</v>
          </cell>
          <cell r="X122" t="str">
            <v>45120</v>
          </cell>
          <cell r="Y122" t="str">
            <v>CHALETTE SUR LOING</v>
          </cell>
          <cell r="AA122">
            <v>1454.44</v>
          </cell>
          <cell r="AB122">
            <v>56.69</v>
          </cell>
          <cell r="AD122">
            <v>1511.13</v>
          </cell>
          <cell r="AG122">
            <v>565.20000000000005</v>
          </cell>
          <cell r="AH122">
            <v>0.62887473460721877</v>
          </cell>
          <cell r="AI122">
            <v>87.38</v>
          </cell>
          <cell r="AJ122">
            <v>-1.0257495994506749</v>
          </cell>
          <cell r="AL122">
            <v>652.58000000000004</v>
          </cell>
          <cell r="AM122">
            <v>913.61199999999997</v>
          </cell>
          <cell r="AN122">
            <v>-0.39541138088715078</v>
          </cell>
          <cell r="AQ122">
            <v>40472</v>
          </cell>
          <cell r="AW122">
            <v>678.24</v>
          </cell>
          <cell r="AX122">
            <v>96.118000000000009</v>
          </cell>
          <cell r="AY122">
            <v>0</v>
          </cell>
        </row>
        <row r="123">
          <cell r="A123">
            <v>529242</v>
          </cell>
          <cell r="B123" t="str">
            <v>LA PRESENTATION (CLINIQUE)</v>
          </cell>
          <cell r="C123">
            <v>0.2</v>
          </cell>
          <cell r="D123">
            <v>0.1</v>
          </cell>
          <cell r="E123">
            <v>0.02</v>
          </cell>
          <cell r="F123">
            <v>41275</v>
          </cell>
          <cell r="G123" t="str">
            <v>OUI</v>
          </cell>
          <cell r="H123" t="str">
            <v>TS+281</v>
          </cell>
          <cell r="I123">
            <v>0</v>
          </cell>
          <cell r="J123">
            <v>0</v>
          </cell>
          <cell r="K123" t="str">
            <v>OK</v>
          </cell>
          <cell r="L123" t="str">
            <v>OK</v>
          </cell>
          <cell r="N123" t="str">
            <v>Non affecté</v>
          </cell>
          <cell r="O123" t="str">
            <v>NM</v>
          </cell>
          <cell r="P123" t="str">
            <v>Ok mon client</v>
          </cell>
          <cell r="Q123" t="str">
            <v>ORLEANS / ST JEAN DE</v>
          </cell>
          <cell r="R123" t="str">
            <v>45</v>
          </cell>
          <cell r="S123" t="str">
            <v>BP 256 64 BIS RUE DES FOSSE</v>
          </cell>
          <cell r="T123" t="str">
            <v>45400</v>
          </cell>
          <cell r="U123" t="str">
            <v>FLEURY LES AUBRAIS</v>
          </cell>
          <cell r="X123" t="str">
            <v>45400</v>
          </cell>
          <cell r="Y123" t="str">
            <v>FLEURY LES AUBRAIS</v>
          </cell>
          <cell r="AA123">
            <v>1047.1200000000001</v>
          </cell>
          <cell r="AD123">
            <v>1047.1200000000001</v>
          </cell>
          <cell r="AG123">
            <v>645.2299999999999</v>
          </cell>
          <cell r="AH123">
            <v>0.80585217674317688</v>
          </cell>
          <cell r="AL123">
            <v>645.2299999999999</v>
          </cell>
          <cell r="AM123">
            <v>903.32199999999978</v>
          </cell>
          <cell r="AN123">
            <v>-0.13732714493085829</v>
          </cell>
          <cell r="AW123">
            <v>774.27599999999984</v>
          </cell>
          <cell r="AX123">
            <v>0</v>
          </cell>
          <cell r="AY123">
            <v>0</v>
          </cell>
        </row>
        <row r="124">
          <cell r="A124">
            <v>615540</v>
          </cell>
          <cell r="B124" t="str">
            <v>GERMOND</v>
          </cell>
          <cell r="C124">
            <v>0.2</v>
          </cell>
          <cell r="D124">
            <v>0.1</v>
          </cell>
          <cell r="E124">
            <v>0.02</v>
          </cell>
          <cell r="F124">
            <v>41275</v>
          </cell>
          <cell r="G124" t="str">
            <v>OUI</v>
          </cell>
          <cell r="H124" t="str">
            <v>TS+85</v>
          </cell>
          <cell r="I124">
            <v>0</v>
          </cell>
          <cell r="J124">
            <v>0</v>
          </cell>
          <cell r="K124" t="str">
            <v>OK</v>
          </cell>
          <cell r="L124" t="str">
            <v>OK</v>
          </cell>
          <cell r="N124" t="str">
            <v>Non affecté</v>
          </cell>
          <cell r="O124" t="str">
            <v>NM</v>
          </cell>
          <cell r="P124" t="str">
            <v>Ok mon client</v>
          </cell>
          <cell r="Q124" t="str">
            <v>ORLEANS / ST JEAN DE</v>
          </cell>
          <cell r="R124" t="str">
            <v>45</v>
          </cell>
          <cell r="S124" t="str">
            <v>36 RUE DE BAGNEAUX</v>
          </cell>
          <cell r="T124">
            <v>45143</v>
          </cell>
          <cell r="U124" t="str">
            <v>ST JEAN DE LA RUELLE</v>
          </cell>
          <cell r="X124" t="str">
            <v>45143</v>
          </cell>
          <cell r="Y124" t="str">
            <v>ST JEAN DE LA RUELLE</v>
          </cell>
          <cell r="AA124">
            <v>457.61</v>
          </cell>
          <cell r="AB124">
            <v>22.41</v>
          </cell>
          <cell r="AD124">
            <v>480.02000000000004</v>
          </cell>
          <cell r="AE124">
            <v>295.65000000000003</v>
          </cell>
          <cell r="AF124">
            <v>-0.35295112464062245</v>
          </cell>
          <cell r="AG124">
            <v>340.66</v>
          </cell>
          <cell r="AH124">
            <v>0.54103798508777079</v>
          </cell>
          <cell r="AL124">
            <v>636.31000000000006</v>
          </cell>
          <cell r="AM124">
            <v>890.83400000000006</v>
          </cell>
          <cell r="AN124">
            <v>0.85582684054831049</v>
          </cell>
          <cell r="AW124">
            <v>408.79200000000003</v>
          </cell>
          <cell r="AX124">
            <v>0</v>
          </cell>
          <cell r="AY124">
            <v>301.56300000000005</v>
          </cell>
        </row>
        <row r="125">
          <cell r="A125">
            <v>523209</v>
          </cell>
          <cell r="B125" t="str">
            <v>ELECTRO METAL</v>
          </cell>
          <cell r="C125">
            <v>0.2</v>
          </cell>
          <cell r="D125">
            <v>0.1</v>
          </cell>
          <cell r="E125">
            <v>0.02</v>
          </cell>
          <cell r="F125">
            <v>41306</v>
          </cell>
          <cell r="G125" t="str">
            <v>OUI</v>
          </cell>
          <cell r="I125">
            <v>0</v>
          </cell>
          <cell r="J125">
            <v>0</v>
          </cell>
          <cell r="K125" t="str">
            <v>OK</v>
          </cell>
          <cell r="L125" t="str">
            <v>OK</v>
          </cell>
          <cell r="N125" t="str">
            <v>Non affecté</v>
          </cell>
          <cell r="O125" t="str">
            <v>NM</v>
          </cell>
          <cell r="P125" t="str">
            <v>Ok mon client</v>
          </cell>
          <cell r="Q125" t="str">
            <v>ORLEANS / ST JEAN DE</v>
          </cell>
          <cell r="R125" t="str">
            <v>45</v>
          </cell>
          <cell r="S125" t="str">
            <v>VIEILLE ROUTE D OUZOUER</v>
          </cell>
          <cell r="T125" t="str">
            <v>45200</v>
          </cell>
          <cell r="U125" t="str">
            <v>LORRIS</v>
          </cell>
          <cell r="X125" t="str">
            <v>45260</v>
          </cell>
          <cell r="Y125" t="str">
            <v>LORRIS</v>
          </cell>
          <cell r="Z125">
            <v>3399.6</v>
          </cell>
          <cell r="AA125">
            <v>3976.82</v>
          </cell>
          <cell r="AD125">
            <v>7376.42</v>
          </cell>
          <cell r="AG125">
            <v>628.16999999999996</v>
          </cell>
          <cell r="AH125">
            <v>-0.20717030664368324</v>
          </cell>
          <cell r="AL125">
            <v>628.16999999999996</v>
          </cell>
          <cell r="AM125">
            <v>879.43799999999987</v>
          </cell>
          <cell r="AN125">
            <v>-0.88077712494678995</v>
          </cell>
          <cell r="AQ125">
            <v>40281</v>
          </cell>
          <cell r="AW125">
            <v>753.80399999999997</v>
          </cell>
          <cell r="AX125">
            <v>0</v>
          </cell>
          <cell r="AY125">
            <v>0</v>
          </cell>
        </row>
        <row r="126">
          <cell r="A126">
            <v>499714</v>
          </cell>
          <cell r="B126" t="str">
            <v>PRESSIGNY TUBES</v>
          </cell>
          <cell r="C126">
            <v>0.2</v>
          </cell>
          <cell r="D126">
            <v>0.1</v>
          </cell>
          <cell r="E126">
            <v>0.02</v>
          </cell>
          <cell r="F126">
            <v>41334</v>
          </cell>
          <cell r="G126" t="str">
            <v>OUI</v>
          </cell>
          <cell r="H126" t="str">
            <v>VU AVEC M JOMIER RECULER LA HAUSSE AU 1ER MARS SUITE RECLAMATION DU CLIENT</v>
          </cell>
          <cell r="I126">
            <v>0</v>
          </cell>
          <cell r="J126">
            <v>0</v>
          </cell>
          <cell r="K126" t="str">
            <v>OK</v>
          </cell>
          <cell r="L126" t="str">
            <v>OK</v>
          </cell>
          <cell r="N126" t="str">
            <v>Non affecté</v>
          </cell>
          <cell r="O126" t="str">
            <v>NM</v>
          </cell>
          <cell r="P126" t="str">
            <v>Ok mon client</v>
          </cell>
          <cell r="Q126" t="str">
            <v>ORLEANS / ST JEAN DE</v>
          </cell>
          <cell r="R126" t="str">
            <v>45</v>
          </cell>
          <cell r="S126" t="str">
            <v>7 RUE DES TAILLES</v>
          </cell>
          <cell r="T126" t="str">
            <v>45290</v>
          </cell>
          <cell r="U126" t="str">
            <v>PRESSIGNY LES PINS</v>
          </cell>
          <cell r="X126" t="str">
            <v>45290</v>
          </cell>
          <cell r="Y126" t="str">
            <v>PRESSIGNY LES PINS</v>
          </cell>
          <cell r="Z126">
            <v>247.84</v>
          </cell>
          <cell r="AA126">
            <v>1398.22</v>
          </cell>
          <cell r="AB126">
            <v>462.43</v>
          </cell>
          <cell r="AD126">
            <v>2108.4899999999998</v>
          </cell>
          <cell r="AG126">
            <v>517.85</v>
          </cell>
          <cell r="AH126">
            <v>4.9087573621704836E-2</v>
          </cell>
          <cell r="AI126">
            <v>108.99000000000001</v>
          </cell>
          <cell r="AJ126">
            <v>-0.13707679603633358</v>
          </cell>
          <cell r="AL126">
            <v>626.84</v>
          </cell>
          <cell r="AM126">
            <v>877.57600000000002</v>
          </cell>
          <cell r="AN126">
            <v>-0.58378934687857176</v>
          </cell>
          <cell r="AW126">
            <v>621.41999999999996</v>
          </cell>
          <cell r="AX126">
            <v>119.88900000000002</v>
          </cell>
          <cell r="AY126">
            <v>0</v>
          </cell>
        </row>
        <row r="127">
          <cell r="A127">
            <v>493006</v>
          </cell>
          <cell r="B127" t="str">
            <v>SOFLOG TELIS</v>
          </cell>
          <cell r="C127">
            <v>0.2</v>
          </cell>
          <cell r="D127">
            <v>0.1</v>
          </cell>
          <cell r="E127">
            <v>0.02</v>
          </cell>
          <cell r="F127">
            <v>41306</v>
          </cell>
          <cell r="G127" t="str">
            <v>OUI</v>
          </cell>
          <cell r="I127">
            <v>0</v>
          </cell>
          <cell r="J127">
            <v>0</v>
          </cell>
          <cell r="K127" t="str">
            <v>OK</v>
          </cell>
          <cell r="L127" t="str">
            <v>OK</v>
          </cell>
          <cell r="N127" t="str">
            <v>Non affecté</v>
          </cell>
          <cell r="O127" t="str">
            <v>NM</v>
          </cell>
          <cell r="P127" t="str">
            <v>Ok mon client</v>
          </cell>
          <cell r="Q127" t="str">
            <v>ORLEANS / ST JEAN DE</v>
          </cell>
          <cell r="R127" t="str">
            <v>92</v>
          </cell>
          <cell r="S127" t="str">
            <v xml:space="preserve">103 RUE DE CUREMBOURG  </v>
          </cell>
          <cell r="T127">
            <v>45400</v>
          </cell>
          <cell r="U127" t="str">
            <v>FLEURY LES AUBRAIS</v>
          </cell>
          <cell r="X127" t="str">
            <v>92600</v>
          </cell>
          <cell r="Y127" t="str">
            <v>ASNIERES SUR SEINE</v>
          </cell>
          <cell r="Z127">
            <v>4299.3500000000004</v>
          </cell>
          <cell r="AD127">
            <v>4299.3500000000004</v>
          </cell>
          <cell r="AE127">
            <v>509.44</v>
          </cell>
          <cell r="AF127">
            <v>-0.45257537688442229</v>
          </cell>
          <cell r="AG127">
            <v>87.07</v>
          </cell>
          <cell r="AH127">
            <v>0.84587113816469506</v>
          </cell>
          <cell r="AL127">
            <v>596.51</v>
          </cell>
          <cell r="AM127">
            <v>835.11399999999992</v>
          </cell>
          <cell r="AN127">
            <v>-0.80575807970972357</v>
          </cell>
          <cell r="AW127">
            <v>104.48399999999999</v>
          </cell>
          <cell r="AX127">
            <v>0</v>
          </cell>
          <cell r="AY127">
            <v>519.62879999999996</v>
          </cell>
        </row>
        <row r="128">
          <cell r="A128">
            <v>475046</v>
          </cell>
          <cell r="B128" t="str">
            <v>BAUDIN CHATEAUNEUF</v>
          </cell>
          <cell r="C128">
            <v>0.2</v>
          </cell>
          <cell r="D128">
            <v>0.1</v>
          </cell>
          <cell r="E128">
            <v>0.02</v>
          </cell>
          <cell r="F128">
            <v>41306</v>
          </cell>
          <cell r="G128" t="str">
            <v>OUI</v>
          </cell>
          <cell r="I128">
            <v>0</v>
          </cell>
          <cell r="J128">
            <v>0</v>
          </cell>
          <cell r="K128" t="str">
            <v>OK</v>
          </cell>
          <cell r="L128" t="str">
            <v>OK</v>
          </cell>
          <cell r="N128" t="str">
            <v>Non affecté</v>
          </cell>
          <cell r="O128" t="str">
            <v>NM</v>
          </cell>
          <cell r="P128" t="str">
            <v>Ok mon client</v>
          </cell>
          <cell r="Q128" t="str">
            <v>ORLEANS / ST JEAN DE</v>
          </cell>
          <cell r="R128" t="str">
            <v>45</v>
          </cell>
          <cell r="S128" t="str">
            <v>60 RUE DE LA BROSSE</v>
          </cell>
          <cell r="T128" t="str">
            <v>45110</v>
          </cell>
          <cell r="U128" t="str">
            <v>CHATEAUNEUF SUR LOIRE</v>
          </cell>
          <cell r="X128" t="str">
            <v>45110</v>
          </cell>
          <cell r="Y128" t="str">
            <v>CHATEAUNEUF SUR LOIRE</v>
          </cell>
          <cell r="Z128">
            <v>564.02</v>
          </cell>
          <cell r="AA128">
            <v>37.270000000000003</v>
          </cell>
          <cell r="AD128">
            <v>601.29</v>
          </cell>
          <cell r="AE128">
            <v>184.51999999999998</v>
          </cell>
          <cell r="AF128">
            <v>0.2412746585735964</v>
          </cell>
          <cell r="AG128">
            <v>397.61999999999995</v>
          </cell>
          <cell r="AH128">
            <v>0.66887983501835935</v>
          </cell>
          <cell r="AL128">
            <v>582.13999999999987</v>
          </cell>
          <cell r="AM128">
            <v>814.99599999999975</v>
          </cell>
          <cell r="AN128">
            <v>0.35541252972775172</v>
          </cell>
          <cell r="AW128">
            <v>477.14399999999989</v>
          </cell>
          <cell r="AX128">
            <v>0</v>
          </cell>
          <cell r="AY128">
            <v>188.21039999999999</v>
          </cell>
        </row>
        <row r="129">
          <cell r="A129">
            <v>439949</v>
          </cell>
          <cell r="B129" t="str">
            <v>LOIRET AFFINAGE</v>
          </cell>
          <cell r="G129" t="str">
            <v>OUI</v>
          </cell>
          <cell r="H129" t="str">
            <v>PAS DE HAUSSE / AO</v>
          </cell>
          <cell r="I129">
            <v>0</v>
          </cell>
          <cell r="J129">
            <v>0</v>
          </cell>
          <cell r="L129" t="str">
            <v>NON</v>
          </cell>
          <cell r="N129" t="str">
            <v>Non affecté</v>
          </cell>
          <cell r="O129" t="str">
            <v>NM</v>
          </cell>
          <cell r="P129" t="str">
            <v>Ok mon client</v>
          </cell>
          <cell r="Q129" t="str">
            <v>ORLEANS / ST JEAN DE</v>
          </cell>
          <cell r="R129" t="str">
            <v>45</v>
          </cell>
          <cell r="S129" t="str">
            <v>LES STATIONS</v>
          </cell>
          <cell r="T129">
            <v>45210</v>
          </cell>
          <cell r="U129" t="str">
            <v>FONTENAY SUR LOING</v>
          </cell>
          <cell r="X129" t="str">
            <v>45210</v>
          </cell>
          <cell r="Y129" t="str">
            <v>FONTENAY SUR LOING</v>
          </cell>
          <cell r="AE129">
            <v>580</v>
          </cell>
          <cell r="AF129">
            <v>0.17241379310344829</v>
          </cell>
          <cell r="AL129">
            <v>580</v>
          </cell>
          <cell r="AM129">
            <v>812</v>
          </cell>
          <cell r="AW129">
            <v>0</v>
          </cell>
          <cell r="AX129">
            <v>0</v>
          </cell>
          <cell r="AY129">
            <v>580</v>
          </cell>
        </row>
        <row r="130">
          <cell r="A130">
            <v>476524</v>
          </cell>
          <cell r="B130" t="str">
            <v>SGCF</v>
          </cell>
          <cell r="C130">
            <v>0.2</v>
          </cell>
          <cell r="D130">
            <v>0.1</v>
          </cell>
          <cell r="E130">
            <v>0.02</v>
          </cell>
          <cell r="F130">
            <v>41306</v>
          </cell>
          <cell r="G130" t="str">
            <v>OUI</v>
          </cell>
          <cell r="I130">
            <v>0</v>
          </cell>
          <cell r="J130">
            <v>0</v>
          </cell>
          <cell r="K130" t="str">
            <v>OK</v>
          </cell>
          <cell r="L130" t="str">
            <v>OK</v>
          </cell>
          <cell r="N130" t="str">
            <v>Non affecté</v>
          </cell>
          <cell r="O130" t="str">
            <v>NM</v>
          </cell>
          <cell r="P130" t="str">
            <v>Ok mon client</v>
          </cell>
          <cell r="Q130" t="str">
            <v>ORLEANS / ST JEAN DE</v>
          </cell>
          <cell r="R130" t="str">
            <v>45</v>
          </cell>
          <cell r="S130" t="str">
            <v>66 RUE DU PETIT HAMEAU</v>
          </cell>
          <cell r="T130">
            <v>45110</v>
          </cell>
          <cell r="U130" t="str">
            <v>CHATEAUNEUF SUR LOIRE</v>
          </cell>
          <cell r="X130" t="str">
            <v>45800</v>
          </cell>
          <cell r="Y130" t="str">
            <v>ST JEAN DE BRAYE</v>
          </cell>
          <cell r="AA130">
            <v>2366.08</v>
          </cell>
          <cell r="AD130">
            <v>2366.08</v>
          </cell>
          <cell r="AG130">
            <v>500.55999999999995</v>
          </cell>
          <cell r="AH130">
            <v>0.35010787917532382</v>
          </cell>
          <cell r="AL130">
            <v>500.55999999999995</v>
          </cell>
          <cell r="AM130">
            <v>700.78399999999988</v>
          </cell>
          <cell r="AN130">
            <v>-0.70382066540438193</v>
          </cell>
          <cell r="AW130">
            <v>600.67199999999991</v>
          </cell>
          <cell r="AX130">
            <v>0</v>
          </cell>
          <cell r="AY130">
            <v>0</v>
          </cell>
        </row>
        <row r="131">
          <cell r="A131">
            <v>506918</v>
          </cell>
          <cell r="B131" t="str">
            <v>PLOMBELEC</v>
          </cell>
          <cell r="G131" t="str">
            <v>OUI</v>
          </cell>
          <cell r="I131">
            <v>0</v>
          </cell>
          <cell r="J131">
            <v>0</v>
          </cell>
          <cell r="L131" t="str">
            <v>NON</v>
          </cell>
          <cell r="N131" t="str">
            <v>Non affecté</v>
          </cell>
          <cell r="O131" t="str">
            <v>NM</v>
          </cell>
          <cell r="P131" t="str">
            <v>Ok mon client</v>
          </cell>
          <cell r="Q131" t="str">
            <v>ORLEANS / ST JEAN DE</v>
          </cell>
          <cell r="R131" t="str">
            <v>45</v>
          </cell>
          <cell r="S131" t="str">
            <v>6ème AVENUE DELATTRE DE TASSIGNY - ZONE SYNERGIE</v>
          </cell>
          <cell r="T131" t="str">
            <v>45130</v>
          </cell>
          <cell r="U131" t="str">
            <v>MEUNG SUR LOIRE</v>
          </cell>
          <cell r="V131" t="str">
            <v>Mme</v>
          </cell>
          <cell r="W131" t="str">
            <v>LALUQUE Florence</v>
          </cell>
          <cell r="X131" t="str">
            <v>45130</v>
          </cell>
          <cell r="Y131" t="str">
            <v>MEUNG SUR LOIRE</v>
          </cell>
          <cell r="AB131">
            <v>621.3599999999999</v>
          </cell>
          <cell r="AD131">
            <v>621.3599999999999</v>
          </cell>
          <cell r="AI131">
            <v>497.84</v>
          </cell>
          <cell r="AJ131">
            <v>0.64639241523381008</v>
          </cell>
          <cell r="AL131">
            <v>497.84</v>
          </cell>
          <cell r="AM131">
            <v>696.97599999999989</v>
          </cell>
          <cell r="AN131">
            <v>0.12169434788206512</v>
          </cell>
          <cell r="AW131">
            <v>0</v>
          </cell>
          <cell r="AX131">
            <v>497.84</v>
          </cell>
          <cell r="AY131">
            <v>0</v>
          </cell>
        </row>
        <row r="132">
          <cell r="A132">
            <v>870303</v>
          </cell>
          <cell r="B132" t="str">
            <v>JAVOY PLANTES</v>
          </cell>
          <cell r="C132">
            <v>0.2</v>
          </cell>
          <cell r="D132">
            <v>0.1</v>
          </cell>
          <cell r="E132">
            <v>0.02</v>
          </cell>
          <cell r="F132">
            <v>41306</v>
          </cell>
          <cell r="G132" t="str">
            <v>OUI</v>
          </cell>
          <cell r="I132">
            <v>0</v>
          </cell>
          <cell r="J132">
            <v>0</v>
          </cell>
          <cell r="K132" t="str">
            <v>OK</v>
          </cell>
          <cell r="L132" t="str">
            <v>OK</v>
          </cell>
          <cell r="N132" t="str">
            <v>Non affecté</v>
          </cell>
          <cell r="O132" t="str">
            <v>NM</v>
          </cell>
          <cell r="P132" t="str">
            <v>Ok mon client</v>
          </cell>
          <cell r="Q132" t="str">
            <v>ORLEANS / ST JEAN DE</v>
          </cell>
          <cell r="R132" t="str">
            <v>45</v>
          </cell>
          <cell r="S132" t="str">
            <v>1035 RUE DU PARC FLORAL</v>
          </cell>
          <cell r="T132">
            <v>45590</v>
          </cell>
          <cell r="U132" t="str">
            <v>SAINT CYR EN VAL</v>
          </cell>
          <cell r="V132" t="str">
            <v>Mme</v>
          </cell>
          <cell r="W132" t="str">
            <v>Marie Laure RAULINE</v>
          </cell>
          <cell r="X132" t="str">
            <v>45590</v>
          </cell>
          <cell r="Y132" t="str">
            <v>SAINT CYR EN VAL</v>
          </cell>
          <cell r="AE132">
            <v>469.64</v>
          </cell>
          <cell r="AF132">
            <v>0.23345541265650283</v>
          </cell>
          <cell r="AL132">
            <v>469.64</v>
          </cell>
          <cell r="AM132">
            <v>657.49599999999998</v>
          </cell>
          <cell r="AQ132">
            <v>40983</v>
          </cell>
          <cell r="AW132">
            <v>0</v>
          </cell>
          <cell r="AX132">
            <v>0</v>
          </cell>
          <cell r="AY132">
            <v>479.03280000000001</v>
          </cell>
        </row>
        <row r="133">
          <cell r="A133">
            <v>44856</v>
          </cell>
          <cell r="B133" t="str">
            <v>LOCAPHARM             TNA</v>
          </cell>
          <cell r="G133" t="str">
            <v>OUI</v>
          </cell>
          <cell r="H133" t="str">
            <v>PAS AGENCE GERANTE</v>
          </cell>
          <cell r="I133">
            <v>0</v>
          </cell>
          <cell r="J133">
            <v>0</v>
          </cell>
          <cell r="L133" t="str">
            <v>NON</v>
          </cell>
          <cell r="N133" t="str">
            <v>Non affecté</v>
          </cell>
          <cell r="O133" t="str">
            <v>NM</v>
          </cell>
          <cell r="P133" t="str">
            <v>Ok mon client</v>
          </cell>
          <cell r="Q133" t="str">
            <v>ORLEANS / ST JEAN DE</v>
          </cell>
          <cell r="R133" t="str">
            <v>36</v>
          </cell>
          <cell r="X133" t="str">
            <v>36330</v>
          </cell>
          <cell r="Y133" t="str">
            <v>LE POINCONNET</v>
          </cell>
          <cell r="AD133">
            <v>0</v>
          </cell>
          <cell r="AG133">
            <v>372.15000000000003</v>
          </cell>
          <cell r="AH133">
            <v>0.48503861003861004</v>
          </cell>
          <cell r="AI133">
            <v>41.44</v>
          </cell>
          <cell r="AL133">
            <v>413.59000000000003</v>
          </cell>
          <cell r="AM133">
            <v>579.02599999999995</v>
          </cell>
          <cell r="AW133">
            <v>372.15000000000003</v>
          </cell>
          <cell r="AX133">
            <v>41.44</v>
          </cell>
          <cell r="AY133">
            <v>0</v>
          </cell>
        </row>
        <row r="134">
          <cell r="A134">
            <v>584365</v>
          </cell>
          <cell r="B134" t="str">
            <v>SIMEC  SARL</v>
          </cell>
          <cell r="C134">
            <v>0.2</v>
          </cell>
          <cell r="D134">
            <v>0.1</v>
          </cell>
          <cell r="E134">
            <v>0.02</v>
          </cell>
          <cell r="F134">
            <v>41306</v>
          </cell>
          <cell r="G134" t="str">
            <v>OUI</v>
          </cell>
          <cell r="I134">
            <v>0</v>
          </cell>
          <cell r="J134">
            <v>0</v>
          </cell>
          <cell r="K134" t="str">
            <v>OK</v>
          </cell>
          <cell r="L134" t="str">
            <v>OK</v>
          </cell>
          <cell r="N134" t="str">
            <v>Non affecté</v>
          </cell>
          <cell r="O134" t="str">
            <v>NM</v>
          </cell>
          <cell r="P134" t="str">
            <v>Ok mon client</v>
          </cell>
          <cell r="Q134" t="str">
            <v>ORLEANS / ST JEAN DE</v>
          </cell>
          <cell r="R134" t="str">
            <v>45</v>
          </cell>
          <cell r="S134" t="str">
            <v>16 ROUTE DE LA CHAPELLE</v>
          </cell>
          <cell r="T134" t="str">
            <v>45220</v>
          </cell>
          <cell r="U134" t="str">
            <v>ST GERMAIN DES PRES</v>
          </cell>
          <cell r="X134" t="str">
            <v>45220</v>
          </cell>
          <cell r="Y134" t="str">
            <v>ST GERMAIN DES PRES</v>
          </cell>
          <cell r="AA134">
            <v>377.28000000000003</v>
          </cell>
          <cell r="AD134">
            <v>377.28000000000003</v>
          </cell>
          <cell r="AG134">
            <v>337.1</v>
          </cell>
          <cell r="AH134">
            <v>0.86220706021951943</v>
          </cell>
          <cell r="AI134">
            <v>69.03</v>
          </cell>
          <cell r="AJ134">
            <v>0.59684195277415619</v>
          </cell>
          <cell r="AL134">
            <v>406.13</v>
          </cell>
          <cell r="AM134">
            <v>568.58199999999999</v>
          </cell>
          <cell r="AN134">
            <v>0.50705576759966053</v>
          </cell>
          <cell r="AW134">
            <v>404.52000000000004</v>
          </cell>
          <cell r="AX134">
            <v>75.933000000000007</v>
          </cell>
          <cell r="AY134">
            <v>0</v>
          </cell>
        </row>
        <row r="135">
          <cell r="A135">
            <v>857653</v>
          </cell>
          <cell r="B135" t="str">
            <v>SOGIPAC</v>
          </cell>
          <cell r="G135" t="str">
            <v>NON</v>
          </cell>
          <cell r="H135" t="str">
            <v>AO Annuel  // PAS DE HAUSSE</v>
          </cell>
          <cell r="I135">
            <v>0</v>
          </cell>
          <cell r="J135">
            <v>0</v>
          </cell>
          <cell r="L135" t="str">
            <v>NON</v>
          </cell>
          <cell r="N135" t="str">
            <v>Non affecté</v>
          </cell>
          <cell r="O135" t="str">
            <v>NM</v>
          </cell>
          <cell r="P135" t="str">
            <v>Ok mon client</v>
          </cell>
          <cell r="Q135" t="str">
            <v>ORLEANS / ST JEAN DE</v>
          </cell>
          <cell r="R135" t="str">
            <v>45</v>
          </cell>
          <cell r="S135" t="str">
            <v>CHEMIN DE LA SAULAIE ZI LA SAULAIE</v>
          </cell>
          <cell r="T135">
            <v>45500</v>
          </cell>
          <cell r="U135" t="str">
            <v>GIEN</v>
          </cell>
          <cell r="X135" t="str">
            <v>45500</v>
          </cell>
          <cell r="Y135" t="str">
            <v>GIEN</v>
          </cell>
          <cell r="Z135">
            <v>3040.09</v>
          </cell>
          <cell r="AD135">
            <v>3040.09</v>
          </cell>
          <cell r="AE135">
            <v>384.33</v>
          </cell>
          <cell r="AF135">
            <v>0.27145942289178565</v>
          </cell>
          <cell r="AL135">
            <v>384.33</v>
          </cell>
          <cell r="AM135">
            <v>538.0619999999999</v>
          </cell>
          <cell r="AN135">
            <v>-0.82301116085379056</v>
          </cell>
          <cell r="AW135">
            <v>0</v>
          </cell>
          <cell r="AX135">
            <v>0</v>
          </cell>
          <cell r="AY135">
            <v>384.33</v>
          </cell>
        </row>
        <row r="136">
          <cell r="A136">
            <v>612174</v>
          </cell>
          <cell r="B136" t="str">
            <v>YCK</v>
          </cell>
          <cell r="C136">
            <v>0.2</v>
          </cell>
          <cell r="D136">
            <v>0.1</v>
          </cell>
          <cell r="E136">
            <v>0.02</v>
          </cell>
          <cell r="F136">
            <v>41306</v>
          </cell>
          <cell r="G136" t="str">
            <v>OUI</v>
          </cell>
          <cell r="I136">
            <v>0</v>
          </cell>
          <cell r="J136">
            <v>0</v>
          </cell>
          <cell r="K136" t="str">
            <v>OK</v>
          </cell>
          <cell r="L136" t="str">
            <v>OK</v>
          </cell>
          <cell r="N136" t="str">
            <v>Non affecté</v>
          </cell>
          <cell r="O136" t="str">
            <v>NM</v>
          </cell>
          <cell r="P136" t="str">
            <v>Ok mon client</v>
          </cell>
          <cell r="Q136" t="str">
            <v>ORLEANS / ST JEAN DE</v>
          </cell>
          <cell r="R136" t="str">
            <v>45</v>
          </cell>
          <cell r="S136" t="str">
            <v>ZONE ARTISANALE  BUSSOY</v>
          </cell>
          <cell r="T136" t="str">
            <v>45290</v>
          </cell>
          <cell r="U136" t="str">
            <v>VARENNES CHANGY</v>
          </cell>
          <cell r="V136" t="str">
            <v xml:space="preserve">Mme </v>
          </cell>
          <cell r="W136" t="str">
            <v>YANG</v>
          </cell>
          <cell r="X136" t="str">
            <v>45290</v>
          </cell>
          <cell r="Y136" t="str">
            <v>VARENNES CHANGY</v>
          </cell>
          <cell r="AA136">
            <v>108.69</v>
          </cell>
          <cell r="AB136">
            <v>798.82</v>
          </cell>
          <cell r="AD136">
            <v>907.51</v>
          </cell>
          <cell r="AG136">
            <v>-108.69</v>
          </cell>
          <cell r="AI136">
            <v>429.38000000000005</v>
          </cell>
          <cell r="AJ136">
            <v>0.59294797149378176</v>
          </cell>
          <cell r="AL136">
            <v>320.69000000000005</v>
          </cell>
          <cell r="AM136">
            <v>448.96600000000007</v>
          </cell>
          <cell r="AN136">
            <v>-0.50527707683661882</v>
          </cell>
          <cell r="AW136">
            <v>-130.428</v>
          </cell>
          <cell r="AX136">
            <v>472.3180000000001</v>
          </cell>
          <cell r="AY136">
            <v>0</v>
          </cell>
        </row>
        <row r="137">
          <cell r="A137">
            <v>825396</v>
          </cell>
          <cell r="B137" t="str">
            <v>A.T.D.I</v>
          </cell>
          <cell r="C137">
            <v>0.2</v>
          </cell>
          <cell r="D137">
            <v>0.1</v>
          </cell>
          <cell r="E137">
            <v>0.02</v>
          </cell>
          <cell r="F137">
            <v>41306</v>
          </cell>
          <cell r="G137" t="str">
            <v>OUI</v>
          </cell>
          <cell r="I137">
            <v>0</v>
          </cell>
          <cell r="J137">
            <v>0</v>
          </cell>
          <cell r="K137" t="str">
            <v>OK</v>
          </cell>
          <cell r="L137" t="str">
            <v>OK</v>
          </cell>
          <cell r="N137" t="str">
            <v>Non affecté</v>
          </cell>
          <cell r="O137" t="str">
            <v>NM</v>
          </cell>
          <cell r="P137" t="str">
            <v>Ok mon client</v>
          </cell>
          <cell r="Q137" t="str">
            <v>ORLEANS / ST JEAN DE</v>
          </cell>
          <cell r="R137" t="str">
            <v>45</v>
          </cell>
          <cell r="S137" t="str">
            <v>590 ROUTE DE DONNERY</v>
          </cell>
          <cell r="T137">
            <v>45430</v>
          </cell>
          <cell r="U137" t="str">
            <v>MARDIE</v>
          </cell>
          <cell r="X137" t="str">
            <v>45430</v>
          </cell>
          <cell r="Y137" t="str">
            <v>MARDIE</v>
          </cell>
          <cell r="AA137">
            <v>128.4</v>
          </cell>
          <cell r="AB137">
            <v>1547.3700000000001</v>
          </cell>
          <cell r="AD137">
            <v>1675.7700000000002</v>
          </cell>
          <cell r="AI137">
            <v>315.57</v>
          </cell>
          <cell r="AJ137">
            <v>-0.12317393922109202</v>
          </cell>
          <cell r="AL137">
            <v>315.57</v>
          </cell>
          <cell r="AM137">
            <v>441.79799999999994</v>
          </cell>
          <cell r="AN137">
            <v>-0.73636119515207943</v>
          </cell>
          <cell r="AQ137">
            <v>40281</v>
          </cell>
          <cell r="AW137">
            <v>0</v>
          </cell>
          <cell r="AX137">
            <v>347.12700000000001</v>
          </cell>
          <cell r="AY137">
            <v>0</v>
          </cell>
        </row>
        <row r="138">
          <cell r="A138">
            <v>698103</v>
          </cell>
          <cell r="B138" t="str">
            <v>SARL THIERRY CLAIRET</v>
          </cell>
          <cell r="G138" t="str">
            <v>OUI</v>
          </cell>
          <cell r="H138" t="str">
            <v>PAS DE CONTRAT</v>
          </cell>
          <cell r="I138">
            <v>0</v>
          </cell>
          <cell r="J138">
            <v>0</v>
          </cell>
          <cell r="K138" t="str">
            <v>OK</v>
          </cell>
          <cell r="L138" t="str">
            <v>NON</v>
          </cell>
          <cell r="N138" t="str">
            <v>Non affecté</v>
          </cell>
          <cell r="O138" t="str">
            <v>NM</v>
          </cell>
          <cell r="P138" t="str">
            <v>Ok mon client</v>
          </cell>
          <cell r="Q138" t="str">
            <v>ORLEANS / ST JEAN DE</v>
          </cell>
          <cell r="R138" t="str">
            <v>45</v>
          </cell>
          <cell r="S138" t="str">
            <v>MAISON NEUVE</v>
          </cell>
          <cell r="T138">
            <v>45370</v>
          </cell>
          <cell r="U138" t="str">
            <v>JOUY LE POTIER</v>
          </cell>
          <cell r="X138" t="str">
            <v>45370</v>
          </cell>
          <cell r="Y138" t="str">
            <v>JOUY LE POTIERS</v>
          </cell>
          <cell r="Z138">
            <v>152.38</v>
          </cell>
          <cell r="AA138">
            <v>383.56</v>
          </cell>
          <cell r="AD138">
            <v>535.94000000000005</v>
          </cell>
          <cell r="AG138">
            <v>311.47000000000003</v>
          </cell>
          <cell r="AH138">
            <v>0.70671332712620805</v>
          </cell>
          <cell r="AL138">
            <v>311.47000000000003</v>
          </cell>
          <cell r="AM138">
            <v>436.05799999999999</v>
          </cell>
          <cell r="AN138">
            <v>-0.18636787700115698</v>
          </cell>
          <cell r="AW138">
            <v>311.47000000000003</v>
          </cell>
          <cell r="AX138">
            <v>0</v>
          </cell>
          <cell r="AY138">
            <v>0</v>
          </cell>
        </row>
        <row r="139">
          <cell r="A139">
            <v>300393</v>
          </cell>
          <cell r="B139" t="str">
            <v>SULLY IMPRESSION</v>
          </cell>
          <cell r="C139">
            <v>0.2</v>
          </cell>
          <cell r="D139">
            <v>0.1</v>
          </cell>
          <cell r="E139">
            <v>0.02</v>
          </cell>
          <cell r="F139">
            <v>41306</v>
          </cell>
          <cell r="G139" t="str">
            <v>OUI</v>
          </cell>
          <cell r="I139">
            <v>0</v>
          </cell>
          <cell r="J139">
            <v>0</v>
          </cell>
          <cell r="K139" t="str">
            <v>OK</v>
          </cell>
          <cell r="L139" t="str">
            <v>OK</v>
          </cell>
          <cell r="N139" t="str">
            <v>Non affecté</v>
          </cell>
          <cell r="O139" t="str">
            <v>NM</v>
          </cell>
          <cell r="P139" t="str">
            <v>Ok mon client</v>
          </cell>
          <cell r="Q139" t="str">
            <v>ORLEANS / ST JEAN DE</v>
          </cell>
          <cell r="R139" t="str">
            <v>45</v>
          </cell>
          <cell r="S139" t="str">
            <v>26 BIS RUE DES BARRES</v>
          </cell>
          <cell r="T139">
            <v>45600</v>
          </cell>
          <cell r="U139" t="str">
            <v>SULLY SUR LOIRE</v>
          </cell>
          <cell r="X139" t="str">
            <v>45600</v>
          </cell>
          <cell r="Y139" t="str">
            <v>SULLY SUR LOIRE</v>
          </cell>
          <cell r="AA139">
            <v>977.36000000000013</v>
          </cell>
          <cell r="AD139">
            <v>977.36000000000013</v>
          </cell>
          <cell r="AG139">
            <v>282.51</v>
          </cell>
          <cell r="AH139">
            <v>0.65257866978160062</v>
          </cell>
          <cell r="AL139">
            <v>282.51</v>
          </cell>
          <cell r="AM139">
            <v>395.51399999999995</v>
          </cell>
          <cell r="AN139">
            <v>-0.59532413849553911</v>
          </cell>
          <cell r="AW139">
            <v>339.012</v>
          </cell>
          <cell r="AX139">
            <v>0</v>
          </cell>
          <cell r="AY139">
            <v>0</v>
          </cell>
        </row>
        <row r="140">
          <cell r="A140">
            <v>300410</v>
          </cell>
          <cell r="B140" t="str">
            <v>BRUNET</v>
          </cell>
          <cell r="C140">
            <v>0.2</v>
          </cell>
          <cell r="D140">
            <v>0.1</v>
          </cell>
          <cell r="E140">
            <v>0.02</v>
          </cell>
          <cell r="F140">
            <v>41306</v>
          </cell>
          <cell r="G140" t="str">
            <v>OUI</v>
          </cell>
          <cell r="I140">
            <v>0</v>
          </cell>
          <cell r="J140">
            <v>0</v>
          </cell>
          <cell r="K140" t="str">
            <v>OK</v>
          </cell>
          <cell r="L140" t="str">
            <v>OK</v>
          </cell>
          <cell r="N140" t="str">
            <v>Non affecté</v>
          </cell>
          <cell r="O140" t="str">
            <v>NM</v>
          </cell>
          <cell r="P140" t="str">
            <v>Ok mon client</v>
          </cell>
          <cell r="Q140" t="str">
            <v>ORLEANS / ST JEAN DE</v>
          </cell>
          <cell r="R140" t="str">
            <v>45</v>
          </cell>
          <cell r="S140" t="str">
            <v>ZAC DE LA NIVELLE</v>
          </cell>
          <cell r="T140">
            <v>45750</v>
          </cell>
          <cell r="U140" t="str">
            <v>ST PRYVE ST MESMIN</v>
          </cell>
          <cell r="X140" t="str">
            <v>45140</v>
          </cell>
          <cell r="Y140" t="str">
            <v>ST JEAN DE LA RUELLE</v>
          </cell>
          <cell r="AA140">
            <v>1188.29</v>
          </cell>
          <cell r="AB140">
            <v>70.2</v>
          </cell>
          <cell r="AD140">
            <v>1258.49</v>
          </cell>
          <cell r="AG140">
            <v>268.89000000000004</v>
          </cell>
          <cell r="AH140">
            <v>0.7920339172152181</v>
          </cell>
          <cell r="AL140">
            <v>268.89000000000004</v>
          </cell>
          <cell r="AM140">
            <v>376.44600000000003</v>
          </cell>
          <cell r="AN140">
            <v>-0.70087485796470372</v>
          </cell>
          <cell r="AW140">
            <v>322.66800000000006</v>
          </cell>
          <cell r="AX140">
            <v>0</v>
          </cell>
          <cell r="AY140">
            <v>0</v>
          </cell>
        </row>
        <row r="141">
          <cell r="A141">
            <v>393562</v>
          </cell>
          <cell r="B141" t="str">
            <v>BIGMAT</v>
          </cell>
          <cell r="C141">
            <v>0.2</v>
          </cell>
          <cell r="D141">
            <v>0.1</v>
          </cell>
          <cell r="E141">
            <v>0.02</v>
          </cell>
          <cell r="F141">
            <v>41306</v>
          </cell>
          <cell r="G141" t="str">
            <v>OUI</v>
          </cell>
          <cell r="I141">
            <v>0</v>
          </cell>
          <cell r="J141">
            <v>0</v>
          </cell>
          <cell r="K141" t="str">
            <v>OK</v>
          </cell>
          <cell r="L141" t="str">
            <v>OK</v>
          </cell>
          <cell r="N141" t="str">
            <v>Non affecté</v>
          </cell>
          <cell r="O141" t="str">
            <v>NM</v>
          </cell>
          <cell r="P141" t="str">
            <v>Ok mon client</v>
          </cell>
          <cell r="Q141" t="str">
            <v>ORLEANS / ST JEAN DE</v>
          </cell>
          <cell r="R141" t="str">
            <v>45</v>
          </cell>
          <cell r="S141" t="str">
            <v>AVENUE DU 11 NOVEMBRE</v>
          </cell>
          <cell r="T141">
            <v>45300</v>
          </cell>
          <cell r="U141" t="str">
            <v>PITHIVIERS</v>
          </cell>
          <cell r="X141" t="str">
            <v>45300</v>
          </cell>
          <cell r="Y141" t="str">
            <v>PITHIVIERS</v>
          </cell>
          <cell r="AA141">
            <v>145.32</v>
          </cell>
          <cell r="AD141">
            <v>145.32</v>
          </cell>
          <cell r="AG141">
            <v>266.38</v>
          </cell>
          <cell r="AH141">
            <v>0.736654403483745</v>
          </cell>
          <cell r="AL141">
            <v>266.38</v>
          </cell>
          <cell r="AM141">
            <v>372.93199999999996</v>
          </cell>
          <cell r="AN141">
            <v>1.5662813102119459</v>
          </cell>
          <cell r="AW141">
            <v>319.65600000000001</v>
          </cell>
          <cell r="AX141">
            <v>0</v>
          </cell>
          <cell r="AY141">
            <v>0</v>
          </cell>
        </row>
        <row r="142">
          <cell r="A142">
            <v>836391</v>
          </cell>
          <cell r="B142" t="str">
            <v>LES RONDINS DE SOLOGNE</v>
          </cell>
          <cell r="C142">
            <v>0.2</v>
          </cell>
          <cell r="D142">
            <v>0.1</v>
          </cell>
          <cell r="E142">
            <v>0.02</v>
          </cell>
          <cell r="F142">
            <v>41306</v>
          </cell>
          <cell r="G142" t="str">
            <v>OUI</v>
          </cell>
          <cell r="I142">
            <v>0</v>
          </cell>
          <cell r="J142">
            <v>0</v>
          </cell>
          <cell r="K142" t="str">
            <v>OK</v>
          </cell>
          <cell r="L142" t="str">
            <v>OK</v>
          </cell>
          <cell r="N142" t="str">
            <v>Non affecté</v>
          </cell>
          <cell r="O142" t="str">
            <v>NM</v>
          </cell>
          <cell r="P142" t="str">
            <v>Ok mon client</v>
          </cell>
          <cell r="Q142" t="str">
            <v>ORLEANS / ST JEAN DE</v>
          </cell>
          <cell r="R142" t="str">
            <v>45</v>
          </cell>
          <cell r="S142" t="str">
            <v>MAISON NEUVE</v>
          </cell>
          <cell r="T142">
            <v>45370</v>
          </cell>
          <cell r="U142" t="str">
            <v>JOUY LE POTIER</v>
          </cell>
          <cell r="X142" t="str">
            <v>45370</v>
          </cell>
          <cell r="Y142" t="str">
            <v>JOUY-LE-POTIER</v>
          </cell>
          <cell r="Z142">
            <v>256.26</v>
          </cell>
          <cell r="AA142">
            <v>330.63</v>
          </cell>
          <cell r="AD142">
            <v>586.89</v>
          </cell>
          <cell r="AG142">
            <v>233.16</v>
          </cell>
          <cell r="AH142">
            <v>0.84096757591353566</v>
          </cell>
          <cell r="AL142">
            <v>233.16</v>
          </cell>
          <cell r="AM142">
            <v>326.42399999999998</v>
          </cell>
          <cell r="AN142">
            <v>-0.44380718703675304</v>
          </cell>
          <cell r="AQ142">
            <v>40480</v>
          </cell>
          <cell r="AW142">
            <v>279.79199999999997</v>
          </cell>
          <cell r="AX142">
            <v>0</v>
          </cell>
          <cell r="AY142">
            <v>0</v>
          </cell>
        </row>
        <row r="143">
          <cell r="A143">
            <v>303225</v>
          </cell>
          <cell r="B143" t="str">
            <v>MAINGOURD SICA</v>
          </cell>
          <cell r="C143">
            <v>0.2</v>
          </cell>
          <cell r="D143">
            <v>0.1</v>
          </cell>
          <cell r="E143">
            <v>0.02</v>
          </cell>
          <cell r="F143">
            <v>41306</v>
          </cell>
          <cell r="G143" t="str">
            <v>OUI</v>
          </cell>
          <cell r="I143">
            <v>0</v>
          </cell>
          <cell r="J143">
            <v>0</v>
          </cell>
          <cell r="K143" t="str">
            <v>OK</v>
          </cell>
          <cell r="L143" t="str">
            <v>OK</v>
          </cell>
          <cell r="N143" t="str">
            <v>Non affecté</v>
          </cell>
          <cell r="O143" t="str">
            <v>NM</v>
          </cell>
          <cell r="P143" t="str">
            <v>Ok mon client</v>
          </cell>
          <cell r="Q143" t="str">
            <v>ORLEANS / ST JEAN DE</v>
          </cell>
          <cell r="R143" t="str">
            <v>45</v>
          </cell>
          <cell r="S143" t="str">
            <v>26 ROUTE D'ORLEANS</v>
          </cell>
          <cell r="T143">
            <v>45380</v>
          </cell>
          <cell r="U143" t="str">
            <v>LA CHAPELLE ST MESMIN</v>
          </cell>
          <cell r="X143" t="str">
            <v>45380</v>
          </cell>
          <cell r="Y143" t="str">
            <v>LA CHAPELLE ST MESMIN</v>
          </cell>
          <cell r="AA143">
            <v>105.94</v>
          </cell>
          <cell r="AD143">
            <v>105.94</v>
          </cell>
          <cell r="AG143">
            <v>218.32999999999998</v>
          </cell>
          <cell r="AH143">
            <v>0.22255301607658132</v>
          </cell>
          <cell r="AL143">
            <v>218.32999999999998</v>
          </cell>
          <cell r="AM143">
            <v>305.66199999999998</v>
          </cell>
          <cell r="AN143">
            <v>1.8852369265622047</v>
          </cell>
          <cell r="AW143">
            <v>261.99599999999998</v>
          </cell>
          <cell r="AX143">
            <v>0</v>
          </cell>
          <cell r="AY143">
            <v>0</v>
          </cell>
        </row>
        <row r="144">
          <cell r="A144">
            <v>537172</v>
          </cell>
          <cell r="B144" t="str">
            <v>LEPLATRE SA</v>
          </cell>
          <cell r="C144">
            <v>0.2</v>
          </cell>
          <cell r="D144">
            <v>0.1</v>
          </cell>
          <cell r="E144">
            <v>0.02</v>
          </cell>
          <cell r="F144">
            <v>41306</v>
          </cell>
          <cell r="G144" t="str">
            <v>OUI</v>
          </cell>
          <cell r="I144">
            <v>0</v>
          </cell>
          <cell r="J144">
            <v>0</v>
          </cell>
          <cell r="K144" t="str">
            <v>OK</v>
          </cell>
          <cell r="L144" t="str">
            <v>OK</v>
          </cell>
          <cell r="N144" t="str">
            <v>Non affecté</v>
          </cell>
          <cell r="O144" t="str">
            <v>NM</v>
          </cell>
          <cell r="P144" t="str">
            <v>Ok mon client</v>
          </cell>
          <cell r="Q144" t="str">
            <v>ORLEANS / ST JEAN DE</v>
          </cell>
          <cell r="R144" t="str">
            <v>45</v>
          </cell>
          <cell r="S144" t="str">
            <v>21 RUE DU MOULIN</v>
          </cell>
          <cell r="T144" t="str">
            <v>45130</v>
          </cell>
          <cell r="U144" t="str">
            <v>EPIEDS EN BEAUCE</v>
          </cell>
          <cell r="X144" t="str">
            <v>45130</v>
          </cell>
          <cell r="Y144" t="str">
            <v>EPIEDS EN BEAUCE</v>
          </cell>
          <cell r="Z144">
            <v>354</v>
          </cell>
          <cell r="AD144">
            <v>354</v>
          </cell>
          <cell r="AG144">
            <v>214.74</v>
          </cell>
          <cell r="AH144">
            <v>0.73717053180590486</v>
          </cell>
          <cell r="AL144">
            <v>214.74</v>
          </cell>
          <cell r="AM144">
            <v>300.63599999999997</v>
          </cell>
          <cell r="AN144">
            <v>-0.15074576271186446</v>
          </cell>
          <cell r="AW144">
            <v>257.68799999999999</v>
          </cell>
          <cell r="AX144">
            <v>0</v>
          </cell>
          <cell r="AY144">
            <v>0</v>
          </cell>
        </row>
        <row r="145">
          <cell r="A145">
            <v>390120</v>
          </cell>
          <cell r="B145" t="str">
            <v>DARGENT THERMIQUE</v>
          </cell>
          <cell r="C145">
            <v>0.2</v>
          </cell>
          <cell r="D145">
            <v>0.1</v>
          </cell>
          <cell r="E145">
            <v>0.02</v>
          </cell>
          <cell r="F145">
            <v>41306</v>
          </cell>
          <cell r="G145" t="str">
            <v>OUI</v>
          </cell>
          <cell r="I145">
            <v>0</v>
          </cell>
          <cell r="J145">
            <v>0</v>
          </cell>
          <cell r="K145" t="str">
            <v>OK</v>
          </cell>
          <cell r="L145" t="str">
            <v>OK</v>
          </cell>
          <cell r="N145" t="str">
            <v>Non affecté</v>
          </cell>
          <cell r="O145" t="str">
            <v>NM</v>
          </cell>
          <cell r="P145" t="str">
            <v>Ok mon client</v>
          </cell>
          <cell r="Q145" t="str">
            <v>ORLEANS / ST JEAN DE</v>
          </cell>
          <cell r="R145" t="str">
            <v>45</v>
          </cell>
          <cell r="S145" t="str">
            <v>1 AVENUE AMPERE</v>
          </cell>
          <cell r="T145">
            <v>45808</v>
          </cell>
          <cell r="U145" t="str">
            <v>ST JEAN DE BRAYE</v>
          </cell>
          <cell r="X145" t="str">
            <v>45808</v>
          </cell>
          <cell r="Y145" t="str">
            <v>ST JEAN DE BRAYE</v>
          </cell>
          <cell r="AA145">
            <v>714.44999999999993</v>
          </cell>
          <cell r="AD145">
            <v>714.44999999999993</v>
          </cell>
          <cell r="AG145">
            <v>201.45000000000002</v>
          </cell>
          <cell r="AH145">
            <v>0.85778108711839163</v>
          </cell>
          <cell r="AL145">
            <v>201.45000000000002</v>
          </cell>
          <cell r="AM145">
            <v>282.03000000000003</v>
          </cell>
          <cell r="AN145">
            <v>-0.60524879277766108</v>
          </cell>
          <cell r="AW145">
            <v>241.74</v>
          </cell>
          <cell r="AX145">
            <v>0</v>
          </cell>
          <cell r="AY145">
            <v>0</v>
          </cell>
        </row>
        <row r="146">
          <cell r="A146">
            <v>475045</v>
          </cell>
          <cell r="B146" t="str">
            <v>AGRI 45</v>
          </cell>
          <cell r="C146">
            <v>0.2</v>
          </cell>
          <cell r="D146">
            <v>0.1</v>
          </cell>
          <cell r="E146">
            <v>0.02</v>
          </cell>
          <cell r="F146">
            <v>41306</v>
          </cell>
          <cell r="G146" t="str">
            <v>OUI</v>
          </cell>
          <cell r="I146">
            <v>0</v>
          </cell>
          <cell r="J146">
            <v>0</v>
          </cell>
          <cell r="K146" t="str">
            <v>OK</v>
          </cell>
          <cell r="L146" t="str">
            <v>OK</v>
          </cell>
          <cell r="N146" t="str">
            <v>Non affecté</v>
          </cell>
          <cell r="O146" t="str">
            <v>NM</v>
          </cell>
          <cell r="P146" t="str">
            <v>Ok mon client</v>
          </cell>
          <cell r="Q146" t="str">
            <v>ORLEANS / ST JEAN DE</v>
          </cell>
          <cell r="R146" t="str">
            <v>45</v>
          </cell>
          <cell r="S146" t="str">
            <v>ROUTE DE SOLTERRE</v>
          </cell>
          <cell r="T146" t="str">
            <v>45700</v>
          </cell>
          <cell r="U146" t="str">
            <v>ST HILAIRE SUR PUISEAUX</v>
          </cell>
          <cell r="X146" t="str">
            <v>45700</v>
          </cell>
          <cell r="Y146" t="str">
            <v>ST HILAIRE SUR PUISEAUX</v>
          </cell>
          <cell r="AA146">
            <v>677.37000000000012</v>
          </cell>
          <cell r="AD146">
            <v>677.37000000000012</v>
          </cell>
          <cell r="AG146">
            <v>200.7</v>
          </cell>
          <cell r="AH146">
            <v>0.73687095166915795</v>
          </cell>
          <cell r="AL146">
            <v>200.7</v>
          </cell>
          <cell r="AM146">
            <v>280.97999999999996</v>
          </cell>
          <cell r="AN146">
            <v>-0.58518977811240547</v>
          </cell>
          <cell r="AW146">
            <v>240.83999999999997</v>
          </cell>
          <cell r="AX146">
            <v>0</v>
          </cell>
          <cell r="AY146">
            <v>0</v>
          </cell>
        </row>
        <row r="147">
          <cell r="A147">
            <v>871225</v>
          </cell>
          <cell r="B147" t="str">
            <v>PEPINIERES LAVEDEAU</v>
          </cell>
          <cell r="C147">
            <v>0.2</v>
          </cell>
          <cell r="D147">
            <v>0.1</v>
          </cell>
          <cell r="E147">
            <v>0.02</v>
          </cell>
          <cell r="F147">
            <v>41306</v>
          </cell>
          <cell r="G147" t="str">
            <v>OUI</v>
          </cell>
          <cell r="I147">
            <v>0</v>
          </cell>
          <cell r="J147">
            <v>0</v>
          </cell>
          <cell r="K147" t="str">
            <v>OK</v>
          </cell>
          <cell r="L147" t="str">
            <v>OK</v>
          </cell>
          <cell r="N147" t="str">
            <v>Non affecté</v>
          </cell>
          <cell r="O147" t="str">
            <v>NM</v>
          </cell>
          <cell r="P147" t="str">
            <v>Ok mon client</v>
          </cell>
          <cell r="Q147" t="str">
            <v>ORLEANS / ST JEAN DE</v>
          </cell>
          <cell r="R147" t="str">
            <v>45</v>
          </cell>
          <cell r="S147" t="str">
            <v>525 RUE MAISON NEUVE</v>
          </cell>
          <cell r="T147">
            <v>45560</v>
          </cell>
          <cell r="U147" t="str">
            <v>SAINT DENIS EN VAL</v>
          </cell>
          <cell r="X147" t="str">
            <v>45560</v>
          </cell>
          <cell r="Y147" t="str">
            <v>SAINT DENIS EN VAL</v>
          </cell>
          <cell r="AE147">
            <v>198.53</v>
          </cell>
          <cell r="AF147">
            <v>0.19407646199566816</v>
          </cell>
          <cell r="AL147">
            <v>198.53</v>
          </cell>
          <cell r="AM147">
            <v>277.94200000000001</v>
          </cell>
          <cell r="AQ147">
            <v>40991</v>
          </cell>
          <cell r="AW147">
            <v>0</v>
          </cell>
          <cell r="AX147">
            <v>0</v>
          </cell>
          <cell r="AY147">
            <v>202.50059999999999</v>
          </cell>
        </row>
        <row r="148">
          <cell r="A148">
            <v>494888</v>
          </cell>
          <cell r="B148" t="str">
            <v>MERLIN TP ENVIRONNEMENT</v>
          </cell>
          <cell r="C148">
            <v>0.2</v>
          </cell>
          <cell r="D148">
            <v>0.1</v>
          </cell>
          <cell r="E148">
            <v>0.02</v>
          </cell>
          <cell r="F148">
            <v>41306</v>
          </cell>
          <cell r="G148" t="str">
            <v>OUI</v>
          </cell>
          <cell r="I148">
            <v>0</v>
          </cell>
          <cell r="J148">
            <v>0</v>
          </cell>
          <cell r="K148" t="str">
            <v>OK</v>
          </cell>
          <cell r="L148" t="str">
            <v>OK</v>
          </cell>
          <cell r="N148" t="str">
            <v>Non affecté</v>
          </cell>
          <cell r="O148" t="str">
            <v>NM</v>
          </cell>
          <cell r="P148" t="str">
            <v>Ok mon client</v>
          </cell>
          <cell r="Q148" t="str">
            <v>ORLEANS / ST JEAN DE</v>
          </cell>
          <cell r="R148" t="str">
            <v>45</v>
          </cell>
          <cell r="S148" t="str">
            <v>415 RUE DES MERISIERS RN 60</v>
          </cell>
          <cell r="T148">
            <v>45700</v>
          </cell>
          <cell r="U148" t="str">
            <v>PANNES</v>
          </cell>
          <cell r="X148" t="str">
            <v>45700</v>
          </cell>
          <cell r="Y148" t="str">
            <v>PANNES</v>
          </cell>
          <cell r="AA148">
            <v>591.76</v>
          </cell>
          <cell r="AD148">
            <v>591.76</v>
          </cell>
          <cell r="AG148">
            <v>193.07</v>
          </cell>
          <cell r="AH148">
            <v>0.89977728285077951</v>
          </cell>
          <cell r="AL148">
            <v>193.07</v>
          </cell>
          <cell r="AM148">
            <v>270.29799999999994</v>
          </cell>
          <cell r="AN148">
            <v>-0.54323036366094368</v>
          </cell>
          <cell r="AW148">
            <v>231.68399999999997</v>
          </cell>
          <cell r="AX148">
            <v>0</v>
          </cell>
          <cell r="AY148">
            <v>0</v>
          </cell>
        </row>
        <row r="149">
          <cell r="A149">
            <v>518944</v>
          </cell>
          <cell r="B149" t="str">
            <v>DUPONT Y  PEPINIERES</v>
          </cell>
          <cell r="C149">
            <v>0.2</v>
          </cell>
          <cell r="D149">
            <v>0.1</v>
          </cell>
          <cell r="E149">
            <v>0.02</v>
          </cell>
          <cell r="F149">
            <v>41306</v>
          </cell>
          <cell r="G149" t="str">
            <v>OUI</v>
          </cell>
          <cell r="I149">
            <v>0</v>
          </cell>
          <cell r="J149">
            <v>0</v>
          </cell>
          <cell r="K149" t="str">
            <v xml:space="preserve">OK </v>
          </cell>
          <cell r="L149" t="str">
            <v>OK</v>
          </cell>
          <cell r="N149" t="str">
            <v>Non affecté</v>
          </cell>
          <cell r="O149" t="str">
            <v>NM</v>
          </cell>
          <cell r="P149" t="str">
            <v>Ok mon client</v>
          </cell>
          <cell r="Q149" t="str">
            <v>ORLEANS / ST JEAN DE</v>
          </cell>
          <cell r="R149" t="str">
            <v>45</v>
          </cell>
          <cell r="S149" t="str">
            <v>10 RUE DE BELLEVUE  B P 8148</v>
          </cell>
          <cell r="T149">
            <v>45081</v>
          </cell>
          <cell r="U149" t="str">
            <v>ORLEANS CEDEX 2</v>
          </cell>
          <cell r="X149" t="str">
            <v>45081</v>
          </cell>
          <cell r="Y149" t="str">
            <v>ORLEANS CEDEX 2</v>
          </cell>
          <cell r="AE149">
            <v>188.04000000000002</v>
          </cell>
          <cell r="AF149">
            <v>0.20229738353541796</v>
          </cell>
          <cell r="AL149">
            <v>188.04000000000002</v>
          </cell>
          <cell r="AM149">
            <v>263.25600000000003</v>
          </cell>
          <cell r="AQ149">
            <v>40995</v>
          </cell>
          <cell r="AW149">
            <v>0</v>
          </cell>
          <cell r="AX149">
            <v>0</v>
          </cell>
          <cell r="AY149">
            <v>191.80080000000004</v>
          </cell>
        </row>
        <row r="150">
          <cell r="A150">
            <v>639125</v>
          </cell>
          <cell r="B150" t="str">
            <v>LEFEBVRE SARL</v>
          </cell>
          <cell r="C150">
            <v>0.2</v>
          </cell>
          <cell r="D150">
            <v>0.1</v>
          </cell>
          <cell r="E150">
            <v>0.02</v>
          </cell>
          <cell r="F150">
            <v>41306</v>
          </cell>
          <cell r="G150" t="str">
            <v>OUI</v>
          </cell>
          <cell r="I150">
            <v>0</v>
          </cell>
          <cell r="J150">
            <v>0</v>
          </cell>
          <cell r="K150" t="str">
            <v>OK</v>
          </cell>
          <cell r="L150" t="str">
            <v>OK</v>
          </cell>
          <cell r="N150" t="str">
            <v>Non affecté</v>
          </cell>
          <cell r="O150" t="str">
            <v>NM</v>
          </cell>
          <cell r="P150" t="str">
            <v>Ok mon client</v>
          </cell>
          <cell r="Q150" t="str">
            <v>ORLEANS / ST JEAN DE</v>
          </cell>
          <cell r="R150" t="str">
            <v>45</v>
          </cell>
          <cell r="S150" t="str">
            <v>CHEZ 3 E INTERNATIONAL</v>
          </cell>
          <cell r="T150" t="str">
            <v>54670</v>
          </cell>
          <cell r="U150" t="str">
            <v>CUSTINES</v>
          </cell>
          <cell r="X150" t="str">
            <v>45290</v>
          </cell>
          <cell r="Y150" t="str">
            <v>PRESSIGNY LES PINS</v>
          </cell>
          <cell r="AG150">
            <v>179.04</v>
          </cell>
          <cell r="AH150">
            <v>0.67632931188561218</v>
          </cell>
          <cell r="AL150">
            <v>179.04</v>
          </cell>
          <cell r="AM150">
            <v>250.65599999999998</v>
          </cell>
          <cell r="AW150">
            <v>214.84799999999998</v>
          </cell>
          <cell r="AX150">
            <v>0</v>
          </cell>
          <cell r="AY150">
            <v>0</v>
          </cell>
        </row>
        <row r="151">
          <cell r="A151">
            <v>302148</v>
          </cell>
          <cell r="B151" t="str">
            <v>MR BRICOLAGE</v>
          </cell>
          <cell r="C151">
            <v>0.2</v>
          </cell>
          <cell r="D151">
            <v>0.1</v>
          </cell>
          <cell r="E151">
            <v>0.02</v>
          </cell>
          <cell r="F151">
            <v>41306</v>
          </cell>
          <cell r="G151" t="str">
            <v>OUI</v>
          </cell>
          <cell r="I151">
            <v>0</v>
          </cell>
          <cell r="J151">
            <v>0</v>
          </cell>
          <cell r="K151" t="str">
            <v>OK</v>
          </cell>
          <cell r="L151" t="str">
            <v>OK</v>
          </cell>
          <cell r="N151" t="str">
            <v>Non affecté</v>
          </cell>
          <cell r="O151" t="str">
            <v>NM</v>
          </cell>
          <cell r="P151" t="str">
            <v>Ok mon client</v>
          </cell>
          <cell r="Q151" t="str">
            <v>ORLEANS / ST JEAN DE</v>
          </cell>
          <cell r="R151" t="str">
            <v>45</v>
          </cell>
          <cell r="S151" t="str">
            <v>ZAC LES PORTES DE TAVERS</v>
          </cell>
          <cell r="T151">
            <v>45190</v>
          </cell>
          <cell r="U151" t="str">
            <v>TAVERS</v>
          </cell>
          <cell r="X151" t="str">
            <v>45190</v>
          </cell>
          <cell r="Y151" t="str">
            <v>TAVERS</v>
          </cell>
          <cell r="AA151">
            <v>1422.96</v>
          </cell>
          <cell r="AD151">
            <v>1422.96</v>
          </cell>
          <cell r="AG151">
            <v>131.31</v>
          </cell>
          <cell r="AH151">
            <v>0.79841596222679156</v>
          </cell>
          <cell r="AL151">
            <v>131.31</v>
          </cell>
          <cell r="AM151">
            <v>183.834</v>
          </cell>
          <cell r="AN151">
            <v>-0.87080873671782766</v>
          </cell>
          <cell r="AW151">
            <v>157.572</v>
          </cell>
          <cell r="AX151">
            <v>0</v>
          </cell>
          <cell r="AY151">
            <v>0</v>
          </cell>
        </row>
        <row r="152">
          <cell r="A152">
            <v>493837</v>
          </cell>
          <cell r="B152" t="str">
            <v>INDAGRI</v>
          </cell>
          <cell r="G152" t="str">
            <v>OUI</v>
          </cell>
          <cell r="H152" t="str">
            <v>PAS DE CONTRAT</v>
          </cell>
          <cell r="I152">
            <v>0</v>
          </cell>
          <cell r="J152">
            <v>0</v>
          </cell>
          <cell r="L152" t="str">
            <v>NON</v>
          </cell>
          <cell r="N152" t="str">
            <v>Non affecté</v>
          </cell>
          <cell r="O152" t="str">
            <v>NM</v>
          </cell>
          <cell r="P152" t="str">
            <v>Ok mon client</v>
          </cell>
          <cell r="Q152" t="str">
            <v>ORLEANS / ST JEAN DE</v>
          </cell>
          <cell r="R152" t="str">
            <v>45</v>
          </cell>
          <cell r="S152" t="str">
            <v>48 RUE PORTE SAINT JEAN</v>
          </cell>
          <cell r="T152">
            <v>45000</v>
          </cell>
          <cell r="U152" t="str">
            <v>ORLEANS</v>
          </cell>
          <cell r="X152" t="str">
            <v>45000</v>
          </cell>
          <cell r="Y152" t="str">
            <v>ORLEANS</v>
          </cell>
          <cell r="AA152">
            <v>66.800000000000011</v>
          </cell>
          <cell r="AB152">
            <v>311.39</v>
          </cell>
          <cell r="AD152">
            <v>378.19</v>
          </cell>
          <cell r="AG152">
            <v>39.14</v>
          </cell>
          <cell r="AH152">
            <v>0.36842105263157898</v>
          </cell>
          <cell r="AI152">
            <v>86.24</v>
          </cell>
          <cell r="AJ152">
            <v>-0.35980983302411873</v>
          </cell>
          <cell r="AL152">
            <v>125.38</v>
          </cell>
          <cell r="AM152">
            <v>175.53199999999998</v>
          </cell>
          <cell r="AN152">
            <v>-0.53586292604246544</v>
          </cell>
          <cell r="AW152">
            <v>39.14</v>
          </cell>
          <cell r="AX152">
            <v>86.24</v>
          </cell>
          <cell r="AY152">
            <v>0</v>
          </cell>
        </row>
        <row r="153">
          <cell r="A153">
            <v>834328</v>
          </cell>
          <cell r="B153" t="str">
            <v>EUROFINS LABORATOIRE CENTRE</v>
          </cell>
          <cell r="C153">
            <v>0.2</v>
          </cell>
          <cell r="D153">
            <v>0.1</v>
          </cell>
          <cell r="E153">
            <v>0.02</v>
          </cell>
          <cell r="F153">
            <v>41306</v>
          </cell>
          <cell r="G153" t="str">
            <v>OUI</v>
          </cell>
          <cell r="I153">
            <v>0</v>
          </cell>
          <cell r="J153">
            <v>0</v>
          </cell>
          <cell r="K153" t="str">
            <v>OK</v>
          </cell>
          <cell r="L153" t="str">
            <v>OK</v>
          </cell>
          <cell r="N153" t="str">
            <v>Non affecté</v>
          </cell>
          <cell r="O153" t="str">
            <v>NM</v>
          </cell>
          <cell r="P153" t="str">
            <v>Ok mon client</v>
          </cell>
          <cell r="Q153" t="str">
            <v>ORLEANS / ST JEAN DE</v>
          </cell>
          <cell r="R153" t="str">
            <v>44</v>
          </cell>
          <cell r="S153" t="str">
            <v>ZA LES ESSES GALERNE</v>
          </cell>
          <cell r="T153">
            <v>45760</v>
          </cell>
          <cell r="U153" t="str">
            <v>VENNECY</v>
          </cell>
          <cell r="V153" t="str">
            <v>Mr</v>
          </cell>
          <cell r="W153" t="str">
            <v>DESMYTTERE</v>
          </cell>
          <cell r="X153" t="str">
            <v>44300</v>
          </cell>
          <cell r="Y153" t="str">
            <v>NANTES</v>
          </cell>
          <cell r="AA153">
            <v>451.64999999999992</v>
          </cell>
          <cell r="AD153">
            <v>451.64999999999992</v>
          </cell>
          <cell r="AG153">
            <v>108.11999999999999</v>
          </cell>
          <cell r="AH153">
            <v>0.47327044025157233</v>
          </cell>
          <cell r="AL153">
            <v>108.11999999999999</v>
          </cell>
          <cell r="AM153">
            <v>151.36799999999997</v>
          </cell>
          <cell r="AN153">
            <v>-0.66485552972434414</v>
          </cell>
          <cell r="AQ153">
            <v>40445</v>
          </cell>
          <cell r="AW153">
            <v>129.74399999999997</v>
          </cell>
          <cell r="AX153">
            <v>0</v>
          </cell>
          <cell r="AY153">
            <v>0</v>
          </cell>
        </row>
        <row r="154">
          <cell r="A154">
            <v>629106</v>
          </cell>
          <cell r="B154" t="str">
            <v>TW METALS</v>
          </cell>
          <cell r="C154">
            <v>0.2</v>
          </cell>
          <cell r="D154">
            <v>0.1</v>
          </cell>
          <cell r="E154">
            <v>0.02</v>
          </cell>
          <cell r="F154">
            <v>41306</v>
          </cell>
          <cell r="G154" t="str">
            <v>OUI</v>
          </cell>
          <cell r="I154">
            <v>0</v>
          </cell>
          <cell r="J154">
            <v>0</v>
          </cell>
          <cell r="K154" t="str">
            <v>OK</v>
          </cell>
          <cell r="L154" t="str">
            <v>OK</v>
          </cell>
          <cell r="N154" t="str">
            <v>Non affecté</v>
          </cell>
          <cell r="O154" t="str">
            <v>NM</v>
          </cell>
          <cell r="P154" t="str">
            <v>Ok mon client</v>
          </cell>
          <cell r="Q154" t="str">
            <v>ORLEANS / ST JEAN DE</v>
          </cell>
          <cell r="R154" t="str">
            <v>45</v>
          </cell>
          <cell r="S154" t="str">
            <v>9 RUE JEAN MONNET</v>
          </cell>
          <cell r="T154">
            <v>45130</v>
          </cell>
          <cell r="U154" t="str">
            <v>ST AY</v>
          </cell>
          <cell r="X154" t="str">
            <v>45130</v>
          </cell>
          <cell r="Y154" t="str">
            <v>SAINT AY</v>
          </cell>
          <cell r="AA154">
            <v>516.28</v>
          </cell>
          <cell r="AD154">
            <v>516.28</v>
          </cell>
          <cell r="AG154">
            <v>91.399999999999991</v>
          </cell>
          <cell r="AH154">
            <v>0.84628008752735229</v>
          </cell>
          <cell r="AL154">
            <v>91.399999999999991</v>
          </cell>
          <cell r="AM154">
            <v>127.95999999999998</v>
          </cell>
          <cell r="AN154">
            <v>-0.75214999612613309</v>
          </cell>
          <cell r="AW154">
            <v>109.67999999999999</v>
          </cell>
          <cell r="AX154">
            <v>0</v>
          </cell>
          <cell r="AY154">
            <v>0</v>
          </cell>
        </row>
        <row r="155">
          <cell r="A155">
            <v>639099</v>
          </cell>
          <cell r="B155" t="str">
            <v>ARCHENAULT GASPARD</v>
          </cell>
          <cell r="C155">
            <v>0.2</v>
          </cell>
          <cell r="D155">
            <v>0.1</v>
          </cell>
          <cell r="E155">
            <v>0.02</v>
          </cell>
          <cell r="F155">
            <v>41306</v>
          </cell>
          <cell r="G155" t="str">
            <v>OUI</v>
          </cell>
          <cell r="I155">
            <v>0</v>
          </cell>
          <cell r="J155">
            <v>0</v>
          </cell>
          <cell r="K155" t="str">
            <v>OK</v>
          </cell>
          <cell r="L155" t="str">
            <v>OK</v>
          </cell>
          <cell r="N155" t="str">
            <v>Non affecté</v>
          </cell>
          <cell r="O155" t="str">
            <v>NM</v>
          </cell>
          <cell r="P155" t="str">
            <v>Ok mon client</v>
          </cell>
          <cell r="Q155" t="str">
            <v>ORLEANS / ST JEAN DE</v>
          </cell>
          <cell r="R155" t="str">
            <v>45</v>
          </cell>
          <cell r="S155" t="str">
            <v>RUE LOUISE MICHEL</v>
          </cell>
          <cell r="T155" t="str">
            <v>45300</v>
          </cell>
          <cell r="U155" t="str">
            <v>PITHIVIERS</v>
          </cell>
          <cell r="X155" t="str">
            <v>45300</v>
          </cell>
          <cell r="Y155" t="str">
            <v>PITHIVIERS</v>
          </cell>
          <cell r="AA155">
            <v>89.28</v>
          </cell>
          <cell r="AD155">
            <v>89.28</v>
          </cell>
          <cell r="AG155">
            <v>81.19</v>
          </cell>
          <cell r="AH155">
            <v>0.86094346594408189</v>
          </cell>
          <cell r="AL155">
            <v>81.19</v>
          </cell>
          <cell r="AM155">
            <v>113.66599999999998</v>
          </cell>
          <cell r="AN155">
            <v>0.27314068100358413</v>
          </cell>
          <cell r="AW155">
            <v>97.427999999999997</v>
          </cell>
          <cell r="AX155">
            <v>0</v>
          </cell>
          <cell r="AY155">
            <v>0</v>
          </cell>
        </row>
        <row r="156">
          <cell r="A156">
            <v>695172</v>
          </cell>
          <cell r="B156" t="str">
            <v>JAC S.A.</v>
          </cell>
          <cell r="G156" t="str">
            <v>OUI</v>
          </cell>
          <cell r="H156" t="str">
            <v>INCONNU</v>
          </cell>
          <cell r="I156">
            <v>0</v>
          </cell>
          <cell r="J156">
            <v>0</v>
          </cell>
          <cell r="L156" t="str">
            <v>NON</v>
          </cell>
          <cell r="N156" t="str">
            <v>Non affecté</v>
          </cell>
          <cell r="O156" t="str">
            <v>NM</v>
          </cell>
          <cell r="P156" t="str">
            <v>Ok mon client</v>
          </cell>
          <cell r="Q156" t="str">
            <v>ORLEANS / ST JEAN DE</v>
          </cell>
          <cell r="R156" t="str">
            <v>40</v>
          </cell>
          <cell r="X156" t="str">
            <v>4000</v>
          </cell>
          <cell r="Y156" t="str">
            <v>SCLESSIN</v>
          </cell>
          <cell r="AI156">
            <v>68.63</v>
          </cell>
          <cell r="AJ156">
            <v>0.61984554859390928</v>
          </cell>
          <cell r="AL156">
            <v>68.63</v>
          </cell>
          <cell r="AM156">
            <v>96.081999999999994</v>
          </cell>
          <cell r="AW156">
            <v>0</v>
          </cell>
          <cell r="AX156">
            <v>68.63</v>
          </cell>
          <cell r="AY156">
            <v>0</v>
          </cell>
        </row>
        <row r="157">
          <cell r="A157">
            <v>675112</v>
          </cell>
          <cell r="B157" t="str">
            <v>GALYS</v>
          </cell>
          <cell r="C157">
            <v>0.2</v>
          </cell>
          <cell r="D157">
            <v>0.1</v>
          </cell>
          <cell r="E157">
            <v>0.02</v>
          </cell>
          <cell r="F157">
            <v>41306</v>
          </cell>
          <cell r="G157" t="str">
            <v>OUI</v>
          </cell>
          <cell r="I157">
            <v>0</v>
          </cell>
          <cell r="J157">
            <v>0</v>
          </cell>
          <cell r="K157" t="str">
            <v>OK</v>
          </cell>
          <cell r="L157" t="str">
            <v>OK</v>
          </cell>
          <cell r="N157" t="str">
            <v>Non affecté</v>
          </cell>
          <cell r="O157" t="str">
            <v>NM</v>
          </cell>
          <cell r="P157" t="str">
            <v>Ok mon client</v>
          </cell>
          <cell r="Q157" t="str">
            <v>ORLEANS / ST JEAN DE</v>
          </cell>
          <cell r="R157" t="str">
            <v>45</v>
          </cell>
          <cell r="S157" t="str">
            <v>14 RUE ANDRE BOULLE</v>
          </cell>
          <cell r="T157">
            <v>41000</v>
          </cell>
          <cell r="U157" t="str">
            <v xml:space="preserve">BLOIS </v>
          </cell>
          <cell r="V157" t="str">
            <v>Mr</v>
          </cell>
          <cell r="W157" t="str">
            <v>Philippe MARCEL</v>
          </cell>
          <cell r="X157" t="str">
            <v>45760</v>
          </cell>
          <cell r="Y157" t="str">
            <v>VENNECY</v>
          </cell>
          <cell r="AA157">
            <v>89.23</v>
          </cell>
          <cell r="AD157">
            <v>89.23</v>
          </cell>
          <cell r="AG157">
            <v>55.28</v>
          </cell>
          <cell r="AH157">
            <v>0.40358176555716357</v>
          </cell>
          <cell r="AL157">
            <v>55.28</v>
          </cell>
          <cell r="AM157">
            <v>77.391999999999996</v>
          </cell>
          <cell r="AN157">
            <v>-0.13266838507228518</v>
          </cell>
          <cell r="AW157">
            <v>66.335999999999999</v>
          </cell>
          <cell r="AX157">
            <v>0</v>
          </cell>
          <cell r="AY157">
            <v>0</v>
          </cell>
        </row>
        <row r="158">
          <cell r="A158">
            <v>803810</v>
          </cell>
          <cell r="B158" t="str">
            <v>AUTEM SARL</v>
          </cell>
          <cell r="C158">
            <v>0.2</v>
          </cell>
          <cell r="D158">
            <v>0.1</v>
          </cell>
          <cell r="E158">
            <v>0.02</v>
          </cell>
          <cell r="F158">
            <v>41306</v>
          </cell>
          <cell r="G158" t="str">
            <v>OUI</v>
          </cell>
          <cell r="I158">
            <v>0</v>
          </cell>
          <cell r="J158">
            <v>0</v>
          </cell>
          <cell r="K158" t="str">
            <v xml:space="preserve">OK </v>
          </cell>
          <cell r="L158" t="str">
            <v>OK</v>
          </cell>
          <cell r="N158" t="str">
            <v>Non affecté</v>
          </cell>
          <cell r="O158" t="str">
            <v>NM</v>
          </cell>
          <cell r="P158" t="str">
            <v>Ok mon client</v>
          </cell>
          <cell r="Q158" t="str">
            <v>ORLEANS / ST JEAN DE</v>
          </cell>
          <cell r="R158" t="str">
            <v>45</v>
          </cell>
          <cell r="S158" t="str">
            <v>14 PASS. DU PONT MOULINET</v>
          </cell>
          <cell r="T158">
            <v>45100</v>
          </cell>
          <cell r="U158" t="str">
            <v>ORLEANS</v>
          </cell>
          <cell r="X158" t="str">
            <v>45000</v>
          </cell>
          <cell r="Y158" t="str">
            <v>ORLEANS</v>
          </cell>
          <cell r="AA158">
            <v>64.38</v>
          </cell>
          <cell r="AD158">
            <v>64.38</v>
          </cell>
          <cell r="AG158">
            <v>53.339999999999996</v>
          </cell>
          <cell r="AH158">
            <v>0.54105736782902136</v>
          </cell>
          <cell r="AL158">
            <v>53.339999999999996</v>
          </cell>
          <cell r="AM158">
            <v>74.675999999999988</v>
          </cell>
          <cell r="AN158">
            <v>0.15992544268406328</v>
          </cell>
          <cell r="AW158">
            <v>64.007999999999996</v>
          </cell>
          <cell r="AX158">
            <v>0</v>
          </cell>
          <cell r="AY158">
            <v>0</v>
          </cell>
        </row>
        <row r="159">
          <cell r="A159">
            <v>635871</v>
          </cell>
          <cell r="B159" t="str">
            <v>SPIE OUEST CENTRE</v>
          </cell>
          <cell r="G159" t="str">
            <v>OUI</v>
          </cell>
          <cell r="H159" t="str">
            <v>PAS AGENCE GERANTE</v>
          </cell>
          <cell r="I159">
            <v>0</v>
          </cell>
          <cell r="J159">
            <v>0</v>
          </cell>
          <cell r="L159" t="str">
            <v>NON</v>
          </cell>
          <cell r="N159" t="str">
            <v>Non affecté</v>
          </cell>
          <cell r="O159" t="str">
            <v>NM</v>
          </cell>
          <cell r="P159" t="str">
            <v>Ok mon client</v>
          </cell>
          <cell r="Q159" t="str">
            <v>ORLEANS / ST JEAN DE</v>
          </cell>
          <cell r="R159" t="str">
            <v>44</v>
          </cell>
          <cell r="S159" t="str">
            <v>7 RUE JULLIUS ET ETHEL ROSENBERG</v>
          </cell>
          <cell r="T159">
            <v>44800</v>
          </cell>
          <cell r="U159" t="str">
            <v>ST HERBLAIN</v>
          </cell>
          <cell r="X159" t="str">
            <v>44800</v>
          </cell>
          <cell r="Y159" t="str">
            <v>SAINT HERBLAIN</v>
          </cell>
          <cell r="Z159">
            <v>190.05</v>
          </cell>
          <cell r="AA159">
            <v>181.89999999999998</v>
          </cell>
          <cell r="AD159">
            <v>371.95</v>
          </cell>
          <cell r="AG159">
            <v>30.439999999999998</v>
          </cell>
          <cell r="AH159">
            <v>0.26675427069645208</v>
          </cell>
          <cell r="AL159">
            <v>30.439999999999998</v>
          </cell>
          <cell r="AM159">
            <v>42.615999999999993</v>
          </cell>
          <cell r="AN159">
            <v>-0.88542546041134562</v>
          </cell>
          <cell r="AW159">
            <v>30.439999999999998</v>
          </cell>
          <cell r="AX159">
            <v>0</v>
          </cell>
          <cell r="AY159">
            <v>0</v>
          </cell>
        </row>
        <row r="160">
          <cell r="A160">
            <v>14200</v>
          </cell>
          <cell r="B160" t="str">
            <v>THERMOR PACIFIC</v>
          </cell>
          <cell r="C160">
            <v>0.2</v>
          </cell>
          <cell r="D160">
            <v>0.1</v>
          </cell>
          <cell r="E160">
            <v>0.02</v>
          </cell>
          <cell r="F160">
            <v>41306</v>
          </cell>
          <cell r="G160" t="str">
            <v>OUI</v>
          </cell>
          <cell r="I160">
            <v>0</v>
          </cell>
          <cell r="J160">
            <v>0</v>
          </cell>
          <cell r="K160" t="str">
            <v>OK</v>
          </cell>
          <cell r="L160" t="str">
            <v>OK</v>
          </cell>
          <cell r="N160" t="str">
            <v>Non affecté</v>
          </cell>
          <cell r="O160" t="str">
            <v>NM</v>
          </cell>
          <cell r="P160" t="str">
            <v>Ok mon client</v>
          </cell>
          <cell r="Q160" t="str">
            <v>ORLEANS / ST JEAN DE</v>
          </cell>
          <cell r="R160" t="str">
            <v>45</v>
          </cell>
          <cell r="S160" t="str">
            <v>17 RUE CROIX FAUCHET</v>
          </cell>
          <cell r="T160">
            <v>45140</v>
          </cell>
          <cell r="U160" t="str">
            <v>ST JEAN DE LA RUELLE</v>
          </cell>
          <cell r="V160">
            <v>0</v>
          </cell>
          <cell r="W160" t="str">
            <v>Nelly LEBRETON</v>
          </cell>
          <cell r="X160" t="str">
            <v>45141</v>
          </cell>
          <cell r="Y160" t="str">
            <v>SAINT JEAN DE LA RUELLE</v>
          </cell>
          <cell r="AB160">
            <v>1427.54</v>
          </cell>
          <cell r="AD160">
            <v>1427.54</v>
          </cell>
          <cell r="AM160">
            <v>0</v>
          </cell>
          <cell r="AN160">
            <v>-1</v>
          </cell>
          <cell r="AW160">
            <v>0</v>
          </cell>
          <cell r="AX160">
            <v>0</v>
          </cell>
          <cell r="AY160">
            <v>0</v>
          </cell>
        </row>
        <row r="161">
          <cell r="A161">
            <v>395682</v>
          </cell>
          <cell r="B161" t="str">
            <v>MAG SYSTEM</v>
          </cell>
          <cell r="C161">
            <v>0.2</v>
          </cell>
          <cell r="D161">
            <v>0.1</v>
          </cell>
          <cell r="E161">
            <v>0.02</v>
          </cell>
          <cell r="F161">
            <v>41306</v>
          </cell>
          <cell r="G161" t="str">
            <v>OUI</v>
          </cell>
          <cell r="I161">
            <v>0</v>
          </cell>
          <cell r="J161">
            <v>0</v>
          </cell>
          <cell r="K161" t="str">
            <v>OK</v>
          </cell>
          <cell r="L161" t="str">
            <v>OK</v>
          </cell>
          <cell r="N161" t="str">
            <v>Non affecté</v>
          </cell>
          <cell r="O161" t="str">
            <v>NM</v>
          </cell>
          <cell r="P161" t="str">
            <v>Ok mon client</v>
          </cell>
          <cell r="Q161" t="str">
            <v>ORLEANS / ST JEAN DE</v>
          </cell>
          <cell r="R161" t="str">
            <v>45</v>
          </cell>
          <cell r="S161" t="str">
            <v>LES GRANDS CHAMPS</v>
          </cell>
          <cell r="T161">
            <v>45570</v>
          </cell>
          <cell r="U161" t="str">
            <v>DAMPIERRE EN BURLY</v>
          </cell>
          <cell r="X161" t="str">
            <v>45570</v>
          </cell>
          <cell r="Y161" t="str">
            <v>DAMPIERRE EN BURLY</v>
          </cell>
          <cell r="Z161">
            <v>6602.71</v>
          </cell>
          <cell r="AA161">
            <v>153.15</v>
          </cell>
          <cell r="AD161">
            <v>6755.86</v>
          </cell>
          <cell r="AM161">
            <v>0</v>
          </cell>
          <cell r="AN161">
            <v>-1</v>
          </cell>
          <cell r="AW161">
            <v>0</v>
          </cell>
          <cell r="AX161">
            <v>0</v>
          </cell>
          <cell r="AY161">
            <v>0</v>
          </cell>
        </row>
        <row r="162">
          <cell r="A162">
            <v>399022</v>
          </cell>
          <cell r="B162" t="str">
            <v>BMCE POINT P</v>
          </cell>
          <cell r="C162">
            <v>0.2</v>
          </cell>
          <cell r="D162">
            <v>0.1</v>
          </cell>
          <cell r="E162">
            <v>0.02</v>
          </cell>
          <cell r="F162">
            <v>41306</v>
          </cell>
          <cell r="G162" t="str">
            <v>OUI</v>
          </cell>
          <cell r="I162">
            <v>0</v>
          </cell>
          <cell r="J162">
            <v>0</v>
          </cell>
          <cell r="K162" t="str">
            <v>OK</v>
          </cell>
          <cell r="L162" t="str">
            <v>OK</v>
          </cell>
          <cell r="N162" t="str">
            <v>Non affecté</v>
          </cell>
          <cell r="O162" t="str">
            <v>NM</v>
          </cell>
          <cell r="P162" t="str">
            <v>Ok mon client</v>
          </cell>
          <cell r="Q162" t="str">
            <v>ORLEANS / ST JEAN DE</v>
          </cell>
          <cell r="R162" t="str">
            <v>45</v>
          </cell>
          <cell r="S162" t="str">
            <v>41 QUAI DU ROI</v>
          </cell>
          <cell r="T162">
            <v>45058</v>
          </cell>
          <cell r="U162" t="str">
            <v>ORLEANS</v>
          </cell>
          <cell r="X162" t="str">
            <v>45000</v>
          </cell>
          <cell r="Y162" t="str">
            <v>ORLEANS</v>
          </cell>
          <cell r="AA162">
            <v>124.62</v>
          </cell>
          <cell r="AD162">
            <v>124.62</v>
          </cell>
          <cell r="AM162">
            <v>0</v>
          </cell>
          <cell r="AN162">
            <v>-1</v>
          </cell>
          <cell r="AW162">
            <v>0</v>
          </cell>
          <cell r="AX162">
            <v>0</v>
          </cell>
          <cell r="AY162">
            <v>0</v>
          </cell>
        </row>
        <row r="163">
          <cell r="A163">
            <v>461429</v>
          </cell>
          <cell r="B163" t="str">
            <v>BIG MAT MATERIAUX REUNIS</v>
          </cell>
          <cell r="C163">
            <v>0.2</v>
          </cell>
          <cell r="D163">
            <v>0.1</v>
          </cell>
          <cell r="E163">
            <v>0.02</v>
          </cell>
          <cell r="F163">
            <v>41306</v>
          </cell>
          <cell r="G163" t="str">
            <v>OUI</v>
          </cell>
          <cell r="I163">
            <v>0</v>
          </cell>
          <cell r="J163">
            <v>0</v>
          </cell>
          <cell r="K163" t="str">
            <v>OK</v>
          </cell>
          <cell r="L163" t="str">
            <v>OK</v>
          </cell>
          <cell r="N163" t="str">
            <v>Non affecté</v>
          </cell>
          <cell r="O163" t="str">
            <v>NM</v>
          </cell>
          <cell r="P163" t="str">
            <v>Ok mon client</v>
          </cell>
          <cell r="Q163" t="str">
            <v>ORLEANS / ST JEAN DE</v>
          </cell>
          <cell r="R163" t="str">
            <v>45</v>
          </cell>
          <cell r="S163" t="str">
            <v>85 AVENUE DU GATINAIS</v>
          </cell>
          <cell r="T163">
            <v>45110</v>
          </cell>
          <cell r="U163" t="str">
            <v>CHATEAUNEUF SUR LOIRE</v>
          </cell>
          <cell r="X163" t="str">
            <v>45110</v>
          </cell>
          <cell r="Y163" t="str">
            <v>CHATEAUNEUF SUR LOIRE</v>
          </cell>
          <cell r="Z163">
            <v>157.75</v>
          </cell>
          <cell r="AD163">
            <v>157.75</v>
          </cell>
          <cell r="AM163">
            <v>0</v>
          </cell>
          <cell r="AN163">
            <v>-1</v>
          </cell>
          <cell r="AW163">
            <v>0</v>
          </cell>
          <cell r="AX163">
            <v>0</v>
          </cell>
          <cell r="AY163">
            <v>0</v>
          </cell>
        </row>
        <row r="164">
          <cell r="A164">
            <v>476900</v>
          </cell>
          <cell r="B164" t="str">
            <v>TILKO</v>
          </cell>
          <cell r="C164">
            <v>0.2</v>
          </cell>
          <cell r="D164">
            <v>0.1</v>
          </cell>
          <cell r="E164">
            <v>0.02</v>
          </cell>
          <cell r="F164">
            <v>41306</v>
          </cell>
          <cell r="G164" t="str">
            <v>OUI</v>
          </cell>
          <cell r="I164">
            <v>0</v>
          </cell>
          <cell r="J164">
            <v>0</v>
          </cell>
          <cell r="K164" t="str">
            <v>OK</v>
          </cell>
          <cell r="L164" t="str">
            <v>OK</v>
          </cell>
          <cell r="N164" t="str">
            <v>Non affecté</v>
          </cell>
          <cell r="O164" t="str">
            <v>NM</v>
          </cell>
          <cell r="P164" t="str">
            <v>Ok mon client</v>
          </cell>
          <cell r="Q164" t="str">
            <v>ORLEANS / ST JEAN DE</v>
          </cell>
          <cell r="R164" t="str">
            <v>78</v>
          </cell>
          <cell r="S164" t="str">
            <v>23 RUE COLBERT</v>
          </cell>
          <cell r="T164">
            <v>78180</v>
          </cell>
          <cell r="U164" t="str">
            <v>MONTIGNY LE BRETONNEUX</v>
          </cell>
          <cell r="X164" t="str">
            <v>78180</v>
          </cell>
          <cell r="Y164" t="str">
            <v>MONTIGNY LE BRETONNEUX</v>
          </cell>
          <cell r="AM164">
            <v>0</v>
          </cell>
          <cell r="AW164">
            <v>0</v>
          </cell>
          <cell r="AX164">
            <v>0</v>
          </cell>
          <cell r="AY164">
            <v>0</v>
          </cell>
        </row>
        <row r="165">
          <cell r="A165">
            <v>499860</v>
          </cell>
          <cell r="B165" t="str">
            <v>POINT P BMCE</v>
          </cell>
          <cell r="C165">
            <v>0.2</v>
          </cell>
          <cell r="D165">
            <v>0.1</v>
          </cell>
          <cell r="E165">
            <v>0.02</v>
          </cell>
          <cell r="F165">
            <v>41306</v>
          </cell>
          <cell r="G165" t="str">
            <v>OUI</v>
          </cell>
          <cell r="I165">
            <v>0</v>
          </cell>
          <cell r="J165">
            <v>0</v>
          </cell>
          <cell r="K165" t="str">
            <v>OK</v>
          </cell>
          <cell r="L165" t="str">
            <v>OK</v>
          </cell>
          <cell r="N165" t="str">
            <v>Non affecté</v>
          </cell>
          <cell r="O165" t="str">
            <v>NM</v>
          </cell>
          <cell r="P165" t="str">
            <v>Ok mon client</v>
          </cell>
          <cell r="Q165" t="str">
            <v>ORLEANS / ST JEAN DE</v>
          </cell>
          <cell r="R165" t="str">
            <v>45</v>
          </cell>
          <cell r="S165" t="str">
            <v>ROUTE DE BOUZONVILLE  Z I</v>
          </cell>
          <cell r="T165" t="str">
            <v>45300</v>
          </cell>
          <cell r="U165" t="str">
            <v>PITHIVIERS</v>
          </cell>
          <cell r="X165" t="str">
            <v>45300</v>
          </cell>
          <cell r="Y165" t="str">
            <v>PITHIVIERS</v>
          </cell>
          <cell r="Z165">
            <v>228.08</v>
          </cell>
          <cell r="AA165">
            <v>114.02</v>
          </cell>
          <cell r="AD165">
            <v>342.1</v>
          </cell>
          <cell r="AM165">
            <v>0</v>
          </cell>
          <cell r="AN165">
            <v>-1</v>
          </cell>
          <cell r="AW165">
            <v>0</v>
          </cell>
          <cell r="AX165">
            <v>0</v>
          </cell>
          <cell r="AY165">
            <v>0</v>
          </cell>
        </row>
        <row r="166">
          <cell r="A166">
            <v>533319</v>
          </cell>
          <cell r="B166" t="str">
            <v>PLANDOREX  GIE</v>
          </cell>
          <cell r="C166">
            <v>0.2</v>
          </cell>
          <cell r="D166">
            <v>0.1</v>
          </cell>
          <cell r="E166">
            <v>0.02</v>
          </cell>
          <cell r="F166">
            <v>41306</v>
          </cell>
          <cell r="G166" t="str">
            <v>OUI</v>
          </cell>
          <cell r="I166">
            <v>0</v>
          </cell>
          <cell r="J166">
            <v>0</v>
          </cell>
          <cell r="K166" t="str">
            <v>OK</v>
          </cell>
          <cell r="L166" t="str">
            <v>OK</v>
          </cell>
          <cell r="N166" t="str">
            <v>Non affecté</v>
          </cell>
          <cell r="O166" t="str">
            <v>NM</v>
          </cell>
          <cell r="P166" t="str">
            <v>Ok mon client</v>
          </cell>
          <cell r="Q166" t="str">
            <v>ORLEANS / ST JEAN DE</v>
          </cell>
          <cell r="R166" t="str">
            <v>45</v>
          </cell>
          <cell r="S166" t="str">
            <v>DOMAINE DE COMAY</v>
          </cell>
          <cell r="T166" t="str">
            <v>45590</v>
          </cell>
          <cell r="U166" t="str">
            <v>ST CYR EN VAL</v>
          </cell>
          <cell r="X166" t="str">
            <v>45590</v>
          </cell>
          <cell r="Y166" t="str">
            <v>ST CYR EN VAL</v>
          </cell>
          <cell r="AB166">
            <v>1324.81</v>
          </cell>
          <cell r="AD166">
            <v>1324.81</v>
          </cell>
          <cell r="AM166">
            <v>0</v>
          </cell>
          <cell r="AN166">
            <v>-1</v>
          </cell>
          <cell r="AW166">
            <v>0</v>
          </cell>
          <cell r="AX166">
            <v>0</v>
          </cell>
          <cell r="AY166">
            <v>0</v>
          </cell>
        </row>
        <row r="167">
          <cell r="A167">
            <v>559444</v>
          </cell>
          <cell r="B167" t="str">
            <v>ETS GAUDIER SARL</v>
          </cell>
          <cell r="C167">
            <v>0.2</v>
          </cell>
          <cell r="D167">
            <v>0.1</v>
          </cell>
          <cell r="E167">
            <v>0.02</v>
          </cell>
          <cell r="F167">
            <v>41306</v>
          </cell>
          <cell r="G167" t="str">
            <v>OUI</v>
          </cell>
          <cell r="I167">
            <v>0</v>
          </cell>
          <cell r="J167">
            <v>0</v>
          </cell>
          <cell r="K167" t="str">
            <v>OK</v>
          </cell>
          <cell r="L167" t="str">
            <v>OK</v>
          </cell>
          <cell r="N167" t="str">
            <v>Non affecté</v>
          </cell>
          <cell r="O167" t="str">
            <v>NM</v>
          </cell>
          <cell r="P167" t="str">
            <v>Ok mon client</v>
          </cell>
          <cell r="Q167" t="str">
            <v>ORLEANS / ST JEAN DE</v>
          </cell>
          <cell r="R167" t="str">
            <v>45</v>
          </cell>
          <cell r="S167" t="str">
            <v>69 AVENUE D'ORLEANS</v>
          </cell>
          <cell r="T167" t="str">
            <v>45190</v>
          </cell>
          <cell r="U167" t="str">
            <v>BEAUGENCY</v>
          </cell>
          <cell r="X167" t="str">
            <v>45190</v>
          </cell>
          <cell r="Y167" t="str">
            <v>BEAUGENCY</v>
          </cell>
          <cell r="AA167">
            <v>401.28</v>
          </cell>
          <cell r="AD167">
            <v>401.28</v>
          </cell>
          <cell r="AM167">
            <v>0</v>
          </cell>
          <cell r="AN167">
            <v>-1</v>
          </cell>
          <cell r="AW167">
            <v>0</v>
          </cell>
          <cell r="AX167">
            <v>0</v>
          </cell>
          <cell r="AY167">
            <v>0</v>
          </cell>
        </row>
        <row r="168">
          <cell r="A168">
            <v>564293</v>
          </cell>
          <cell r="B168" t="str">
            <v>EUROPA</v>
          </cell>
          <cell r="C168">
            <v>0.2</v>
          </cell>
          <cell r="D168">
            <v>0.1</v>
          </cell>
          <cell r="E168">
            <v>0.02</v>
          </cell>
          <cell r="F168">
            <v>41306</v>
          </cell>
          <cell r="G168" t="str">
            <v>OUI</v>
          </cell>
          <cell r="I168">
            <v>0</v>
          </cell>
          <cell r="J168">
            <v>0</v>
          </cell>
          <cell r="K168" t="str">
            <v>OK</v>
          </cell>
          <cell r="L168" t="str">
            <v>OK</v>
          </cell>
          <cell r="N168" t="str">
            <v>Non affecté</v>
          </cell>
          <cell r="O168" t="str">
            <v>NM</v>
          </cell>
          <cell r="P168" t="str">
            <v>Ok mon client</v>
          </cell>
          <cell r="Q168" t="str">
            <v>ORLEANS / ST JEAN DE</v>
          </cell>
          <cell r="R168" t="str">
            <v>77</v>
          </cell>
          <cell r="S168" t="str">
            <v xml:space="preserve">RUE MARC SANGNIER 
</v>
          </cell>
          <cell r="T168">
            <v>45300</v>
          </cell>
          <cell r="U168" t="str">
            <v>PITHIVIERS</v>
          </cell>
          <cell r="X168" t="str">
            <v>77400</v>
          </cell>
          <cell r="Y168" t="str">
            <v>LAGNY SUR MARNE</v>
          </cell>
          <cell r="Z168">
            <v>7930</v>
          </cell>
          <cell r="AB168">
            <v>645.57000000000005</v>
          </cell>
          <cell r="AD168">
            <v>8575.57</v>
          </cell>
          <cell r="AM168">
            <v>0</v>
          </cell>
          <cell r="AN168">
            <v>-1</v>
          </cell>
          <cell r="AW168">
            <v>0</v>
          </cell>
          <cell r="AX168">
            <v>0</v>
          </cell>
          <cell r="AY168">
            <v>0</v>
          </cell>
        </row>
        <row r="169">
          <cell r="A169">
            <v>595508</v>
          </cell>
          <cell r="B169" t="str">
            <v>CRAMER EUROPE</v>
          </cell>
          <cell r="C169">
            <v>0.2</v>
          </cell>
          <cell r="D169">
            <v>0.1</v>
          </cell>
          <cell r="E169">
            <v>0.02</v>
          </cell>
          <cell r="F169">
            <v>41306</v>
          </cell>
          <cell r="G169" t="str">
            <v>OUI</v>
          </cell>
          <cell r="I169">
            <v>0</v>
          </cell>
          <cell r="J169">
            <v>0</v>
          </cell>
          <cell r="K169" t="str">
            <v>OK</v>
          </cell>
          <cell r="L169" t="str">
            <v>OK</v>
          </cell>
          <cell r="N169" t="str">
            <v>Non affecté</v>
          </cell>
          <cell r="O169" t="str">
            <v>NM</v>
          </cell>
          <cell r="P169" t="str">
            <v>Ok mon client</v>
          </cell>
          <cell r="Q169" t="str">
            <v>ORLEANS / ST JEAN DE</v>
          </cell>
          <cell r="R169" t="str">
            <v>45</v>
          </cell>
          <cell r="S169" t="str">
            <v>642 RUE PAUL HEROULT</v>
          </cell>
          <cell r="T169" t="str">
            <v>45650</v>
          </cell>
          <cell r="U169" t="str">
            <v>ST JEAN LE BLANC</v>
          </cell>
          <cell r="X169" t="str">
            <v>45650</v>
          </cell>
          <cell r="Y169" t="str">
            <v>ST JEAN LE BLANC</v>
          </cell>
          <cell r="Z169">
            <v>335.04</v>
          </cell>
          <cell r="AA169">
            <v>630.48</v>
          </cell>
          <cell r="AB169">
            <v>2438.2000000000007</v>
          </cell>
          <cell r="AD169">
            <v>3403.7200000000007</v>
          </cell>
          <cell r="AM169">
            <v>0</v>
          </cell>
          <cell r="AN169">
            <v>-1</v>
          </cell>
          <cell r="AW169">
            <v>0</v>
          </cell>
          <cell r="AX169">
            <v>0</v>
          </cell>
          <cell r="AY169">
            <v>0</v>
          </cell>
        </row>
        <row r="170">
          <cell r="A170">
            <v>595515</v>
          </cell>
          <cell r="B170" t="str">
            <v>H2O PRODUCTION</v>
          </cell>
          <cell r="G170" t="str">
            <v>OUI</v>
          </cell>
          <cell r="H170" t="str">
            <v>PAS DE CONTRAT</v>
          </cell>
          <cell r="I170">
            <v>0</v>
          </cell>
          <cell r="J170">
            <v>0</v>
          </cell>
          <cell r="L170" t="str">
            <v>NON</v>
          </cell>
          <cell r="N170" t="str">
            <v>Non affecté</v>
          </cell>
          <cell r="O170" t="str">
            <v>NM</v>
          </cell>
          <cell r="P170" t="str">
            <v>Ok mon client</v>
          </cell>
          <cell r="Q170" t="str">
            <v>ORLEANS / ST JEAN DE</v>
          </cell>
          <cell r="R170" t="str">
            <v>45</v>
          </cell>
          <cell r="S170" t="str">
            <v>RUE ARISTIDE BRIAND</v>
          </cell>
          <cell r="T170">
            <v>45300</v>
          </cell>
          <cell r="U170" t="str">
            <v>PITHIVIERS</v>
          </cell>
          <cell r="X170" t="str">
            <v>45300</v>
          </cell>
          <cell r="Y170" t="str">
            <v>PITHIVIERS</v>
          </cell>
          <cell r="Z170">
            <v>3313.71</v>
          </cell>
          <cell r="AA170">
            <v>392.91</v>
          </cell>
          <cell r="AD170">
            <v>3706.62</v>
          </cell>
          <cell r="AM170">
            <v>0</v>
          </cell>
          <cell r="AN170">
            <v>-1</v>
          </cell>
          <cell r="AW170">
            <v>0</v>
          </cell>
          <cell r="AX170">
            <v>0</v>
          </cell>
          <cell r="AY170">
            <v>0</v>
          </cell>
        </row>
        <row r="171">
          <cell r="A171">
            <v>699413</v>
          </cell>
          <cell r="B171" t="str">
            <v>SOMAVA ERCOMES</v>
          </cell>
          <cell r="C171">
            <v>0.2</v>
          </cell>
          <cell r="D171">
            <v>0.1</v>
          </cell>
          <cell r="E171">
            <v>0.02</v>
          </cell>
          <cell r="F171">
            <v>41306</v>
          </cell>
          <cell r="G171" t="str">
            <v>OUI</v>
          </cell>
          <cell r="I171">
            <v>0</v>
          </cell>
          <cell r="J171">
            <v>0</v>
          </cell>
          <cell r="K171" t="str">
            <v>OK</v>
          </cell>
          <cell r="L171" t="str">
            <v>OK</v>
          </cell>
          <cell r="N171" t="str">
            <v>Non affecté</v>
          </cell>
          <cell r="O171" t="str">
            <v>NM</v>
          </cell>
          <cell r="P171" t="str">
            <v>Ok mon client</v>
          </cell>
          <cell r="Q171" t="str">
            <v>ORLEANS / ST JEAN DE</v>
          </cell>
          <cell r="R171" t="str">
            <v>45</v>
          </cell>
          <cell r="S171" t="str">
            <v>ROUTE DE PITHIVIERS</v>
          </cell>
          <cell r="T171">
            <v>45390</v>
          </cell>
          <cell r="U171" t="str">
            <v>PUISEAUX</v>
          </cell>
          <cell r="X171" t="str">
            <v>45390</v>
          </cell>
          <cell r="Y171" t="str">
            <v>PUISEAUX</v>
          </cell>
          <cell r="AA171">
            <v>27.189999999999998</v>
          </cell>
          <cell r="AD171">
            <v>27.189999999999998</v>
          </cell>
          <cell r="AM171">
            <v>0</v>
          </cell>
          <cell r="AN171">
            <v>-1</v>
          </cell>
          <cell r="AW171">
            <v>0</v>
          </cell>
          <cell r="AX171">
            <v>0</v>
          </cell>
          <cell r="AY171">
            <v>0</v>
          </cell>
        </row>
        <row r="172">
          <cell r="A172">
            <v>833616</v>
          </cell>
          <cell r="B172" t="str">
            <v>SGCI</v>
          </cell>
          <cell r="C172">
            <v>0.2</v>
          </cell>
          <cell r="D172">
            <v>0.1</v>
          </cell>
          <cell r="E172">
            <v>0.02</v>
          </cell>
          <cell r="F172">
            <v>41306</v>
          </cell>
          <cell r="G172" t="str">
            <v>OUI</v>
          </cell>
          <cell r="H172" t="str">
            <v>IDEM QUE ELVIA</v>
          </cell>
          <cell r="I172">
            <v>0</v>
          </cell>
          <cell r="J172">
            <v>0</v>
          </cell>
          <cell r="K172" t="str">
            <v>OK</v>
          </cell>
          <cell r="L172" t="str">
            <v>OK</v>
          </cell>
          <cell r="N172" t="str">
            <v>Non affecté</v>
          </cell>
          <cell r="O172" t="str">
            <v>NM</v>
          </cell>
          <cell r="P172" t="str">
            <v>Ok mon client</v>
          </cell>
          <cell r="Q172" t="str">
            <v>ORLEANS / ST JEAN DE</v>
          </cell>
          <cell r="R172" t="str">
            <v>45</v>
          </cell>
          <cell r="S172" t="str">
            <v>ZONE INDUSTRIELLE</v>
          </cell>
          <cell r="T172">
            <v>45270</v>
          </cell>
          <cell r="U172" t="str">
            <v>BELLEGARDE</v>
          </cell>
          <cell r="X172" t="str">
            <v>45270</v>
          </cell>
          <cell r="Y172" t="str">
            <v>BELLEGARDE</v>
          </cell>
          <cell r="Z172">
            <v>976.7</v>
          </cell>
          <cell r="AA172">
            <v>938.21</v>
          </cell>
          <cell r="AB172">
            <v>3395.3100000000009</v>
          </cell>
          <cell r="AD172">
            <v>5310.2200000000012</v>
          </cell>
          <cell r="AM172">
            <v>0</v>
          </cell>
          <cell r="AN172">
            <v>-1</v>
          </cell>
          <cell r="AW172">
            <v>0</v>
          </cell>
          <cell r="AX172">
            <v>0</v>
          </cell>
          <cell r="AY172">
            <v>0</v>
          </cell>
        </row>
        <row r="173">
          <cell r="A173">
            <v>681995</v>
          </cell>
          <cell r="B173" t="str">
            <v>MARCAULT FABIEN</v>
          </cell>
          <cell r="C173">
            <v>0.2</v>
          </cell>
          <cell r="F173">
            <v>41334</v>
          </cell>
          <cell r="J173">
            <v>0</v>
          </cell>
          <cell r="K173" t="str">
            <v>OK</v>
          </cell>
          <cell r="L173" t="str">
            <v>OK</v>
          </cell>
          <cell r="N173" t="str">
            <v>Non affecté</v>
          </cell>
          <cell r="O173" t="str">
            <v>NM</v>
          </cell>
          <cell r="P173" t="str">
            <v>Compte HS</v>
          </cell>
          <cell r="Q173" t="str">
            <v>ORLEANS / ST JEAN DE</v>
          </cell>
          <cell r="R173" t="str">
            <v>45</v>
          </cell>
          <cell r="S173" t="str">
            <v>33 RUE DE LA MOINERIE</v>
          </cell>
          <cell r="T173" t="str">
            <v>45760</v>
          </cell>
          <cell r="U173" t="str">
            <v>VENNECY</v>
          </cell>
          <cell r="X173" t="str">
            <v>45760</v>
          </cell>
          <cell r="Y173" t="str">
            <v>VENNECY</v>
          </cell>
          <cell r="AA173">
            <v>107.25</v>
          </cell>
          <cell r="AD173">
            <v>107.25</v>
          </cell>
          <cell r="AM173">
            <v>0</v>
          </cell>
          <cell r="AN173">
            <v>-1</v>
          </cell>
          <cell r="AW173">
            <v>0</v>
          </cell>
          <cell r="AX173">
            <v>0</v>
          </cell>
          <cell r="AY173">
            <v>0</v>
          </cell>
        </row>
        <row r="174">
          <cell r="A174">
            <v>447045</v>
          </cell>
          <cell r="B174" t="str">
            <v>SOLEC SERVICES</v>
          </cell>
          <cell r="G174" t="str">
            <v>OUI</v>
          </cell>
          <cell r="H174" t="str">
            <v>PAS DE CONTRAT</v>
          </cell>
          <cell r="I174">
            <v>0</v>
          </cell>
          <cell r="J174">
            <v>0</v>
          </cell>
          <cell r="L174" t="str">
            <v>NON</v>
          </cell>
          <cell r="N174" t="str">
            <v>Non affecté</v>
          </cell>
          <cell r="O174" t="str">
            <v>NM</v>
          </cell>
          <cell r="P174" t="str">
            <v>Ok mon client</v>
          </cell>
          <cell r="Q174" t="str">
            <v>ORLEANS / ST JEAN DE</v>
          </cell>
          <cell r="R174" t="str">
            <v>45</v>
          </cell>
          <cell r="S174" t="str">
            <v>1270 RUE DU MARECHAL JUIN</v>
          </cell>
          <cell r="T174">
            <v>45200</v>
          </cell>
          <cell r="U174" t="str">
            <v>AMILLY</v>
          </cell>
          <cell r="X174" t="str">
            <v>45200</v>
          </cell>
          <cell r="Y174" t="str">
            <v>AMILLY</v>
          </cell>
          <cell r="Z174">
            <v>487.76</v>
          </cell>
          <cell r="AD174">
            <v>487.76</v>
          </cell>
          <cell r="AE174">
            <v>-487.76000000000005</v>
          </cell>
          <cell r="AL174">
            <v>-487.76000000000005</v>
          </cell>
          <cell r="AM174">
            <v>-682.86400000000003</v>
          </cell>
          <cell r="AN174">
            <v>-2.4000000000000004</v>
          </cell>
          <cell r="AW174">
            <v>0</v>
          </cell>
          <cell r="AX174">
            <v>0</v>
          </cell>
          <cell r="AY174">
            <v>-487.76000000000005</v>
          </cell>
        </row>
        <row r="175">
          <cell r="A175">
            <v>879033</v>
          </cell>
          <cell r="B175" t="str">
            <v>ICT FRANCE</v>
          </cell>
          <cell r="I175" t="e">
            <v>#VALUE!</v>
          </cell>
          <cell r="J175" t="e">
            <v>#VALUE!</v>
          </cell>
          <cell r="K175" t="str">
            <v>OK</v>
          </cell>
          <cell r="L175" t="str">
            <v>OK</v>
          </cell>
          <cell r="AW175">
            <v>0</v>
          </cell>
          <cell r="AX175">
            <v>0</v>
          </cell>
        </row>
        <row r="176">
          <cell r="I176">
            <v>0</v>
          </cell>
          <cell r="J176">
            <v>0</v>
          </cell>
        </row>
        <row r="177">
          <cell r="I177">
            <v>0</v>
          </cell>
          <cell r="J177">
            <v>0</v>
          </cell>
        </row>
        <row r="178">
          <cell r="I178">
            <v>0</v>
          </cell>
          <cell r="J178">
            <v>0</v>
          </cell>
        </row>
        <row r="179">
          <cell r="I179">
            <v>0</v>
          </cell>
          <cell r="J179">
            <v>0</v>
          </cell>
        </row>
        <row r="180">
          <cell r="I180">
            <v>0</v>
          </cell>
          <cell r="J180">
            <v>0</v>
          </cell>
        </row>
        <row r="181">
          <cell r="I181">
            <v>0</v>
          </cell>
          <cell r="J181">
            <v>0</v>
          </cell>
        </row>
        <row r="182">
          <cell r="I182">
            <v>0</v>
          </cell>
          <cell r="J182">
            <v>0</v>
          </cell>
        </row>
        <row r="183">
          <cell r="I183">
            <v>0</v>
          </cell>
          <cell r="J183">
            <v>0</v>
          </cell>
        </row>
        <row r="184">
          <cell r="I184">
            <v>0</v>
          </cell>
          <cell r="J184">
            <v>0</v>
          </cell>
        </row>
        <row r="185">
          <cell r="I185">
            <v>0</v>
          </cell>
          <cell r="J185">
            <v>0</v>
          </cell>
        </row>
        <row r="186">
          <cell r="I186">
            <v>0</v>
          </cell>
          <cell r="J186">
            <v>0</v>
          </cell>
        </row>
        <row r="187">
          <cell r="I187">
            <v>0</v>
          </cell>
          <cell r="J187">
            <v>0</v>
          </cell>
        </row>
        <row r="188">
          <cell r="I188">
            <v>0</v>
          </cell>
          <cell r="J188">
            <v>0</v>
          </cell>
        </row>
        <row r="189">
          <cell r="I189">
            <v>0</v>
          </cell>
          <cell r="J189">
            <v>0</v>
          </cell>
        </row>
        <row r="190">
          <cell r="I190">
            <v>0</v>
          </cell>
          <cell r="J190">
            <v>0</v>
          </cell>
        </row>
        <row r="191">
          <cell r="I191">
            <v>0</v>
          </cell>
          <cell r="J191">
            <v>0</v>
          </cell>
        </row>
        <row r="192">
          <cell r="I192">
            <v>0</v>
          </cell>
          <cell r="J192">
            <v>0</v>
          </cell>
        </row>
        <row r="193">
          <cell r="I193">
            <v>0</v>
          </cell>
          <cell r="J193">
            <v>0</v>
          </cell>
        </row>
        <row r="194">
          <cell r="I194">
            <v>0</v>
          </cell>
          <cell r="J194">
            <v>0</v>
          </cell>
        </row>
        <row r="195">
          <cell r="I195">
            <v>0</v>
          </cell>
          <cell r="J195">
            <v>0</v>
          </cell>
        </row>
        <row r="196">
          <cell r="I196">
            <v>0</v>
          </cell>
          <cell r="J196">
            <v>0</v>
          </cell>
        </row>
        <row r="197">
          <cell r="I197">
            <v>0</v>
          </cell>
          <cell r="J197">
            <v>0</v>
          </cell>
        </row>
        <row r="198">
          <cell r="I198">
            <v>0</v>
          </cell>
          <cell r="J198">
            <v>0</v>
          </cell>
        </row>
        <row r="199">
          <cell r="I199">
            <v>0</v>
          </cell>
          <cell r="J199">
            <v>0</v>
          </cell>
        </row>
        <row r="200">
          <cell r="I200">
            <v>0</v>
          </cell>
          <cell r="J200">
            <v>0</v>
          </cell>
        </row>
        <row r="201">
          <cell r="I201">
            <v>0</v>
          </cell>
          <cell r="J201">
            <v>0</v>
          </cell>
        </row>
        <row r="202">
          <cell r="I202">
            <v>0</v>
          </cell>
          <cell r="J202">
            <v>0</v>
          </cell>
        </row>
        <row r="203">
          <cell r="I203">
            <v>0</v>
          </cell>
          <cell r="J203">
            <v>0</v>
          </cell>
        </row>
        <row r="204">
          <cell r="I204">
            <v>0</v>
          </cell>
          <cell r="J204">
            <v>0</v>
          </cell>
        </row>
        <row r="205">
          <cell r="I205">
            <v>0</v>
          </cell>
          <cell r="J205">
            <v>0</v>
          </cell>
        </row>
        <row r="206">
          <cell r="I206">
            <v>0</v>
          </cell>
          <cell r="J206">
            <v>0</v>
          </cell>
        </row>
        <row r="207">
          <cell r="I207">
            <v>0</v>
          </cell>
          <cell r="J207">
            <v>0</v>
          </cell>
        </row>
        <row r="208">
          <cell r="I208">
            <v>0</v>
          </cell>
          <cell r="J208">
            <v>0</v>
          </cell>
        </row>
        <row r="209">
          <cell r="I209">
            <v>0</v>
          </cell>
          <cell r="J209">
            <v>0</v>
          </cell>
        </row>
        <row r="210">
          <cell r="I210">
            <v>0</v>
          </cell>
          <cell r="J210">
            <v>0</v>
          </cell>
        </row>
        <row r="211">
          <cell r="I211">
            <v>0</v>
          </cell>
          <cell r="J211">
            <v>0</v>
          </cell>
        </row>
        <row r="212">
          <cell r="I212">
            <v>0</v>
          </cell>
          <cell r="J212">
            <v>0</v>
          </cell>
        </row>
        <row r="213">
          <cell r="I213">
            <v>0</v>
          </cell>
          <cell r="J213">
            <v>0</v>
          </cell>
        </row>
        <row r="214">
          <cell r="I214">
            <v>0</v>
          </cell>
          <cell r="J214">
            <v>0</v>
          </cell>
        </row>
        <row r="215">
          <cell r="I215">
            <v>0</v>
          </cell>
          <cell r="J215">
            <v>0</v>
          </cell>
        </row>
        <row r="216">
          <cell r="I216">
            <v>0</v>
          </cell>
          <cell r="J216">
            <v>0</v>
          </cell>
        </row>
        <row r="217">
          <cell r="I217">
            <v>0</v>
          </cell>
          <cell r="J217">
            <v>0</v>
          </cell>
        </row>
        <row r="218">
          <cell r="I218">
            <v>0</v>
          </cell>
          <cell r="J218">
            <v>0</v>
          </cell>
        </row>
        <row r="219">
          <cell r="I219">
            <v>0</v>
          </cell>
          <cell r="J219">
            <v>0</v>
          </cell>
        </row>
        <row r="220">
          <cell r="I220">
            <v>0</v>
          </cell>
          <cell r="J220">
            <v>0</v>
          </cell>
        </row>
        <row r="221">
          <cell r="I221">
            <v>0</v>
          </cell>
          <cell r="J221">
            <v>0</v>
          </cell>
        </row>
        <row r="222">
          <cell r="I222">
            <v>0</v>
          </cell>
          <cell r="J222">
            <v>0</v>
          </cell>
        </row>
        <row r="223">
          <cell r="I223">
            <v>0</v>
          </cell>
          <cell r="J223">
            <v>0</v>
          </cell>
        </row>
        <row r="224">
          <cell r="I224">
            <v>0</v>
          </cell>
          <cell r="J224">
            <v>0</v>
          </cell>
        </row>
        <row r="225">
          <cell r="I225">
            <v>0</v>
          </cell>
          <cell r="J225">
            <v>0</v>
          </cell>
        </row>
        <row r="226">
          <cell r="I226">
            <v>0</v>
          </cell>
          <cell r="J226">
            <v>0</v>
          </cell>
        </row>
        <row r="227">
          <cell r="I227">
            <v>0</v>
          </cell>
          <cell r="J227">
            <v>0</v>
          </cell>
        </row>
        <row r="228">
          <cell r="I228">
            <v>0</v>
          </cell>
          <cell r="J228">
            <v>0</v>
          </cell>
        </row>
        <row r="229">
          <cell r="I229">
            <v>0</v>
          </cell>
          <cell r="J229">
            <v>0</v>
          </cell>
        </row>
        <row r="230">
          <cell r="I230">
            <v>0</v>
          </cell>
          <cell r="J230">
            <v>0</v>
          </cell>
        </row>
        <row r="231">
          <cell r="I231">
            <v>0</v>
          </cell>
          <cell r="J231">
            <v>0</v>
          </cell>
        </row>
        <row r="232">
          <cell r="I232">
            <v>0</v>
          </cell>
          <cell r="J232">
            <v>0</v>
          </cell>
        </row>
        <row r="233">
          <cell r="I233">
            <v>0</v>
          </cell>
          <cell r="J233">
            <v>0</v>
          </cell>
        </row>
        <row r="234">
          <cell r="I234">
            <v>0</v>
          </cell>
          <cell r="J234">
            <v>0</v>
          </cell>
        </row>
        <row r="235">
          <cell r="I235">
            <v>0</v>
          </cell>
          <cell r="J235">
            <v>0</v>
          </cell>
        </row>
        <row r="236">
          <cell r="I236">
            <v>0</v>
          </cell>
          <cell r="J236">
            <v>0</v>
          </cell>
        </row>
        <row r="237">
          <cell r="I237">
            <v>0</v>
          </cell>
          <cell r="J237">
            <v>0</v>
          </cell>
        </row>
        <row r="238">
          <cell r="I238">
            <v>0</v>
          </cell>
          <cell r="J238">
            <v>0</v>
          </cell>
        </row>
        <row r="239">
          <cell r="I239">
            <v>0</v>
          </cell>
          <cell r="J239">
            <v>0</v>
          </cell>
        </row>
        <row r="240">
          <cell r="I240">
            <v>0</v>
          </cell>
          <cell r="J240">
            <v>0</v>
          </cell>
        </row>
        <row r="241">
          <cell r="I241">
            <v>0</v>
          </cell>
          <cell r="J241">
            <v>0</v>
          </cell>
        </row>
        <row r="242">
          <cell r="I242">
            <v>0</v>
          </cell>
          <cell r="J242">
            <v>0</v>
          </cell>
        </row>
        <row r="243">
          <cell r="I243">
            <v>0</v>
          </cell>
          <cell r="J243">
            <v>0</v>
          </cell>
        </row>
        <row r="244">
          <cell r="I244">
            <v>0</v>
          </cell>
          <cell r="J244">
            <v>0</v>
          </cell>
        </row>
        <row r="245">
          <cell r="I245">
            <v>0</v>
          </cell>
          <cell r="J245">
            <v>0</v>
          </cell>
        </row>
        <row r="246">
          <cell r="I246">
            <v>0</v>
          </cell>
          <cell r="J246">
            <v>0</v>
          </cell>
        </row>
        <row r="247">
          <cell r="I247">
            <v>0</v>
          </cell>
          <cell r="J247">
            <v>0</v>
          </cell>
        </row>
        <row r="248">
          <cell r="I248">
            <v>0</v>
          </cell>
          <cell r="J248">
            <v>0</v>
          </cell>
        </row>
        <row r="249">
          <cell r="I249">
            <v>0</v>
          </cell>
          <cell r="J249">
            <v>0</v>
          </cell>
        </row>
        <row r="250">
          <cell r="I250">
            <v>0</v>
          </cell>
          <cell r="J250">
            <v>0</v>
          </cell>
        </row>
        <row r="251">
          <cell r="I251">
            <v>0</v>
          </cell>
          <cell r="J251">
            <v>0</v>
          </cell>
        </row>
        <row r="252">
          <cell r="I252">
            <v>0</v>
          </cell>
          <cell r="J252">
            <v>0</v>
          </cell>
        </row>
        <row r="253">
          <cell r="I253">
            <v>0</v>
          </cell>
          <cell r="J253">
            <v>0</v>
          </cell>
        </row>
        <row r="254">
          <cell r="I254">
            <v>0</v>
          </cell>
          <cell r="J254">
            <v>0</v>
          </cell>
        </row>
        <row r="255">
          <cell r="I255">
            <v>0</v>
          </cell>
          <cell r="J255">
            <v>0</v>
          </cell>
        </row>
        <row r="256">
          <cell r="I256">
            <v>0</v>
          </cell>
          <cell r="J256">
            <v>0</v>
          </cell>
        </row>
        <row r="257">
          <cell r="I257">
            <v>0</v>
          </cell>
          <cell r="J257">
            <v>0</v>
          </cell>
        </row>
        <row r="258">
          <cell r="I258">
            <v>0</v>
          </cell>
          <cell r="J258">
            <v>0</v>
          </cell>
        </row>
        <row r="259">
          <cell r="I259">
            <v>0</v>
          </cell>
          <cell r="J259">
            <v>0</v>
          </cell>
        </row>
        <row r="260">
          <cell r="I260">
            <v>0</v>
          </cell>
          <cell r="J260">
            <v>0</v>
          </cell>
        </row>
        <row r="261">
          <cell r="I261">
            <v>0</v>
          </cell>
          <cell r="J261">
            <v>0</v>
          </cell>
        </row>
        <row r="262">
          <cell r="I262">
            <v>0</v>
          </cell>
          <cell r="J262">
            <v>0</v>
          </cell>
        </row>
        <row r="263">
          <cell r="I263">
            <v>0</v>
          </cell>
          <cell r="J263">
            <v>0</v>
          </cell>
        </row>
        <row r="264">
          <cell r="I264">
            <v>0</v>
          </cell>
          <cell r="J264">
            <v>0</v>
          </cell>
        </row>
        <row r="265">
          <cell r="I265">
            <v>0</v>
          </cell>
          <cell r="J265">
            <v>0</v>
          </cell>
        </row>
        <row r="266">
          <cell r="I266">
            <v>0</v>
          </cell>
          <cell r="J266">
            <v>0</v>
          </cell>
        </row>
        <row r="267">
          <cell r="I267">
            <v>0</v>
          </cell>
          <cell r="J267">
            <v>0</v>
          </cell>
        </row>
        <row r="268">
          <cell r="I268">
            <v>0</v>
          </cell>
          <cell r="J268">
            <v>0</v>
          </cell>
        </row>
        <row r="269">
          <cell r="I269">
            <v>0</v>
          </cell>
          <cell r="J269">
            <v>0</v>
          </cell>
        </row>
        <row r="270">
          <cell r="I270">
            <v>0</v>
          </cell>
          <cell r="J270">
            <v>0</v>
          </cell>
        </row>
        <row r="271">
          <cell r="I271">
            <v>0</v>
          </cell>
          <cell r="J271">
            <v>0</v>
          </cell>
        </row>
        <row r="272">
          <cell r="I272">
            <v>0</v>
          </cell>
          <cell r="J272">
            <v>0</v>
          </cell>
        </row>
        <row r="273">
          <cell r="I273">
            <v>0</v>
          </cell>
          <cell r="J273">
            <v>0</v>
          </cell>
        </row>
        <row r="274">
          <cell r="I274">
            <v>0</v>
          </cell>
          <cell r="J274">
            <v>0</v>
          </cell>
        </row>
        <row r="275">
          <cell r="I275">
            <v>0</v>
          </cell>
          <cell r="J275">
            <v>0</v>
          </cell>
        </row>
        <row r="276">
          <cell r="I276">
            <v>0</v>
          </cell>
          <cell r="J276">
            <v>0</v>
          </cell>
        </row>
        <row r="277">
          <cell r="I277">
            <v>0</v>
          </cell>
          <cell r="J277">
            <v>0</v>
          </cell>
        </row>
        <row r="278">
          <cell r="I278">
            <v>0</v>
          </cell>
          <cell r="J278">
            <v>0</v>
          </cell>
        </row>
        <row r="279">
          <cell r="I279">
            <v>0</v>
          </cell>
          <cell r="J279">
            <v>0</v>
          </cell>
        </row>
        <row r="280">
          <cell r="I280">
            <v>0</v>
          </cell>
          <cell r="J280">
            <v>0</v>
          </cell>
        </row>
        <row r="281">
          <cell r="I281">
            <v>0</v>
          </cell>
          <cell r="J281">
            <v>0</v>
          </cell>
        </row>
        <row r="282">
          <cell r="I282">
            <v>0</v>
          </cell>
          <cell r="J282">
            <v>0</v>
          </cell>
        </row>
        <row r="283">
          <cell r="I283">
            <v>0</v>
          </cell>
          <cell r="J283">
            <v>0</v>
          </cell>
        </row>
        <row r="284">
          <cell r="I284">
            <v>0</v>
          </cell>
          <cell r="J284">
            <v>0</v>
          </cell>
        </row>
        <row r="285">
          <cell r="I285">
            <v>0</v>
          </cell>
          <cell r="J285">
            <v>0</v>
          </cell>
        </row>
        <row r="286">
          <cell r="I286">
            <v>0</v>
          </cell>
          <cell r="J286">
            <v>0</v>
          </cell>
        </row>
        <row r="287">
          <cell r="I287">
            <v>0</v>
          </cell>
          <cell r="J287">
            <v>0</v>
          </cell>
        </row>
        <row r="288">
          <cell r="I288">
            <v>0</v>
          </cell>
          <cell r="J288">
            <v>0</v>
          </cell>
        </row>
        <row r="289">
          <cell r="I289">
            <v>0</v>
          </cell>
          <cell r="J289">
            <v>0</v>
          </cell>
        </row>
        <row r="290">
          <cell r="I290">
            <v>0</v>
          </cell>
          <cell r="J290">
            <v>0</v>
          </cell>
        </row>
        <row r="291">
          <cell r="I291">
            <v>0</v>
          </cell>
          <cell r="J291">
            <v>0</v>
          </cell>
        </row>
        <row r="292">
          <cell r="I292">
            <v>0</v>
          </cell>
          <cell r="J292">
            <v>0</v>
          </cell>
        </row>
        <row r="293">
          <cell r="I293">
            <v>0</v>
          </cell>
          <cell r="J293">
            <v>0</v>
          </cell>
        </row>
        <row r="294">
          <cell r="I294">
            <v>0</v>
          </cell>
          <cell r="J294">
            <v>0</v>
          </cell>
        </row>
        <row r="295">
          <cell r="I295">
            <v>0</v>
          </cell>
          <cell r="J295">
            <v>0</v>
          </cell>
        </row>
        <row r="296">
          <cell r="I296">
            <v>0</v>
          </cell>
          <cell r="J296">
            <v>0</v>
          </cell>
        </row>
        <row r="297">
          <cell r="I297">
            <v>0</v>
          </cell>
          <cell r="J297">
            <v>0</v>
          </cell>
        </row>
        <row r="298">
          <cell r="I298">
            <v>0</v>
          </cell>
          <cell r="J298">
            <v>0</v>
          </cell>
        </row>
        <row r="299">
          <cell r="I299">
            <v>0</v>
          </cell>
          <cell r="J299">
            <v>0</v>
          </cell>
        </row>
        <row r="300">
          <cell r="I300">
            <v>0</v>
          </cell>
          <cell r="J300">
            <v>0</v>
          </cell>
        </row>
        <row r="301">
          <cell r="I301">
            <v>0</v>
          </cell>
          <cell r="J301">
            <v>0</v>
          </cell>
        </row>
        <row r="302">
          <cell r="I302">
            <v>0</v>
          </cell>
          <cell r="J302">
            <v>0</v>
          </cell>
        </row>
        <row r="303">
          <cell r="I303">
            <v>0</v>
          </cell>
          <cell r="J303">
            <v>0</v>
          </cell>
        </row>
        <row r="304">
          <cell r="I304">
            <v>0</v>
          </cell>
          <cell r="J304">
            <v>0</v>
          </cell>
        </row>
        <row r="305">
          <cell r="I305">
            <v>0</v>
          </cell>
          <cell r="J305">
            <v>0</v>
          </cell>
        </row>
        <row r="306">
          <cell r="I306">
            <v>0</v>
          </cell>
          <cell r="J306">
            <v>0</v>
          </cell>
        </row>
        <row r="307">
          <cell r="I307">
            <v>0</v>
          </cell>
          <cell r="J307">
            <v>0</v>
          </cell>
        </row>
        <row r="308">
          <cell r="I308">
            <v>0</v>
          </cell>
          <cell r="J308">
            <v>0</v>
          </cell>
        </row>
        <row r="309">
          <cell r="I309">
            <v>0</v>
          </cell>
          <cell r="J309">
            <v>0</v>
          </cell>
        </row>
        <row r="310">
          <cell r="I310">
            <v>0</v>
          </cell>
          <cell r="J310">
            <v>0</v>
          </cell>
        </row>
        <row r="311">
          <cell r="I311">
            <v>0</v>
          </cell>
          <cell r="J311">
            <v>0</v>
          </cell>
        </row>
        <row r="312">
          <cell r="I312">
            <v>0</v>
          </cell>
          <cell r="J312">
            <v>0</v>
          </cell>
        </row>
        <row r="313">
          <cell r="I313">
            <v>0</v>
          </cell>
          <cell r="J313">
            <v>0</v>
          </cell>
        </row>
        <row r="314">
          <cell r="I314">
            <v>0</v>
          </cell>
          <cell r="J314">
            <v>0</v>
          </cell>
        </row>
        <row r="315">
          <cell r="I315">
            <v>0</v>
          </cell>
          <cell r="J315">
            <v>0</v>
          </cell>
        </row>
        <row r="316">
          <cell r="I316">
            <v>0</v>
          </cell>
          <cell r="J316">
            <v>0</v>
          </cell>
        </row>
        <row r="317">
          <cell r="I317">
            <v>0</v>
          </cell>
          <cell r="J317">
            <v>0</v>
          </cell>
        </row>
        <row r="318">
          <cell r="I318">
            <v>0</v>
          </cell>
          <cell r="J318">
            <v>0</v>
          </cell>
        </row>
        <row r="319">
          <cell r="I319">
            <v>0</v>
          </cell>
          <cell r="J319">
            <v>0</v>
          </cell>
        </row>
        <row r="320">
          <cell r="I320">
            <v>0</v>
          </cell>
          <cell r="J320">
            <v>0</v>
          </cell>
        </row>
        <row r="321">
          <cell r="I321">
            <v>0</v>
          </cell>
          <cell r="J321">
            <v>0</v>
          </cell>
        </row>
        <row r="322">
          <cell r="I322">
            <v>0</v>
          </cell>
          <cell r="J322">
            <v>0</v>
          </cell>
        </row>
        <row r="323">
          <cell r="I323">
            <v>0</v>
          </cell>
          <cell r="J323">
            <v>0</v>
          </cell>
        </row>
        <row r="324">
          <cell r="I324">
            <v>0</v>
          </cell>
          <cell r="J324">
            <v>0</v>
          </cell>
        </row>
        <row r="325">
          <cell r="I325">
            <v>0</v>
          </cell>
          <cell r="J325">
            <v>0</v>
          </cell>
        </row>
        <row r="326">
          <cell r="I326">
            <v>0</v>
          </cell>
          <cell r="J326">
            <v>0</v>
          </cell>
        </row>
        <row r="327">
          <cell r="I327">
            <v>0</v>
          </cell>
          <cell r="J327">
            <v>0</v>
          </cell>
        </row>
        <row r="328">
          <cell r="I328">
            <v>0</v>
          </cell>
          <cell r="J328">
            <v>0</v>
          </cell>
        </row>
        <row r="329">
          <cell r="I329">
            <v>0</v>
          </cell>
          <cell r="J329">
            <v>0</v>
          </cell>
        </row>
        <row r="330">
          <cell r="I330">
            <v>0</v>
          </cell>
          <cell r="J330">
            <v>0</v>
          </cell>
        </row>
        <row r="331">
          <cell r="I331">
            <v>0</v>
          </cell>
          <cell r="J331">
            <v>0</v>
          </cell>
        </row>
        <row r="332">
          <cell r="I332">
            <v>0</v>
          </cell>
          <cell r="J332">
            <v>0</v>
          </cell>
        </row>
        <row r="333">
          <cell r="I333">
            <v>0</v>
          </cell>
          <cell r="J333">
            <v>0</v>
          </cell>
        </row>
        <row r="334">
          <cell r="I334">
            <v>0</v>
          </cell>
          <cell r="J334">
            <v>0</v>
          </cell>
        </row>
      </sheetData>
      <sheetData sheetId="7" refreshError="1"/>
      <sheetData sheetId="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ssagerie_Source"/>
      <sheetName val="Messagerie_Final 1T"/>
      <sheetName val="Messagerie_Final 3T"/>
      <sheetName val="Lots_Source"/>
      <sheetName val="Lots_Final"/>
    </sheetNames>
    <sheetDataSet>
      <sheetData sheetId="0" refreshError="1"/>
      <sheetData sheetId="1" refreshError="1"/>
      <sheetData sheetId="2" refreshError="1"/>
      <sheetData sheetId="3" refreshError="1"/>
      <sheetData sheetId="4">
        <row r="74">
          <cell r="N74" t="str">
            <v>Offre Société test</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ssagerie_Source"/>
      <sheetName val="Messagerie_Final 1T"/>
      <sheetName val="Messagerie_Final 3T"/>
      <sheetName val="Lots_Source"/>
      <sheetName val="Lots_Final"/>
    </sheetNames>
    <sheetDataSet>
      <sheetData sheetId="0" refreshError="1"/>
      <sheetData sheetId="1" refreshError="1"/>
      <sheetData sheetId="2" refreshError="1"/>
      <sheetData sheetId="3" refreshError="1"/>
      <sheetData sheetId="4">
        <row r="74">
          <cell r="N74" t="str">
            <v>Offre Société test</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vail mess  drn"/>
      <sheetName val="travail mess gvn"/>
      <sheetName val="sous sommaire messagerie"/>
      <sheetName val="SOMMAIRE"/>
      <sheetName val="Messageriel 1T gennevillier (3)"/>
      <sheetName val="Messagerie_Source"/>
      <sheetName val="Messageriel 1T gennevilliers"/>
      <sheetName val="Messagerie_Source (2)"/>
      <sheetName val="Messageriel 1T drancy (2)"/>
      <sheetName val="Messageriel 1T drancy"/>
      <sheetName val="travail mess  moi"/>
      <sheetName val="Messagerie inter source"/>
      <sheetName val="Messagerie internationale"/>
      <sheetName val="Messageriel 1T moissy (2)"/>
      <sheetName val="Messageriel 1T moissy"/>
      <sheetName val="Messagerie 3T gennevilliers"/>
      <sheetName val="Messagerie 3Tdrancy"/>
      <sheetName val="Messagerie 3Tmoissy"/>
      <sheetName val="Lots_Source"/>
      <sheetName val="Base National"/>
      <sheetName val="Lots gennevilliers 1mpl "/>
      <sheetName val="base 2mpl"/>
      <sheetName val="Lots_Source 2mpl"/>
      <sheetName val="Lots gennevilliers 2mpl"/>
      <sheetName val="Base Nationale"/>
      <sheetName val="Lots_Source (2)"/>
      <sheetName val="Lots_Final gennevilliers 80x120"/>
      <sheetName val="Base"/>
      <sheetName val="Lots_Source (3)"/>
      <sheetName val="Lots_Final gennevilliers 100x12"/>
      <sheetName val="base sb05 80 120"/>
      <sheetName val="Lots Source sb05 80 120"/>
      <sheetName val="Lots tonnes Source "/>
      <sheetName val="Lots tonnes gennevilliers"/>
      <sheetName val="Lots tonnes gennevilliers (2)"/>
      <sheetName val="Lots gennevilliers sb05 80 120"/>
      <sheetName val="Lots_Final gennevilliers"/>
      <sheetName val="Lots_Final drancy"/>
      <sheetName val="Lots_Final moiss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PI"/>
      <sheetName val="Data"/>
      <sheetName val="Feuil1"/>
      <sheetName val="TCD"/>
      <sheetName val="Data "/>
    </sheetNames>
    <sheetDataSet>
      <sheetData sheetId="0" refreshError="1"/>
      <sheetData sheetId="1"/>
      <sheetData sheetId="2" refreshError="1"/>
      <sheetData sheetId="3" refreshError="1"/>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 diffusion"/>
      <sheetName val="Import-Export"/>
      <sheetName val="A faire"/>
      <sheetName val="Menu"/>
      <sheetName val="Dossier d'analyse client"/>
      <sheetName val="Hyp client Pal"/>
      <sheetName val="Enlèvement"/>
      <sheetName val="Simulation"/>
      <sheetName val="Chiffres clés Journal"/>
      <sheetName val="TCD Chiffres Clés"/>
      <sheetName val="Niveau de Marge"/>
      <sheetName val="Grille Client Groupage"/>
      <sheetName val="Grille Client Palette"/>
      <sheetName val="Décomposition Tarif"/>
      <sheetName val="Ajout Pays"/>
      <sheetName val="Liste Agence"/>
      <sheetName val="Dépt et Pays"/>
      <sheetName val="Master"/>
      <sheetName val="Anomalies Master"/>
      <sheetName val="Tri"/>
      <sheetName val="PAQ"/>
      <sheetName val="Distribution"/>
      <sheetName val="Distri Pal"/>
      <sheetName val="Plan de consignation"/>
      <sheetName val="Coût des tractions"/>
      <sheetName val="Tables"/>
      <sheetName val="Hypotheses"/>
      <sheetName val="Km"/>
      <sheetName val="Définition Marges"/>
      <sheetName val="RPV"/>
      <sheetName val="NivMarg"/>
      <sheetName val="GrilleSimul"/>
      <sheetName val="CompGrille"/>
      <sheetName val="Analyse Simul"/>
      <sheetName val="Carte France"/>
      <sheetName val="Carte Allemagne"/>
      <sheetName val="Carte Italie"/>
      <sheetName val="Carte Benelux"/>
      <sheetName val="Carte ESP&amp;PRT"/>
      <sheetName val="Carte GBR"/>
      <sheetName val="Carte Europe"/>
      <sheetName val="Tranche de Pds"/>
      <sheetName val="Saisonnalité"/>
      <sheetName val="Volume enlèvement"/>
      <sheetName val="Confrères FR"/>
      <sheetName val="Pos non cotées"/>
      <sheetName val="Marges"/>
      <sheetName val="Ancienne Grille"/>
      <sheetName val="Comparatif Grilles"/>
      <sheetName val="Comp CA Grille"/>
      <sheetName val="Versions"/>
      <sheetName val="ParamSimul"/>
    </sheetNames>
    <sheetDataSet>
      <sheetData sheetId="0" refreshError="1"/>
      <sheetData sheetId="1" refreshError="1"/>
      <sheetData sheetId="2" refreshError="1"/>
      <sheetData sheetId="3" refreshError="1"/>
      <sheetData sheetId="4" refreshError="1">
        <row r="17">
          <cell r="G17" t="str">
            <v>Avignon</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ssagerie_Source"/>
      <sheetName val="Messagerie_Final 1T"/>
      <sheetName val="Messagerie_Final 3T"/>
      <sheetName val="Lots_Source"/>
      <sheetName val="Lots_Final"/>
    </sheetNames>
    <sheetDataSet>
      <sheetData sheetId="0" refreshError="1"/>
      <sheetData sheetId="1" refreshError="1"/>
      <sheetData sheetId="2" refreshError="1"/>
      <sheetData sheetId="3" refreshError="1"/>
      <sheetData sheetId="4">
        <row r="74">
          <cell r="N74" t="str">
            <v>Offre Société test</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
      <sheetName val="Feuil2"/>
    </sheetNames>
    <sheetDataSet>
      <sheetData sheetId="0" refreshError="1"/>
      <sheetData sheetId="1">
        <row r="1">
          <cell r="A1" t="str">
            <v>OEM</v>
          </cell>
          <cell r="B1" t="str">
            <v>YES</v>
          </cell>
        </row>
        <row r="2">
          <cell r="A2" t="str">
            <v>OEM SUPPLIERS</v>
          </cell>
          <cell r="B2" t="str">
            <v>NO</v>
          </cell>
        </row>
        <row r="3">
          <cell r="A3" t="str">
            <v>ELECTRONICS</v>
          </cell>
        </row>
        <row r="4">
          <cell r="A4" t="str">
            <v>2WHEELERS</v>
          </cell>
        </row>
        <row r="5">
          <cell r="A5" t="str">
            <v>AEROSPACE &amp; DEFENCE</v>
          </cell>
        </row>
        <row r="6">
          <cell r="A6" t="str">
            <v>CONSUMER GOODS</v>
          </cell>
        </row>
        <row r="7">
          <cell r="A7" t="str">
            <v>INDUSTRY</v>
          </cell>
        </row>
      </sheetData>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ES"/>
      <sheetName val="ALL"/>
      <sheetName val="AUT35"/>
      <sheetName val="AUTHZ"/>
      <sheetName val="BELG"/>
      <sheetName val="BULG"/>
      <sheetName val="CROA"/>
      <sheetName val="DK35"/>
      <sheetName val="DKHZ"/>
      <sheetName val="ESP"/>
      <sheetName val="GB"/>
      <sheetName val="GRECE"/>
      <sheetName val="HONG"/>
      <sheetName val="IRL35"/>
      <sheetName val="IRLHZ"/>
      <sheetName val="ITALIE"/>
      <sheetName val="LUX"/>
      <sheetName val="NORV35"/>
      <sheetName val="NORVHZ"/>
      <sheetName val="Pays Baltes"/>
      <sheetName val="PB"/>
      <sheetName val="POL"/>
      <sheetName val="PORT"/>
      <sheetName val="ROU"/>
      <sheetName val="RUS"/>
      <sheetName val="SLOQ"/>
      <sheetName val="SLON"/>
      <sheetName val="SUE35"/>
      <sheetName val="SUEHZ"/>
      <sheetName val="SUISSE"/>
      <sheetName val="TECHQ"/>
      <sheetName val="TURC"/>
      <sheetName val="UKR"/>
    </sheetNames>
    <sheetDataSet>
      <sheetData sheetId="0" refreshError="1">
        <row r="6">
          <cell r="B6">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nées ENL"/>
      <sheetName val="PCI DISTRI"/>
      <sheetName val="PCI TRACTIONS"/>
      <sheetName val="PCI PAQ"/>
      <sheetName val="PCI 2012"/>
      <sheetName val="Comparaison tarif TG 2012"/>
      <sheetName val="TG BEL 2012"/>
      <sheetName val="Comparaison % Tarif TG 2012"/>
      <sheetName val="Simulation Tarif Client"/>
      <sheetName val="Données Dép &amp; PT"/>
      <sheetName val="Données PCI Tractions 2012"/>
      <sheetName val="Données PCI distri &amp; PAQ 2012"/>
      <sheetName val="Explications"/>
    </sheetNames>
    <sheetDataSet>
      <sheetData sheetId="0"/>
      <sheetData sheetId="1"/>
      <sheetData sheetId="2"/>
      <sheetData sheetId="3"/>
      <sheetData sheetId="4"/>
      <sheetData sheetId="5"/>
      <sheetData sheetId="6"/>
      <sheetData sheetId="7"/>
      <sheetData sheetId="8">
        <row r="2">
          <cell r="CB2" t="str">
            <v>PORTEUR</v>
          </cell>
        </row>
        <row r="3">
          <cell r="CB3" t="str">
            <v>SEMI</v>
          </cell>
        </row>
        <row r="4">
          <cell r="CB4" t="str">
            <v>HORS ENL</v>
          </cell>
        </row>
      </sheetData>
      <sheetData sheetId="9"/>
      <sheetData sheetId="10"/>
      <sheetData sheetId="11"/>
      <sheetData sheetId="12"/>
    </sheetDataSet>
  </externalBook>
</externalLink>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fleetcor.de/services/fleetcor-preisvergleich"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hyperlink" Target="https://adac.de/verkehr/tanken-kraftstoff-antrieb/deutschland/kraftstoffpreisentwicklung/" TargetMode="External"/><Relationship Id="rId1" Type="http://schemas.openxmlformats.org/officeDocument/2006/relationships/hyperlink" Target="https://www.aral.de/de/retail/kraftstoffe-und-preise/kraftstoffpreise/kraftstoffpreis-archiv.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ADA46-7C38-4AEF-A75F-50A4F6B5DE73}">
  <sheetPr>
    <tabColor rgb="FF92D050"/>
  </sheetPr>
  <dimension ref="A4:U49"/>
  <sheetViews>
    <sheetView tabSelected="1" workbookViewId="0">
      <selection activeCell="L36" sqref="L36"/>
    </sheetView>
  </sheetViews>
  <sheetFormatPr baseColWidth="10" defaultRowHeight="15" x14ac:dyDescent="0.25"/>
  <cols>
    <col min="6" max="6" width="33.28515625" customWidth="1"/>
    <col min="7" max="7" width="21.5703125" customWidth="1"/>
  </cols>
  <sheetData>
    <row r="4" spans="1:21" ht="18.75" x14ac:dyDescent="0.3">
      <c r="A4" s="128" t="s">
        <v>69</v>
      </c>
      <c r="B4" s="129"/>
      <c r="C4" s="129"/>
      <c r="D4" s="129"/>
      <c r="E4" s="129"/>
      <c r="F4" s="129"/>
      <c r="G4" s="129"/>
    </row>
    <row r="5" spans="1:21" x14ac:dyDescent="0.25">
      <c r="P5" s="130"/>
      <c r="Q5" s="88"/>
      <c r="R5" s="88"/>
      <c r="S5" s="88"/>
      <c r="T5" s="88"/>
      <c r="U5" s="88"/>
    </row>
    <row r="6" spans="1:21" x14ac:dyDescent="0.25">
      <c r="B6" s="37"/>
    </row>
    <row r="7" spans="1:21" x14ac:dyDescent="0.25">
      <c r="A7" s="37" t="s">
        <v>46</v>
      </c>
    </row>
    <row r="9" spans="1:21" x14ac:dyDescent="0.25">
      <c r="A9" t="s">
        <v>80</v>
      </c>
    </row>
    <row r="10" spans="1:21" x14ac:dyDescent="0.25">
      <c r="A10" t="s">
        <v>81</v>
      </c>
    </row>
    <row r="11" spans="1:21" x14ac:dyDescent="0.25">
      <c r="A11" t="s">
        <v>82</v>
      </c>
    </row>
    <row r="13" spans="1:21" x14ac:dyDescent="0.25">
      <c r="A13" t="s">
        <v>83</v>
      </c>
      <c r="C13" t="s">
        <v>84</v>
      </c>
    </row>
    <row r="14" spans="1:21" x14ac:dyDescent="0.25">
      <c r="A14" t="s">
        <v>85</v>
      </c>
    </row>
    <row r="15" spans="1:21" x14ac:dyDescent="0.25">
      <c r="A15" t="s">
        <v>86</v>
      </c>
    </row>
    <row r="17" spans="1:4" x14ac:dyDescent="0.25">
      <c r="A17" t="s">
        <v>87</v>
      </c>
      <c r="C17" s="37"/>
      <c r="D17" s="37"/>
    </row>
    <row r="18" spans="1:4" x14ac:dyDescent="0.25">
      <c r="A18" t="s">
        <v>88</v>
      </c>
    </row>
    <row r="19" spans="1:4" x14ac:dyDescent="0.25">
      <c r="A19" s="131" t="s">
        <v>89</v>
      </c>
    </row>
    <row r="20" spans="1:4" x14ac:dyDescent="0.25">
      <c r="A20" s="131" t="s">
        <v>90</v>
      </c>
    </row>
    <row r="35" spans="1:7" x14ac:dyDescent="0.25">
      <c r="A35" s="132" t="s">
        <v>75</v>
      </c>
      <c r="B35" s="132"/>
      <c r="C35" s="132"/>
      <c r="D35" s="132"/>
      <c r="E35" s="132"/>
      <c r="F35" s="132"/>
      <c r="G35" s="132"/>
    </row>
    <row r="36" spans="1:7" x14ac:dyDescent="0.25">
      <c r="A36" s="132"/>
      <c r="B36" s="132"/>
      <c r="C36" s="132"/>
      <c r="D36" s="132"/>
      <c r="E36" s="132"/>
      <c r="F36" s="132"/>
      <c r="G36" s="132"/>
    </row>
    <row r="37" spans="1:7" x14ac:dyDescent="0.25">
      <c r="A37" s="132"/>
      <c r="B37" s="132"/>
      <c r="C37" s="132"/>
      <c r="D37" s="132"/>
      <c r="E37" s="132"/>
      <c r="F37" s="132"/>
      <c r="G37" s="132"/>
    </row>
    <row r="38" spans="1:7" x14ac:dyDescent="0.25">
      <c r="A38" s="96"/>
      <c r="B38" s="90"/>
      <c r="C38" s="90"/>
      <c r="D38" s="90"/>
      <c r="E38" s="90"/>
      <c r="F38" s="90"/>
      <c r="G38" s="90"/>
    </row>
    <row r="39" spans="1:7" x14ac:dyDescent="0.25">
      <c r="A39" s="93" t="s">
        <v>74</v>
      </c>
      <c r="B39" s="93"/>
      <c r="C39" s="93"/>
      <c r="D39" s="93"/>
      <c r="E39" s="93"/>
      <c r="F39" s="93"/>
      <c r="G39" s="93"/>
    </row>
    <row r="40" spans="1:7" x14ac:dyDescent="0.25">
      <c r="A40" s="93"/>
      <c r="B40" s="93"/>
      <c r="C40" s="93"/>
      <c r="D40" s="93"/>
      <c r="E40" s="93"/>
      <c r="F40" s="93"/>
      <c r="G40" s="93"/>
    </row>
    <row r="41" spans="1:7" x14ac:dyDescent="0.25">
      <c r="A41" s="93"/>
      <c r="B41" s="93"/>
      <c r="C41" s="93"/>
      <c r="D41" s="93"/>
      <c r="E41" s="93"/>
      <c r="F41" s="93"/>
      <c r="G41" s="93"/>
    </row>
    <row r="42" spans="1:7" x14ac:dyDescent="0.25">
      <c r="A42" s="93"/>
      <c r="B42" s="93"/>
      <c r="C42" s="93"/>
      <c r="D42" s="93"/>
      <c r="E42" s="93"/>
      <c r="F42" s="93"/>
      <c r="G42" s="93"/>
    </row>
    <row r="43" spans="1:7" x14ac:dyDescent="0.25">
      <c r="A43" s="93"/>
      <c r="B43" s="93"/>
      <c r="C43" s="93"/>
      <c r="D43" s="93"/>
      <c r="E43" s="93"/>
      <c r="F43" s="93"/>
      <c r="G43" s="93"/>
    </row>
    <row r="44" spans="1:7" x14ac:dyDescent="0.25">
      <c r="A44" s="93"/>
      <c r="B44" s="93"/>
      <c r="C44" s="93"/>
      <c r="D44" s="93"/>
      <c r="E44" s="93"/>
      <c r="F44" s="93"/>
      <c r="G44" s="93"/>
    </row>
    <row r="45" spans="1:7" x14ac:dyDescent="0.25">
      <c r="A45" s="93"/>
      <c r="B45" s="93"/>
      <c r="C45" s="93"/>
      <c r="D45" s="93"/>
      <c r="E45" s="93"/>
      <c r="F45" s="93"/>
      <c r="G45" s="93"/>
    </row>
    <row r="46" spans="1:7" x14ac:dyDescent="0.25">
      <c r="A46" s="93"/>
      <c r="B46" s="93"/>
      <c r="C46" s="93"/>
      <c r="D46" s="93"/>
      <c r="E46" s="93"/>
      <c r="F46" s="93"/>
      <c r="G46" s="93"/>
    </row>
    <row r="47" spans="1:7" x14ac:dyDescent="0.25">
      <c r="A47" s="93"/>
      <c r="B47" s="93"/>
      <c r="C47" s="93"/>
      <c r="D47" s="93"/>
      <c r="E47" s="93"/>
      <c r="F47" s="93"/>
      <c r="G47" s="93"/>
    </row>
    <row r="48" spans="1:7" x14ac:dyDescent="0.25">
      <c r="A48" s="93"/>
      <c r="B48" s="93"/>
      <c r="C48" s="93"/>
      <c r="D48" s="93"/>
      <c r="E48" s="93"/>
      <c r="F48" s="93"/>
      <c r="G48" s="93"/>
    </row>
    <row r="49" spans="1:7" x14ac:dyDescent="0.25">
      <c r="A49" s="93"/>
      <c r="B49" s="93"/>
      <c r="C49" s="93"/>
      <c r="D49" s="93"/>
      <c r="E49" s="93"/>
      <c r="F49" s="93"/>
      <c r="G49" s="93"/>
    </row>
  </sheetData>
  <mergeCells count="3">
    <mergeCell ref="A39:G49"/>
    <mergeCell ref="A4:G4"/>
    <mergeCell ref="A35:G37"/>
  </mergeCells>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7FBF4-E24A-4F8F-BA3A-79E31F3925B1}">
  <sheetPr>
    <tabColor rgb="FFFF0000"/>
    <pageSetUpPr fitToPage="1"/>
  </sheetPr>
  <dimension ref="A1:XFC23"/>
  <sheetViews>
    <sheetView zoomScaleNormal="100" workbookViewId="0">
      <selection activeCell="B1" sqref="B1:B9"/>
    </sheetView>
  </sheetViews>
  <sheetFormatPr baseColWidth="10" defaultRowHeight="15.75" x14ac:dyDescent="0.25"/>
  <cols>
    <col min="1" max="1" width="35.5703125" style="43" customWidth="1"/>
    <col min="2" max="2" width="37.7109375" style="43" customWidth="1"/>
    <col min="3" max="3" width="23.42578125" style="43" customWidth="1"/>
    <col min="4" max="9" width="12.28515625" style="43" customWidth="1"/>
    <col min="10" max="10" width="16.7109375" style="43" bestFit="1" customWidth="1"/>
    <col min="11" max="11" width="14.5703125" bestFit="1" customWidth="1"/>
    <col min="12" max="12" width="24.140625" style="43" bestFit="1" customWidth="1"/>
    <col min="13" max="37" width="12.5703125" style="43" customWidth="1"/>
    <col min="38" max="16384" width="11.42578125" style="43"/>
  </cols>
  <sheetData>
    <row r="1" spans="1:37" x14ac:dyDescent="0.25">
      <c r="A1" s="62" t="s">
        <v>0</v>
      </c>
      <c r="B1" s="63" t="s">
        <v>64</v>
      </c>
    </row>
    <row r="2" spans="1:37" x14ac:dyDescent="0.25">
      <c r="A2" s="62"/>
      <c r="B2" s="63"/>
    </row>
    <row r="3" spans="1:37" x14ac:dyDescent="0.25">
      <c r="A3" s="64"/>
      <c r="B3" s="64"/>
    </row>
    <row r="4" spans="1:37" x14ac:dyDescent="0.25">
      <c r="A4" s="65" t="s">
        <v>1</v>
      </c>
      <c r="B4" s="66" t="s">
        <v>2</v>
      </c>
    </row>
    <row r="5" spans="1:37" x14ac:dyDescent="0.25">
      <c r="A5" s="64"/>
      <c r="B5" s="64"/>
    </row>
    <row r="6" spans="1:37" x14ac:dyDescent="0.25">
      <c r="A6" s="65" t="s">
        <v>3</v>
      </c>
      <c r="B6" s="67">
        <v>1500</v>
      </c>
    </row>
    <row r="7" spans="1:37" x14ac:dyDescent="0.25">
      <c r="A7" s="64"/>
      <c r="B7" s="64"/>
    </row>
    <row r="8" spans="1:37" x14ac:dyDescent="0.25">
      <c r="A8" s="65" t="s">
        <v>4</v>
      </c>
      <c r="B8" s="66" t="s">
        <v>5</v>
      </c>
    </row>
    <row r="9" spans="1:37" x14ac:dyDescent="0.25">
      <c r="A9" s="65" t="s">
        <v>6</v>
      </c>
      <c r="B9" s="68" t="s">
        <v>65</v>
      </c>
    </row>
    <row r="10" spans="1:37" s="45" customFormat="1" x14ac:dyDescent="0.25">
      <c r="A10" s="44"/>
      <c r="B10" s="44"/>
      <c r="C10" s="43"/>
      <c r="D10" s="43"/>
      <c r="E10" s="43"/>
      <c r="F10" s="43"/>
      <c r="G10" s="43"/>
      <c r="H10" s="43"/>
      <c r="I10" s="43"/>
      <c r="J10" s="43"/>
      <c r="K10"/>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row>
    <row r="12" spans="1:37" s="76" customFormat="1" ht="15" x14ac:dyDescent="0.25">
      <c r="A12" s="49" t="s">
        <v>7</v>
      </c>
      <c r="B12" s="49" t="s">
        <v>8</v>
      </c>
      <c r="C12" s="46"/>
      <c r="D12" s="1" t="s">
        <v>9</v>
      </c>
      <c r="E12" s="4"/>
      <c r="F12" s="4"/>
      <c r="G12" s="4"/>
      <c r="H12" s="4"/>
      <c r="I12" s="5"/>
      <c r="J12" s="5"/>
      <c r="K12" s="5"/>
      <c r="L12" s="46"/>
      <c r="M12" s="73" t="s">
        <v>10</v>
      </c>
      <c r="N12" s="74"/>
      <c r="O12" s="74"/>
      <c r="P12" s="74"/>
      <c r="Q12" s="74"/>
      <c r="R12" s="74"/>
      <c r="S12" s="74"/>
      <c r="T12" s="74"/>
      <c r="U12" s="74"/>
      <c r="V12" s="74"/>
      <c r="W12" s="74"/>
      <c r="X12" s="74"/>
      <c r="Y12" s="74"/>
      <c r="Z12" s="74"/>
      <c r="AA12" s="74"/>
      <c r="AB12" s="74"/>
      <c r="AC12" s="74"/>
      <c r="AD12" s="74"/>
      <c r="AE12" s="74"/>
      <c r="AF12" s="74"/>
      <c r="AG12" s="74"/>
      <c r="AH12" s="74"/>
      <c r="AI12" s="74"/>
      <c r="AJ12" s="74"/>
      <c r="AK12" s="75"/>
    </row>
    <row r="13" spans="1:37" s="76" customFormat="1" ht="15" x14ac:dyDescent="0.25">
      <c r="A13" s="50"/>
      <c r="B13" s="50"/>
      <c r="C13" s="47"/>
      <c r="D13" s="77" t="s">
        <v>11</v>
      </c>
      <c r="E13" s="77" t="s">
        <v>11</v>
      </c>
      <c r="F13" s="77" t="s">
        <v>11</v>
      </c>
      <c r="G13" s="77" t="s">
        <v>11</v>
      </c>
      <c r="H13" s="77" t="s">
        <v>11</v>
      </c>
      <c r="I13" s="77" t="s">
        <v>11</v>
      </c>
      <c r="J13" s="77" t="s">
        <v>11</v>
      </c>
      <c r="K13" s="77" t="s">
        <v>11</v>
      </c>
      <c r="L13" s="47"/>
      <c r="M13" s="77" t="s">
        <v>11</v>
      </c>
      <c r="N13" s="77" t="s">
        <v>11</v>
      </c>
      <c r="O13" s="77" t="s">
        <v>11</v>
      </c>
      <c r="P13" s="77" t="s">
        <v>11</v>
      </c>
      <c r="Q13" s="77" t="s">
        <v>11</v>
      </c>
      <c r="R13" s="77" t="s">
        <v>11</v>
      </c>
      <c r="S13" s="77" t="s">
        <v>11</v>
      </c>
      <c r="T13" s="77" t="s">
        <v>11</v>
      </c>
      <c r="U13" s="77" t="s">
        <v>11</v>
      </c>
      <c r="V13" s="77" t="s">
        <v>11</v>
      </c>
      <c r="W13" s="77" t="s">
        <v>11</v>
      </c>
      <c r="X13" s="77" t="s">
        <v>11</v>
      </c>
      <c r="Y13" s="77" t="s">
        <v>11</v>
      </c>
      <c r="Z13" s="77" t="s">
        <v>11</v>
      </c>
      <c r="AA13" s="77" t="s">
        <v>11</v>
      </c>
      <c r="AB13" s="77" t="s">
        <v>11</v>
      </c>
      <c r="AC13" s="77" t="s">
        <v>11</v>
      </c>
      <c r="AD13" s="77" t="s">
        <v>11</v>
      </c>
      <c r="AE13" s="77" t="s">
        <v>11</v>
      </c>
      <c r="AF13" s="77" t="s">
        <v>11</v>
      </c>
      <c r="AG13" s="77" t="s">
        <v>11</v>
      </c>
      <c r="AH13" s="77" t="s">
        <v>11</v>
      </c>
      <c r="AI13" s="77" t="s">
        <v>11</v>
      </c>
      <c r="AJ13" s="77" t="s">
        <v>11</v>
      </c>
      <c r="AK13" s="77" t="s">
        <v>11</v>
      </c>
    </row>
    <row r="14" spans="1:37" s="76" customFormat="1" ht="15" x14ac:dyDescent="0.25">
      <c r="A14" s="50"/>
      <c r="B14" s="50"/>
      <c r="C14" s="47"/>
      <c r="D14" s="78">
        <v>1</v>
      </c>
      <c r="E14" s="78">
        <v>2</v>
      </c>
      <c r="F14" s="79">
        <v>3</v>
      </c>
      <c r="G14" s="79">
        <v>4</v>
      </c>
      <c r="H14" s="79">
        <v>5</v>
      </c>
      <c r="I14" s="79">
        <v>6</v>
      </c>
      <c r="J14" s="79">
        <v>7</v>
      </c>
      <c r="K14" s="79">
        <v>8</v>
      </c>
      <c r="L14" s="47"/>
      <c r="M14" s="79">
        <v>9</v>
      </c>
      <c r="N14" s="79">
        <v>10</v>
      </c>
      <c r="O14" s="79">
        <v>11</v>
      </c>
      <c r="P14" s="79">
        <v>12</v>
      </c>
      <c r="Q14" s="79">
        <v>13</v>
      </c>
      <c r="R14" s="79">
        <v>14</v>
      </c>
      <c r="S14" s="79">
        <v>15</v>
      </c>
      <c r="T14" s="79">
        <v>16</v>
      </c>
      <c r="U14" s="79">
        <v>17</v>
      </c>
      <c r="V14" s="79">
        <v>18</v>
      </c>
      <c r="W14" s="79">
        <v>19</v>
      </c>
      <c r="X14" s="79">
        <v>20</v>
      </c>
      <c r="Y14" s="79">
        <v>21</v>
      </c>
      <c r="Z14" s="79">
        <v>22</v>
      </c>
      <c r="AA14" s="79">
        <v>23</v>
      </c>
      <c r="AB14" s="79">
        <v>24</v>
      </c>
      <c r="AC14" s="79">
        <v>25</v>
      </c>
      <c r="AD14" s="79">
        <v>26</v>
      </c>
      <c r="AE14" s="79">
        <v>27</v>
      </c>
      <c r="AF14" s="79">
        <v>28</v>
      </c>
      <c r="AG14" s="79">
        <v>29</v>
      </c>
      <c r="AH14" s="79">
        <v>30</v>
      </c>
      <c r="AI14" s="79">
        <v>31</v>
      </c>
      <c r="AJ14" s="79">
        <v>32</v>
      </c>
      <c r="AK14" s="79">
        <v>33</v>
      </c>
    </row>
    <row r="15" spans="1:37" s="76" customFormat="1" ht="15" x14ac:dyDescent="0.25">
      <c r="A15" s="51"/>
      <c r="B15" s="51"/>
      <c r="C15" s="48"/>
      <c r="D15" s="77" t="s">
        <v>12</v>
      </c>
      <c r="E15" s="77" t="s">
        <v>12</v>
      </c>
      <c r="F15" s="77" t="s">
        <v>12</v>
      </c>
      <c r="G15" s="77" t="s">
        <v>12</v>
      </c>
      <c r="H15" s="77" t="s">
        <v>12</v>
      </c>
      <c r="I15" s="77" t="s">
        <v>12</v>
      </c>
      <c r="J15" s="77" t="s">
        <v>12</v>
      </c>
      <c r="K15" s="77" t="s">
        <v>12</v>
      </c>
      <c r="L15" s="48"/>
      <c r="M15" s="77" t="s">
        <v>12</v>
      </c>
      <c r="N15" s="77" t="s">
        <v>12</v>
      </c>
      <c r="O15" s="77" t="s">
        <v>12</v>
      </c>
      <c r="P15" s="77" t="s">
        <v>12</v>
      </c>
      <c r="Q15" s="77" t="s">
        <v>12</v>
      </c>
      <c r="R15" s="77" t="s">
        <v>12</v>
      </c>
      <c r="S15" s="77" t="s">
        <v>12</v>
      </c>
      <c r="T15" s="77" t="s">
        <v>12</v>
      </c>
      <c r="U15" s="77" t="s">
        <v>12</v>
      </c>
      <c r="V15" s="77" t="s">
        <v>12</v>
      </c>
      <c r="W15" s="77" t="s">
        <v>12</v>
      </c>
      <c r="X15" s="77" t="s">
        <v>12</v>
      </c>
      <c r="Y15" s="77" t="s">
        <v>12</v>
      </c>
      <c r="Z15" s="77" t="s">
        <v>12</v>
      </c>
      <c r="AA15" s="77" t="s">
        <v>12</v>
      </c>
      <c r="AB15" s="77" t="s">
        <v>12</v>
      </c>
      <c r="AC15" s="77" t="s">
        <v>12</v>
      </c>
      <c r="AD15" s="77" t="s">
        <v>12</v>
      </c>
      <c r="AE15" s="77" t="s">
        <v>12</v>
      </c>
      <c r="AF15" s="77" t="s">
        <v>12</v>
      </c>
      <c r="AG15" s="77" t="s">
        <v>12</v>
      </c>
      <c r="AH15" s="77" t="s">
        <v>12</v>
      </c>
      <c r="AI15" s="77" t="s">
        <v>12</v>
      </c>
      <c r="AJ15" s="77" t="s">
        <v>12</v>
      </c>
      <c r="AK15" s="77" t="s">
        <v>12</v>
      </c>
    </row>
    <row r="16" spans="1:37" s="76" customFormat="1" ht="15" x14ac:dyDescent="0.25">
      <c r="A16" s="69" t="s">
        <v>68</v>
      </c>
      <c r="B16" s="70" t="s">
        <v>13</v>
      </c>
      <c r="C16" s="80" t="s">
        <v>14</v>
      </c>
      <c r="D16" s="81">
        <v>0.4</v>
      </c>
      <c r="E16" s="80">
        <v>0.8</v>
      </c>
      <c r="F16" s="82">
        <v>1.2000000000000002</v>
      </c>
      <c r="G16" s="82">
        <v>1.6</v>
      </c>
      <c r="H16" s="82">
        <v>2</v>
      </c>
      <c r="I16" s="82">
        <v>2.4</v>
      </c>
      <c r="J16" s="82">
        <v>2.8</v>
      </c>
      <c r="K16" s="82">
        <v>3.1999999999999997</v>
      </c>
      <c r="L16" s="80" t="s">
        <v>14</v>
      </c>
      <c r="M16" s="82">
        <v>3.5999999999999996</v>
      </c>
      <c r="N16" s="82">
        <v>3.9999999999999996</v>
      </c>
      <c r="O16" s="82">
        <v>4.3999999999999995</v>
      </c>
      <c r="P16" s="82">
        <v>4.8</v>
      </c>
      <c r="Q16" s="82">
        <v>5.2</v>
      </c>
      <c r="R16" s="82">
        <v>5.6000000000000005</v>
      </c>
      <c r="S16" s="82">
        <v>6.0000000000000009</v>
      </c>
      <c r="T16" s="82">
        <v>6.4000000000000012</v>
      </c>
      <c r="U16" s="82">
        <v>6.8000000000000016</v>
      </c>
      <c r="V16" s="82">
        <v>7.200000000000002</v>
      </c>
      <c r="W16" s="82">
        <v>7.6000000000000023</v>
      </c>
      <c r="X16" s="82">
        <v>8.0000000000000018</v>
      </c>
      <c r="Y16" s="82">
        <v>8.4000000000000021</v>
      </c>
      <c r="Z16" s="82">
        <v>8.8000000000000025</v>
      </c>
      <c r="AA16" s="82">
        <v>9.2000000000000028</v>
      </c>
      <c r="AB16" s="82">
        <v>9.6000000000000032</v>
      </c>
      <c r="AC16" s="82">
        <v>10.000000000000004</v>
      </c>
      <c r="AD16" s="82">
        <v>10.400000000000004</v>
      </c>
      <c r="AE16" s="82">
        <v>10.800000000000004</v>
      </c>
      <c r="AF16" s="82">
        <v>11.200000000000005</v>
      </c>
      <c r="AG16" s="82">
        <v>11.600000000000005</v>
      </c>
      <c r="AH16" s="82">
        <v>12.000000000000005</v>
      </c>
      <c r="AI16" s="82">
        <v>12.400000000000006</v>
      </c>
      <c r="AJ16" s="82">
        <v>12.800000000000006</v>
      </c>
      <c r="AK16" s="82" t="s">
        <v>15</v>
      </c>
    </row>
    <row r="17" spans="1:16383" s="76" customFormat="1" ht="15" x14ac:dyDescent="0.25">
      <c r="A17" s="83" t="s">
        <v>67</v>
      </c>
      <c r="B17" s="84"/>
      <c r="C17" s="84" t="s">
        <v>16</v>
      </c>
      <c r="D17" s="84" t="s">
        <v>17</v>
      </c>
      <c r="E17" s="84" t="s">
        <v>17</v>
      </c>
      <c r="F17" s="84" t="s">
        <v>17</v>
      </c>
      <c r="G17" s="84" t="s">
        <v>17</v>
      </c>
      <c r="H17" s="84" t="s">
        <v>17</v>
      </c>
      <c r="I17" s="84" t="s">
        <v>17</v>
      </c>
      <c r="J17" s="84" t="s">
        <v>17</v>
      </c>
      <c r="K17" s="84" t="s">
        <v>17</v>
      </c>
      <c r="L17" s="84" t="s">
        <v>18</v>
      </c>
      <c r="M17" s="84" t="s">
        <v>17</v>
      </c>
      <c r="N17" s="84" t="s">
        <v>17</v>
      </c>
      <c r="O17" s="84" t="s">
        <v>17</v>
      </c>
      <c r="P17" s="84" t="s">
        <v>17</v>
      </c>
      <c r="Q17" s="84" t="s">
        <v>17</v>
      </c>
      <c r="R17" s="84" t="s">
        <v>17</v>
      </c>
      <c r="S17" s="84" t="s">
        <v>17</v>
      </c>
      <c r="T17" s="84" t="s">
        <v>17</v>
      </c>
      <c r="U17" s="84" t="s">
        <v>17</v>
      </c>
      <c r="V17" s="84" t="s">
        <v>17</v>
      </c>
      <c r="W17" s="84" t="s">
        <v>17</v>
      </c>
      <c r="X17" s="84" t="s">
        <v>17</v>
      </c>
      <c r="Y17" s="84" t="s">
        <v>17</v>
      </c>
      <c r="Z17" s="84" t="s">
        <v>17</v>
      </c>
      <c r="AA17" s="84" t="s">
        <v>17</v>
      </c>
      <c r="AB17" s="84" t="s">
        <v>17</v>
      </c>
      <c r="AC17" s="84" t="s">
        <v>17</v>
      </c>
      <c r="AD17" s="84" t="s">
        <v>17</v>
      </c>
      <c r="AE17" s="84" t="s">
        <v>17</v>
      </c>
      <c r="AF17" s="84" t="s">
        <v>17</v>
      </c>
      <c r="AG17" s="84" t="s">
        <v>17</v>
      </c>
      <c r="AH17" s="84" t="s">
        <v>17</v>
      </c>
      <c r="AI17" s="84" t="s">
        <v>17</v>
      </c>
      <c r="AJ17" s="84" t="s">
        <v>17</v>
      </c>
      <c r="AK17" s="84" t="s">
        <v>17</v>
      </c>
    </row>
    <row r="18" spans="1:16383" s="76" customFormat="1" ht="15" x14ac:dyDescent="0.25">
      <c r="A18" s="6" t="s">
        <v>66</v>
      </c>
      <c r="B18" s="41" t="s">
        <v>48</v>
      </c>
      <c r="C18" s="85">
        <v>5</v>
      </c>
      <c r="D18" s="86">
        <v>203.1</v>
      </c>
      <c r="E18" s="86">
        <v>399.4</v>
      </c>
      <c r="F18" s="86">
        <v>590.70000000000005</v>
      </c>
      <c r="G18" s="86">
        <v>737.1</v>
      </c>
      <c r="H18" s="86">
        <v>942</v>
      </c>
      <c r="I18" s="86">
        <v>1145.3</v>
      </c>
      <c r="J18" s="86">
        <v>1258.3</v>
      </c>
      <c r="K18" s="86">
        <v>1363.7</v>
      </c>
      <c r="L18" s="85">
        <v>4</v>
      </c>
      <c r="M18" s="86">
        <v>1461.8</v>
      </c>
      <c r="N18" s="86">
        <v>1560</v>
      </c>
      <c r="O18" s="86">
        <v>1658.1</v>
      </c>
      <c r="P18" s="86">
        <v>1756.2</v>
      </c>
      <c r="Q18" s="86">
        <v>1854.4</v>
      </c>
      <c r="R18" s="86">
        <v>1952.5</v>
      </c>
      <c r="S18" s="86">
        <v>2050.6</v>
      </c>
      <c r="T18" s="86">
        <v>2148.6999999999998</v>
      </c>
      <c r="U18" s="86">
        <v>2234.4</v>
      </c>
      <c r="V18" s="86">
        <v>2331.6</v>
      </c>
      <c r="W18" s="86">
        <v>2402.5</v>
      </c>
      <c r="X18" s="86">
        <v>2473.4</v>
      </c>
      <c r="Y18" s="86">
        <v>2544.3000000000002</v>
      </c>
      <c r="Z18" s="86">
        <v>2615.1</v>
      </c>
      <c r="AA18" s="86">
        <v>2686</v>
      </c>
      <c r="AB18" s="86">
        <v>2756.8999999999996</v>
      </c>
      <c r="AC18" s="86">
        <v>2827.8</v>
      </c>
      <c r="AD18" s="86">
        <v>2898.7000000000003</v>
      </c>
      <c r="AE18" s="86">
        <v>2969.6</v>
      </c>
      <c r="AF18" s="86">
        <v>3040.5</v>
      </c>
      <c r="AG18" s="86">
        <v>3111.2999999999997</v>
      </c>
      <c r="AH18" s="86">
        <v>3182.2000000000003</v>
      </c>
      <c r="AI18" s="86">
        <v>3325</v>
      </c>
      <c r="AJ18" s="86">
        <v>3325</v>
      </c>
      <c r="AK18" s="86">
        <v>3325</v>
      </c>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7"/>
      <c r="ID18" s="7"/>
      <c r="IE18" s="7"/>
      <c r="IF18" s="7"/>
      <c r="IG18" s="7"/>
      <c r="IH18" s="7"/>
      <c r="II18" s="7"/>
      <c r="IJ18" s="7"/>
      <c r="IK18" s="7"/>
      <c r="IL18" s="7"/>
      <c r="IM18" s="7"/>
      <c r="IN18" s="7"/>
      <c r="IO18" s="7"/>
      <c r="IP18" s="7"/>
      <c r="IQ18" s="7"/>
      <c r="IR18" s="7"/>
      <c r="IS18" s="7"/>
      <c r="IT18" s="7"/>
      <c r="IU18" s="7"/>
      <c r="IV18" s="7"/>
      <c r="IW18" s="7"/>
      <c r="IX18" s="7"/>
      <c r="IY18" s="7"/>
      <c r="IZ18" s="7"/>
      <c r="JA18" s="7"/>
      <c r="JB18" s="7"/>
      <c r="JC18" s="7"/>
      <c r="JD18" s="7"/>
      <c r="JE18" s="7"/>
      <c r="JF18" s="7"/>
      <c r="JG18" s="7"/>
      <c r="JH18" s="7"/>
      <c r="JI18" s="7"/>
      <c r="JJ18" s="7"/>
      <c r="JK18" s="7"/>
      <c r="JL18" s="7"/>
      <c r="JM18" s="7"/>
      <c r="JN18" s="7"/>
      <c r="JO18" s="7"/>
      <c r="JP18" s="7"/>
      <c r="JQ18" s="7"/>
      <c r="JR18" s="7"/>
      <c r="JS18" s="7"/>
      <c r="JT18" s="7"/>
      <c r="JU18" s="7"/>
      <c r="JV18" s="7"/>
      <c r="JW18" s="7"/>
      <c r="JX18" s="7"/>
      <c r="JY18" s="7"/>
      <c r="JZ18" s="7"/>
      <c r="KA18" s="7"/>
      <c r="KB18" s="7"/>
      <c r="KC18" s="7"/>
      <c r="KD18" s="7"/>
      <c r="KE18" s="7"/>
      <c r="KF18" s="7"/>
      <c r="KG18" s="7"/>
      <c r="KH18" s="7"/>
      <c r="KI18" s="7"/>
      <c r="KJ18" s="7"/>
      <c r="KK18" s="7"/>
      <c r="KL18" s="7"/>
      <c r="KM18" s="7"/>
      <c r="KN18" s="7"/>
      <c r="KO18" s="7"/>
      <c r="KP18" s="7"/>
      <c r="KQ18" s="7"/>
      <c r="KR18" s="7"/>
      <c r="KS18" s="7"/>
      <c r="KT18" s="7"/>
      <c r="KU18" s="7"/>
      <c r="KV18" s="7"/>
      <c r="KW18" s="7"/>
      <c r="KX18" s="7"/>
      <c r="KY18" s="7"/>
      <c r="KZ18" s="7"/>
      <c r="LA18" s="7"/>
      <c r="LB18" s="7"/>
      <c r="LC18" s="7"/>
      <c r="LD18" s="7"/>
      <c r="LE18" s="7"/>
      <c r="LF18" s="7"/>
      <c r="LG18" s="7"/>
      <c r="LH18" s="7"/>
      <c r="LI18" s="7"/>
      <c r="LJ18" s="7"/>
      <c r="LK18" s="7"/>
      <c r="LL18" s="7"/>
      <c r="LM18" s="7"/>
      <c r="LN18" s="7"/>
      <c r="LO18" s="7"/>
      <c r="LP18" s="7"/>
      <c r="LQ18" s="7"/>
      <c r="LR18" s="7"/>
      <c r="LS18" s="7"/>
      <c r="LT18" s="7"/>
      <c r="LU18" s="7"/>
      <c r="LV18" s="7"/>
      <c r="LW18" s="7"/>
      <c r="LX18" s="7"/>
      <c r="LY18" s="7"/>
      <c r="LZ18" s="7"/>
      <c r="MA18" s="7"/>
      <c r="MB18" s="7"/>
      <c r="MC18" s="7"/>
      <c r="MD18" s="7"/>
      <c r="ME18" s="7"/>
      <c r="MF18" s="7"/>
      <c r="MG18" s="7"/>
      <c r="MH18" s="7"/>
      <c r="MI18" s="7"/>
      <c r="MJ18" s="7"/>
      <c r="MK18" s="7"/>
      <c r="ML18" s="7"/>
      <c r="MM18" s="7"/>
      <c r="MN18" s="7"/>
      <c r="MO18" s="7"/>
      <c r="MP18" s="7"/>
      <c r="MQ18" s="7"/>
      <c r="MR18" s="7"/>
      <c r="MS18" s="7"/>
      <c r="MT18" s="7"/>
      <c r="MU18" s="7"/>
      <c r="MV18" s="7"/>
      <c r="MW18" s="7"/>
      <c r="MX18" s="7"/>
      <c r="MY18" s="7"/>
      <c r="MZ18" s="7"/>
      <c r="NA18" s="7"/>
      <c r="NB18" s="7"/>
      <c r="NC18" s="7"/>
      <c r="ND18" s="7"/>
      <c r="NE18" s="7"/>
      <c r="NF18" s="7"/>
      <c r="NG18" s="7"/>
      <c r="NH18" s="7"/>
      <c r="NI18" s="7"/>
      <c r="NJ18" s="7"/>
      <c r="NK18" s="7"/>
      <c r="NL18" s="7"/>
      <c r="NM18" s="7"/>
      <c r="NN18" s="7"/>
      <c r="NO18" s="7"/>
      <c r="NP18" s="7"/>
      <c r="NQ18" s="7"/>
      <c r="NR18" s="7"/>
      <c r="NS18" s="7"/>
      <c r="NT18" s="7"/>
      <c r="NU18" s="7"/>
      <c r="NV18" s="7"/>
      <c r="NW18" s="7"/>
      <c r="NX18" s="7"/>
      <c r="NY18" s="7"/>
      <c r="NZ18" s="7"/>
      <c r="OA18" s="7"/>
      <c r="OB18" s="7"/>
      <c r="OC18" s="7"/>
      <c r="OD18" s="7"/>
      <c r="OE18" s="7"/>
      <c r="OF18" s="7"/>
      <c r="OG18" s="7"/>
      <c r="OH18" s="7"/>
      <c r="OI18" s="7"/>
      <c r="OJ18" s="7"/>
      <c r="OK18" s="7"/>
      <c r="OL18" s="7"/>
      <c r="OM18" s="7"/>
      <c r="ON18" s="7"/>
      <c r="OO18" s="7"/>
      <c r="OP18" s="7"/>
      <c r="OQ18" s="7"/>
      <c r="OR18" s="7"/>
      <c r="OS18" s="7"/>
      <c r="OT18" s="7"/>
      <c r="OU18" s="7"/>
      <c r="OV18" s="7"/>
      <c r="OW18" s="7"/>
      <c r="OX18" s="7"/>
      <c r="OY18" s="7"/>
      <c r="OZ18" s="7"/>
      <c r="PA18" s="7"/>
      <c r="PB18" s="7"/>
      <c r="PC18" s="7"/>
      <c r="PD18" s="7"/>
      <c r="PE18" s="7"/>
      <c r="PF18" s="7"/>
      <c r="PG18" s="7"/>
      <c r="PH18" s="7"/>
      <c r="PI18" s="7"/>
      <c r="PJ18" s="7"/>
      <c r="PK18" s="7"/>
      <c r="PL18" s="7"/>
      <c r="PM18" s="7"/>
      <c r="PN18" s="7"/>
      <c r="PO18" s="7"/>
      <c r="PP18" s="7"/>
      <c r="PQ18" s="7"/>
      <c r="PR18" s="7"/>
      <c r="PS18" s="7"/>
      <c r="PT18" s="7"/>
      <c r="PU18" s="7"/>
      <c r="PV18" s="7"/>
      <c r="PW18" s="7"/>
      <c r="PX18" s="7"/>
      <c r="PY18" s="7"/>
      <c r="PZ18" s="7"/>
      <c r="QA18" s="7"/>
      <c r="QB18" s="7"/>
      <c r="QC18" s="7"/>
      <c r="QD18" s="7"/>
      <c r="QE18" s="7"/>
      <c r="QF18" s="7"/>
      <c r="QG18" s="7"/>
      <c r="QH18" s="7"/>
      <c r="QI18" s="7"/>
      <c r="QJ18" s="7"/>
      <c r="QK18" s="7"/>
      <c r="QL18" s="7"/>
      <c r="QM18" s="7"/>
      <c r="QN18" s="7"/>
      <c r="QO18" s="7"/>
      <c r="QP18" s="7"/>
      <c r="QQ18" s="7"/>
      <c r="QR18" s="7"/>
      <c r="QS18" s="7"/>
      <c r="QT18" s="7"/>
      <c r="QU18" s="7"/>
      <c r="QV18" s="7"/>
      <c r="QW18" s="7"/>
      <c r="QX18" s="7"/>
      <c r="QY18" s="7"/>
      <c r="QZ18" s="7"/>
      <c r="RA18" s="7"/>
      <c r="RB18" s="7"/>
      <c r="RC18" s="7"/>
      <c r="RD18" s="7"/>
      <c r="RE18" s="7"/>
      <c r="RF18" s="7"/>
      <c r="RG18" s="7"/>
      <c r="RH18" s="7"/>
      <c r="RI18" s="7"/>
      <c r="RJ18" s="7"/>
      <c r="RK18" s="7"/>
      <c r="RL18" s="7"/>
      <c r="RM18" s="7"/>
      <c r="RN18" s="7"/>
      <c r="RO18" s="7"/>
      <c r="RP18" s="7"/>
      <c r="RQ18" s="7"/>
      <c r="RR18" s="7"/>
      <c r="RS18" s="7"/>
      <c r="RT18" s="7"/>
      <c r="RU18" s="7"/>
      <c r="RV18" s="7"/>
      <c r="RW18" s="7"/>
      <c r="RX18" s="7"/>
      <c r="RY18" s="7"/>
      <c r="RZ18" s="7"/>
      <c r="SA18" s="7"/>
      <c r="SB18" s="7"/>
      <c r="SC18" s="7"/>
      <c r="SD18" s="7"/>
      <c r="SE18" s="7"/>
      <c r="SF18" s="7"/>
      <c r="SG18" s="7"/>
      <c r="SH18" s="7"/>
      <c r="SI18" s="7"/>
      <c r="SJ18" s="7"/>
      <c r="SK18" s="7"/>
      <c r="SL18" s="7"/>
      <c r="SM18" s="7"/>
      <c r="SN18" s="7"/>
      <c r="SO18" s="7"/>
      <c r="SP18" s="7"/>
      <c r="SQ18" s="7"/>
      <c r="SR18" s="7"/>
      <c r="SS18" s="7"/>
      <c r="ST18" s="7"/>
      <c r="SU18" s="7"/>
      <c r="SV18" s="7"/>
      <c r="SW18" s="7"/>
      <c r="SX18" s="7"/>
      <c r="SY18" s="7"/>
      <c r="SZ18" s="7"/>
      <c r="TA18" s="7"/>
      <c r="TB18" s="7"/>
      <c r="TC18" s="7"/>
      <c r="TD18" s="7"/>
      <c r="TE18" s="7"/>
      <c r="TF18" s="7"/>
      <c r="TG18" s="7"/>
      <c r="TH18" s="7"/>
      <c r="TI18" s="7"/>
      <c r="TJ18" s="7"/>
      <c r="TK18" s="7"/>
      <c r="TL18" s="7"/>
      <c r="TM18" s="7"/>
      <c r="TN18" s="7"/>
      <c r="TO18" s="7"/>
      <c r="TP18" s="7"/>
      <c r="TQ18" s="7"/>
      <c r="TR18" s="7"/>
      <c r="TS18" s="7"/>
      <c r="TT18" s="7"/>
      <c r="TU18" s="7"/>
      <c r="TV18" s="7"/>
      <c r="TW18" s="7"/>
      <c r="TX18" s="7"/>
      <c r="TY18" s="7"/>
      <c r="TZ18" s="7"/>
      <c r="UA18" s="7"/>
      <c r="UB18" s="7"/>
      <c r="UC18" s="7"/>
      <c r="UD18" s="7"/>
      <c r="UE18" s="7"/>
      <c r="UF18" s="7"/>
      <c r="UG18" s="7"/>
      <c r="UH18" s="7"/>
      <c r="UI18" s="7"/>
      <c r="UJ18" s="7"/>
      <c r="UK18" s="7"/>
      <c r="UL18" s="7"/>
      <c r="UM18" s="7"/>
      <c r="UN18" s="7"/>
      <c r="UO18" s="7"/>
      <c r="UP18" s="7"/>
      <c r="UQ18" s="7"/>
      <c r="UR18" s="7"/>
      <c r="US18" s="7"/>
      <c r="UT18" s="7"/>
      <c r="UU18" s="7"/>
      <c r="UV18" s="7"/>
      <c r="UW18" s="7"/>
      <c r="UX18" s="7"/>
      <c r="UY18" s="7"/>
      <c r="UZ18" s="7"/>
      <c r="VA18" s="7"/>
      <c r="VB18" s="7"/>
      <c r="VC18" s="7"/>
      <c r="VD18" s="7"/>
      <c r="VE18" s="7"/>
      <c r="VF18" s="7"/>
      <c r="VG18" s="7"/>
      <c r="VH18" s="7"/>
      <c r="VI18" s="7"/>
      <c r="VJ18" s="7"/>
      <c r="VK18" s="7"/>
      <c r="VL18" s="7"/>
      <c r="VM18" s="7"/>
      <c r="VN18" s="7"/>
      <c r="VO18" s="7"/>
      <c r="VP18" s="7"/>
      <c r="VQ18" s="7"/>
      <c r="VR18" s="7"/>
      <c r="VS18" s="7"/>
      <c r="VT18" s="7"/>
      <c r="VU18" s="7"/>
      <c r="VV18" s="7"/>
      <c r="VW18" s="7"/>
      <c r="VX18" s="7"/>
      <c r="VY18" s="7"/>
      <c r="VZ18" s="7"/>
      <c r="WA18" s="7"/>
      <c r="WB18" s="7"/>
      <c r="WC18" s="7"/>
      <c r="WD18" s="7"/>
      <c r="WE18" s="7"/>
      <c r="WF18" s="7"/>
      <c r="WG18" s="7"/>
      <c r="WH18" s="7"/>
      <c r="WI18" s="7"/>
      <c r="WJ18" s="7"/>
      <c r="WK18" s="7"/>
      <c r="WL18" s="7"/>
      <c r="WM18" s="7"/>
      <c r="WN18" s="7"/>
      <c r="WO18" s="7"/>
      <c r="WP18" s="7"/>
      <c r="WQ18" s="7"/>
      <c r="WR18" s="7"/>
      <c r="WS18" s="7"/>
      <c r="WT18" s="7"/>
      <c r="WU18" s="7"/>
      <c r="WV18" s="7"/>
      <c r="WW18" s="7"/>
      <c r="WX18" s="7"/>
      <c r="WY18" s="7"/>
      <c r="WZ18" s="7"/>
      <c r="XA18" s="7"/>
      <c r="XB18" s="7"/>
      <c r="XC18" s="7"/>
      <c r="XD18" s="7"/>
      <c r="XE18" s="7"/>
      <c r="XF18" s="7"/>
      <c r="XG18" s="7"/>
      <c r="XH18" s="7"/>
      <c r="XI18" s="7"/>
      <c r="XJ18" s="7"/>
      <c r="XK18" s="7"/>
      <c r="XL18" s="7"/>
      <c r="XM18" s="7"/>
      <c r="XN18" s="7"/>
      <c r="XO18" s="7"/>
      <c r="XP18" s="7"/>
      <c r="XQ18" s="7"/>
      <c r="XR18" s="7"/>
      <c r="XS18" s="7"/>
      <c r="XT18" s="7"/>
      <c r="XU18" s="7"/>
      <c r="XV18" s="7"/>
      <c r="XW18" s="7"/>
      <c r="XX18" s="7"/>
      <c r="XY18" s="7"/>
      <c r="XZ18" s="7"/>
      <c r="YA18" s="7"/>
      <c r="YB18" s="7"/>
      <c r="YC18" s="7"/>
      <c r="YD18" s="7"/>
      <c r="YE18" s="7"/>
      <c r="YF18" s="7"/>
      <c r="YG18" s="7"/>
      <c r="YH18" s="7"/>
      <c r="YI18" s="7"/>
      <c r="YJ18" s="7"/>
      <c r="YK18" s="7"/>
      <c r="YL18" s="7"/>
      <c r="YM18" s="7"/>
      <c r="YN18" s="7"/>
      <c r="YO18" s="7"/>
      <c r="YP18" s="7"/>
      <c r="YQ18" s="7"/>
      <c r="YR18" s="7"/>
      <c r="YS18" s="7"/>
      <c r="YT18" s="7"/>
      <c r="YU18" s="7"/>
      <c r="YV18" s="7"/>
      <c r="YW18" s="7"/>
      <c r="YX18" s="7"/>
      <c r="YY18" s="7"/>
      <c r="YZ18" s="7"/>
      <c r="ZA18" s="7"/>
      <c r="ZB18" s="7"/>
      <c r="ZC18" s="7"/>
      <c r="ZD18" s="7"/>
      <c r="ZE18" s="7"/>
      <c r="ZF18" s="7"/>
      <c r="ZG18" s="7"/>
      <c r="ZH18" s="7"/>
      <c r="ZI18" s="7"/>
      <c r="ZJ18" s="7"/>
      <c r="ZK18" s="7"/>
      <c r="ZL18" s="7"/>
      <c r="ZM18" s="7"/>
      <c r="ZN18" s="7"/>
      <c r="ZO18" s="7"/>
      <c r="ZP18" s="7"/>
      <c r="ZQ18" s="7"/>
      <c r="ZR18" s="7"/>
      <c r="ZS18" s="7"/>
      <c r="ZT18" s="7"/>
      <c r="ZU18" s="7"/>
      <c r="ZV18" s="7"/>
      <c r="ZW18" s="7"/>
      <c r="ZX18" s="7"/>
      <c r="ZY18" s="7"/>
      <c r="ZZ18" s="7"/>
      <c r="AAA18" s="7"/>
      <c r="AAB18" s="7"/>
      <c r="AAC18" s="7"/>
      <c r="AAD18" s="7"/>
      <c r="AAE18" s="7"/>
      <c r="AAF18" s="7"/>
      <c r="AAG18" s="7"/>
      <c r="AAH18" s="7"/>
      <c r="AAI18" s="7"/>
      <c r="AAJ18" s="7"/>
      <c r="AAK18" s="7"/>
      <c r="AAL18" s="7"/>
      <c r="AAM18" s="7"/>
      <c r="AAN18" s="7"/>
      <c r="AAO18" s="7"/>
      <c r="AAP18" s="7"/>
      <c r="AAQ18" s="7"/>
      <c r="AAR18" s="7"/>
      <c r="AAS18" s="7"/>
      <c r="AAT18" s="7"/>
      <c r="AAU18" s="7"/>
      <c r="AAV18" s="7"/>
      <c r="AAW18" s="7"/>
      <c r="AAX18" s="7"/>
      <c r="AAY18" s="7"/>
      <c r="AAZ18" s="7"/>
      <c r="ABA18" s="7"/>
      <c r="ABB18" s="7"/>
      <c r="ABC18" s="7"/>
      <c r="ABD18" s="7"/>
      <c r="ABE18" s="7"/>
      <c r="ABF18" s="7"/>
      <c r="ABG18" s="7"/>
      <c r="ABH18" s="7"/>
      <c r="ABI18" s="7"/>
      <c r="ABJ18" s="7"/>
      <c r="ABK18" s="7"/>
      <c r="ABL18" s="7"/>
      <c r="ABM18" s="7"/>
      <c r="ABN18" s="7"/>
      <c r="ABO18" s="7"/>
      <c r="ABP18" s="7"/>
      <c r="ABQ18" s="7"/>
      <c r="ABR18" s="7"/>
      <c r="ABS18" s="7"/>
      <c r="ABT18" s="7"/>
      <c r="ABU18" s="7"/>
      <c r="ABV18" s="7"/>
      <c r="ABW18" s="7"/>
      <c r="ABX18" s="7"/>
      <c r="ABY18" s="7"/>
      <c r="ABZ18" s="7"/>
      <c r="ACA18" s="7"/>
      <c r="ACB18" s="7"/>
      <c r="ACC18" s="7"/>
      <c r="ACD18" s="7"/>
      <c r="ACE18" s="7"/>
      <c r="ACF18" s="7"/>
      <c r="ACG18" s="7"/>
      <c r="ACH18" s="7"/>
      <c r="ACI18" s="7"/>
      <c r="ACJ18" s="7"/>
      <c r="ACK18" s="7"/>
      <c r="ACL18" s="7"/>
      <c r="ACM18" s="7"/>
      <c r="ACN18" s="7"/>
      <c r="ACO18" s="7"/>
      <c r="ACP18" s="7"/>
      <c r="ACQ18" s="7"/>
      <c r="ACR18" s="7"/>
      <c r="ACS18" s="7"/>
      <c r="ACT18" s="7"/>
      <c r="ACU18" s="7"/>
      <c r="ACV18" s="7"/>
      <c r="ACW18" s="7"/>
      <c r="ACX18" s="7"/>
      <c r="ACY18" s="7"/>
      <c r="ACZ18" s="7"/>
      <c r="ADA18" s="7"/>
      <c r="ADB18" s="7"/>
      <c r="ADC18" s="7"/>
      <c r="ADD18" s="7"/>
      <c r="ADE18" s="7"/>
      <c r="ADF18" s="7"/>
      <c r="ADG18" s="7"/>
      <c r="ADH18" s="7"/>
      <c r="ADI18" s="7"/>
      <c r="ADJ18" s="7"/>
      <c r="ADK18" s="7"/>
      <c r="ADL18" s="7"/>
      <c r="ADM18" s="7"/>
      <c r="ADN18" s="7"/>
      <c r="ADO18" s="7"/>
      <c r="ADP18" s="7"/>
      <c r="ADQ18" s="7"/>
      <c r="ADR18" s="7"/>
      <c r="ADS18" s="7"/>
      <c r="ADT18" s="7"/>
      <c r="ADU18" s="7"/>
      <c r="ADV18" s="7"/>
      <c r="ADW18" s="7"/>
      <c r="ADX18" s="7"/>
      <c r="ADY18" s="7"/>
      <c r="ADZ18" s="7"/>
      <c r="AEA18" s="7"/>
      <c r="AEB18" s="7"/>
      <c r="AEC18" s="7"/>
      <c r="AED18" s="7"/>
      <c r="AEE18" s="7"/>
      <c r="AEF18" s="7"/>
      <c r="AEG18" s="7"/>
      <c r="AEH18" s="7"/>
      <c r="AEI18" s="7"/>
      <c r="AEJ18" s="7"/>
      <c r="AEK18" s="7"/>
      <c r="AEL18" s="7"/>
      <c r="AEM18" s="7"/>
      <c r="AEN18" s="7"/>
      <c r="AEO18" s="7"/>
      <c r="AEP18" s="7"/>
      <c r="AEQ18" s="7"/>
      <c r="AER18" s="7"/>
      <c r="AES18" s="7"/>
      <c r="AET18" s="7"/>
      <c r="AEU18" s="7"/>
      <c r="AEV18" s="7"/>
      <c r="AEW18" s="7"/>
      <c r="AEX18" s="7"/>
      <c r="AEY18" s="7"/>
      <c r="AEZ18" s="7"/>
      <c r="AFA18" s="7"/>
      <c r="AFB18" s="7"/>
      <c r="AFC18" s="7"/>
      <c r="AFD18" s="7"/>
      <c r="AFE18" s="7"/>
      <c r="AFF18" s="7"/>
      <c r="AFG18" s="7"/>
      <c r="AFH18" s="7"/>
      <c r="AFI18" s="7"/>
      <c r="AFJ18" s="7"/>
      <c r="AFK18" s="7"/>
      <c r="AFL18" s="7"/>
      <c r="AFM18" s="7"/>
      <c r="AFN18" s="7"/>
      <c r="AFO18" s="7"/>
      <c r="AFP18" s="7"/>
      <c r="AFQ18" s="7"/>
      <c r="AFR18" s="7"/>
      <c r="AFS18" s="7"/>
      <c r="AFT18" s="7"/>
      <c r="AFU18" s="7"/>
      <c r="AFV18" s="7"/>
      <c r="AFW18" s="7"/>
      <c r="AFX18" s="7"/>
      <c r="AFY18" s="7"/>
      <c r="AFZ18" s="7"/>
      <c r="AGA18" s="7"/>
      <c r="AGB18" s="7"/>
      <c r="AGC18" s="7"/>
      <c r="AGD18" s="7"/>
      <c r="AGE18" s="7"/>
      <c r="AGF18" s="7"/>
      <c r="AGG18" s="7"/>
      <c r="AGH18" s="7"/>
      <c r="AGI18" s="7"/>
      <c r="AGJ18" s="7"/>
      <c r="AGK18" s="7"/>
      <c r="AGL18" s="7"/>
      <c r="AGM18" s="7"/>
      <c r="AGN18" s="7"/>
      <c r="AGO18" s="7"/>
      <c r="AGP18" s="7"/>
      <c r="AGQ18" s="7"/>
      <c r="AGR18" s="7"/>
      <c r="AGS18" s="7"/>
      <c r="AGT18" s="7"/>
      <c r="AGU18" s="7"/>
      <c r="AGV18" s="7"/>
      <c r="AGW18" s="7"/>
      <c r="AGX18" s="7"/>
      <c r="AGY18" s="7"/>
      <c r="AGZ18" s="7"/>
      <c r="AHA18" s="7"/>
      <c r="AHB18" s="7"/>
      <c r="AHC18" s="7"/>
      <c r="AHD18" s="7"/>
      <c r="AHE18" s="7"/>
      <c r="AHF18" s="7"/>
      <c r="AHG18" s="7"/>
      <c r="AHH18" s="7"/>
      <c r="AHI18" s="7"/>
      <c r="AHJ18" s="7"/>
      <c r="AHK18" s="7"/>
      <c r="AHL18" s="7"/>
      <c r="AHM18" s="7"/>
      <c r="AHN18" s="7"/>
      <c r="AHO18" s="7"/>
      <c r="AHP18" s="7"/>
      <c r="AHQ18" s="7"/>
      <c r="AHR18" s="7"/>
      <c r="AHS18" s="7"/>
      <c r="AHT18" s="7"/>
      <c r="AHU18" s="7"/>
      <c r="AHV18" s="7"/>
      <c r="AHW18" s="7"/>
      <c r="AHX18" s="7"/>
      <c r="AHY18" s="7"/>
      <c r="AHZ18" s="7"/>
      <c r="AIA18" s="7"/>
      <c r="AIB18" s="7"/>
      <c r="AIC18" s="7"/>
      <c r="AID18" s="7"/>
      <c r="AIE18" s="7"/>
      <c r="AIF18" s="7"/>
      <c r="AIG18" s="7"/>
      <c r="AIH18" s="7"/>
      <c r="AII18" s="7"/>
      <c r="AIJ18" s="7"/>
      <c r="AIK18" s="7"/>
      <c r="AIL18" s="7"/>
      <c r="AIM18" s="7"/>
      <c r="AIN18" s="7"/>
      <c r="AIO18" s="7"/>
      <c r="AIP18" s="7"/>
      <c r="AIQ18" s="7"/>
      <c r="AIR18" s="7"/>
      <c r="AIS18" s="7"/>
      <c r="AIT18" s="7"/>
      <c r="AIU18" s="7"/>
      <c r="AIV18" s="7"/>
      <c r="AIW18" s="7"/>
      <c r="AIX18" s="7"/>
      <c r="AIY18" s="7"/>
      <c r="AIZ18" s="7"/>
      <c r="AJA18" s="7"/>
      <c r="AJB18" s="7"/>
      <c r="AJC18" s="7"/>
      <c r="AJD18" s="7"/>
      <c r="AJE18" s="7"/>
      <c r="AJF18" s="7"/>
      <c r="AJG18" s="7"/>
      <c r="AJH18" s="7"/>
      <c r="AJI18" s="7"/>
      <c r="AJJ18" s="7"/>
      <c r="AJK18" s="7"/>
      <c r="AJL18" s="7"/>
      <c r="AJM18" s="7"/>
      <c r="AJN18" s="7"/>
      <c r="AJO18" s="7"/>
      <c r="AJP18" s="7"/>
      <c r="AJQ18" s="7"/>
      <c r="AJR18" s="7"/>
      <c r="AJS18" s="7"/>
      <c r="AJT18" s="7"/>
      <c r="AJU18" s="7"/>
      <c r="AJV18" s="7"/>
      <c r="AJW18" s="7"/>
      <c r="AJX18" s="7"/>
      <c r="AJY18" s="7"/>
      <c r="AJZ18" s="7"/>
      <c r="AKA18" s="7"/>
      <c r="AKB18" s="7"/>
      <c r="AKC18" s="7"/>
      <c r="AKD18" s="7"/>
      <c r="AKE18" s="7"/>
      <c r="AKF18" s="7"/>
      <c r="AKG18" s="7"/>
      <c r="AKH18" s="7"/>
      <c r="AKI18" s="7"/>
      <c r="AKJ18" s="7"/>
      <c r="AKK18" s="7"/>
      <c r="AKL18" s="7"/>
      <c r="AKM18" s="7"/>
      <c r="AKN18" s="7"/>
      <c r="AKO18" s="7"/>
      <c r="AKP18" s="7"/>
      <c r="AKQ18" s="7"/>
      <c r="AKR18" s="7"/>
      <c r="AKS18" s="7"/>
      <c r="AKT18" s="7"/>
      <c r="AKU18" s="7"/>
      <c r="AKV18" s="7"/>
      <c r="AKW18" s="7"/>
      <c r="AKX18" s="7"/>
      <c r="AKY18" s="7"/>
      <c r="AKZ18" s="7"/>
      <c r="ALA18" s="7"/>
      <c r="ALB18" s="7"/>
      <c r="ALC18" s="7"/>
      <c r="ALD18" s="7"/>
      <c r="ALE18" s="7"/>
      <c r="ALF18" s="7"/>
      <c r="ALG18" s="7"/>
      <c r="ALH18" s="7"/>
      <c r="ALI18" s="7"/>
      <c r="ALJ18" s="7"/>
      <c r="ALK18" s="7"/>
      <c r="ALL18" s="7"/>
      <c r="ALM18" s="7"/>
      <c r="ALN18" s="7"/>
      <c r="ALO18" s="7"/>
      <c r="ALP18" s="7"/>
      <c r="ALQ18" s="7"/>
      <c r="ALR18" s="7"/>
      <c r="ALS18" s="7"/>
      <c r="ALT18" s="7"/>
      <c r="ALU18" s="7"/>
      <c r="ALV18" s="7"/>
      <c r="ALW18" s="7"/>
      <c r="ALX18" s="7"/>
      <c r="ALY18" s="7"/>
      <c r="ALZ18" s="7"/>
      <c r="AMA18" s="7"/>
      <c r="AMB18" s="7"/>
      <c r="AMC18" s="7"/>
      <c r="AMD18" s="7"/>
      <c r="AME18" s="7"/>
      <c r="AMF18" s="7"/>
      <c r="AMG18" s="7"/>
      <c r="AMH18" s="7"/>
      <c r="AMI18" s="7"/>
      <c r="AMJ18" s="7"/>
      <c r="AMK18" s="7"/>
      <c r="AML18" s="7"/>
      <c r="AMM18" s="7"/>
      <c r="AMN18" s="7"/>
      <c r="AMO18" s="7"/>
      <c r="AMP18" s="7"/>
      <c r="AMQ18" s="7"/>
      <c r="AMR18" s="7"/>
      <c r="AMS18" s="7"/>
      <c r="AMT18" s="7"/>
      <c r="AMU18" s="7"/>
      <c r="AMV18" s="7"/>
      <c r="AMW18" s="7"/>
      <c r="AMX18" s="7"/>
      <c r="AMY18" s="7"/>
      <c r="AMZ18" s="7"/>
      <c r="ANA18" s="7"/>
      <c r="ANB18" s="7"/>
      <c r="ANC18" s="7"/>
      <c r="AND18" s="7"/>
      <c r="ANE18" s="7"/>
      <c r="ANF18" s="7"/>
      <c r="ANG18" s="7"/>
      <c r="ANH18" s="7"/>
      <c r="ANI18" s="7"/>
      <c r="ANJ18" s="7"/>
      <c r="ANK18" s="7"/>
      <c r="ANL18" s="7"/>
      <c r="ANM18" s="7"/>
      <c r="ANN18" s="7"/>
      <c r="ANO18" s="7"/>
      <c r="ANP18" s="7"/>
      <c r="ANQ18" s="7"/>
      <c r="ANR18" s="7"/>
      <c r="ANS18" s="7"/>
      <c r="ANT18" s="7"/>
      <c r="ANU18" s="7"/>
      <c r="ANV18" s="7"/>
      <c r="ANW18" s="7"/>
      <c r="ANX18" s="7"/>
      <c r="ANY18" s="7"/>
      <c r="ANZ18" s="7"/>
      <c r="AOA18" s="7"/>
      <c r="AOB18" s="7"/>
      <c r="AOC18" s="7"/>
      <c r="AOD18" s="7"/>
      <c r="AOE18" s="7"/>
      <c r="AOF18" s="7"/>
      <c r="AOG18" s="7"/>
      <c r="AOH18" s="7"/>
      <c r="AOI18" s="7"/>
      <c r="AOJ18" s="7"/>
      <c r="AOK18" s="7"/>
      <c r="AOL18" s="7"/>
      <c r="AOM18" s="7"/>
      <c r="AON18" s="7"/>
      <c r="AOO18" s="7"/>
      <c r="AOP18" s="7"/>
      <c r="AOQ18" s="7"/>
      <c r="AOR18" s="7"/>
      <c r="AOS18" s="7"/>
      <c r="AOT18" s="7"/>
      <c r="AOU18" s="7"/>
      <c r="AOV18" s="7"/>
      <c r="AOW18" s="7"/>
      <c r="AOX18" s="7"/>
      <c r="AOY18" s="7"/>
      <c r="AOZ18" s="7"/>
      <c r="APA18" s="7"/>
      <c r="APB18" s="7"/>
      <c r="APC18" s="7"/>
      <c r="APD18" s="7"/>
      <c r="APE18" s="7"/>
      <c r="APF18" s="7"/>
      <c r="APG18" s="7"/>
      <c r="APH18" s="7"/>
      <c r="API18" s="7"/>
      <c r="APJ18" s="7"/>
      <c r="APK18" s="7"/>
      <c r="APL18" s="7"/>
      <c r="APM18" s="7"/>
      <c r="APN18" s="7"/>
      <c r="APO18" s="7"/>
      <c r="APP18" s="7"/>
      <c r="APQ18" s="7"/>
      <c r="APR18" s="7"/>
      <c r="APS18" s="7"/>
      <c r="APT18" s="7"/>
      <c r="APU18" s="7"/>
      <c r="APV18" s="7"/>
      <c r="APW18" s="7"/>
      <c r="APX18" s="7"/>
      <c r="APY18" s="7"/>
      <c r="APZ18" s="7"/>
      <c r="AQA18" s="7"/>
      <c r="AQB18" s="7"/>
      <c r="AQC18" s="7"/>
      <c r="AQD18" s="7"/>
      <c r="AQE18" s="7"/>
      <c r="AQF18" s="7"/>
      <c r="AQG18" s="7"/>
      <c r="AQH18" s="7"/>
      <c r="AQI18" s="7"/>
      <c r="AQJ18" s="7"/>
      <c r="AQK18" s="7"/>
      <c r="AQL18" s="7"/>
      <c r="AQM18" s="7"/>
      <c r="AQN18" s="7"/>
      <c r="AQO18" s="7"/>
      <c r="AQP18" s="7"/>
      <c r="AQQ18" s="7"/>
      <c r="AQR18" s="7"/>
      <c r="AQS18" s="7"/>
      <c r="AQT18" s="7"/>
      <c r="AQU18" s="7"/>
      <c r="AQV18" s="7"/>
      <c r="AQW18" s="7"/>
      <c r="AQX18" s="7"/>
      <c r="AQY18" s="7"/>
      <c r="AQZ18" s="7"/>
      <c r="ARA18" s="7"/>
      <c r="ARB18" s="7"/>
      <c r="ARC18" s="7"/>
      <c r="ARD18" s="7"/>
      <c r="ARE18" s="7"/>
      <c r="ARF18" s="7"/>
      <c r="ARG18" s="7"/>
      <c r="ARH18" s="7"/>
      <c r="ARI18" s="7"/>
      <c r="ARJ18" s="7"/>
      <c r="ARK18" s="7"/>
      <c r="ARL18" s="7"/>
      <c r="ARM18" s="7"/>
      <c r="ARN18" s="7"/>
      <c r="ARO18" s="7"/>
      <c r="ARP18" s="7"/>
      <c r="ARQ18" s="7"/>
      <c r="ARR18" s="7"/>
      <c r="ARS18" s="7"/>
      <c r="ART18" s="7"/>
      <c r="ARU18" s="7"/>
      <c r="ARV18" s="7"/>
      <c r="ARW18" s="7"/>
      <c r="ARX18" s="7"/>
      <c r="ARY18" s="7"/>
      <c r="ARZ18" s="7"/>
      <c r="ASA18" s="7"/>
      <c r="ASB18" s="7"/>
      <c r="ASC18" s="7"/>
      <c r="ASD18" s="7"/>
      <c r="ASE18" s="7"/>
      <c r="ASF18" s="7"/>
      <c r="ASG18" s="7"/>
      <c r="ASH18" s="7"/>
      <c r="ASI18" s="7"/>
      <c r="ASJ18" s="7"/>
      <c r="ASK18" s="7"/>
      <c r="ASL18" s="7"/>
      <c r="ASM18" s="7"/>
      <c r="ASN18" s="7"/>
      <c r="ASO18" s="7"/>
      <c r="ASP18" s="7"/>
      <c r="ASQ18" s="7"/>
      <c r="ASR18" s="7"/>
      <c r="ASS18" s="7"/>
      <c r="AST18" s="7"/>
      <c r="ASU18" s="7"/>
      <c r="ASV18" s="7"/>
      <c r="ASW18" s="7"/>
      <c r="ASX18" s="7"/>
      <c r="ASY18" s="7"/>
      <c r="ASZ18" s="7"/>
      <c r="ATA18" s="7"/>
      <c r="ATB18" s="7"/>
      <c r="ATC18" s="7"/>
      <c r="ATD18" s="7"/>
      <c r="ATE18" s="7"/>
      <c r="ATF18" s="7"/>
      <c r="ATG18" s="7"/>
      <c r="ATH18" s="7"/>
      <c r="ATI18" s="7"/>
      <c r="ATJ18" s="7"/>
      <c r="ATK18" s="7"/>
      <c r="ATL18" s="7"/>
      <c r="ATM18" s="7"/>
      <c r="ATN18" s="7"/>
      <c r="ATO18" s="7"/>
      <c r="ATP18" s="7"/>
      <c r="ATQ18" s="7"/>
      <c r="ATR18" s="7"/>
      <c r="ATS18" s="7"/>
      <c r="ATT18" s="7"/>
      <c r="ATU18" s="7"/>
      <c r="ATV18" s="7"/>
      <c r="ATW18" s="7"/>
      <c r="ATX18" s="7"/>
      <c r="ATY18" s="7"/>
      <c r="ATZ18" s="7"/>
      <c r="AUA18" s="7"/>
      <c r="AUB18" s="7"/>
      <c r="AUC18" s="7"/>
      <c r="AUD18" s="7"/>
      <c r="AUE18" s="7"/>
      <c r="AUF18" s="7"/>
      <c r="AUG18" s="7"/>
      <c r="AUH18" s="7"/>
      <c r="AUI18" s="7"/>
      <c r="AUJ18" s="7"/>
      <c r="AUK18" s="7"/>
      <c r="AUL18" s="7"/>
      <c r="AUM18" s="7"/>
      <c r="AUN18" s="7"/>
      <c r="AUO18" s="7"/>
      <c r="AUP18" s="7"/>
      <c r="AUQ18" s="7"/>
      <c r="AUR18" s="7"/>
      <c r="AUS18" s="7"/>
      <c r="AUT18" s="7"/>
      <c r="AUU18" s="7"/>
      <c r="AUV18" s="7"/>
      <c r="AUW18" s="7"/>
      <c r="AUX18" s="7"/>
      <c r="AUY18" s="7"/>
      <c r="AUZ18" s="7"/>
      <c r="AVA18" s="7"/>
      <c r="AVB18" s="7"/>
      <c r="AVC18" s="7"/>
      <c r="AVD18" s="7"/>
      <c r="AVE18" s="7"/>
      <c r="AVF18" s="7"/>
      <c r="AVG18" s="7"/>
      <c r="AVH18" s="7"/>
      <c r="AVI18" s="7"/>
      <c r="AVJ18" s="7"/>
      <c r="AVK18" s="7"/>
      <c r="AVL18" s="7"/>
      <c r="AVM18" s="7"/>
      <c r="AVN18" s="7"/>
      <c r="AVO18" s="7"/>
      <c r="AVP18" s="7"/>
      <c r="AVQ18" s="7"/>
      <c r="AVR18" s="7"/>
      <c r="AVS18" s="7"/>
      <c r="AVT18" s="7"/>
      <c r="AVU18" s="7"/>
      <c r="AVV18" s="7"/>
      <c r="AVW18" s="7"/>
      <c r="AVX18" s="7"/>
      <c r="AVY18" s="7"/>
      <c r="AVZ18" s="7"/>
      <c r="AWA18" s="7"/>
      <c r="AWB18" s="7"/>
      <c r="AWC18" s="7"/>
      <c r="AWD18" s="7"/>
      <c r="AWE18" s="7"/>
      <c r="AWF18" s="7"/>
      <c r="AWG18" s="7"/>
      <c r="AWH18" s="7"/>
      <c r="AWI18" s="7"/>
      <c r="AWJ18" s="7"/>
      <c r="AWK18" s="7"/>
      <c r="AWL18" s="7"/>
      <c r="AWM18" s="7"/>
      <c r="AWN18" s="7"/>
      <c r="AWO18" s="7"/>
      <c r="AWP18" s="7"/>
      <c r="AWQ18" s="7"/>
      <c r="AWR18" s="7"/>
      <c r="AWS18" s="7"/>
      <c r="AWT18" s="7"/>
      <c r="AWU18" s="7"/>
      <c r="AWV18" s="7"/>
      <c r="AWW18" s="7"/>
      <c r="AWX18" s="7"/>
      <c r="AWY18" s="7"/>
      <c r="AWZ18" s="7"/>
      <c r="AXA18" s="7"/>
      <c r="AXB18" s="7"/>
      <c r="AXC18" s="7"/>
      <c r="AXD18" s="7"/>
      <c r="AXE18" s="7"/>
      <c r="AXF18" s="7"/>
      <c r="AXG18" s="7"/>
      <c r="AXH18" s="7"/>
      <c r="AXI18" s="7"/>
      <c r="AXJ18" s="7"/>
      <c r="AXK18" s="7"/>
      <c r="AXL18" s="7"/>
      <c r="AXM18" s="7"/>
      <c r="AXN18" s="7"/>
      <c r="AXO18" s="7"/>
      <c r="AXP18" s="7"/>
      <c r="AXQ18" s="7"/>
      <c r="AXR18" s="7"/>
      <c r="AXS18" s="7"/>
      <c r="AXT18" s="7"/>
      <c r="AXU18" s="7"/>
      <c r="AXV18" s="7"/>
      <c r="AXW18" s="7"/>
      <c r="AXX18" s="7"/>
      <c r="AXY18" s="7"/>
      <c r="AXZ18" s="7"/>
      <c r="AYA18" s="7"/>
      <c r="AYB18" s="7"/>
      <c r="AYC18" s="7"/>
      <c r="AYD18" s="7"/>
      <c r="AYE18" s="7"/>
      <c r="AYF18" s="7"/>
      <c r="AYG18" s="7"/>
      <c r="AYH18" s="7"/>
      <c r="AYI18" s="7"/>
      <c r="AYJ18" s="7"/>
      <c r="AYK18" s="7"/>
      <c r="AYL18" s="7"/>
      <c r="AYM18" s="7"/>
      <c r="AYN18" s="7"/>
      <c r="AYO18" s="7"/>
      <c r="AYP18" s="7"/>
      <c r="AYQ18" s="7"/>
      <c r="AYR18" s="7"/>
      <c r="AYS18" s="7"/>
      <c r="AYT18" s="7"/>
      <c r="AYU18" s="7"/>
      <c r="AYV18" s="7"/>
      <c r="AYW18" s="7"/>
      <c r="AYX18" s="7"/>
      <c r="AYY18" s="7"/>
      <c r="AYZ18" s="7"/>
      <c r="AZA18" s="7"/>
      <c r="AZB18" s="7"/>
      <c r="AZC18" s="7"/>
      <c r="AZD18" s="7"/>
      <c r="AZE18" s="7"/>
      <c r="AZF18" s="7"/>
      <c r="AZG18" s="7"/>
      <c r="AZH18" s="7"/>
      <c r="AZI18" s="7"/>
      <c r="AZJ18" s="7"/>
      <c r="AZK18" s="7"/>
      <c r="AZL18" s="7"/>
      <c r="AZM18" s="7"/>
      <c r="AZN18" s="7"/>
      <c r="AZO18" s="7"/>
      <c r="AZP18" s="7"/>
      <c r="AZQ18" s="7"/>
      <c r="AZR18" s="7"/>
      <c r="AZS18" s="7"/>
      <c r="AZT18" s="7"/>
      <c r="AZU18" s="7"/>
      <c r="AZV18" s="7"/>
      <c r="AZW18" s="7"/>
      <c r="AZX18" s="7"/>
      <c r="AZY18" s="7"/>
      <c r="AZZ18" s="7"/>
      <c r="BAA18" s="7"/>
      <c r="BAB18" s="7"/>
      <c r="BAC18" s="7"/>
      <c r="BAD18" s="7"/>
      <c r="BAE18" s="7"/>
      <c r="BAF18" s="7"/>
      <c r="BAG18" s="7"/>
      <c r="BAH18" s="7"/>
      <c r="BAI18" s="7"/>
      <c r="BAJ18" s="7"/>
      <c r="BAK18" s="7"/>
      <c r="BAL18" s="7"/>
      <c r="BAM18" s="7"/>
      <c r="BAN18" s="7"/>
      <c r="BAO18" s="7"/>
      <c r="BAP18" s="7"/>
      <c r="BAQ18" s="7"/>
      <c r="BAR18" s="7"/>
      <c r="BAS18" s="7"/>
      <c r="BAT18" s="7"/>
      <c r="BAU18" s="7"/>
      <c r="BAV18" s="7"/>
      <c r="BAW18" s="7"/>
      <c r="BAX18" s="7"/>
      <c r="BAY18" s="7"/>
      <c r="BAZ18" s="7"/>
      <c r="BBA18" s="7"/>
      <c r="BBB18" s="7"/>
      <c r="BBC18" s="7"/>
      <c r="BBD18" s="7"/>
      <c r="BBE18" s="7"/>
      <c r="BBF18" s="7"/>
      <c r="BBG18" s="7"/>
      <c r="BBH18" s="7"/>
      <c r="BBI18" s="7"/>
      <c r="BBJ18" s="7"/>
      <c r="BBK18" s="7"/>
      <c r="BBL18" s="7"/>
      <c r="BBM18" s="7"/>
      <c r="BBN18" s="7"/>
      <c r="BBO18" s="7"/>
      <c r="BBP18" s="7"/>
      <c r="BBQ18" s="7"/>
      <c r="BBR18" s="7"/>
      <c r="BBS18" s="7"/>
      <c r="BBT18" s="7"/>
      <c r="BBU18" s="7"/>
      <c r="BBV18" s="7"/>
      <c r="BBW18" s="7"/>
      <c r="BBX18" s="7"/>
      <c r="BBY18" s="7"/>
      <c r="BBZ18" s="7"/>
      <c r="BCA18" s="7"/>
      <c r="BCB18" s="7"/>
      <c r="BCC18" s="7"/>
      <c r="BCD18" s="7"/>
      <c r="BCE18" s="7"/>
      <c r="BCF18" s="7"/>
      <c r="BCG18" s="7"/>
      <c r="BCH18" s="7"/>
      <c r="BCI18" s="7"/>
      <c r="BCJ18" s="7"/>
      <c r="BCK18" s="7"/>
      <c r="BCL18" s="7"/>
      <c r="BCM18" s="7"/>
      <c r="BCN18" s="7"/>
      <c r="BCO18" s="7"/>
      <c r="BCP18" s="7"/>
      <c r="BCQ18" s="7"/>
      <c r="BCR18" s="7"/>
      <c r="BCS18" s="7"/>
      <c r="BCT18" s="7"/>
      <c r="BCU18" s="7"/>
      <c r="BCV18" s="7"/>
      <c r="BCW18" s="7"/>
      <c r="BCX18" s="7"/>
      <c r="BCY18" s="7"/>
      <c r="BCZ18" s="7"/>
      <c r="BDA18" s="7"/>
      <c r="BDB18" s="7"/>
      <c r="BDC18" s="7"/>
      <c r="BDD18" s="7"/>
      <c r="BDE18" s="7"/>
      <c r="BDF18" s="7"/>
      <c r="BDG18" s="7"/>
      <c r="BDH18" s="7"/>
      <c r="BDI18" s="7"/>
      <c r="BDJ18" s="7"/>
      <c r="BDK18" s="7"/>
      <c r="BDL18" s="7"/>
      <c r="BDM18" s="7"/>
      <c r="BDN18" s="7"/>
      <c r="BDO18" s="7"/>
      <c r="BDP18" s="7"/>
      <c r="BDQ18" s="7"/>
      <c r="BDR18" s="7"/>
      <c r="BDS18" s="7"/>
      <c r="BDT18" s="7"/>
      <c r="BDU18" s="7"/>
      <c r="BDV18" s="7"/>
      <c r="BDW18" s="7"/>
      <c r="BDX18" s="7"/>
      <c r="BDY18" s="7"/>
      <c r="BDZ18" s="7"/>
      <c r="BEA18" s="7"/>
      <c r="BEB18" s="7"/>
      <c r="BEC18" s="7"/>
      <c r="BED18" s="7"/>
      <c r="BEE18" s="7"/>
      <c r="BEF18" s="7"/>
      <c r="BEG18" s="7"/>
      <c r="BEH18" s="7"/>
      <c r="BEI18" s="7"/>
      <c r="BEJ18" s="7"/>
      <c r="BEK18" s="7"/>
      <c r="BEL18" s="7"/>
      <c r="BEM18" s="7"/>
      <c r="BEN18" s="7"/>
      <c r="BEO18" s="7"/>
      <c r="BEP18" s="7"/>
      <c r="BEQ18" s="7"/>
      <c r="BER18" s="7"/>
      <c r="BES18" s="7"/>
      <c r="BET18" s="7"/>
      <c r="BEU18" s="7"/>
      <c r="BEV18" s="7"/>
      <c r="BEW18" s="7"/>
      <c r="BEX18" s="7"/>
      <c r="BEY18" s="7"/>
      <c r="BEZ18" s="7"/>
      <c r="BFA18" s="7"/>
      <c r="BFB18" s="7"/>
      <c r="BFC18" s="7"/>
      <c r="BFD18" s="7"/>
      <c r="BFE18" s="7"/>
      <c r="BFF18" s="7"/>
      <c r="BFG18" s="7"/>
      <c r="BFH18" s="7"/>
      <c r="BFI18" s="7"/>
      <c r="BFJ18" s="7"/>
      <c r="BFK18" s="7"/>
      <c r="BFL18" s="7"/>
      <c r="BFM18" s="7"/>
      <c r="BFN18" s="7"/>
      <c r="BFO18" s="7"/>
      <c r="BFP18" s="7"/>
      <c r="BFQ18" s="7"/>
      <c r="BFR18" s="7"/>
      <c r="BFS18" s="7"/>
      <c r="BFT18" s="7"/>
      <c r="BFU18" s="7"/>
      <c r="BFV18" s="7"/>
      <c r="BFW18" s="7"/>
      <c r="BFX18" s="7"/>
      <c r="BFY18" s="7"/>
      <c r="BFZ18" s="7"/>
      <c r="BGA18" s="7"/>
      <c r="BGB18" s="7"/>
      <c r="BGC18" s="7"/>
      <c r="BGD18" s="7"/>
      <c r="BGE18" s="7"/>
      <c r="BGF18" s="7"/>
      <c r="BGG18" s="7"/>
      <c r="BGH18" s="7"/>
      <c r="BGI18" s="7"/>
      <c r="BGJ18" s="7"/>
      <c r="BGK18" s="7"/>
      <c r="BGL18" s="7"/>
      <c r="BGM18" s="7"/>
      <c r="BGN18" s="7"/>
      <c r="BGO18" s="7"/>
      <c r="BGP18" s="7"/>
      <c r="BGQ18" s="7"/>
      <c r="BGR18" s="7"/>
      <c r="BGS18" s="7"/>
      <c r="BGT18" s="7"/>
      <c r="BGU18" s="7"/>
      <c r="BGV18" s="7"/>
      <c r="BGW18" s="7"/>
      <c r="BGX18" s="7"/>
      <c r="BGY18" s="7"/>
      <c r="BGZ18" s="7"/>
      <c r="BHA18" s="7"/>
      <c r="BHB18" s="7"/>
      <c r="BHC18" s="7"/>
      <c r="BHD18" s="7"/>
      <c r="BHE18" s="7"/>
      <c r="BHF18" s="7"/>
      <c r="BHG18" s="7"/>
      <c r="BHH18" s="7"/>
      <c r="BHI18" s="7"/>
      <c r="BHJ18" s="7"/>
      <c r="BHK18" s="7"/>
      <c r="BHL18" s="7"/>
      <c r="BHM18" s="7"/>
      <c r="BHN18" s="7"/>
      <c r="BHO18" s="7"/>
      <c r="BHP18" s="7"/>
      <c r="BHQ18" s="7"/>
      <c r="BHR18" s="7"/>
      <c r="BHS18" s="7"/>
      <c r="BHT18" s="7"/>
      <c r="BHU18" s="7"/>
      <c r="BHV18" s="7"/>
      <c r="BHW18" s="7"/>
      <c r="BHX18" s="7"/>
      <c r="BHY18" s="7"/>
      <c r="BHZ18" s="7"/>
      <c r="BIA18" s="7"/>
      <c r="BIB18" s="7"/>
      <c r="BIC18" s="7"/>
      <c r="BID18" s="7"/>
      <c r="BIE18" s="7"/>
      <c r="BIF18" s="7"/>
      <c r="BIG18" s="7"/>
      <c r="BIH18" s="7"/>
      <c r="BII18" s="7"/>
      <c r="BIJ18" s="7"/>
      <c r="BIK18" s="7"/>
      <c r="BIL18" s="7"/>
      <c r="BIM18" s="7"/>
      <c r="BIN18" s="7"/>
      <c r="BIO18" s="7"/>
      <c r="BIP18" s="7"/>
      <c r="BIQ18" s="7"/>
      <c r="BIR18" s="7"/>
      <c r="BIS18" s="7"/>
      <c r="BIT18" s="7"/>
      <c r="BIU18" s="7"/>
      <c r="BIV18" s="7"/>
      <c r="BIW18" s="7"/>
      <c r="BIX18" s="7"/>
      <c r="BIY18" s="7"/>
      <c r="BIZ18" s="7"/>
      <c r="BJA18" s="7"/>
      <c r="BJB18" s="7"/>
      <c r="BJC18" s="7"/>
      <c r="BJD18" s="7"/>
      <c r="BJE18" s="7"/>
      <c r="BJF18" s="7"/>
      <c r="BJG18" s="7"/>
      <c r="BJH18" s="7"/>
      <c r="BJI18" s="7"/>
      <c r="BJJ18" s="7"/>
      <c r="BJK18" s="7"/>
      <c r="BJL18" s="7"/>
      <c r="BJM18" s="7"/>
      <c r="BJN18" s="7"/>
      <c r="BJO18" s="7"/>
      <c r="BJP18" s="7"/>
      <c r="BJQ18" s="7"/>
      <c r="BJR18" s="7"/>
      <c r="BJS18" s="7"/>
      <c r="BJT18" s="7"/>
      <c r="BJU18" s="7"/>
      <c r="BJV18" s="7"/>
      <c r="BJW18" s="7"/>
      <c r="BJX18" s="7"/>
      <c r="BJY18" s="7"/>
      <c r="BJZ18" s="7"/>
      <c r="BKA18" s="7"/>
      <c r="BKB18" s="7"/>
      <c r="BKC18" s="7"/>
      <c r="BKD18" s="7"/>
      <c r="BKE18" s="7"/>
      <c r="BKF18" s="7"/>
      <c r="BKG18" s="7"/>
      <c r="BKH18" s="7"/>
      <c r="BKI18" s="7"/>
      <c r="BKJ18" s="7"/>
      <c r="BKK18" s="7"/>
      <c r="BKL18" s="7"/>
      <c r="BKM18" s="7"/>
      <c r="BKN18" s="7"/>
      <c r="BKO18" s="7"/>
      <c r="BKP18" s="7"/>
      <c r="BKQ18" s="7"/>
      <c r="BKR18" s="7"/>
      <c r="BKS18" s="7"/>
      <c r="BKT18" s="7"/>
      <c r="BKU18" s="7"/>
      <c r="BKV18" s="7"/>
      <c r="BKW18" s="7"/>
      <c r="BKX18" s="7"/>
      <c r="BKY18" s="7"/>
      <c r="BKZ18" s="7"/>
      <c r="BLA18" s="7"/>
      <c r="BLB18" s="7"/>
      <c r="BLC18" s="7"/>
      <c r="BLD18" s="7"/>
      <c r="BLE18" s="7"/>
      <c r="BLF18" s="7"/>
      <c r="BLG18" s="7"/>
      <c r="BLH18" s="7"/>
      <c r="BLI18" s="7"/>
      <c r="BLJ18" s="7"/>
      <c r="BLK18" s="7"/>
      <c r="BLL18" s="7"/>
      <c r="BLM18" s="7"/>
      <c r="BLN18" s="7"/>
      <c r="BLO18" s="7"/>
      <c r="BLP18" s="7"/>
      <c r="BLQ18" s="7"/>
      <c r="BLR18" s="7"/>
      <c r="BLS18" s="7"/>
      <c r="BLT18" s="7"/>
      <c r="BLU18" s="7"/>
      <c r="BLV18" s="7"/>
      <c r="BLW18" s="7"/>
      <c r="BLX18" s="7"/>
      <c r="BLY18" s="7"/>
      <c r="BLZ18" s="7"/>
      <c r="BMA18" s="7"/>
      <c r="BMB18" s="7"/>
      <c r="BMC18" s="7"/>
      <c r="BMD18" s="7"/>
      <c r="BME18" s="7"/>
      <c r="BMF18" s="7"/>
      <c r="BMG18" s="7"/>
      <c r="BMH18" s="7"/>
      <c r="BMI18" s="7"/>
      <c r="BMJ18" s="7"/>
      <c r="BMK18" s="7"/>
      <c r="BML18" s="7"/>
      <c r="BMM18" s="7"/>
      <c r="BMN18" s="7"/>
      <c r="BMO18" s="7"/>
      <c r="BMP18" s="7"/>
      <c r="BMQ18" s="7"/>
      <c r="BMR18" s="7"/>
      <c r="BMS18" s="7"/>
      <c r="BMT18" s="7"/>
      <c r="BMU18" s="7"/>
      <c r="BMV18" s="7"/>
      <c r="BMW18" s="7"/>
      <c r="BMX18" s="7"/>
      <c r="BMY18" s="7"/>
      <c r="BMZ18" s="7"/>
      <c r="BNA18" s="7"/>
      <c r="BNB18" s="7"/>
      <c r="BNC18" s="7"/>
      <c r="BND18" s="7"/>
      <c r="BNE18" s="7"/>
      <c r="BNF18" s="7"/>
      <c r="BNG18" s="7"/>
      <c r="BNH18" s="7"/>
      <c r="BNI18" s="7"/>
      <c r="BNJ18" s="7"/>
      <c r="BNK18" s="7"/>
      <c r="BNL18" s="7"/>
      <c r="BNM18" s="7"/>
      <c r="BNN18" s="7"/>
      <c r="BNO18" s="7"/>
      <c r="BNP18" s="7"/>
      <c r="BNQ18" s="7"/>
      <c r="BNR18" s="7"/>
      <c r="BNS18" s="7"/>
      <c r="BNT18" s="7"/>
      <c r="BNU18" s="7"/>
      <c r="BNV18" s="7"/>
      <c r="BNW18" s="7"/>
      <c r="BNX18" s="7"/>
      <c r="BNY18" s="7"/>
      <c r="BNZ18" s="7"/>
      <c r="BOA18" s="7"/>
      <c r="BOB18" s="7"/>
      <c r="BOC18" s="7"/>
      <c r="BOD18" s="7"/>
      <c r="BOE18" s="7"/>
      <c r="BOF18" s="7"/>
      <c r="BOG18" s="7"/>
      <c r="BOH18" s="7"/>
      <c r="BOI18" s="7"/>
      <c r="BOJ18" s="7"/>
      <c r="BOK18" s="7"/>
      <c r="BOL18" s="7"/>
      <c r="BOM18" s="7"/>
      <c r="BON18" s="7"/>
      <c r="BOO18" s="7"/>
      <c r="BOP18" s="7"/>
      <c r="BOQ18" s="7"/>
      <c r="BOR18" s="7"/>
      <c r="BOS18" s="7"/>
      <c r="BOT18" s="7"/>
      <c r="BOU18" s="7"/>
      <c r="BOV18" s="7"/>
      <c r="BOW18" s="7"/>
      <c r="BOX18" s="7"/>
      <c r="BOY18" s="7"/>
      <c r="BOZ18" s="7"/>
      <c r="BPA18" s="7"/>
      <c r="BPB18" s="7"/>
      <c r="BPC18" s="7"/>
      <c r="BPD18" s="7"/>
      <c r="BPE18" s="7"/>
      <c r="BPF18" s="7"/>
      <c r="BPG18" s="7"/>
      <c r="BPH18" s="7"/>
      <c r="BPI18" s="7"/>
      <c r="BPJ18" s="7"/>
      <c r="BPK18" s="7"/>
      <c r="BPL18" s="7"/>
      <c r="BPM18" s="7"/>
      <c r="BPN18" s="7"/>
      <c r="BPO18" s="7"/>
      <c r="BPP18" s="7"/>
      <c r="BPQ18" s="7"/>
      <c r="BPR18" s="7"/>
      <c r="BPS18" s="7"/>
      <c r="BPT18" s="7"/>
      <c r="BPU18" s="7"/>
      <c r="BPV18" s="7"/>
      <c r="BPW18" s="7"/>
      <c r="BPX18" s="7"/>
      <c r="BPY18" s="7"/>
      <c r="BPZ18" s="7"/>
      <c r="BQA18" s="7"/>
      <c r="BQB18" s="7"/>
      <c r="BQC18" s="7"/>
      <c r="BQD18" s="7"/>
      <c r="BQE18" s="7"/>
      <c r="BQF18" s="7"/>
      <c r="BQG18" s="7"/>
      <c r="BQH18" s="7"/>
      <c r="BQI18" s="7"/>
      <c r="BQJ18" s="7"/>
      <c r="BQK18" s="7"/>
      <c r="BQL18" s="7"/>
      <c r="BQM18" s="7"/>
      <c r="BQN18" s="7"/>
      <c r="BQO18" s="7"/>
      <c r="BQP18" s="7"/>
      <c r="BQQ18" s="7"/>
      <c r="BQR18" s="7"/>
      <c r="BQS18" s="7"/>
      <c r="BQT18" s="7"/>
      <c r="BQU18" s="7"/>
      <c r="BQV18" s="7"/>
      <c r="BQW18" s="7"/>
      <c r="BQX18" s="7"/>
      <c r="BQY18" s="7"/>
      <c r="BQZ18" s="7"/>
      <c r="BRA18" s="7"/>
      <c r="BRB18" s="7"/>
      <c r="BRC18" s="7"/>
      <c r="BRD18" s="7"/>
      <c r="BRE18" s="7"/>
      <c r="BRF18" s="7"/>
      <c r="BRG18" s="7"/>
      <c r="BRH18" s="7"/>
      <c r="BRI18" s="7"/>
      <c r="BRJ18" s="7"/>
      <c r="BRK18" s="7"/>
      <c r="BRL18" s="7"/>
      <c r="BRM18" s="7"/>
      <c r="BRN18" s="7"/>
      <c r="BRO18" s="7"/>
      <c r="BRP18" s="7"/>
      <c r="BRQ18" s="7"/>
      <c r="BRR18" s="7"/>
      <c r="BRS18" s="7"/>
      <c r="BRT18" s="7"/>
      <c r="BRU18" s="7"/>
      <c r="BRV18" s="7"/>
      <c r="BRW18" s="7"/>
      <c r="BRX18" s="7"/>
      <c r="BRY18" s="7"/>
      <c r="BRZ18" s="7"/>
      <c r="BSA18" s="7"/>
      <c r="BSB18" s="7"/>
      <c r="BSC18" s="7"/>
      <c r="BSD18" s="7"/>
      <c r="BSE18" s="7"/>
      <c r="BSF18" s="7"/>
      <c r="BSG18" s="7"/>
      <c r="BSH18" s="7"/>
      <c r="BSI18" s="7"/>
      <c r="BSJ18" s="7"/>
      <c r="BSK18" s="7"/>
      <c r="BSL18" s="7"/>
      <c r="BSM18" s="7"/>
      <c r="BSN18" s="7"/>
      <c r="BSO18" s="7"/>
      <c r="BSP18" s="7"/>
      <c r="BSQ18" s="7"/>
      <c r="BSR18" s="7"/>
      <c r="BSS18" s="7"/>
      <c r="BST18" s="7"/>
      <c r="BSU18" s="7"/>
      <c r="BSV18" s="7"/>
      <c r="BSW18" s="7"/>
      <c r="BSX18" s="7"/>
      <c r="BSY18" s="7"/>
      <c r="BSZ18" s="7"/>
      <c r="BTA18" s="7"/>
      <c r="BTB18" s="7"/>
      <c r="BTC18" s="7"/>
      <c r="BTD18" s="7"/>
      <c r="BTE18" s="7"/>
      <c r="BTF18" s="7"/>
      <c r="BTG18" s="7"/>
      <c r="BTH18" s="7"/>
      <c r="BTI18" s="7"/>
      <c r="BTJ18" s="7"/>
      <c r="BTK18" s="7"/>
      <c r="BTL18" s="7"/>
      <c r="BTM18" s="7"/>
      <c r="BTN18" s="7"/>
      <c r="BTO18" s="7"/>
      <c r="BTP18" s="7"/>
      <c r="BTQ18" s="7"/>
      <c r="BTR18" s="7"/>
      <c r="BTS18" s="7"/>
      <c r="BTT18" s="7"/>
      <c r="BTU18" s="7"/>
      <c r="BTV18" s="7"/>
      <c r="BTW18" s="7"/>
      <c r="BTX18" s="7"/>
      <c r="BTY18" s="7"/>
      <c r="BTZ18" s="7"/>
      <c r="BUA18" s="7"/>
      <c r="BUB18" s="7"/>
      <c r="BUC18" s="7"/>
      <c r="BUD18" s="7"/>
      <c r="BUE18" s="7"/>
      <c r="BUF18" s="7"/>
      <c r="BUG18" s="7"/>
      <c r="BUH18" s="7"/>
      <c r="BUI18" s="7"/>
      <c r="BUJ18" s="7"/>
      <c r="BUK18" s="7"/>
      <c r="BUL18" s="7"/>
      <c r="BUM18" s="7"/>
      <c r="BUN18" s="7"/>
      <c r="BUO18" s="7"/>
      <c r="BUP18" s="7"/>
      <c r="BUQ18" s="7"/>
      <c r="BUR18" s="7"/>
      <c r="BUS18" s="7"/>
      <c r="BUT18" s="7"/>
      <c r="BUU18" s="7"/>
      <c r="BUV18" s="7"/>
      <c r="BUW18" s="7"/>
      <c r="BUX18" s="7"/>
      <c r="BUY18" s="7"/>
      <c r="BUZ18" s="7"/>
      <c r="BVA18" s="7"/>
      <c r="BVB18" s="7"/>
      <c r="BVC18" s="7"/>
      <c r="BVD18" s="7"/>
      <c r="BVE18" s="7"/>
      <c r="BVF18" s="7"/>
      <c r="BVG18" s="7"/>
      <c r="BVH18" s="7"/>
      <c r="BVI18" s="7"/>
      <c r="BVJ18" s="7"/>
      <c r="BVK18" s="7"/>
      <c r="BVL18" s="7"/>
      <c r="BVM18" s="7"/>
      <c r="BVN18" s="7"/>
      <c r="BVO18" s="7"/>
      <c r="BVP18" s="7"/>
      <c r="BVQ18" s="7"/>
      <c r="BVR18" s="7"/>
      <c r="BVS18" s="7"/>
      <c r="BVT18" s="7"/>
      <c r="BVU18" s="7"/>
      <c r="BVV18" s="7"/>
      <c r="BVW18" s="7"/>
      <c r="BVX18" s="7"/>
      <c r="BVY18" s="7"/>
      <c r="BVZ18" s="7"/>
      <c r="BWA18" s="7"/>
      <c r="BWB18" s="7"/>
      <c r="BWC18" s="7"/>
      <c r="BWD18" s="7"/>
      <c r="BWE18" s="7"/>
      <c r="BWF18" s="7"/>
      <c r="BWG18" s="7"/>
      <c r="BWH18" s="7"/>
      <c r="BWI18" s="7"/>
      <c r="BWJ18" s="7"/>
      <c r="BWK18" s="7"/>
      <c r="BWL18" s="7"/>
      <c r="BWM18" s="7"/>
      <c r="BWN18" s="7"/>
      <c r="BWO18" s="7"/>
      <c r="BWP18" s="7"/>
      <c r="BWQ18" s="7"/>
      <c r="BWR18" s="7"/>
      <c r="BWS18" s="7"/>
      <c r="BWT18" s="7"/>
      <c r="BWU18" s="7"/>
      <c r="BWV18" s="7"/>
      <c r="BWW18" s="7"/>
      <c r="BWX18" s="7"/>
      <c r="BWY18" s="7"/>
      <c r="BWZ18" s="7"/>
      <c r="BXA18" s="7"/>
      <c r="BXB18" s="7"/>
      <c r="BXC18" s="7"/>
      <c r="BXD18" s="7"/>
      <c r="BXE18" s="7"/>
      <c r="BXF18" s="7"/>
      <c r="BXG18" s="7"/>
      <c r="BXH18" s="7"/>
      <c r="BXI18" s="7"/>
      <c r="BXJ18" s="7"/>
      <c r="BXK18" s="7"/>
      <c r="BXL18" s="7"/>
      <c r="BXM18" s="7"/>
      <c r="BXN18" s="7"/>
      <c r="BXO18" s="7"/>
      <c r="BXP18" s="7"/>
      <c r="BXQ18" s="7"/>
      <c r="BXR18" s="7"/>
      <c r="BXS18" s="7"/>
      <c r="BXT18" s="7"/>
      <c r="BXU18" s="7"/>
      <c r="BXV18" s="7"/>
      <c r="BXW18" s="7"/>
      <c r="BXX18" s="7"/>
      <c r="BXY18" s="7"/>
      <c r="BXZ18" s="7"/>
      <c r="BYA18" s="7"/>
      <c r="BYB18" s="7"/>
      <c r="BYC18" s="7"/>
      <c r="BYD18" s="7"/>
      <c r="BYE18" s="7"/>
      <c r="BYF18" s="7"/>
      <c r="BYG18" s="7"/>
      <c r="BYH18" s="7"/>
      <c r="BYI18" s="7"/>
      <c r="BYJ18" s="7"/>
      <c r="BYK18" s="7"/>
      <c r="BYL18" s="7"/>
      <c r="BYM18" s="7"/>
      <c r="BYN18" s="7"/>
      <c r="BYO18" s="7"/>
      <c r="BYP18" s="7"/>
      <c r="BYQ18" s="7"/>
      <c r="BYR18" s="7"/>
      <c r="BYS18" s="7"/>
      <c r="BYT18" s="7"/>
      <c r="BYU18" s="7"/>
      <c r="BYV18" s="7"/>
      <c r="BYW18" s="7"/>
      <c r="BYX18" s="7"/>
      <c r="BYY18" s="7"/>
      <c r="BYZ18" s="7"/>
      <c r="BZA18" s="7"/>
      <c r="BZB18" s="7"/>
      <c r="BZC18" s="7"/>
      <c r="BZD18" s="7"/>
      <c r="BZE18" s="7"/>
      <c r="BZF18" s="7"/>
      <c r="BZG18" s="7"/>
      <c r="BZH18" s="7"/>
      <c r="BZI18" s="7"/>
      <c r="BZJ18" s="7"/>
      <c r="BZK18" s="7"/>
      <c r="BZL18" s="7"/>
      <c r="BZM18" s="7"/>
      <c r="BZN18" s="7"/>
      <c r="BZO18" s="7"/>
      <c r="BZP18" s="7"/>
      <c r="BZQ18" s="7"/>
      <c r="BZR18" s="7"/>
      <c r="BZS18" s="7"/>
      <c r="BZT18" s="7"/>
      <c r="BZU18" s="7"/>
      <c r="BZV18" s="7"/>
      <c r="BZW18" s="7"/>
      <c r="BZX18" s="7"/>
      <c r="BZY18" s="7"/>
      <c r="BZZ18" s="7"/>
      <c r="CAA18" s="7"/>
      <c r="CAB18" s="7"/>
      <c r="CAC18" s="7"/>
      <c r="CAD18" s="7"/>
      <c r="CAE18" s="7"/>
      <c r="CAF18" s="7"/>
      <c r="CAG18" s="7"/>
      <c r="CAH18" s="7"/>
      <c r="CAI18" s="7"/>
      <c r="CAJ18" s="7"/>
      <c r="CAK18" s="7"/>
      <c r="CAL18" s="7"/>
      <c r="CAM18" s="7"/>
      <c r="CAN18" s="7"/>
      <c r="CAO18" s="7"/>
      <c r="CAP18" s="7"/>
      <c r="CAQ18" s="7"/>
      <c r="CAR18" s="7"/>
      <c r="CAS18" s="7"/>
      <c r="CAT18" s="7"/>
      <c r="CAU18" s="7"/>
      <c r="CAV18" s="7"/>
      <c r="CAW18" s="7"/>
      <c r="CAX18" s="7"/>
      <c r="CAY18" s="7"/>
      <c r="CAZ18" s="7"/>
      <c r="CBA18" s="7"/>
      <c r="CBB18" s="7"/>
      <c r="CBC18" s="7"/>
      <c r="CBD18" s="7"/>
      <c r="CBE18" s="7"/>
      <c r="CBF18" s="7"/>
      <c r="CBG18" s="7"/>
      <c r="CBH18" s="7"/>
      <c r="CBI18" s="7"/>
      <c r="CBJ18" s="7"/>
      <c r="CBK18" s="7"/>
      <c r="CBL18" s="7"/>
      <c r="CBM18" s="7"/>
      <c r="CBN18" s="7"/>
      <c r="CBO18" s="7"/>
      <c r="CBP18" s="7"/>
      <c r="CBQ18" s="7"/>
      <c r="CBR18" s="7"/>
      <c r="CBS18" s="7"/>
      <c r="CBT18" s="7"/>
      <c r="CBU18" s="7"/>
      <c r="CBV18" s="7"/>
      <c r="CBW18" s="7"/>
      <c r="CBX18" s="7"/>
      <c r="CBY18" s="7"/>
      <c r="CBZ18" s="7"/>
      <c r="CCA18" s="7"/>
      <c r="CCB18" s="7"/>
      <c r="CCC18" s="7"/>
      <c r="CCD18" s="7"/>
      <c r="CCE18" s="7"/>
      <c r="CCF18" s="7"/>
      <c r="CCG18" s="7"/>
      <c r="CCH18" s="7"/>
      <c r="CCI18" s="7"/>
      <c r="CCJ18" s="7"/>
      <c r="CCK18" s="7"/>
      <c r="CCL18" s="7"/>
      <c r="CCM18" s="7"/>
      <c r="CCN18" s="7"/>
      <c r="CCO18" s="7"/>
      <c r="CCP18" s="7"/>
      <c r="CCQ18" s="7"/>
      <c r="CCR18" s="7"/>
      <c r="CCS18" s="7"/>
      <c r="CCT18" s="7"/>
      <c r="CCU18" s="7"/>
      <c r="CCV18" s="7"/>
      <c r="CCW18" s="7"/>
      <c r="CCX18" s="7"/>
      <c r="CCY18" s="7"/>
      <c r="CCZ18" s="7"/>
      <c r="CDA18" s="7"/>
      <c r="CDB18" s="7"/>
      <c r="CDC18" s="7"/>
      <c r="CDD18" s="7"/>
      <c r="CDE18" s="7"/>
      <c r="CDF18" s="7"/>
      <c r="CDG18" s="7"/>
      <c r="CDH18" s="7"/>
      <c r="CDI18" s="7"/>
      <c r="CDJ18" s="7"/>
      <c r="CDK18" s="7"/>
      <c r="CDL18" s="7"/>
      <c r="CDM18" s="7"/>
      <c r="CDN18" s="7"/>
      <c r="CDO18" s="7"/>
      <c r="CDP18" s="7"/>
      <c r="CDQ18" s="7"/>
      <c r="CDR18" s="7"/>
      <c r="CDS18" s="7"/>
      <c r="CDT18" s="7"/>
      <c r="CDU18" s="7"/>
      <c r="CDV18" s="7"/>
      <c r="CDW18" s="7"/>
      <c r="CDX18" s="7"/>
      <c r="CDY18" s="7"/>
      <c r="CDZ18" s="7"/>
      <c r="CEA18" s="7"/>
      <c r="CEB18" s="7"/>
      <c r="CEC18" s="7"/>
      <c r="CED18" s="7"/>
      <c r="CEE18" s="7"/>
      <c r="CEF18" s="7"/>
      <c r="CEG18" s="7"/>
      <c r="CEH18" s="7"/>
      <c r="CEI18" s="7"/>
      <c r="CEJ18" s="7"/>
      <c r="CEK18" s="7"/>
      <c r="CEL18" s="7"/>
      <c r="CEM18" s="7"/>
      <c r="CEN18" s="7"/>
      <c r="CEO18" s="7"/>
      <c r="CEP18" s="7"/>
      <c r="CEQ18" s="7"/>
      <c r="CER18" s="7"/>
      <c r="CES18" s="7"/>
      <c r="CET18" s="7"/>
      <c r="CEU18" s="7"/>
      <c r="CEV18" s="7"/>
      <c r="CEW18" s="7"/>
      <c r="CEX18" s="7"/>
      <c r="CEY18" s="7"/>
      <c r="CEZ18" s="7"/>
      <c r="CFA18" s="7"/>
      <c r="CFB18" s="7"/>
      <c r="CFC18" s="7"/>
      <c r="CFD18" s="7"/>
      <c r="CFE18" s="7"/>
      <c r="CFF18" s="7"/>
      <c r="CFG18" s="7"/>
      <c r="CFH18" s="7"/>
      <c r="CFI18" s="7"/>
      <c r="CFJ18" s="7"/>
      <c r="CFK18" s="7"/>
      <c r="CFL18" s="7"/>
      <c r="CFM18" s="7"/>
      <c r="CFN18" s="7"/>
      <c r="CFO18" s="7"/>
      <c r="CFP18" s="7"/>
      <c r="CFQ18" s="7"/>
      <c r="CFR18" s="7"/>
      <c r="CFS18" s="7"/>
      <c r="CFT18" s="7"/>
      <c r="CFU18" s="7"/>
      <c r="CFV18" s="7"/>
      <c r="CFW18" s="7"/>
      <c r="CFX18" s="7"/>
      <c r="CFY18" s="7"/>
      <c r="CFZ18" s="7"/>
      <c r="CGA18" s="7"/>
      <c r="CGB18" s="7"/>
      <c r="CGC18" s="7"/>
      <c r="CGD18" s="7"/>
      <c r="CGE18" s="7"/>
      <c r="CGF18" s="7"/>
      <c r="CGG18" s="7"/>
      <c r="CGH18" s="7"/>
      <c r="CGI18" s="7"/>
      <c r="CGJ18" s="7"/>
      <c r="CGK18" s="7"/>
      <c r="CGL18" s="7"/>
      <c r="CGM18" s="7"/>
      <c r="CGN18" s="7"/>
      <c r="CGO18" s="7"/>
      <c r="CGP18" s="7"/>
      <c r="CGQ18" s="7"/>
      <c r="CGR18" s="7"/>
      <c r="CGS18" s="7"/>
      <c r="CGT18" s="7"/>
      <c r="CGU18" s="7"/>
      <c r="CGV18" s="7"/>
      <c r="CGW18" s="7"/>
      <c r="CGX18" s="7"/>
      <c r="CGY18" s="7"/>
      <c r="CGZ18" s="7"/>
      <c r="CHA18" s="7"/>
      <c r="CHB18" s="7"/>
      <c r="CHC18" s="7"/>
      <c r="CHD18" s="7"/>
      <c r="CHE18" s="7"/>
      <c r="CHF18" s="7"/>
      <c r="CHG18" s="7"/>
      <c r="CHH18" s="7"/>
      <c r="CHI18" s="7"/>
      <c r="CHJ18" s="7"/>
      <c r="CHK18" s="7"/>
      <c r="CHL18" s="7"/>
      <c r="CHM18" s="7"/>
      <c r="CHN18" s="7"/>
      <c r="CHO18" s="7"/>
      <c r="CHP18" s="7"/>
      <c r="CHQ18" s="7"/>
      <c r="CHR18" s="7"/>
      <c r="CHS18" s="7"/>
      <c r="CHT18" s="7"/>
      <c r="CHU18" s="7"/>
      <c r="CHV18" s="7"/>
      <c r="CHW18" s="7"/>
      <c r="CHX18" s="7"/>
      <c r="CHY18" s="7"/>
      <c r="CHZ18" s="7"/>
      <c r="CIA18" s="7"/>
      <c r="CIB18" s="7"/>
      <c r="CIC18" s="7"/>
      <c r="CID18" s="7"/>
      <c r="CIE18" s="7"/>
      <c r="CIF18" s="7"/>
      <c r="CIG18" s="7"/>
      <c r="CIH18" s="7"/>
      <c r="CII18" s="7"/>
      <c r="CIJ18" s="7"/>
      <c r="CIK18" s="7"/>
      <c r="CIL18" s="7"/>
      <c r="CIM18" s="7"/>
      <c r="CIN18" s="7"/>
      <c r="CIO18" s="7"/>
      <c r="CIP18" s="7"/>
      <c r="CIQ18" s="7"/>
      <c r="CIR18" s="7"/>
      <c r="CIS18" s="7"/>
      <c r="CIT18" s="7"/>
      <c r="CIU18" s="7"/>
      <c r="CIV18" s="7"/>
      <c r="CIW18" s="7"/>
      <c r="CIX18" s="7"/>
      <c r="CIY18" s="7"/>
      <c r="CIZ18" s="7"/>
      <c r="CJA18" s="7"/>
      <c r="CJB18" s="7"/>
      <c r="CJC18" s="7"/>
      <c r="CJD18" s="7"/>
      <c r="CJE18" s="7"/>
      <c r="CJF18" s="7"/>
      <c r="CJG18" s="7"/>
      <c r="CJH18" s="7"/>
      <c r="CJI18" s="7"/>
      <c r="CJJ18" s="7"/>
      <c r="CJK18" s="7"/>
      <c r="CJL18" s="7"/>
      <c r="CJM18" s="7"/>
      <c r="CJN18" s="7"/>
      <c r="CJO18" s="7"/>
      <c r="CJP18" s="7"/>
      <c r="CJQ18" s="7"/>
      <c r="CJR18" s="7"/>
      <c r="CJS18" s="7"/>
      <c r="CJT18" s="7"/>
      <c r="CJU18" s="7"/>
      <c r="CJV18" s="7"/>
      <c r="CJW18" s="7"/>
      <c r="CJX18" s="7"/>
      <c r="CJY18" s="7"/>
      <c r="CJZ18" s="7"/>
      <c r="CKA18" s="7"/>
      <c r="CKB18" s="7"/>
      <c r="CKC18" s="7"/>
      <c r="CKD18" s="7"/>
      <c r="CKE18" s="7"/>
      <c r="CKF18" s="7"/>
      <c r="CKG18" s="7"/>
      <c r="CKH18" s="7"/>
      <c r="CKI18" s="7"/>
      <c r="CKJ18" s="7"/>
      <c r="CKK18" s="7"/>
      <c r="CKL18" s="7"/>
      <c r="CKM18" s="7"/>
      <c r="CKN18" s="7"/>
      <c r="CKO18" s="7"/>
      <c r="CKP18" s="7"/>
      <c r="CKQ18" s="7"/>
      <c r="CKR18" s="7"/>
      <c r="CKS18" s="7"/>
      <c r="CKT18" s="7"/>
      <c r="CKU18" s="7"/>
      <c r="CKV18" s="7"/>
      <c r="CKW18" s="7"/>
      <c r="CKX18" s="7"/>
      <c r="CKY18" s="7"/>
      <c r="CKZ18" s="7"/>
      <c r="CLA18" s="7"/>
      <c r="CLB18" s="7"/>
      <c r="CLC18" s="7"/>
      <c r="CLD18" s="7"/>
      <c r="CLE18" s="7"/>
      <c r="CLF18" s="7"/>
      <c r="CLG18" s="7"/>
      <c r="CLH18" s="7"/>
      <c r="CLI18" s="7"/>
      <c r="CLJ18" s="7"/>
      <c r="CLK18" s="7"/>
      <c r="CLL18" s="7"/>
      <c r="CLM18" s="7"/>
      <c r="CLN18" s="7"/>
      <c r="CLO18" s="7"/>
      <c r="CLP18" s="7"/>
      <c r="CLQ18" s="7"/>
      <c r="CLR18" s="7"/>
      <c r="CLS18" s="7"/>
      <c r="CLT18" s="7"/>
      <c r="CLU18" s="7"/>
      <c r="CLV18" s="7"/>
      <c r="CLW18" s="7"/>
      <c r="CLX18" s="7"/>
      <c r="CLY18" s="7"/>
      <c r="CLZ18" s="7"/>
      <c r="CMA18" s="7"/>
      <c r="CMB18" s="7"/>
      <c r="CMC18" s="7"/>
      <c r="CMD18" s="7"/>
      <c r="CME18" s="7"/>
      <c r="CMF18" s="7"/>
      <c r="CMG18" s="7"/>
      <c r="CMH18" s="7"/>
      <c r="CMI18" s="7"/>
      <c r="CMJ18" s="7"/>
      <c r="CMK18" s="7"/>
      <c r="CML18" s="7"/>
      <c r="CMM18" s="7"/>
      <c r="CMN18" s="7"/>
      <c r="CMO18" s="7"/>
      <c r="CMP18" s="7"/>
      <c r="CMQ18" s="7"/>
      <c r="CMR18" s="7"/>
      <c r="CMS18" s="7"/>
      <c r="CMT18" s="7"/>
      <c r="CMU18" s="7"/>
      <c r="CMV18" s="7"/>
      <c r="CMW18" s="7"/>
      <c r="CMX18" s="7"/>
      <c r="CMY18" s="7"/>
      <c r="CMZ18" s="7"/>
      <c r="CNA18" s="7"/>
      <c r="CNB18" s="7"/>
      <c r="CNC18" s="7"/>
      <c r="CND18" s="7"/>
      <c r="CNE18" s="7"/>
      <c r="CNF18" s="7"/>
      <c r="CNG18" s="7"/>
      <c r="CNH18" s="7"/>
      <c r="CNI18" s="7"/>
      <c r="CNJ18" s="7"/>
      <c r="CNK18" s="7"/>
      <c r="CNL18" s="7"/>
      <c r="CNM18" s="7"/>
      <c r="CNN18" s="7"/>
      <c r="CNO18" s="7"/>
      <c r="CNP18" s="7"/>
      <c r="CNQ18" s="7"/>
      <c r="CNR18" s="7"/>
      <c r="CNS18" s="7"/>
      <c r="CNT18" s="7"/>
      <c r="CNU18" s="7"/>
      <c r="CNV18" s="7"/>
      <c r="CNW18" s="7"/>
      <c r="CNX18" s="7"/>
      <c r="CNY18" s="7"/>
      <c r="CNZ18" s="7"/>
      <c r="COA18" s="7"/>
      <c r="COB18" s="7"/>
      <c r="COC18" s="7"/>
      <c r="COD18" s="7"/>
      <c r="COE18" s="7"/>
      <c r="COF18" s="7"/>
      <c r="COG18" s="7"/>
      <c r="COH18" s="7"/>
      <c r="COI18" s="7"/>
      <c r="COJ18" s="7"/>
      <c r="COK18" s="7"/>
      <c r="COL18" s="7"/>
      <c r="COM18" s="7"/>
      <c r="CON18" s="7"/>
      <c r="COO18" s="7"/>
      <c r="COP18" s="7"/>
      <c r="COQ18" s="7"/>
      <c r="COR18" s="7"/>
      <c r="COS18" s="7"/>
      <c r="COT18" s="7"/>
      <c r="COU18" s="7"/>
      <c r="COV18" s="7"/>
      <c r="COW18" s="7"/>
      <c r="COX18" s="7"/>
      <c r="COY18" s="7"/>
      <c r="COZ18" s="7"/>
      <c r="CPA18" s="7"/>
      <c r="CPB18" s="7"/>
      <c r="CPC18" s="7"/>
      <c r="CPD18" s="7"/>
      <c r="CPE18" s="7"/>
      <c r="CPF18" s="7"/>
      <c r="CPG18" s="7"/>
      <c r="CPH18" s="7"/>
      <c r="CPI18" s="7"/>
      <c r="CPJ18" s="7"/>
      <c r="CPK18" s="7"/>
      <c r="CPL18" s="7"/>
      <c r="CPM18" s="7"/>
      <c r="CPN18" s="7"/>
      <c r="CPO18" s="7"/>
      <c r="CPP18" s="7"/>
      <c r="CPQ18" s="7"/>
      <c r="CPR18" s="7"/>
      <c r="CPS18" s="7"/>
      <c r="CPT18" s="7"/>
      <c r="CPU18" s="7"/>
      <c r="CPV18" s="7"/>
      <c r="CPW18" s="7"/>
      <c r="CPX18" s="7"/>
      <c r="CPY18" s="7"/>
      <c r="CPZ18" s="7"/>
      <c r="CQA18" s="7"/>
      <c r="CQB18" s="7"/>
      <c r="CQC18" s="7"/>
      <c r="CQD18" s="7"/>
      <c r="CQE18" s="7"/>
      <c r="CQF18" s="7"/>
      <c r="CQG18" s="7"/>
      <c r="CQH18" s="7"/>
      <c r="CQI18" s="7"/>
      <c r="CQJ18" s="7"/>
      <c r="CQK18" s="7"/>
      <c r="CQL18" s="7"/>
      <c r="CQM18" s="7"/>
      <c r="CQN18" s="7"/>
      <c r="CQO18" s="7"/>
      <c r="CQP18" s="7"/>
      <c r="CQQ18" s="7"/>
      <c r="CQR18" s="7"/>
      <c r="CQS18" s="7"/>
      <c r="CQT18" s="7"/>
      <c r="CQU18" s="7"/>
      <c r="CQV18" s="7"/>
      <c r="CQW18" s="7"/>
      <c r="CQX18" s="7"/>
      <c r="CQY18" s="7"/>
      <c r="CQZ18" s="7"/>
      <c r="CRA18" s="7"/>
      <c r="CRB18" s="7"/>
      <c r="CRC18" s="7"/>
      <c r="CRD18" s="7"/>
      <c r="CRE18" s="7"/>
      <c r="CRF18" s="7"/>
      <c r="CRG18" s="7"/>
      <c r="CRH18" s="7"/>
      <c r="CRI18" s="7"/>
      <c r="CRJ18" s="7"/>
      <c r="CRK18" s="7"/>
      <c r="CRL18" s="7"/>
      <c r="CRM18" s="7"/>
      <c r="CRN18" s="7"/>
      <c r="CRO18" s="7"/>
      <c r="CRP18" s="7"/>
      <c r="CRQ18" s="7"/>
      <c r="CRR18" s="7"/>
      <c r="CRS18" s="7"/>
      <c r="CRT18" s="7"/>
      <c r="CRU18" s="7"/>
      <c r="CRV18" s="7"/>
      <c r="CRW18" s="7"/>
      <c r="CRX18" s="7"/>
      <c r="CRY18" s="7"/>
      <c r="CRZ18" s="7"/>
      <c r="CSA18" s="7"/>
      <c r="CSB18" s="7"/>
      <c r="CSC18" s="7"/>
      <c r="CSD18" s="7"/>
      <c r="CSE18" s="7"/>
      <c r="CSF18" s="7"/>
      <c r="CSG18" s="7"/>
      <c r="CSH18" s="7"/>
      <c r="CSI18" s="7"/>
      <c r="CSJ18" s="7"/>
      <c r="CSK18" s="7"/>
      <c r="CSL18" s="7"/>
      <c r="CSM18" s="7"/>
      <c r="CSN18" s="7"/>
      <c r="CSO18" s="7"/>
      <c r="CSP18" s="7"/>
      <c r="CSQ18" s="7"/>
      <c r="CSR18" s="7"/>
      <c r="CSS18" s="7"/>
      <c r="CST18" s="7"/>
      <c r="CSU18" s="7"/>
      <c r="CSV18" s="7"/>
      <c r="CSW18" s="7"/>
      <c r="CSX18" s="7"/>
      <c r="CSY18" s="7"/>
      <c r="CSZ18" s="7"/>
      <c r="CTA18" s="7"/>
      <c r="CTB18" s="7"/>
      <c r="CTC18" s="7"/>
      <c r="CTD18" s="7"/>
      <c r="CTE18" s="7"/>
      <c r="CTF18" s="7"/>
      <c r="CTG18" s="7"/>
      <c r="CTH18" s="7"/>
      <c r="CTI18" s="7"/>
      <c r="CTJ18" s="7"/>
      <c r="CTK18" s="7"/>
      <c r="CTL18" s="7"/>
      <c r="CTM18" s="7"/>
      <c r="CTN18" s="7"/>
      <c r="CTO18" s="7"/>
      <c r="CTP18" s="7"/>
      <c r="CTQ18" s="7"/>
      <c r="CTR18" s="7"/>
      <c r="CTS18" s="7"/>
      <c r="CTT18" s="7"/>
      <c r="CTU18" s="7"/>
      <c r="CTV18" s="7"/>
      <c r="CTW18" s="7"/>
      <c r="CTX18" s="7"/>
      <c r="CTY18" s="7"/>
      <c r="CTZ18" s="7"/>
      <c r="CUA18" s="7"/>
      <c r="CUB18" s="7"/>
      <c r="CUC18" s="7"/>
      <c r="CUD18" s="7"/>
      <c r="CUE18" s="7"/>
      <c r="CUF18" s="7"/>
      <c r="CUG18" s="7"/>
      <c r="CUH18" s="7"/>
      <c r="CUI18" s="7"/>
      <c r="CUJ18" s="7"/>
      <c r="CUK18" s="7"/>
      <c r="CUL18" s="7"/>
      <c r="CUM18" s="7"/>
      <c r="CUN18" s="7"/>
      <c r="CUO18" s="7"/>
      <c r="CUP18" s="7"/>
      <c r="CUQ18" s="7"/>
      <c r="CUR18" s="7"/>
      <c r="CUS18" s="7"/>
      <c r="CUT18" s="7"/>
      <c r="CUU18" s="7"/>
      <c r="CUV18" s="7"/>
      <c r="CUW18" s="7"/>
      <c r="CUX18" s="7"/>
      <c r="CUY18" s="7"/>
      <c r="CUZ18" s="7"/>
      <c r="CVA18" s="7"/>
      <c r="CVB18" s="7"/>
      <c r="CVC18" s="7"/>
      <c r="CVD18" s="7"/>
      <c r="CVE18" s="7"/>
      <c r="CVF18" s="7"/>
      <c r="CVG18" s="7"/>
      <c r="CVH18" s="7"/>
      <c r="CVI18" s="7"/>
      <c r="CVJ18" s="7"/>
      <c r="CVK18" s="7"/>
      <c r="CVL18" s="7"/>
      <c r="CVM18" s="7"/>
      <c r="CVN18" s="7"/>
      <c r="CVO18" s="7"/>
      <c r="CVP18" s="7"/>
      <c r="CVQ18" s="7"/>
      <c r="CVR18" s="7"/>
      <c r="CVS18" s="7"/>
      <c r="CVT18" s="7"/>
      <c r="CVU18" s="7"/>
      <c r="CVV18" s="7"/>
      <c r="CVW18" s="7"/>
      <c r="CVX18" s="7"/>
      <c r="CVY18" s="7"/>
      <c r="CVZ18" s="7"/>
      <c r="CWA18" s="7"/>
      <c r="CWB18" s="7"/>
      <c r="CWC18" s="7"/>
      <c r="CWD18" s="7"/>
      <c r="CWE18" s="7"/>
      <c r="CWF18" s="7"/>
      <c r="CWG18" s="7"/>
      <c r="CWH18" s="7"/>
      <c r="CWI18" s="7"/>
      <c r="CWJ18" s="7"/>
      <c r="CWK18" s="7"/>
      <c r="CWL18" s="7"/>
      <c r="CWM18" s="7"/>
      <c r="CWN18" s="7"/>
      <c r="CWO18" s="7"/>
      <c r="CWP18" s="7"/>
      <c r="CWQ18" s="7"/>
      <c r="CWR18" s="7"/>
      <c r="CWS18" s="7"/>
      <c r="CWT18" s="7"/>
      <c r="CWU18" s="7"/>
      <c r="CWV18" s="7"/>
      <c r="CWW18" s="7"/>
      <c r="CWX18" s="7"/>
      <c r="CWY18" s="7"/>
      <c r="CWZ18" s="7"/>
      <c r="CXA18" s="7"/>
      <c r="CXB18" s="7"/>
      <c r="CXC18" s="7"/>
      <c r="CXD18" s="7"/>
      <c r="CXE18" s="7"/>
      <c r="CXF18" s="7"/>
      <c r="CXG18" s="7"/>
      <c r="CXH18" s="7"/>
      <c r="CXI18" s="7"/>
      <c r="CXJ18" s="7"/>
      <c r="CXK18" s="7"/>
      <c r="CXL18" s="7"/>
      <c r="CXM18" s="7"/>
      <c r="CXN18" s="7"/>
      <c r="CXO18" s="7"/>
      <c r="CXP18" s="7"/>
      <c r="CXQ18" s="7"/>
      <c r="CXR18" s="7"/>
      <c r="CXS18" s="7"/>
      <c r="CXT18" s="7"/>
      <c r="CXU18" s="7"/>
      <c r="CXV18" s="7"/>
      <c r="CXW18" s="7"/>
      <c r="CXX18" s="7"/>
      <c r="CXY18" s="7"/>
      <c r="CXZ18" s="7"/>
      <c r="CYA18" s="7"/>
      <c r="CYB18" s="7"/>
      <c r="CYC18" s="7"/>
      <c r="CYD18" s="7"/>
      <c r="CYE18" s="7"/>
      <c r="CYF18" s="7"/>
      <c r="CYG18" s="7"/>
      <c r="CYH18" s="7"/>
      <c r="CYI18" s="7"/>
      <c r="CYJ18" s="7"/>
      <c r="CYK18" s="7"/>
      <c r="CYL18" s="7"/>
      <c r="CYM18" s="7"/>
      <c r="CYN18" s="7"/>
      <c r="CYO18" s="7"/>
      <c r="CYP18" s="7"/>
      <c r="CYQ18" s="7"/>
      <c r="CYR18" s="7"/>
      <c r="CYS18" s="7"/>
      <c r="CYT18" s="7"/>
      <c r="CYU18" s="7"/>
      <c r="CYV18" s="7"/>
      <c r="CYW18" s="7"/>
      <c r="CYX18" s="7"/>
      <c r="CYY18" s="7"/>
      <c r="CYZ18" s="7"/>
      <c r="CZA18" s="7"/>
      <c r="CZB18" s="7"/>
      <c r="CZC18" s="7"/>
      <c r="CZD18" s="7"/>
      <c r="CZE18" s="7"/>
      <c r="CZF18" s="7"/>
      <c r="CZG18" s="7"/>
      <c r="CZH18" s="7"/>
      <c r="CZI18" s="7"/>
      <c r="CZJ18" s="7"/>
      <c r="CZK18" s="7"/>
      <c r="CZL18" s="7"/>
      <c r="CZM18" s="7"/>
      <c r="CZN18" s="7"/>
      <c r="CZO18" s="7"/>
      <c r="CZP18" s="7"/>
      <c r="CZQ18" s="7"/>
      <c r="CZR18" s="7"/>
      <c r="CZS18" s="7"/>
      <c r="CZT18" s="7"/>
      <c r="CZU18" s="7"/>
      <c r="CZV18" s="7"/>
      <c r="CZW18" s="7"/>
      <c r="CZX18" s="7"/>
      <c r="CZY18" s="7"/>
      <c r="CZZ18" s="7"/>
      <c r="DAA18" s="7"/>
      <c r="DAB18" s="7"/>
      <c r="DAC18" s="7"/>
      <c r="DAD18" s="7"/>
      <c r="DAE18" s="7"/>
      <c r="DAF18" s="7"/>
      <c r="DAG18" s="7"/>
      <c r="DAH18" s="7"/>
      <c r="DAI18" s="7"/>
      <c r="DAJ18" s="7"/>
      <c r="DAK18" s="7"/>
      <c r="DAL18" s="7"/>
      <c r="DAM18" s="7"/>
      <c r="DAN18" s="7"/>
      <c r="DAO18" s="7"/>
      <c r="DAP18" s="7"/>
      <c r="DAQ18" s="7"/>
      <c r="DAR18" s="7"/>
      <c r="DAS18" s="7"/>
      <c r="DAT18" s="7"/>
      <c r="DAU18" s="7"/>
      <c r="DAV18" s="7"/>
      <c r="DAW18" s="7"/>
      <c r="DAX18" s="7"/>
      <c r="DAY18" s="7"/>
      <c r="DAZ18" s="7"/>
      <c r="DBA18" s="7"/>
      <c r="DBB18" s="7"/>
      <c r="DBC18" s="7"/>
      <c r="DBD18" s="7"/>
      <c r="DBE18" s="7"/>
      <c r="DBF18" s="7"/>
      <c r="DBG18" s="7"/>
      <c r="DBH18" s="7"/>
      <c r="DBI18" s="7"/>
      <c r="DBJ18" s="7"/>
      <c r="DBK18" s="7"/>
      <c r="DBL18" s="7"/>
      <c r="DBM18" s="7"/>
      <c r="DBN18" s="7"/>
      <c r="DBO18" s="7"/>
      <c r="DBP18" s="7"/>
      <c r="DBQ18" s="7"/>
      <c r="DBR18" s="7"/>
      <c r="DBS18" s="7"/>
      <c r="DBT18" s="7"/>
      <c r="DBU18" s="7"/>
      <c r="DBV18" s="7"/>
      <c r="DBW18" s="7"/>
      <c r="DBX18" s="7"/>
      <c r="DBY18" s="7"/>
      <c r="DBZ18" s="7"/>
      <c r="DCA18" s="7"/>
      <c r="DCB18" s="7"/>
      <c r="DCC18" s="7"/>
      <c r="DCD18" s="7"/>
      <c r="DCE18" s="7"/>
      <c r="DCF18" s="7"/>
      <c r="DCG18" s="7"/>
      <c r="DCH18" s="7"/>
      <c r="DCI18" s="7"/>
      <c r="DCJ18" s="7"/>
      <c r="DCK18" s="7"/>
      <c r="DCL18" s="7"/>
      <c r="DCM18" s="7"/>
      <c r="DCN18" s="7"/>
      <c r="DCO18" s="7"/>
      <c r="DCP18" s="7"/>
      <c r="DCQ18" s="7"/>
      <c r="DCR18" s="7"/>
      <c r="DCS18" s="7"/>
      <c r="DCT18" s="7"/>
      <c r="DCU18" s="7"/>
      <c r="DCV18" s="7"/>
      <c r="DCW18" s="7"/>
      <c r="DCX18" s="7"/>
      <c r="DCY18" s="7"/>
      <c r="DCZ18" s="7"/>
      <c r="DDA18" s="7"/>
      <c r="DDB18" s="7"/>
      <c r="DDC18" s="7"/>
      <c r="DDD18" s="7"/>
      <c r="DDE18" s="7"/>
      <c r="DDF18" s="7"/>
      <c r="DDG18" s="7"/>
      <c r="DDH18" s="7"/>
      <c r="DDI18" s="7"/>
      <c r="DDJ18" s="7"/>
      <c r="DDK18" s="7"/>
      <c r="DDL18" s="7"/>
      <c r="DDM18" s="7"/>
      <c r="DDN18" s="7"/>
      <c r="DDO18" s="7"/>
      <c r="DDP18" s="7"/>
      <c r="DDQ18" s="7"/>
      <c r="DDR18" s="7"/>
      <c r="DDS18" s="7"/>
      <c r="DDT18" s="7"/>
      <c r="DDU18" s="7"/>
      <c r="DDV18" s="7"/>
      <c r="DDW18" s="7"/>
      <c r="DDX18" s="7"/>
      <c r="DDY18" s="7"/>
      <c r="DDZ18" s="7"/>
      <c r="DEA18" s="7"/>
      <c r="DEB18" s="7"/>
      <c r="DEC18" s="7"/>
      <c r="DED18" s="7"/>
      <c r="DEE18" s="7"/>
      <c r="DEF18" s="7"/>
      <c r="DEG18" s="7"/>
      <c r="DEH18" s="7"/>
      <c r="DEI18" s="7"/>
      <c r="DEJ18" s="7"/>
      <c r="DEK18" s="7"/>
      <c r="DEL18" s="7"/>
      <c r="DEM18" s="7"/>
      <c r="DEN18" s="7"/>
      <c r="DEO18" s="7"/>
      <c r="DEP18" s="7"/>
      <c r="DEQ18" s="7"/>
      <c r="DER18" s="7"/>
      <c r="DES18" s="7"/>
      <c r="DET18" s="7"/>
      <c r="DEU18" s="7"/>
      <c r="DEV18" s="7"/>
      <c r="DEW18" s="7"/>
      <c r="DEX18" s="7"/>
      <c r="DEY18" s="7"/>
      <c r="DEZ18" s="7"/>
      <c r="DFA18" s="7"/>
      <c r="DFB18" s="7"/>
      <c r="DFC18" s="7"/>
      <c r="DFD18" s="7"/>
      <c r="DFE18" s="7"/>
      <c r="DFF18" s="7"/>
      <c r="DFG18" s="7"/>
      <c r="DFH18" s="7"/>
      <c r="DFI18" s="7"/>
      <c r="DFJ18" s="7"/>
      <c r="DFK18" s="7"/>
      <c r="DFL18" s="7"/>
      <c r="DFM18" s="7"/>
      <c r="DFN18" s="7"/>
      <c r="DFO18" s="7"/>
      <c r="DFP18" s="7"/>
      <c r="DFQ18" s="7"/>
      <c r="DFR18" s="7"/>
      <c r="DFS18" s="7"/>
      <c r="DFT18" s="7"/>
      <c r="DFU18" s="7"/>
      <c r="DFV18" s="7"/>
      <c r="DFW18" s="7"/>
      <c r="DFX18" s="7"/>
      <c r="DFY18" s="7"/>
      <c r="DFZ18" s="7"/>
      <c r="DGA18" s="7"/>
      <c r="DGB18" s="7"/>
      <c r="DGC18" s="7"/>
      <c r="DGD18" s="7"/>
      <c r="DGE18" s="7"/>
      <c r="DGF18" s="7"/>
      <c r="DGG18" s="7"/>
      <c r="DGH18" s="7"/>
      <c r="DGI18" s="7"/>
      <c r="DGJ18" s="7"/>
      <c r="DGK18" s="7"/>
      <c r="DGL18" s="7"/>
      <c r="DGM18" s="7"/>
      <c r="DGN18" s="7"/>
      <c r="DGO18" s="7"/>
      <c r="DGP18" s="7"/>
      <c r="DGQ18" s="7"/>
      <c r="DGR18" s="7"/>
      <c r="DGS18" s="7"/>
      <c r="DGT18" s="7"/>
      <c r="DGU18" s="7"/>
      <c r="DGV18" s="7"/>
      <c r="DGW18" s="7"/>
      <c r="DGX18" s="7"/>
      <c r="DGY18" s="7"/>
      <c r="DGZ18" s="7"/>
      <c r="DHA18" s="7"/>
      <c r="DHB18" s="7"/>
      <c r="DHC18" s="7"/>
      <c r="DHD18" s="7"/>
      <c r="DHE18" s="7"/>
      <c r="DHF18" s="7"/>
      <c r="DHG18" s="7"/>
      <c r="DHH18" s="7"/>
      <c r="DHI18" s="7"/>
      <c r="DHJ18" s="7"/>
      <c r="DHK18" s="7"/>
      <c r="DHL18" s="7"/>
      <c r="DHM18" s="7"/>
      <c r="DHN18" s="7"/>
      <c r="DHO18" s="7"/>
      <c r="DHP18" s="7"/>
      <c r="DHQ18" s="7"/>
      <c r="DHR18" s="7"/>
      <c r="DHS18" s="7"/>
      <c r="DHT18" s="7"/>
      <c r="DHU18" s="7"/>
      <c r="DHV18" s="7"/>
      <c r="DHW18" s="7"/>
      <c r="DHX18" s="7"/>
      <c r="DHY18" s="7"/>
      <c r="DHZ18" s="7"/>
      <c r="DIA18" s="7"/>
      <c r="DIB18" s="7"/>
      <c r="DIC18" s="7"/>
      <c r="DID18" s="7"/>
      <c r="DIE18" s="7"/>
      <c r="DIF18" s="7"/>
      <c r="DIG18" s="7"/>
      <c r="DIH18" s="7"/>
      <c r="DII18" s="7"/>
      <c r="DIJ18" s="7"/>
      <c r="DIK18" s="7"/>
      <c r="DIL18" s="7"/>
      <c r="DIM18" s="7"/>
      <c r="DIN18" s="7"/>
      <c r="DIO18" s="7"/>
      <c r="DIP18" s="7"/>
      <c r="DIQ18" s="7"/>
      <c r="DIR18" s="7"/>
      <c r="DIS18" s="7"/>
      <c r="DIT18" s="7"/>
      <c r="DIU18" s="7"/>
      <c r="DIV18" s="7"/>
      <c r="DIW18" s="7"/>
      <c r="DIX18" s="7"/>
      <c r="DIY18" s="7"/>
      <c r="DIZ18" s="7"/>
      <c r="DJA18" s="7"/>
      <c r="DJB18" s="7"/>
      <c r="DJC18" s="7"/>
      <c r="DJD18" s="7"/>
      <c r="DJE18" s="7"/>
      <c r="DJF18" s="7"/>
      <c r="DJG18" s="7"/>
      <c r="DJH18" s="7"/>
      <c r="DJI18" s="7"/>
      <c r="DJJ18" s="7"/>
      <c r="DJK18" s="7"/>
      <c r="DJL18" s="7"/>
      <c r="DJM18" s="7"/>
      <c r="DJN18" s="7"/>
      <c r="DJO18" s="7"/>
      <c r="DJP18" s="7"/>
      <c r="DJQ18" s="7"/>
      <c r="DJR18" s="7"/>
      <c r="DJS18" s="7"/>
      <c r="DJT18" s="7"/>
      <c r="DJU18" s="7"/>
      <c r="DJV18" s="7"/>
      <c r="DJW18" s="7"/>
      <c r="DJX18" s="7"/>
      <c r="DJY18" s="7"/>
      <c r="DJZ18" s="7"/>
      <c r="DKA18" s="7"/>
      <c r="DKB18" s="7"/>
      <c r="DKC18" s="7"/>
      <c r="DKD18" s="7"/>
      <c r="DKE18" s="7"/>
      <c r="DKF18" s="7"/>
      <c r="DKG18" s="7"/>
      <c r="DKH18" s="7"/>
      <c r="DKI18" s="7"/>
      <c r="DKJ18" s="7"/>
      <c r="DKK18" s="7"/>
      <c r="DKL18" s="7"/>
      <c r="DKM18" s="7"/>
      <c r="DKN18" s="7"/>
      <c r="DKO18" s="7"/>
      <c r="DKP18" s="7"/>
      <c r="DKQ18" s="7"/>
      <c r="DKR18" s="7"/>
      <c r="DKS18" s="7"/>
      <c r="DKT18" s="7"/>
      <c r="DKU18" s="7"/>
      <c r="DKV18" s="7"/>
      <c r="DKW18" s="7"/>
      <c r="DKX18" s="7"/>
      <c r="DKY18" s="7"/>
      <c r="DKZ18" s="7"/>
      <c r="DLA18" s="7"/>
      <c r="DLB18" s="7"/>
      <c r="DLC18" s="7"/>
      <c r="DLD18" s="7"/>
      <c r="DLE18" s="7"/>
      <c r="DLF18" s="7"/>
      <c r="DLG18" s="7"/>
      <c r="DLH18" s="7"/>
      <c r="DLI18" s="7"/>
      <c r="DLJ18" s="7"/>
      <c r="DLK18" s="7"/>
      <c r="DLL18" s="7"/>
      <c r="DLM18" s="7"/>
      <c r="DLN18" s="7"/>
      <c r="DLO18" s="7"/>
      <c r="DLP18" s="7"/>
      <c r="DLQ18" s="7"/>
      <c r="DLR18" s="7"/>
      <c r="DLS18" s="7"/>
      <c r="DLT18" s="7"/>
      <c r="DLU18" s="7"/>
      <c r="DLV18" s="7"/>
      <c r="DLW18" s="7"/>
      <c r="DLX18" s="7"/>
      <c r="DLY18" s="7"/>
      <c r="DLZ18" s="7"/>
      <c r="DMA18" s="7"/>
      <c r="DMB18" s="7"/>
      <c r="DMC18" s="7"/>
      <c r="DMD18" s="7"/>
      <c r="DME18" s="7"/>
      <c r="DMF18" s="7"/>
      <c r="DMG18" s="7"/>
      <c r="DMH18" s="7"/>
      <c r="DMI18" s="7"/>
      <c r="DMJ18" s="7"/>
      <c r="DMK18" s="7"/>
      <c r="DML18" s="7"/>
      <c r="DMM18" s="7"/>
      <c r="DMN18" s="7"/>
      <c r="DMO18" s="7"/>
      <c r="DMP18" s="7"/>
      <c r="DMQ18" s="7"/>
      <c r="DMR18" s="7"/>
      <c r="DMS18" s="7"/>
      <c r="DMT18" s="7"/>
      <c r="DMU18" s="7"/>
      <c r="DMV18" s="7"/>
      <c r="DMW18" s="7"/>
      <c r="DMX18" s="7"/>
      <c r="DMY18" s="7"/>
      <c r="DMZ18" s="7"/>
      <c r="DNA18" s="7"/>
      <c r="DNB18" s="7"/>
      <c r="DNC18" s="7"/>
      <c r="DND18" s="7"/>
      <c r="DNE18" s="7"/>
      <c r="DNF18" s="7"/>
      <c r="DNG18" s="7"/>
      <c r="DNH18" s="7"/>
      <c r="DNI18" s="7"/>
      <c r="DNJ18" s="7"/>
      <c r="DNK18" s="7"/>
      <c r="DNL18" s="7"/>
      <c r="DNM18" s="7"/>
      <c r="DNN18" s="7"/>
      <c r="DNO18" s="7"/>
      <c r="DNP18" s="7"/>
      <c r="DNQ18" s="7"/>
      <c r="DNR18" s="7"/>
      <c r="DNS18" s="7"/>
      <c r="DNT18" s="7"/>
      <c r="DNU18" s="7"/>
      <c r="DNV18" s="7"/>
      <c r="DNW18" s="7"/>
      <c r="DNX18" s="7"/>
      <c r="DNY18" s="7"/>
      <c r="DNZ18" s="7"/>
      <c r="DOA18" s="7"/>
      <c r="DOB18" s="7"/>
      <c r="DOC18" s="7"/>
      <c r="DOD18" s="7"/>
      <c r="DOE18" s="7"/>
      <c r="DOF18" s="7"/>
      <c r="DOG18" s="7"/>
      <c r="DOH18" s="7"/>
      <c r="DOI18" s="7"/>
      <c r="DOJ18" s="7"/>
      <c r="DOK18" s="7"/>
      <c r="DOL18" s="7"/>
      <c r="DOM18" s="7"/>
      <c r="DON18" s="7"/>
      <c r="DOO18" s="7"/>
      <c r="DOP18" s="7"/>
      <c r="DOQ18" s="7"/>
      <c r="DOR18" s="7"/>
      <c r="DOS18" s="7"/>
      <c r="DOT18" s="7"/>
      <c r="DOU18" s="7"/>
      <c r="DOV18" s="7"/>
      <c r="DOW18" s="7"/>
      <c r="DOX18" s="7"/>
      <c r="DOY18" s="7"/>
      <c r="DOZ18" s="7"/>
      <c r="DPA18" s="7"/>
      <c r="DPB18" s="7"/>
      <c r="DPC18" s="7"/>
      <c r="DPD18" s="7"/>
      <c r="DPE18" s="7"/>
      <c r="DPF18" s="7"/>
      <c r="DPG18" s="7"/>
      <c r="DPH18" s="7"/>
      <c r="DPI18" s="7"/>
      <c r="DPJ18" s="7"/>
      <c r="DPK18" s="7"/>
      <c r="DPL18" s="7"/>
      <c r="DPM18" s="7"/>
      <c r="DPN18" s="7"/>
      <c r="DPO18" s="7"/>
      <c r="DPP18" s="7"/>
      <c r="DPQ18" s="7"/>
      <c r="DPR18" s="7"/>
      <c r="DPS18" s="7"/>
      <c r="DPT18" s="7"/>
      <c r="DPU18" s="7"/>
      <c r="DPV18" s="7"/>
      <c r="DPW18" s="7"/>
      <c r="DPX18" s="7"/>
      <c r="DPY18" s="7"/>
      <c r="DPZ18" s="7"/>
      <c r="DQA18" s="7"/>
      <c r="DQB18" s="7"/>
      <c r="DQC18" s="7"/>
      <c r="DQD18" s="7"/>
      <c r="DQE18" s="7"/>
      <c r="DQF18" s="7"/>
      <c r="DQG18" s="7"/>
      <c r="DQH18" s="7"/>
      <c r="DQI18" s="7"/>
      <c r="DQJ18" s="7"/>
      <c r="DQK18" s="7"/>
      <c r="DQL18" s="7"/>
      <c r="DQM18" s="7"/>
      <c r="DQN18" s="7"/>
      <c r="DQO18" s="7"/>
      <c r="DQP18" s="7"/>
      <c r="DQQ18" s="7"/>
      <c r="DQR18" s="7"/>
      <c r="DQS18" s="7"/>
      <c r="DQT18" s="7"/>
      <c r="DQU18" s="7"/>
      <c r="DQV18" s="7"/>
      <c r="DQW18" s="7"/>
      <c r="DQX18" s="7"/>
      <c r="DQY18" s="7"/>
      <c r="DQZ18" s="7"/>
      <c r="DRA18" s="7"/>
      <c r="DRB18" s="7"/>
      <c r="DRC18" s="7"/>
      <c r="DRD18" s="7"/>
      <c r="DRE18" s="7"/>
      <c r="DRF18" s="7"/>
      <c r="DRG18" s="7"/>
      <c r="DRH18" s="7"/>
      <c r="DRI18" s="7"/>
      <c r="DRJ18" s="7"/>
      <c r="DRK18" s="7"/>
      <c r="DRL18" s="7"/>
      <c r="DRM18" s="7"/>
      <c r="DRN18" s="7"/>
      <c r="DRO18" s="7"/>
      <c r="DRP18" s="7"/>
      <c r="DRQ18" s="7"/>
      <c r="DRR18" s="7"/>
      <c r="DRS18" s="7"/>
      <c r="DRT18" s="7"/>
      <c r="DRU18" s="7"/>
      <c r="DRV18" s="7"/>
      <c r="DRW18" s="7"/>
      <c r="DRX18" s="7"/>
      <c r="DRY18" s="7"/>
      <c r="DRZ18" s="7"/>
      <c r="DSA18" s="7"/>
      <c r="DSB18" s="7"/>
      <c r="DSC18" s="7"/>
      <c r="DSD18" s="7"/>
      <c r="DSE18" s="7"/>
      <c r="DSF18" s="7"/>
      <c r="DSG18" s="7"/>
      <c r="DSH18" s="7"/>
      <c r="DSI18" s="7"/>
      <c r="DSJ18" s="7"/>
      <c r="DSK18" s="7"/>
      <c r="DSL18" s="7"/>
      <c r="DSM18" s="7"/>
      <c r="DSN18" s="7"/>
      <c r="DSO18" s="7"/>
      <c r="DSP18" s="7"/>
      <c r="DSQ18" s="7"/>
      <c r="DSR18" s="7"/>
      <c r="DSS18" s="7"/>
      <c r="DST18" s="7"/>
      <c r="DSU18" s="7"/>
      <c r="DSV18" s="7"/>
      <c r="DSW18" s="7"/>
      <c r="DSX18" s="7"/>
      <c r="DSY18" s="7"/>
      <c r="DSZ18" s="7"/>
      <c r="DTA18" s="7"/>
      <c r="DTB18" s="7"/>
      <c r="DTC18" s="7"/>
      <c r="DTD18" s="7"/>
      <c r="DTE18" s="7"/>
      <c r="DTF18" s="7"/>
      <c r="DTG18" s="7"/>
      <c r="DTH18" s="7"/>
      <c r="DTI18" s="7"/>
      <c r="DTJ18" s="7"/>
      <c r="DTK18" s="7"/>
      <c r="DTL18" s="7"/>
      <c r="DTM18" s="7"/>
      <c r="DTN18" s="7"/>
      <c r="DTO18" s="7"/>
      <c r="DTP18" s="7"/>
      <c r="DTQ18" s="7"/>
      <c r="DTR18" s="7"/>
      <c r="DTS18" s="7"/>
      <c r="DTT18" s="7"/>
      <c r="DTU18" s="7"/>
      <c r="DTV18" s="7"/>
      <c r="DTW18" s="7"/>
      <c r="DTX18" s="7"/>
      <c r="DTY18" s="7"/>
      <c r="DTZ18" s="7"/>
      <c r="DUA18" s="7"/>
      <c r="DUB18" s="7"/>
      <c r="DUC18" s="7"/>
      <c r="DUD18" s="7"/>
      <c r="DUE18" s="7"/>
      <c r="DUF18" s="7"/>
      <c r="DUG18" s="7"/>
      <c r="DUH18" s="7"/>
      <c r="DUI18" s="7"/>
      <c r="DUJ18" s="7"/>
      <c r="DUK18" s="7"/>
      <c r="DUL18" s="7"/>
      <c r="DUM18" s="7"/>
      <c r="DUN18" s="7"/>
      <c r="DUO18" s="7"/>
      <c r="DUP18" s="7"/>
      <c r="DUQ18" s="7"/>
      <c r="DUR18" s="7"/>
      <c r="DUS18" s="7"/>
      <c r="DUT18" s="7"/>
      <c r="DUU18" s="7"/>
      <c r="DUV18" s="7"/>
      <c r="DUW18" s="7"/>
      <c r="DUX18" s="7"/>
      <c r="DUY18" s="7"/>
      <c r="DUZ18" s="7"/>
      <c r="DVA18" s="7"/>
      <c r="DVB18" s="7"/>
      <c r="DVC18" s="7"/>
      <c r="DVD18" s="7"/>
      <c r="DVE18" s="7"/>
      <c r="DVF18" s="7"/>
      <c r="DVG18" s="7"/>
      <c r="DVH18" s="7"/>
      <c r="DVI18" s="7"/>
      <c r="DVJ18" s="7"/>
      <c r="DVK18" s="7"/>
      <c r="DVL18" s="7"/>
      <c r="DVM18" s="7"/>
      <c r="DVN18" s="7"/>
      <c r="DVO18" s="7"/>
      <c r="DVP18" s="7"/>
      <c r="DVQ18" s="7"/>
      <c r="DVR18" s="7"/>
      <c r="DVS18" s="7"/>
      <c r="DVT18" s="7"/>
      <c r="DVU18" s="7"/>
      <c r="DVV18" s="7"/>
      <c r="DVW18" s="7"/>
      <c r="DVX18" s="7"/>
      <c r="DVY18" s="7"/>
      <c r="DVZ18" s="7"/>
      <c r="DWA18" s="7"/>
      <c r="DWB18" s="7"/>
      <c r="DWC18" s="7"/>
      <c r="DWD18" s="7"/>
      <c r="DWE18" s="7"/>
      <c r="DWF18" s="7"/>
      <c r="DWG18" s="7"/>
      <c r="DWH18" s="7"/>
      <c r="DWI18" s="7"/>
      <c r="DWJ18" s="7"/>
      <c r="DWK18" s="7"/>
      <c r="DWL18" s="7"/>
      <c r="DWM18" s="7"/>
      <c r="DWN18" s="7"/>
      <c r="DWO18" s="7"/>
      <c r="DWP18" s="7"/>
      <c r="DWQ18" s="7"/>
      <c r="DWR18" s="7"/>
      <c r="DWS18" s="7"/>
      <c r="DWT18" s="7"/>
      <c r="DWU18" s="7"/>
      <c r="DWV18" s="7"/>
      <c r="DWW18" s="7"/>
      <c r="DWX18" s="7"/>
      <c r="DWY18" s="7"/>
      <c r="DWZ18" s="7"/>
      <c r="DXA18" s="7"/>
      <c r="DXB18" s="7"/>
      <c r="DXC18" s="7"/>
      <c r="DXD18" s="7"/>
      <c r="DXE18" s="7"/>
      <c r="DXF18" s="7"/>
      <c r="DXG18" s="7"/>
      <c r="DXH18" s="7"/>
      <c r="DXI18" s="7"/>
      <c r="DXJ18" s="7"/>
      <c r="DXK18" s="7"/>
      <c r="DXL18" s="7"/>
      <c r="DXM18" s="7"/>
      <c r="DXN18" s="7"/>
      <c r="DXO18" s="7"/>
      <c r="DXP18" s="7"/>
      <c r="DXQ18" s="7"/>
      <c r="DXR18" s="7"/>
      <c r="DXS18" s="7"/>
      <c r="DXT18" s="7"/>
      <c r="DXU18" s="7"/>
      <c r="DXV18" s="7"/>
      <c r="DXW18" s="7"/>
      <c r="DXX18" s="7"/>
      <c r="DXY18" s="7"/>
      <c r="DXZ18" s="7"/>
      <c r="DYA18" s="7"/>
      <c r="DYB18" s="7"/>
      <c r="DYC18" s="7"/>
      <c r="DYD18" s="7"/>
      <c r="DYE18" s="7"/>
      <c r="DYF18" s="7"/>
      <c r="DYG18" s="7"/>
      <c r="DYH18" s="7"/>
      <c r="DYI18" s="7"/>
      <c r="DYJ18" s="7"/>
      <c r="DYK18" s="7"/>
      <c r="DYL18" s="7"/>
      <c r="DYM18" s="7"/>
      <c r="DYN18" s="7"/>
      <c r="DYO18" s="7"/>
      <c r="DYP18" s="7"/>
      <c r="DYQ18" s="7"/>
      <c r="DYR18" s="7"/>
      <c r="DYS18" s="7"/>
      <c r="DYT18" s="7"/>
      <c r="DYU18" s="7"/>
      <c r="DYV18" s="7"/>
      <c r="DYW18" s="7"/>
      <c r="DYX18" s="7"/>
      <c r="DYY18" s="7"/>
      <c r="DYZ18" s="7"/>
      <c r="DZA18" s="7"/>
      <c r="DZB18" s="7"/>
      <c r="DZC18" s="7"/>
      <c r="DZD18" s="7"/>
      <c r="DZE18" s="7"/>
      <c r="DZF18" s="7"/>
      <c r="DZG18" s="7"/>
      <c r="DZH18" s="7"/>
      <c r="DZI18" s="7"/>
      <c r="DZJ18" s="7"/>
      <c r="DZK18" s="7"/>
      <c r="DZL18" s="7"/>
      <c r="DZM18" s="7"/>
      <c r="DZN18" s="7"/>
      <c r="DZO18" s="7"/>
      <c r="DZP18" s="7"/>
      <c r="DZQ18" s="7"/>
      <c r="DZR18" s="7"/>
      <c r="DZS18" s="7"/>
      <c r="DZT18" s="7"/>
      <c r="DZU18" s="7"/>
      <c r="DZV18" s="7"/>
      <c r="DZW18" s="7"/>
      <c r="DZX18" s="7"/>
      <c r="DZY18" s="7"/>
      <c r="DZZ18" s="7"/>
      <c r="EAA18" s="7"/>
      <c r="EAB18" s="7"/>
      <c r="EAC18" s="7"/>
      <c r="EAD18" s="7"/>
      <c r="EAE18" s="7"/>
      <c r="EAF18" s="7"/>
      <c r="EAG18" s="7"/>
      <c r="EAH18" s="7"/>
      <c r="EAI18" s="7"/>
      <c r="EAJ18" s="7"/>
      <c r="EAK18" s="7"/>
      <c r="EAL18" s="7"/>
      <c r="EAM18" s="7"/>
      <c r="EAN18" s="7"/>
      <c r="EAO18" s="7"/>
      <c r="EAP18" s="7"/>
      <c r="EAQ18" s="7"/>
      <c r="EAR18" s="7"/>
      <c r="EAS18" s="7"/>
      <c r="EAT18" s="7"/>
      <c r="EAU18" s="7"/>
      <c r="EAV18" s="7"/>
      <c r="EAW18" s="7"/>
      <c r="EAX18" s="7"/>
      <c r="EAY18" s="7"/>
      <c r="EAZ18" s="7"/>
      <c r="EBA18" s="7"/>
      <c r="EBB18" s="7"/>
      <c r="EBC18" s="7"/>
      <c r="EBD18" s="7"/>
      <c r="EBE18" s="7"/>
      <c r="EBF18" s="7"/>
      <c r="EBG18" s="7"/>
      <c r="EBH18" s="7"/>
      <c r="EBI18" s="7"/>
      <c r="EBJ18" s="7"/>
      <c r="EBK18" s="7"/>
      <c r="EBL18" s="7"/>
      <c r="EBM18" s="7"/>
      <c r="EBN18" s="7"/>
      <c r="EBO18" s="7"/>
      <c r="EBP18" s="7"/>
      <c r="EBQ18" s="7"/>
      <c r="EBR18" s="7"/>
      <c r="EBS18" s="7"/>
      <c r="EBT18" s="7"/>
      <c r="EBU18" s="7"/>
      <c r="EBV18" s="7"/>
      <c r="EBW18" s="7"/>
      <c r="EBX18" s="7"/>
      <c r="EBY18" s="7"/>
      <c r="EBZ18" s="7"/>
      <c r="ECA18" s="7"/>
      <c r="ECB18" s="7"/>
      <c r="ECC18" s="7"/>
      <c r="ECD18" s="7"/>
      <c r="ECE18" s="7"/>
      <c r="ECF18" s="7"/>
      <c r="ECG18" s="7"/>
      <c r="ECH18" s="7"/>
      <c r="ECI18" s="7"/>
      <c r="ECJ18" s="7"/>
      <c r="ECK18" s="7"/>
      <c r="ECL18" s="7"/>
      <c r="ECM18" s="7"/>
      <c r="ECN18" s="7"/>
      <c r="ECO18" s="7"/>
      <c r="ECP18" s="7"/>
      <c r="ECQ18" s="7"/>
      <c r="ECR18" s="7"/>
      <c r="ECS18" s="7"/>
      <c r="ECT18" s="7"/>
      <c r="ECU18" s="7"/>
      <c r="ECV18" s="7"/>
      <c r="ECW18" s="7"/>
      <c r="ECX18" s="7"/>
      <c r="ECY18" s="7"/>
      <c r="ECZ18" s="7"/>
      <c r="EDA18" s="7"/>
      <c r="EDB18" s="7"/>
      <c r="EDC18" s="7"/>
      <c r="EDD18" s="7"/>
      <c r="EDE18" s="7"/>
      <c r="EDF18" s="7"/>
      <c r="EDG18" s="7"/>
      <c r="EDH18" s="7"/>
      <c r="EDI18" s="7"/>
      <c r="EDJ18" s="7"/>
      <c r="EDK18" s="7"/>
      <c r="EDL18" s="7"/>
      <c r="EDM18" s="7"/>
      <c r="EDN18" s="7"/>
      <c r="EDO18" s="7"/>
      <c r="EDP18" s="7"/>
      <c r="EDQ18" s="7"/>
      <c r="EDR18" s="7"/>
      <c r="EDS18" s="7"/>
      <c r="EDT18" s="7"/>
      <c r="EDU18" s="7"/>
      <c r="EDV18" s="7"/>
      <c r="EDW18" s="7"/>
      <c r="EDX18" s="7"/>
      <c r="EDY18" s="7"/>
      <c r="EDZ18" s="7"/>
      <c r="EEA18" s="7"/>
      <c r="EEB18" s="7"/>
      <c r="EEC18" s="7"/>
      <c r="EED18" s="7"/>
      <c r="EEE18" s="7"/>
      <c r="EEF18" s="7"/>
      <c r="EEG18" s="7"/>
      <c r="EEH18" s="7"/>
      <c r="EEI18" s="7"/>
      <c r="EEJ18" s="7"/>
      <c r="EEK18" s="7"/>
      <c r="EEL18" s="7"/>
      <c r="EEM18" s="7"/>
      <c r="EEN18" s="7"/>
      <c r="EEO18" s="7"/>
      <c r="EEP18" s="7"/>
      <c r="EEQ18" s="7"/>
      <c r="EER18" s="7"/>
      <c r="EES18" s="7"/>
      <c r="EET18" s="7"/>
      <c r="EEU18" s="7"/>
      <c r="EEV18" s="7"/>
      <c r="EEW18" s="7"/>
      <c r="EEX18" s="7"/>
      <c r="EEY18" s="7"/>
      <c r="EEZ18" s="7"/>
      <c r="EFA18" s="7"/>
      <c r="EFB18" s="7"/>
      <c r="EFC18" s="7"/>
      <c r="EFD18" s="7"/>
      <c r="EFE18" s="7"/>
      <c r="EFF18" s="7"/>
      <c r="EFG18" s="7"/>
      <c r="EFH18" s="7"/>
      <c r="EFI18" s="7"/>
      <c r="EFJ18" s="7"/>
      <c r="EFK18" s="7"/>
      <c r="EFL18" s="7"/>
      <c r="EFM18" s="7"/>
      <c r="EFN18" s="7"/>
      <c r="EFO18" s="7"/>
      <c r="EFP18" s="7"/>
      <c r="EFQ18" s="7"/>
      <c r="EFR18" s="7"/>
      <c r="EFS18" s="7"/>
      <c r="EFT18" s="7"/>
      <c r="EFU18" s="7"/>
      <c r="EFV18" s="7"/>
      <c r="EFW18" s="7"/>
      <c r="EFX18" s="7"/>
      <c r="EFY18" s="7"/>
      <c r="EFZ18" s="7"/>
      <c r="EGA18" s="7"/>
      <c r="EGB18" s="7"/>
      <c r="EGC18" s="7"/>
      <c r="EGD18" s="7"/>
      <c r="EGE18" s="7"/>
      <c r="EGF18" s="7"/>
      <c r="EGG18" s="7"/>
      <c r="EGH18" s="7"/>
      <c r="EGI18" s="7"/>
      <c r="EGJ18" s="7"/>
      <c r="EGK18" s="7"/>
      <c r="EGL18" s="7"/>
      <c r="EGM18" s="7"/>
      <c r="EGN18" s="7"/>
      <c r="EGO18" s="7"/>
      <c r="EGP18" s="7"/>
      <c r="EGQ18" s="7"/>
      <c r="EGR18" s="7"/>
      <c r="EGS18" s="7"/>
      <c r="EGT18" s="7"/>
      <c r="EGU18" s="7"/>
      <c r="EGV18" s="7"/>
      <c r="EGW18" s="7"/>
      <c r="EGX18" s="7"/>
      <c r="EGY18" s="7"/>
      <c r="EGZ18" s="7"/>
      <c r="EHA18" s="7"/>
      <c r="EHB18" s="7"/>
      <c r="EHC18" s="7"/>
      <c r="EHD18" s="7"/>
      <c r="EHE18" s="7"/>
      <c r="EHF18" s="7"/>
      <c r="EHG18" s="7"/>
      <c r="EHH18" s="7"/>
      <c r="EHI18" s="7"/>
      <c r="EHJ18" s="7"/>
      <c r="EHK18" s="7"/>
      <c r="EHL18" s="7"/>
      <c r="EHM18" s="7"/>
      <c r="EHN18" s="7"/>
      <c r="EHO18" s="7"/>
      <c r="EHP18" s="7"/>
      <c r="EHQ18" s="7"/>
      <c r="EHR18" s="7"/>
      <c r="EHS18" s="7"/>
      <c r="EHT18" s="7"/>
      <c r="EHU18" s="7"/>
      <c r="EHV18" s="7"/>
      <c r="EHW18" s="7"/>
      <c r="EHX18" s="7"/>
      <c r="EHY18" s="7"/>
      <c r="EHZ18" s="7"/>
      <c r="EIA18" s="7"/>
      <c r="EIB18" s="7"/>
      <c r="EIC18" s="7"/>
      <c r="EID18" s="7"/>
      <c r="EIE18" s="7"/>
      <c r="EIF18" s="7"/>
      <c r="EIG18" s="7"/>
      <c r="EIH18" s="7"/>
      <c r="EII18" s="7"/>
      <c r="EIJ18" s="7"/>
      <c r="EIK18" s="7"/>
      <c r="EIL18" s="7"/>
      <c r="EIM18" s="7"/>
      <c r="EIN18" s="7"/>
      <c r="EIO18" s="7"/>
      <c r="EIP18" s="7"/>
      <c r="EIQ18" s="7"/>
      <c r="EIR18" s="7"/>
      <c r="EIS18" s="7"/>
      <c r="EIT18" s="7"/>
      <c r="EIU18" s="7"/>
      <c r="EIV18" s="7"/>
      <c r="EIW18" s="7"/>
      <c r="EIX18" s="7"/>
      <c r="EIY18" s="7"/>
      <c r="EIZ18" s="7"/>
      <c r="EJA18" s="7"/>
      <c r="EJB18" s="7"/>
      <c r="EJC18" s="7"/>
      <c r="EJD18" s="7"/>
      <c r="EJE18" s="7"/>
      <c r="EJF18" s="7"/>
      <c r="EJG18" s="7"/>
      <c r="EJH18" s="7"/>
      <c r="EJI18" s="7"/>
      <c r="EJJ18" s="7"/>
      <c r="EJK18" s="7"/>
      <c r="EJL18" s="7"/>
      <c r="EJM18" s="7"/>
      <c r="EJN18" s="7"/>
      <c r="EJO18" s="7"/>
      <c r="EJP18" s="7"/>
      <c r="EJQ18" s="7"/>
      <c r="EJR18" s="7"/>
      <c r="EJS18" s="7"/>
      <c r="EJT18" s="7"/>
      <c r="EJU18" s="7"/>
      <c r="EJV18" s="7"/>
      <c r="EJW18" s="7"/>
      <c r="EJX18" s="7"/>
      <c r="EJY18" s="7"/>
      <c r="EJZ18" s="7"/>
      <c r="EKA18" s="7"/>
      <c r="EKB18" s="7"/>
      <c r="EKC18" s="7"/>
      <c r="EKD18" s="7"/>
      <c r="EKE18" s="7"/>
      <c r="EKF18" s="7"/>
      <c r="EKG18" s="7"/>
      <c r="EKH18" s="7"/>
      <c r="EKI18" s="7"/>
      <c r="EKJ18" s="7"/>
      <c r="EKK18" s="7"/>
      <c r="EKL18" s="7"/>
      <c r="EKM18" s="7"/>
      <c r="EKN18" s="7"/>
      <c r="EKO18" s="7"/>
      <c r="EKP18" s="7"/>
      <c r="EKQ18" s="7"/>
      <c r="EKR18" s="7"/>
      <c r="EKS18" s="7"/>
      <c r="EKT18" s="7"/>
      <c r="EKU18" s="7"/>
      <c r="EKV18" s="7"/>
      <c r="EKW18" s="7"/>
      <c r="EKX18" s="7"/>
      <c r="EKY18" s="7"/>
      <c r="EKZ18" s="7"/>
      <c r="ELA18" s="7"/>
      <c r="ELB18" s="7"/>
      <c r="ELC18" s="7"/>
      <c r="ELD18" s="7"/>
      <c r="ELE18" s="7"/>
      <c r="ELF18" s="7"/>
      <c r="ELG18" s="7"/>
      <c r="ELH18" s="7"/>
      <c r="ELI18" s="7"/>
      <c r="ELJ18" s="7"/>
      <c r="ELK18" s="7"/>
      <c r="ELL18" s="7"/>
      <c r="ELM18" s="7"/>
      <c r="ELN18" s="7"/>
      <c r="ELO18" s="7"/>
      <c r="ELP18" s="7"/>
      <c r="ELQ18" s="7"/>
      <c r="ELR18" s="7"/>
      <c r="ELS18" s="7"/>
      <c r="ELT18" s="7"/>
      <c r="ELU18" s="7"/>
      <c r="ELV18" s="7"/>
      <c r="ELW18" s="7"/>
      <c r="ELX18" s="7"/>
      <c r="ELY18" s="7"/>
      <c r="ELZ18" s="7"/>
      <c r="EMA18" s="7"/>
      <c r="EMB18" s="7"/>
      <c r="EMC18" s="7"/>
      <c r="EMD18" s="7"/>
      <c r="EME18" s="7"/>
      <c r="EMF18" s="7"/>
      <c r="EMG18" s="7"/>
      <c r="EMH18" s="7"/>
      <c r="EMI18" s="7"/>
      <c r="EMJ18" s="7"/>
      <c r="EMK18" s="7"/>
      <c r="EML18" s="7"/>
      <c r="EMM18" s="7"/>
      <c r="EMN18" s="7"/>
      <c r="EMO18" s="7"/>
      <c r="EMP18" s="7"/>
      <c r="EMQ18" s="7"/>
      <c r="EMR18" s="7"/>
      <c r="EMS18" s="7"/>
      <c r="EMT18" s="7"/>
      <c r="EMU18" s="7"/>
      <c r="EMV18" s="7"/>
      <c r="EMW18" s="7"/>
      <c r="EMX18" s="7"/>
      <c r="EMY18" s="7"/>
      <c r="EMZ18" s="7"/>
      <c r="ENA18" s="7"/>
      <c r="ENB18" s="7"/>
      <c r="ENC18" s="7"/>
      <c r="END18" s="7"/>
      <c r="ENE18" s="7"/>
      <c r="ENF18" s="7"/>
      <c r="ENG18" s="7"/>
      <c r="ENH18" s="7"/>
      <c r="ENI18" s="7"/>
      <c r="ENJ18" s="7"/>
      <c r="ENK18" s="7"/>
      <c r="ENL18" s="7"/>
      <c r="ENM18" s="7"/>
      <c r="ENN18" s="7"/>
      <c r="ENO18" s="7"/>
      <c r="ENP18" s="7"/>
      <c r="ENQ18" s="7"/>
      <c r="ENR18" s="7"/>
      <c r="ENS18" s="7"/>
      <c r="ENT18" s="7"/>
      <c r="ENU18" s="7"/>
      <c r="ENV18" s="7"/>
      <c r="ENW18" s="7"/>
      <c r="ENX18" s="7"/>
      <c r="ENY18" s="7"/>
      <c r="ENZ18" s="7"/>
      <c r="EOA18" s="7"/>
      <c r="EOB18" s="7"/>
      <c r="EOC18" s="7"/>
      <c r="EOD18" s="7"/>
      <c r="EOE18" s="7"/>
      <c r="EOF18" s="7"/>
      <c r="EOG18" s="7"/>
      <c r="EOH18" s="7"/>
      <c r="EOI18" s="7"/>
      <c r="EOJ18" s="7"/>
      <c r="EOK18" s="7"/>
      <c r="EOL18" s="7"/>
      <c r="EOM18" s="7"/>
      <c r="EON18" s="7"/>
      <c r="EOO18" s="7"/>
      <c r="EOP18" s="7"/>
      <c r="EOQ18" s="7"/>
      <c r="EOR18" s="7"/>
      <c r="EOS18" s="7"/>
      <c r="EOT18" s="7"/>
      <c r="EOU18" s="7"/>
      <c r="EOV18" s="7"/>
      <c r="EOW18" s="7"/>
      <c r="EOX18" s="7"/>
      <c r="EOY18" s="7"/>
      <c r="EOZ18" s="7"/>
      <c r="EPA18" s="7"/>
      <c r="EPB18" s="7"/>
      <c r="EPC18" s="7"/>
      <c r="EPD18" s="7"/>
      <c r="EPE18" s="7"/>
      <c r="EPF18" s="7"/>
      <c r="EPG18" s="7"/>
      <c r="EPH18" s="7"/>
      <c r="EPI18" s="7"/>
      <c r="EPJ18" s="7"/>
      <c r="EPK18" s="7"/>
      <c r="EPL18" s="7"/>
      <c r="EPM18" s="7"/>
      <c r="EPN18" s="7"/>
      <c r="EPO18" s="7"/>
      <c r="EPP18" s="7"/>
      <c r="EPQ18" s="7"/>
      <c r="EPR18" s="7"/>
      <c r="EPS18" s="7"/>
      <c r="EPT18" s="7"/>
      <c r="EPU18" s="7"/>
      <c r="EPV18" s="7"/>
      <c r="EPW18" s="7"/>
      <c r="EPX18" s="7"/>
      <c r="EPY18" s="7"/>
      <c r="EPZ18" s="7"/>
      <c r="EQA18" s="7"/>
      <c r="EQB18" s="7"/>
      <c r="EQC18" s="7"/>
      <c r="EQD18" s="7"/>
      <c r="EQE18" s="7"/>
      <c r="EQF18" s="7"/>
      <c r="EQG18" s="7"/>
      <c r="EQH18" s="7"/>
      <c r="EQI18" s="7"/>
      <c r="EQJ18" s="7"/>
      <c r="EQK18" s="7"/>
      <c r="EQL18" s="7"/>
      <c r="EQM18" s="7"/>
      <c r="EQN18" s="7"/>
      <c r="EQO18" s="7"/>
      <c r="EQP18" s="7"/>
      <c r="EQQ18" s="7"/>
      <c r="EQR18" s="7"/>
      <c r="EQS18" s="7"/>
      <c r="EQT18" s="7"/>
      <c r="EQU18" s="7"/>
      <c r="EQV18" s="7"/>
      <c r="EQW18" s="7"/>
      <c r="EQX18" s="7"/>
      <c r="EQY18" s="7"/>
      <c r="EQZ18" s="7"/>
      <c r="ERA18" s="7"/>
      <c r="ERB18" s="7"/>
      <c r="ERC18" s="7"/>
      <c r="ERD18" s="7"/>
      <c r="ERE18" s="7"/>
      <c r="ERF18" s="7"/>
      <c r="ERG18" s="7"/>
      <c r="ERH18" s="7"/>
      <c r="ERI18" s="7"/>
      <c r="ERJ18" s="7"/>
      <c r="ERK18" s="7"/>
      <c r="ERL18" s="7"/>
      <c r="ERM18" s="7"/>
      <c r="ERN18" s="7"/>
      <c r="ERO18" s="7"/>
      <c r="ERP18" s="7"/>
      <c r="ERQ18" s="7"/>
      <c r="ERR18" s="7"/>
      <c r="ERS18" s="7"/>
      <c r="ERT18" s="7"/>
      <c r="ERU18" s="7"/>
      <c r="ERV18" s="7"/>
      <c r="ERW18" s="7"/>
      <c r="ERX18" s="7"/>
      <c r="ERY18" s="7"/>
      <c r="ERZ18" s="7"/>
      <c r="ESA18" s="7"/>
      <c r="ESB18" s="7"/>
      <c r="ESC18" s="7"/>
      <c r="ESD18" s="7"/>
      <c r="ESE18" s="7"/>
      <c r="ESF18" s="7"/>
      <c r="ESG18" s="7"/>
      <c r="ESH18" s="7"/>
      <c r="ESI18" s="7"/>
      <c r="ESJ18" s="7"/>
      <c r="ESK18" s="7"/>
      <c r="ESL18" s="7"/>
      <c r="ESM18" s="7"/>
      <c r="ESN18" s="7"/>
      <c r="ESO18" s="7"/>
      <c r="ESP18" s="7"/>
      <c r="ESQ18" s="7"/>
      <c r="ESR18" s="7"/>
      <c r="ESS18" s="7"/>
      <c r="EST18" s="7"/>
      <c r="ESU18" s="7"/>
      <c r="ESV18" s="7"/>
      <c r="ESW18" s="7"/>
      <c r="ESX18" s="7"/>
      <c r="ESY18" s="7"/>
      <c r="ESZ18" s="7"/>
      <c r="ETA18" s="7"/>
      <c r="ETB18" s="7"/>
      <c r="ETC18" s="7"/>
      <c r="ETD18" s="7"/>
      <c r="ETE18" s="7"/>
      <c r="ETF18" s="7"/>
      <c r="ETG18" s="7"/>
      <c r="ETH18" s="7"/>
      <c r="ETI18" s="7"/>
      <c r="ETJ18" s="7"/>
      <c r="ETK18" s="7"/>
      <c r="ETL18" s="7"/>
      <c r="ETM18" s="7"/>
      <c r="ETN18" s="7"/>
      <c r="ETO18" s="7"/>
      <c r="ETP18" s="7"/>
      <c r="ETQ18" s="7"/>
      <c r="ETR18" s="7"/>
      <c r="ETS18" s="7"/>
      <c r="ETT18" s="7"/>
      <c r="ETU18" s="7"/>
      <c r="ETV18" s="7"/>
      <c r="ETW18" s="7"/>
      <c r="ETX18" s="7"/>
      <c r="ETY18" s="7"/>
      <c r="ETZ18" s="7"/>
      <c r="EUA18" s="7"/>
      <c r="EUB18" s="7"/>
      <c r="EUC18" s="7"/>
      <c r="EUD18" s="7"/>
      <c r="EUE18" s="7"/>
      <c r="EUF18" s="7"/>
      <c r="EUG18" s="7"/>
      <c r="EUH18" s="7"/>
      <c r="EUI18" s="7"/>
      <c r="EUJ18" s="7"/>
      <c r="EUK18" s="7"/>
      <c r="EUL18" s="7"/>
      <c r="EUM18" s="7"/>
      <c r="EUN18" s="7"/>
      <c r="EUO18" s="7"/>
      <c r="EUP18" s="7"/>
      <c r="EUQ18" s="7"/>
      <c r="EUR18" s="7"/>
      <c r="EUS18" s="7"/>
      <c r="EUT18" s="7"/>
      <c r="EUU18" s="7"/>
      <c r="EUV18" s="7"/>
      <c r="EUW18" s="7"/>
      <c r="EUX18" s="7"/>
      <c r="EUY18" s="7"/>
      <c r="EUZ18" s="7"/>
      <c r="EVA18" s="7"/>
      <c r="EVB18" s="7"/>
      <c r="EVC18" s="7"/>
      <c r="EVD18" s="7"/>
      <c r="EVE18" s="7"/>
      <c r="EVF18" s="7"/>
      <c r="EVG18" s="7"/>
      <c r="EVH18" s="7"/>
      <c r="EVI18" s="7"/>
      <c r="EVJ18" s="7"/>
      <c r="EVK18" s="7"/>
      <c r="EVL18" s="7"/>
      <c r="EVM18" s="7"/>
      <c r="EVN18" s="7"/>
      <c r="EVO18" s="7"/>
      <c r="EVP18" s="7"/>
      <c r="EVQ18" s="7"/>
      <c r="EVR18" s="7"/>
      <c r="EVS18" s="7"/>
      <c r="EVT18" s="7"/>
      <c r="EVU18" s="7"/>
      <c r="EVV18" s="7"/>
      <c r="EVW18" s="7"/>
      <c r="EVX18" s="7"/>
      <c r="EVY18" s="7"/>
      <c r="EVZ18" s="7"/>
      <c r="EWA18" s="7"/>
      <c r="EWB18" s="7"/>
      <c r="EWC18" s="7"/>
      <c r="EWD18" s="7"/>
      <c r="EWE18" s="7"/>
      <c r="EWF18" s="7"/>
      <c r="EWG18" s="7"/>
      <c r="EWH18" s="7"/>
      <c r="EWI18" s="7"/>
      <c r="EWJ18" s="7"/>
      <c r="EWK18" s="7"/>
      <c r="EWL18" s="7"/>
      <c r="EWM18" s="7"/>
      <c r="EWN18" s="7"/>
      <c r="EWO18" s="7"/>
      <c r="EWP18" s="7"/>
      <c r="EWQ18" s="7"/>
      <c r="EWR18" s="7"/>
      <c r="EWS18" s="7"/>
      <c r="EWT18" s="7"/>
      <c r="EWU18" s="7"/>
      <c r="EWV18" s="7"/>
      <c r="EWW18" s="7"/>
      <c r="EWX18" s="7"/>
      <c r="EWY18" s="7"/>
      <c r="EWZ18" s="7"/>
      <c r="EXA18" s="7"/>
      <c r="EXB18" s="7"/>
      <c r="EXC18" s="7"/>
      <c r="EXD18" s="7"/>
      <c r="EXE18" s="7"/>
      <c r="EXF18" s="7"/>
      <c r="EXG18" s="7"/>
      <c r="EXH18" s="7"/>
      <c r="EXI18" s="7"/>
      <c r="EXJ18" s="7"/>
      <c r="EXK18" s="7"/>
      <c r="EXL18" s="7"/>
      <c r="EXM18" s="7"/>
      <c r="EXN18" s="7"/>
      <c r="EXO18" s="7"/>
      <c r="EXP18" s="7"/>
      <c r="EXQ18" s="7"/>
      <c r="EXR18" s="7"/>
      <c r="EXS18" s="7"/>
      <c r="EXT18" s="7"/>
      <c r="EXU18" s="7"/>
      <c r="EXV18" s="7"/>
      <c r="EXW18" s="7"/>
      <c r="EXX18" s="7"/>
      <c r="EXY18" s="7"/>
      <c r="EXZ18" s="7"/>
      <c r="EYA18" s="7"/>
      <c r="EYB18" s="7"/>
      <c r="EYC18" s="7"/>
      <c r="EYD18" s="7"/>
      <c r="EYE18" s="7"/>
      <c r="EYF18" s="7"/>
      <c r="EYG18" s="7"/>
      <c r="EYH18" s="7"/>
      <c r="EYI18" s="7"/>
      <c r="EYJ18" s="7"/>
      <c r="EYK18" s="7"/>
      <c r="EYL18" s="7"/>
      <c r="EYM18" s="7"/>
      <c r="EYN18" s="7"/>
      <c r="EYO18" s="7"/>
      <c r="EYP18" s="7"/>
      <c r="EYQ18" s="7"/>
      <c r="EYR18" s="7"/>
      <c r="EYS18" s="7"/>
      <c r="EYT18" s="7"/>
      <c r="EYU18" s="7"/>
      <c r="EYV18" s="7"/>
      <c r="EYW18" s="7"/>
      <c r="EYX18" s="7"/>
      <c r="EYY18" s="7"/>
      <c r="EYZ18" s="7"/>
      <c r="EZA18" s="7"/>
      <c r="EZB18" s="7"/>
      <c r="EZC18" s="7"/>
      <c r="EZD18" s="7"/>
      <c r="EZE18" s="7"/>
      <c r="EZF18" s="7"/>
      <c r="EZG18" s="7"/>
      <c r="EZH18" s="7"/>
      <c r="EZI18" s="7"/>
      <c r="EZJ18" s="7"/>
      <c r="EZK18" s="7"/>
      <c r="EZL18" s="7"/>
      <c r="EZM18" s="7"/>
      <c r="EZN18" s="7"/>
      <c r="EZO18" s="7"/>
      <c r="EZP18" s="7"/>
      <c r="EZQ18" s="7"/>
      <c r="EZR18" s="7"/>
      <c r="EZS18" s="7"/>
      <c r="EZT18" s="7"/>
      <c r="EZU18" s="7"/>
      <c r="EZV18" s="7"/>
      <c r="EZW18" s="7"/>
      <c r="EZX18" s="7"/>
      <c r="EZY18" s="7"/>
      <c r="EZZ18" s="7"/>
      <c r="FAA18" s="7"/>
      <c r="FAB18" s="7"/>
      <c r="FAC18" s="7"/>
      <c r="FAD18" s="7"/>
      <c r="FAE18" s="7"/>
      <c r="FAF18" s="7"/>
      <c r="FAG18" s="7"/>
      <c r="FAH18" s="7"/>
      <c r="FAI18" s="7"/>
      <c r="FAJ18" s="7"/>
      <c r="FAK18" s="7"/>
      <c r="FAL18" s="7"/>
      <c r="FAM18" s="7"/>
      <c r="FAN18" s="7"/>
      <c r="FAO18" s="7"/>
      <c r="FAP18" s="7"/>
      <c r="FAQ18" s="7"/>
      <c r="FAR18" s="7"/>
      <c r="FAS18" s="7"/>
      <c r="FAT18" s="7"/>
      <c r="FAU18" s="7"/>
      <c r="FAV18" s="7"/>
      <c r="FAW18" s="7"/>
      <c r="FAX18" s="7"/>
      <c r="FAY18" s="7"/>
      <c r="FAZ18" s="7"/>
      <c r="FBA18" s="7"/>
      <c r="FBB18" s="7"/>
      <c r="FBC18" s="7"/>
      <c r="FBD18" s="7"/>
      <c r="FBE18" s="7"/>
      <c r="FBF18" s="7"/>
      <c r="FBG18" s="7"/>
      <c r="FBH18" s="7"/>
      <c r="FBI18" s="7"/>
      <c r="FBJ18" s="7"/>
      <c r="FBK18" s="7"/>
      <c r="FBL18" s="7"/>
      <c r="FBM18" s="7"/>
      <c r="FBN18" s="7"/>
      <c r="FBO18" s="7"/>
      <c r="FBP18" s="7"/>
      <c r="FBQ18" s="7"/>
      <c r="FBR18" s="7"/>
      <c r="FBS18" s="7"/>
      <c r="FBT18" s="7"/>
      <c r="FBU18" s="7"/>
      <c r="FBV18" s="7"/>
      <c r="FBW18" s="7"/>
      <c r="FBX18" s="7"/>
      <c r="FBY18" s="7"/>
      <c r="FBZ18" s="7"/>
      <c r="FCA18" s="7"/>
      <c r="FCB18" s="7"/>
      <c r="FCC18" s="7"/>
      <c r="FCD18" s="7"/>
      <c r="FCE18" s="7"/>
      <c r="FCF18" s="7"/>
      <c r="FCG18" s="7"/>
      <c r="FCH18" s="7"/>
      <c r="FCI18" s="7"/>
      <c r="FCJ18" s="7"/>
      <c r="FCK18" s="7"/>
      <c r="FCL18" s="7"/>
      <c r="FCM18" s="7"/>
      <c r="FCN18" s="7"/>
      <c r="FCO18" s="7"/>
      <c r="FCP18" s="7"/>
      <c r="FCQ18" s="7"/>
      <c r="FCR18" s="7"/>
      <c r="FCS18" s="7"/>
      <c r="FCT18" s="7"/>
      <c r="FCU18" s="7"/>
      <c r="FCV18" s="7"/>
      <c r="FCW18" s="7"/>
      <c r="FCX18" s="7"/>
      <c r="FCY18" s="7"/>
      <c r="FCZ18" s="7"/>
      <c r="FDA18" s="7"/>
      <c r="FDB18" s="7"/>
      <c r="FDC18" s="7"/>
      <c r="FDD18" s="7"/>
      <c r="FDE18" s="7"/>
      <c r="FDF18" s="7"/>
      <c r="FDG18" s="7"/>
      <c r="FDH18" s="7"/>
      <c r="FDI18" s="7"/>
      <c r="FDJ18" s="7"/>
      <c r="FDK18" s="7"/>
      <c r="FDL18" s="7"/>
      <c r="FDM18" s="7"/>
      <c r="FDN18" s="7"/>
      <c r="FDO18" s="7"/>
      <c r="FDP18" s="7"/>
      <c r="FDQ18" s="7"/>
      <c r="FDR18" s="7"/>
      <c r="FDS18" s="7"/>
      <c r="FDT18" s="7"/>
      <c r="FDU18" s="7"/>
      <c r="FDV18" s="7"/>
      <c r="FDW18" s="7"/>
      <c r="FDX18" s="7"/>
      <c r="FDY18" s="7"/>
      <c r="FDZ18" s="7"/>
      <c r="FEA18" s="7"/>
      <c r="FEB18" s="7"/>
      <c r="FEC18" s="7"/>
      <c r="FED18" s="7"/>
      <c r="FEE18" s="7"/>
      <c r="FEF18" s="7"/>
      <c r="FEG18" s="7"/>
      <c r="FEH18" s="7"/>
      <c r="FEI18" s="7"/>
      <c r="FEJ18" s="7"/>
      <c r="FEK18" s="7"/>
      <c r="FEL18" s="7"/>
      <c r="FEM18" s="7"/>
      <c r="FEN18" s="7"/>
      <c r="FEO18" s="7"/>
      <c r="FEP18" s="7"/>
      <c r="FEQ18" s="7"/>
      <c r="FER18" s="7"/>
      <c r="FES18" s="7"/>
      <c r="FET18" s="7"/>
      <c r="FEU18" s="7"/>
      <c r="FEV18" s="7"/>
      <c r="FEW18" s="7"/>
      <c r="FEX18" s="7"/>
      <c r="FEY18" s="7"/>
      <c r="FEZ18" s="7"/>
      <c r="FFA18" s="7"/>
      <c r="FFB18" s="7"/>
      <c r="FFC18" s="7"/>
      <c r="FFD18" s="7"/>
      <c r="FFE18" s="7"/>
      <c r="FFF18" s="7"/>
      <c r="FFG18" s="7"/>
      <c r="FFH18" s="7"/>
      <c r="FFI18" s="7"/>
      <c r="FFJ18" s="7"/>
      <c r="FFK18" s="7"/>
      <c r="FFL18" s="7"/>
      <c r="FFM18" s="7"/>
      <c r="FFN18" s="7"/>
      <c r="FFO18" s="7"/>
      <c r="FFP18" s="7"/>
      <c r="FFQ18" s="7"/>
      <c r="FFR18" s="7"/>
      <c r="FFS18" s="7"/>
      <c r="FFT18" s="7"/>
      <c r="FFU18" s="7"/>
      <c r="FFV18" s="7"/>
      <c r="FFW18" s="7"/>
      <c r="FFX18" s="7"/>
      <c r="FFY18" s="7"/>
      <c r="FFZ18" s="7"/>
      <c r="FGA18" s="7"/>
      <c r="FGB18" s="7"/>
      <c r="FGC18" s="7"/>
      <c r="FGD18" s="7"/>
      <c r="FGE18" s="7"/>
      <c r="FGF18" s="7"/>
      <c r="FGG18" s="7"/>
      <c r="FGH18" s="7"/>
      <c r="FGI18" s="7"/>
      <c r="FGJ18" s="7"/>
      <c r="FGK18" s="7"/>
      <c r="FGL18" s="7"/>
      <c r="FGM18" s="7"/>
      <c r="FGN18" s="7"/>
      <c r="FGO18" s="7"/>
      <c r="FGP18" s="7"/>
      <c r="FGQ18" s="7"/>
      <c r="FGR18" s="7"/>
      <c r="FGS18" s="7"/>
      <c r="FGT18" s="7"/>
      <c r="FGU18" s="7"/>
      <c r="FGV18" s="7"/>
      <c r="FGW18" s="7"/>
      <c r="FGX18" s="7"/>
      <c r="FGY18" s="7"/>
      <c r="FGZ18" s="7"/>
      <c r="FHA18" s="7"/>
      <c r="FHB18" s="7"/>
      <c r="FHC18" s="7"/>
      <c r="FHD18" s="7"/>
      <c r="FHE18" s="7"/>
      <c r="FHF18" s="7"/>
      <c r="FHG18" s="7"/>
      <c r="FHH18" s="7"/>
      <c r="FHI18" s="7"/>
      <c r="FHJ18" s="7"/>
      <c r="FHK18" s="7"/>
      <c r="FHL18" s="7"/>
      <c r="FHM18" s="7"/>
      <c r="FHN18" s="7"/>
      <c r="FHO18" s="7"/>
      <c r="FHP18" s="7"/>
      <c r="FHQ18" s="7"/>
      <c r="FHR18" s="7"/>
      <c r="FHS18" s="7"/>
      <c r="FHT18" s="7"/>
      <c r="FHU18" s="7"/>
      <c r="FHV18" s="7"/>
      <c r="FHW18" s="7"/>
      <c r="FHX18" s="7"/>
      <c r="FHY18" s="7"/>
      <c r="FHZ18" s="7"/>
      <c r="FIA18" s="7"/>
      <c r="FIB18" s="7"/>
      <c r="FIC18" s="7"/>
      <c r="FID18" s="7"/>
      <c r="FIE18" s="7"/>
      <c r="FIF18" s="7"/>
      <c r="FIG18" s="7"/>
      <c r="FIH18" s="7"/>
      <c r="FII18" s="7"/>
      <c r="FIJ18" s="7"/>
      <c r="FIK18" s="7"/>
      <c r="FIL18" s="7"/>
      <c r="FIM18" s="7"/>
      <c r="FIN18" s="7"/>
      <c r="FIO18" s="7"/>
      <c r="FIP18" s="7"/>
      <c r="FIQ18" s="7"/>
      <c r="FIR18" s="7"/>
      <c r="FIS18" s="7"/>
      <c r="FIT18" s="7"/>
      <c r="FIU18" s="7"/>
      <c r="FIV18" s="7"/>
      <c r="FIW18" s="7"/>
      <c r="FIX18" s="7"/>
      <c r="FIY18" s="7"/>
      <c r="FIZ18" s="7"/>
      <c r="FJA18" s="7"/>
      <c r="FJB18" s="7"/>
      <c r="FJC18" s="7"/>
      <c r="FJD18" s="7"/>
      <c r="FJE18" s="7"/>
      <c r="FJF18" s="7"/>
      <c r="FJG18" s="7"/>
      <c r="FJH18" s="7"/>
      <c r="FJI18" s="7"/>
      <c r="FJJ18" s="7"/>
      <c r="FJK18" s="7"/>
      <c r="FJL18" s="7"/>
      <c r="FJM18" s="7"/>
      <c r="FJN18" s="7"/>
      <c r="FJO18" s="7"/>
      <c r="FJP18" s="7"/>
      <c r="FJQ18" s="7"/>
      <c r="FJR18" s="7"/>
      <c r="FJS18" s="7"/>
      <c r="FJT18" s="7"/>
      <c r="FJU18" s="7"/>
      <c r="FJV18" s="7"/>
      <c r="FJW18" s="7"/>
      <c r="FJX18" s="7"/>
      <c r="FJY18" s="7"/>
      <c r="FJZ18" s="7"/>
      <c r="FKA18" s="7"/>
      <c r="FKB18" s="7"/>
      <c r="FKC18" s="7"/>
      <c r="FKD18" s="7"/>
      <c r="FKE18" s="7"/>
      <c r="FKF18" s="7"/>
      <c r="FKG18" s="7"/>
      <c r="FKH18" s="7"/>
      <c r="FKI18" s="7"/>
      <c r="FKJ18" s="7"/>
      <c r="FKK18" s="7"/>
      <c r="FKL18" s="7"/>
      <c r="FKM18" s="7"/>
      <c r="FKN18" s="7"/>
      <c r="FKO18" s="7"/>
      <c r="FKP18" s="7"/>
      <c r="FKQ18" s="7"/>
      <c r="FKR18" s="7"/>
      <c r="FKS18" s="7"/>
      <c r="FKT18" s="7"/>
      <c r="FKU18" s="7"/>
      <c r="FKV18" s="7"/>
      <c r="FKW18" s="7"/>
      <c r="FKX18" s="7"/>
      <c r="FKY18" s="7"/>
      <c r="FKZ18" s="7"/>
      <c r="FLA18" s="7"/>
      <c r="FLB18" s="7"/>
      <c r="FLC18" s="7"/>
      <c r="FLD18" s="7"/>
      <c r="FLE18" s="7"/>
      <c r="FLF18" s="7"/>
      <c r="FLG18" s="7"/>
      <c r="FLH18" s="7"/>
      <c r="FLI18" s="7"/>
      <c r="FLJ18" s="7"/>
      <c r="FLK18" s="7"/>
      <c r="FLL18" s="7"/>
      <c r="FLM18" s="7"/>
      <c r="FLN18" s="7"/>
      <c r="FLO18" s="7"/>
      <c r="FLP18" s="7"/>
      <c r="FLQ18" s="7"/>
      <c r="FLR18" s="7"/>
      <c r="FLS18" s="7"/>
      <c r="FLT18" s="7"/>
      <c r="FLU18" s="7"/>
      <c r="FLV18" s="7"/>
      <c r="FLW18" s="7"/>
      <c r="FLX18" s="7"/>
      <c r="FLY18" s="7"/>
      <c r="FLZ18" s="7"/>
      <c r="FMA18" s="7"/>
      <c r="FMB18" s="7"/>
      <c r="FMC18" s="7"/>
      <c r="FMD18" s="7"/>
      <c r="FME18" s="7"/>
      <c r="FMF18" s="7"/>
      <c r="FMG18" s="7"/>
      <c r="FMH18" s="7"/>
      <c r="FMI18" s="7"/>
      <c r="FMJ18" s="7"/>
      <c r="FMK18" s="7"/>
      <c r="FML18" s="7"/>
      <c r="FMM18" s="7"/>
      <c r="FMN18" s="7"/>
      <c r="FMO18" s="7"/>
      <c r="FMP18" s="7"/>
      <c r="FMQ18" s="7"/>
      <c r="FMR18" s="7"/>
      <c r="FMS18" s="7"/>
      <c r="FMT18" s="7"/>
      <c r="FMU18" s="7"/>
      <c r="FMV18" s="7"/>
      <c r="FMW18" s="7"/>
      <c r="FMX18" s="7"/>
      <c r="FMY18" s="7"/>
      <c r="FMZ18" s="7"/>
      <c r="FNA18" s="7"/>
      <c r="FNB18" s="7"/>
      <c r="FNC18" s="7"/>
      <c r="FND18" s="7"/>
      <c r="FNE18" s="7"/>
      <c r="FNF18" s="7"/>
      <c r="FNG18" s="7"/>
      <c r="FNH18" s="7"/>
      <c r="FNI18" s="7"/>
      <c r="FNJ18" s="7"/>
      <c r="FNK18" s="7"/>
      <c r="FNL18" s="7"/>
      <c r="FNM18" s="7"/>
      <c r="FNN18" s="7"/>
      <c r="FNO18" s="7"/>
      <c r="FNP18" s="7"/>
      <c r="FNQ18" s="7"/>
      <c r="FNR18" s="7"/>
      <c r="FNS18" s="7"/>
      <c r="FNT18" s="7"/>
      <c r="FNU18" s="7"/>
      <c r="FNV18" s="7"/>
      <c r="FNW18" s="7"/>
      <c r="FNX18" s="7"/>
      <c r="FNY18" s="7"/>
      <c r="FNZ18" s="7"/>
      <c r="FOA18" s="7"/>
      <c r="FOB18" s="7"/>
      <c r="FOC18" s="7"/>
      <c r="FOD18" s="7"/>
      <c r="FOE18" s="7"/>
      <c r="FOF18" s="7"/>
      <c r="FOG18" s="7"/>
      <c r="FOH18" s="7"/>
      <c r="FOI18" s="7"/>
      <c r="FOJ18" s="7"/>
      <c r="FOK18" s="7"/>
      <c r="FOL18" s="7"/>
      <c r="FOM18" s="7"/>
      <c r="FON18" s="7"/>
      <c r="FOO18" s="7"/>
      <c r="FOP18" s="7"/>
      <c r="FOQ18" s="7"/>
      <c r="FOR18" s="7"/>
      <c r="FOS18" s="7"/>
      <c r="FOT18" s="7"/>
      <c r="FOU18" s="7"/>
      <c r="FOV18" s="7"/>
      <c r="FOW18" s="7"/>
      <c r="FOX18" s="7"/>
      <c r="FOY18" s="7"/>
      <c r="FOZ18" s="7"/>
      <c r="FPA18" s="7"/>
      <c r="FPB18" s="7"/>
      <c r="FPC18" s="7"/>
      <c r="FPD18" s="7"/>
      <c r="FPE18" s="7"/>
      <c r="FPF18" s="7"/>
      <c r="FPG18" s="7"/>
      <c r="FPH18" s="7"/>
      <c r="FPI18" s="7"/>
      <c r="FPJ18" s="7"/>
      <c r="FPK18" s="7"/>
      <c r="FPL18" s="7"/>
      <c r="FPM18" s="7"/>
      <c r="FPN18" s="7"/>
      <c r="FPO18" s="7"/>
      <c r="FPP18" s="7"/>
      <c r="FPQ18" s="7"/>
      <c r="FPR18" s="7"/>
      <c r="FPS18" s="7"/>
      <c r="FPT18" s="7"/>
      <c r="FPU18" s="7"/>
      <c r="FPV18" s="7"/>
      <c r="FPW18" s="7"/>
      <c r="FPX18" s="7"/>
      <c r="FPY18" s="7"/>
      <c r="FPZ18" s="7"/>
      <c r="FQA18" s="7"/>
      <c r="FQB18" s="7"/>
      <c r="FQC18" s="7"/>
      <c r="FQD18" s="7"/>
      <c r="FQE18" s="7"/>
      <c r="FQF18" s="7"/>
      <c r="FQG18" s="7"/>
      <c r="FQH18" s="7"/>
      <c r="FQI18" s="7"/>
      <c r="FQJ18" s="7"/>
      <c r="FQK18" s="7"/>
      <c r="FQL18" s="7"/>
      <c r="FQM18" s="7"/>
      <c r="FQN18" s="7"/>
      <c r="FQO18" s="7"/>
      <c r="FQP18" s="7"/>
      <c r="FQQ18" s="7"/>
      <c r="FQR18" s="7"/>
      <c r="FQS18" s="7"/>
      <c r="FQT18" s="7"/>
      <c r="FQU18" s="7"/>
      <c r="FQV18" s="7"/>
      <c r="FQW18" s="7"/>
      <c r="FQX18" s="7"/>
      <c r="FQY18" s="7"/>
      <c r="FQZ18" s="7"/>
      <c r="FRA18" s="7"/>
      <c r="FRB18" s="7"/>
      <c r="FRC18" s="7"/>
      <c r="FRD18" s="7"/>
      <c r="FRE18" s="7"/>
      <c r="FRF18" s="7"/>
      <c r="FRG18" s="7"/>
      <c r="FRH18" s="7"/>
      <c r="FRI18" s="7"/>
      <c r="FRJ18" s="7"/>
      <c r="FRK18" s="7"/>
      <c r="FRL18" s="7"/>
      <c r="FRM18" s="7"/>
      <c r="FRN18" s="7"/>
      <c r="FRO18" s="7"/>
      <c r="FRP18" s="7"/>
      <c r="FRQ18" s="7"/>
      <c r="FRR18" s="7"/>
      <c r="FRS18" s="7"/>
      <c r="FRT18" s="7"/>
      <c r="FRU18" s="7"/>
      <c r="FRV18" s="7"/>
      <c r="FRW18" s="7"/>
      <c r="FRX18" s="7"/>
      <c r="FRY18" s="7"/>
      <c r="FRZ18" s="7"/>
      <c r="FSA18" s="7"/>
      <c r="FSB18" s="7"/>
      <c r="FSC18" s="7"/>
      <c r="FSD18" s="7"/>
      <c r="FSE18" s="7"/>
      <c r="FSF18" s="7"/>
      <c r="FSG18" s="7"/>
      <c r="FSH18" s="7"/>
      <c r="FSI18" s="7"/>
      <c r="FSJ18" s="7"/>
      <c r="FSK18" s="7"/>
      <c r="FSL18" s="7"/>
      <c r="FSM18" s="7"/>
      <c r="FSN18" s="7"/>
      <c r="FSO18" s="7"/>
      <c r="FSP18" s="7"/>
      <c r="FSQ18" s="7"/>
      <c r="FSR18" s="7"/>
      <c r="FSS18" s="7"/>
      <c r="FST18" s="7"/>
      <c r="FSU18" s="7"/>
      <c r="FSV18" s="7"/>
      <c r="FSW18" s="7"/>
      <c r="FSX18" s="7"/>
      <c r="FSY18" s="7"/>
      <c r="FSZ18" s="7"/>
      <c r="FTA18" s="7"/>
      <c r="FTB18" s="7"/>
      <c r="FTC18" s="7"/>
      <c r="FTD18" s="7"/>
      <c r="FTE18" s="7"/>
      <c r="FTF18" s="7"/>
      <c r="FTG18" s="7"/>
      <c r="FTH18" s="7"/>
      <c r="FTI18" s="7"/>
      <c r="FTJ18" s="7"/>
      <c r="FTK18" s="7"/>
      <c r="FTL18" s="7"/>
      <c r="FTM18" s="7"/>
      <c r="FTN18" s="7"/>
      <c r="FTO18" s="7"/>
      <c r="FTP18" s="7"/>
      <c r="FTQ18" s="7"/>
      <c r="FTR18" s="7"/>
      <c r="FTS18" s="7"/>
      <c r="FTT18" s="7"/>
      <c r="FTU18" s="7"/>
      <c r="FTV18" s="7"/>
      <c r="FTW18" s="7"/>
      <c r="FTX18" s="7"/>
      <c r="FTY18" s="7"/>
      <c r="FTZ18" s="7"/>
      <c r="FUA18" s="7"/>
      <c r="FUB18" s="7"/>
      <c r="FUC18" s="7"/>
      <c r="FUD18" s="7"/>
      <c r="FUE18" s="7"/>
      <c r="FUF18" s="7"/>
      <c r="FUG18" s="7"/>
      <c r="FUH18" s="7"/>
      <c r="FUI18" s="7"/>
      <c r="FUJ18" s="7"/>
      <c r="FUK18" s="7"/>
      <c r="FUL18" s="7"/>
      <c r="FUM18" s="7"/>
      <c r="FUN18" s="7"/>
      <c r="FUO18" s="7"/>
      <c r="FUP18" s="7"/>
      <c r="FUQ18" s="7"/>
      <c r="FUR18" s="7"/>
      <c r="FUS18" s="7"/>
      <c r="FUT18" s="7"/>
      <c r="FUU18" s="7"/>
      <c r="FUV18" s="7"/>
      <c r="FUW18" s="7"/>
      <c r="FUX18" s="7"/>
      <c r="FUY18" s="7"/>
      <c r="FUZ18" s="7"/>
      <c r="FVA18" s="7"/>
      <c r="FVB18" s="7"/>
      <c r="FVC18" s="7"/>
      <c r="FVD18" s="7"/>
      <c r="FVE18" s="7"/>
      <c r="FVF18" s="7"/>
      <c r="FVG18" s="7"/>
      <c r="FVH18" s="7"/>
      <c r="FVI18" s="7"/>
      <c r="FVJ18" s="7"/>
      <c r="FVK18" s="7"/>
      <c r="FVL18" s="7"/>
      <c r="FVM18" s="7"/>
      <c r="FVN18" s="7"/>
      <c r="FVO18" s="7"/>
      <c r="FVP18" s="7"/>
      <c r="FVQ18" s="7"/>
      <c r="FVR18" s="7"/>
      <c r="FVS18" s="7"/>
      <c r="FVT18" s="7"/>
      <c r="FVU18" s="7"/>
      <c r="FVV18" s="7"/>
      <c r="FVW18" s="7"/>
      <c r="FVX18" s="7"/>
      <c r="FVY18" s="7"/>
      <c r="FVZ18" s="7"/>
      <c r="FWA18" s="7"/>
      <c r="FWB18" s="7"/>
      <c r="FWC18" s="7"/>
      <c r="FWD18" s="7"/>
      <c r="FWE18" s="7"/>
      <c r="FWF18" s="7"/>
      <c r="FWG18" s="7"/>
      <c r="FWH18" s="7"/>
      <c r="FWI18" s="7"/>
      <c r="FWJ18" s="7"/>
      <c r="FWK18" s="7"/>
      <c r="FWL18" s="7"/>
      <c r="FWM18" s="7"/>
      <c r="FWN18" s="7"/>
      <c r="FWO18" s="7"/>
      <c r="FWP18" s="7"/>
      <c r="FWQ18" s="7"/>
      <c r="FWR18" s="7"/>
      <c r="FWS18" s="7"/>
      <c r="FWT18" s="7"/>
      <c r="FWU18" s="7"/>
      <c r="FWV18" s="7"/>
      <c r="FWW18" s="7"/>
      <c r="FWX18" s="7"/>
      <c r="FWY18" s="7"/>
      <c r="FWZ18" s="7"/>
      <c r="FXA18" s="7"/>
      <c r="FXB18" s="7"/>
      <c r="FXC18" s="7"/>
      <c r="FXD18" s="7"/>
      <c r="FXE18" s="7"/>
      <c r="FXF18" s="7"/>
      <c r="FXG18" s="7"/>
      <c r="FXH18" s="7"/>
      <c r="FXI18" s="7"/>
      <c r="FXJ18" s="7"/>
      <c r="FXK18" s="7"/>
      <c r="FXL18" s="7"/>
      <c r="FXM18" s="7"/>
      <c r="FXN18" s="7"/>
      <c r="FXO18" s="7"/>
      <c r="FXP18" s="7"/>
      <c r="FXQ18" s="7"/>
      <c r="FXR18" s="7"/>
      <c r="FXS18" s="7"/>
      <c r="FXT18" s="7"/>
      <c r="FXU18" s="7"/>
      <c r="FXV18" s="7"/>
      <c r="FXW18" s="7"/>
      <c r="FXX18" s="7"/>
      <c r="FXY18" s="7"/>
      <c r="FXZ18" s="7"/>
      <c r="FYA18" s="7"/>
      <c r="FYB18" s="7"/>
      <c r="FYC18" s="7"/>
      <c r="FYD18" s="7"/>
      <c r="FYE18" s="7"/>
      <c r="FYF18" s="7"/>
      <c r="FYG18" s="7"/>
      <c r="FYH18" s="7"/>
      <c r="FYI18" s="7"/>
      <c r="FYJ18" s="7"/>
      <c r="FYK18" s="7"/>
      <c r="FYL18" s="7"/>
      <c r="FYM18" s="7"/>
      <c r="FYN18" s="7"/>
      <c r="FYO18" s="7"/>
      <c r="FYP18" s="7"/>
      <c r="FYQ18" s="7"/>
      <c r="FYR18" s="7"/>
      <c r="FYS18" s="7"/>
      <c r="FYT18" s="7"/>
      <c r="FYU18" s="7"/>
      <c r="FYV18" s="7"/>
      <c r="FYW18" s="7"/>
      <c r="FYX18" s="7"/>
      <c r="FYY18" s="7"/>
      <c r="FYZ18" s="7"/>
      <c r="FZA18" s="7"/>
      <c r="FZB18" s="7"/>
      <c r="FZC18" s="7"/>
      <c r="FZD18" s="7"/>
      <c r="FZE18" s="7"/>
      <c r="FZF18" s="7"/>
      <c r="FZG18" s="7"/>
      <c r="FZH18" s="7"/>
      <c r="FZI18" s="7"/>
      <c r="FZJ18" s="7"/>
      <c r="FZK18" s="7"/>
      <c r="FZL18" s="7"/>
      <c r="FZM18" s="7"/>
      <c r="FZN18" s="7"/>
      <c r="FZO18" s="7"/>
      <c r="FZP18" s="7"/>
      <c r="FZQ18" s="7"/>
      <c r="FZR18" s="7"/>
      <c r="FZS18" s="7"/>
      <c r="FZT18" s="7"/>
      <c r="FZU18" s="7"/>
      <c r="FZV18" s="7"/>
      <c r="FZW18" s="7"/>
      <c r="FZX18" s="7"/>
      <c r="FZY18" s="7"/>
      <c r="FZZ18" s="7"/>
      <c r="GAA18" s="7"/>
      <c r="GAB18" s="7"/>
      <c r="GAC18" s="7"/>
      <c r="GAD18" s="7"/>
      <c r="GAE18" s="7"/>
      <c r="GAF18" s="7"/>
      <c r="GAG18" s="7"/>
      <c r="GAH18" s="7"/>
      <c r="GAI18" s="7"/>
      <c r="GAJ18" s="7"/>
      <c r="GAK18" s="7"/>
      <c r="GAL18" s="7"/>
      <c r="GAM18" s="7"/>
      <c r="GAN18" s="7"/>
      <c r="GAO18" s="7"/>
      <c r="GAP18" s="7"/>
      <c r="GAQ18" s="7"/>
      <c r="GAR18" s="7"/>
      <c r="GAS18" s="7"/>
      <c r="GAT18" s="7"/>
      <c r="GAU18" s="7"/>
      <c r="GAV18" s="7"/>
      <c r="GAW18" s="7"/>
      <c r="GAX18" s="7"/>
      <c r="GAY18" s="7"/>
      <c r="GAZ18" s="7"/>
      <c r="GBA18" s="7"/>
      <c r="GBB18" s="7"/>
      <c r="GBC18" s="7"/>
      <c r="GBD18" s="7"/>
      <c r="GBE18" s="7"/>
      <c r="GBF18" s="7"/>
      <c r="GBG18" s="7"/>
      <c r="GBH18" s="7"/>
      <c r="GBI18" s="7"/>
      <c r="GBJ18" s="7"/>
      <c r="GBK18" s="7"/>
      <c r="GBL18" s="7"/>
      <c r="GBM18" s="7"/>
      <c r="GBN18" s="7"/>
      <c r="GBO18" s="7"/>
      <c r="GBP18" s="7"/>
      <c r="GBQ18" s="7"/>
      <c r="GBR18" s="7"/>
      <c r="GBS18" s="7"/>
      <c r="GBT18" s="7"/>
      <c r="GBU18" s="7"/>
      <c r="GBV18" s="7"/>
      <c r="GBW18" s="7"/>
      <c r="GBX18" s="7"/>
      <c r="GBY18" s="7"/>
      <c r="GBZ18" s="7"/>
      <c r="GCA18" s="7"/>
      <c r="GCB18" s="7"/>
      <c r="GCC18" s="7"/>
      <c r="GCD18" s="7"/>
      <c r="GCE18" s="7"/>
      <c r="GCF18" s="7"/>
      <c r="GCG18" s="7"/>
      <c r="GCH18" s="7"/>
      <c r="GCI18" s="7"/>
      <c r="GCJ18" s="7"/>
      <c r="GCK18" s="7"/>
      <c r="GCL18" s="7"/>
      <c r="GCM18" s="7"/>
      <c r="GCN18" s="7"/>
      <c r="GCO18" s="7"/>
      <c r="GCP18" s="7"/>
      <c r="GCQ18" s="7"/>
      <c r="GCR18" s="7"/>
      <c r="GCS18" s="7"/>
      <c r="GCT18" s="7"/>
      <c r="GCU18" s="7"/>
      <c r="GCV18" s="7"/>
      <c r="GCW18" s="7"/>
      <c r="GCX18" s="7"/>
      <c r="GCY18" s="7"/>
      <c r="GCZ18" s="7"/>
      <c r="GDA18" s="7"/>
      <c r="GDB18" s="7"/>
      <c r="GDC18" s="7"/>
      <c r="GDD18" s="7"/>
      <c r="GDE18" s="7"/>
      <c r="GDF18" s="7"/>
      <c r="GDG18" s="7"/>
      <c r="GDH18" s="7"/>
      <c r="GDI18" s="7"/>
      <c r="GDJ18" s="7"/>
      <c r="GDK18" s="7"/>
      <c r="GDL18" s="7"/>
      <c r="GDM18" s="7"/>
      <c r="GDN18" s="7"/>
      <c r="GDO18" s="7"/>
      <c r="GDP18" s="7"/>
      <c r="GDQ18" s="7"/>
      <c r="GDR18" s="7"/>
      <c r="GDS18" s="7"/>
      <c r="GDT18" s="7"/>
      <c r="GDU18" s="7"/>
      <c r="GDV18" s="7"/>
      <c r="GDW18" s="7"/>
      <c r="GDX18" s="7"/>
      <c r="GDY18" s="7"/>
      <c r="GDZ18" s="7"/>
      <c r="GEA18" s="7"/>
      <c r="GEB18" s="7"/>
      <c r="GEC18" s="7"/>
      <c r="GED18" s="7"/>
      <c r="GEE18" s="7"/>
      <c r="GEF18" s="7"/>
      <c r="GEG18" s="7"/>
      <c r="GEH18" s="7"/>
      <c r="GEI18" s="7"/>
      <c r="GEJ18" s="7"/>
      <c r="GEK18" s="7"/>
      <c r="GEL18" s="7"/>
      <c r="GEM18" s="7"/>
      <c r="GEN18" s="7"/>
      <c r="GEO18" s="7"/>
      <c r="GEP18" s="7"/>
      <c r="GEQ18" s="7"/>
      <c r="GER18" s="7"/>
      <c r="GES18" s="7"/>
      <c r="GET18" s="7"/>
      <c r="GEU18" s="7"/>
      <c r="GEV18" s="7"/>
      <c r="GEW18" s="7"/>
      <c r="GEX18" s="7"/>
      <c r="GEY18" s="7"/>
      <c r="GEZ18" s="7"/>
      <c r="GFA18" s="7"/>
      <c r="GFB18" s="7"/>
      <c r="GFC18" s="7"/>
      <c r="GFD18" s="7"/>
      <c r="GFE18" s="7"/>
      <c r="GFF18" s="7"/>
      <c r="GFG18" s="7"/>
      <c r="GFH18" s="7"/>
      <c r="GFI18" s="7"/>
      <c r="GFJ18" s="7"/>
      <c r="GFK18" s="7"/>
      <c r="GFL18" s="7"/>
      <c r="GFM18" s="7"/>
      <c r="GFN18" s="7"/>
      <c r="GFO18" s="7"/>
      <c r="GFP18" s="7"/>
      <c r="GFQ18" s="7"/>
      <c r="GFR18" s="7"/>
      <c r="GFS18" s="7"/>
      <c r="GFT18" s="7"/>
      <c r="GFU18" s="7"/>
      <c r="GFV18" s="7"/>
      <c r="GFW18" s="7"/>
      <c r="GFX18" s="7"/>
      <c r="GFY18" s="7"/>
      <c r="GFZ18" s="7"/>
      <c r="GGA18" s="7"/>
      <c r="GGB18" s="7"/>
      <c r="GGC18" s="7"/>
      <c r="GGD18" s="7"/>
      <c r="GGE18" s="7"/>
      <c r="GGF18" s="7"/>
      <c r="GGG18" s="7"/>
      <c r="GGH18" s="7"/>
      <c r="GGI18" s="7"/>
      <c r="GGJ18" s="7"/>
      <c r="GGK18" s="7"/>
      <c r="GGL18" s="7"/>
      <c r="GGM18" s="7"/>
      <c r="GGN18" s="7"/>
      <c r="GGO18" s="7"/>
      <c r="GGP18" s="7"/>
      <c r="GGQ18" s="7"/>
      <c r="GGR18" s="7"/>
      <c r="GGS18" s="7"/>
      <c r="GGT18" s="7"/>
      <c r="GGU18" s="7"/>
      <c r="GGV18" s="7"/>
      <c r="GGW18" s="7"/>
      <c r="GGX18" s="7"/>
      <c r="GGY18" s="7"/>
      <c r="GGZ18" s="7"/>
      <c r="GHA18" s="7"/>
      <c r="GHB18" s="7"/>
      <c r="GHC18" s="7"/>
      <c r="GHD18" s="7"/>
      <c r="GHE18" s="7"/>
      <c r="GHF18" s="7"/>
      <c r="GHG18" s="7"/>
      <c r="GHH18" s="7"/>
      <c r="GHI18" s="7"/>
      <c r="GHJ18" s="7"/>
      <c r="GHK18" s="7"/>
      <c r="GHL18" s="7"/>
      <c r="GHM18" s="7"/>
      <c r="GHN18" s="7"/>
      <c r="GHO18" s="7"/>
      <c r="GHP18" s="7"/>
      <c r="GHQ18" s="7"/>
      <c r="GHR18" s="7"/>
      <c r="GHS18" s="7"/>
      <c r="GHT18" s="7"/>
      <c r="GHU18" s="7"/>
      <c r="GHV18" s="7"/>
      <c r="GHW18" s="7"/>
      <c r="GHX18" s="7"/>
      <c r="GHY18" s="7"/>
      <c r="GHZ18" s="7"/>
      <c r="GIA18" s="7"/>
      <c r="GIB18" s="7"/>
      <c r="GIC18" s="7"/>
      <c r="GID18" s="7"/>
      <c r="GIE18" s="7"/>
      <c r="GIF18" s="7"/>
      <c r="GIG18" s="7"/>
      <c r="GIH18" s="7"/>
      <c r="GII18" s="7"/>
      <c r="GIJ18" s="7"/>
      <c r="GIK18" s="7"/>
      <c r="GIL18" s="7"/>
      <c r="GIM18" s="7"/>
      <c r="GIN18" s="7"/>
      <c r="GIO18" s="7"/>
      <c r="GIP18" s="7"/>
      <c r="GIQ18" s="7"/>
      <c r="GIR18" s="7"/>
      <c r="GIS18" s="7"/>
      <c r="GIT18" s="7"/>
      <c r="GIU18" s="7"/>
      <c r="GIV18" s="7"/>
      <c r="GIW18" s="7"/>
      <c r="GIX18" s="7"/>
      <c r="GIY18" s="7"/>
      <c r="GIZ18" s="7"/>
      <c r="GJA18" s="7"/>
      <c r="GJB18" s="7"/>
      <c r="GJC18" s="7"/>
      <c r="GJD18" s="7"/>
      <c r="GJE18" s="7"/>
      <c r="GJF18" s="7"/>
      <c r="GJG18" s="7"/>
      <c r="GJH18" s="7"/>
      <c r="GJI18" s="7"/>
      <c r="GJJ18" s="7"/>
      <c r="GJK18" s="7"/>
      <c r="GJL18" s="7"/>
      <c r="GJM18" s="7"/>
      <c r="GJN18" s="7"/>
      <c r="GJO18" s="7"/>
      <c r="GJP18" s="7"/>
      <c r="GJQ18" s="7"/>
      <c r="GJR18" s="7"/>
      <c r="GJS18" s="7"/>
      <c r="GJT18" s="7"/>
      <c r="GJU18" s="7"/>
      <c r="GJV18" s="7"/>
      <c r="GJW18" s="7"/>
      <c r="GJX18" s="7"/>
      <c r="GJY18" s="7"/>
      <c r="GJZ18" s="7"/>
      <c r="GKA18" s="7"/>
      <c r="GKB18" s="7"/>
      <c r="GKC18" s="7"/>
      <c r="GKD18" s="7"/>
      <c r="GKE18" s="7"/>
      <c r="GKF18" s="7"/>
      <c r="GKG18" s="7"/>
      <c r="GKH18" s="7"/>
      <c r="GKI18" s="7"/>
      <c r="GKJ18" s="7"/>
      <c r="GKK18" s="7"/>
      <c r="GKL18" s="7"/>
      <c r="GKM18" s="7"/>
      <c r="GKN18" s="7"/>
      <c r="GKO18" s="7"/>
      <c r="GKP18" s="7"/>
      <c r="GKQ18" s="7"/>
      <c r="GKR18" s="7"/>
      <c r="GKS18" s="7"/>
      <c r="GKT18" s="7"/>
      <c r="GKU18" s="7"/>
      <c r="GKV18" s="7"/>
      <c r="GKW18" s="7"/>
      <c r="GKX18" s="7"/>
      <c r="GKY18" s="7"/>
      <c r="GKZ18" s="7"/>
      <c r="GLA18" s="7"/>
      <c r="GLB18" s="7"/>
      <c r="GLC18" s="7"/>
      <c r="GLD18" s="7"/>
      <c r="GLE18" s="7"/>
      <c r="GLF18" s="7"/>
      <c r="GLG18" s="7"/>
      <c r="GLH18" s="7"/>
      <c r="GLI18" s="7"/>
      <c r="GLJ18" s="7"/>
      <c r="GLK18" s="7"/>
      <c r="GLL18" s="7"/>
      <c r="GLM18" s="7"/>
      <c r="GLN18" s="7"/>
      <c r="GLO18" s="7"/>
      <c r="GLP18" s="7"/>
      <c r="GLQ18" s="7"/>
      <c r="GLR18" s="7"/>
      <c r="GLS18" s="7"/>
      <c r="GLT18" s="7"/>
      <c r="GLU18" s="7"/>
      <c r="GLV18" s="7"/>
      <c r="GLW18" s="7"/>
      <c r="GLX18" s="7"/>
      <c r="GLY18" s="7"/>
      <c r="GLZ18" s="7"/>
      <c r="GMA18" s="7"/>
      <c r="GMB18" s="7"/>
      <c r="GMC18" s="7"/>
      <c r="GMD18" s="7"/>
      <c r="GME18" s="7"/>
      <c r="GMF18" s="7"/>
      <c r="GMG18" s="7"/>
      <c r="GMH18" s="7"/>
      <c r="GMI18" s="7"/>
      <c r="GMJ18" s="7"/>
      <c r="GMK18" s="7"/>
      <c r="GML18" s="7"/>
      <c r="GMM18" s="7"/>
      <c r="GMN18" s="7"/>
      <c r="GMO18" s="7"/>
      <c r="GMP18" s="7"/>
      <c r="GMQ18" s="7"/>
      <c r="GMR18" s="7"/>
      <c r="GMS18" s="7"/>
      <c r="GMT18" s="7"/>
      <c r="GMU18" s="7"/>
      <c r="GMV18" s="7"/>
      <c r="GMW18" s="7"/>
      <c r="GMX18" s="7"/>
      <c r="GMY18" s="7"/>
      <c r="GMZ18" s="7"/>
      <c r="GNA18" s="7"/>
      <c r="GNB18" s="7"/>
      <c r="GNC18" s="7"/>
      <c r="GND18" s="7"/>
      <c r="GNE18" s="7"/>
      <c r="GNF18" s="7"/>
      <c r="GNG18" s="7"/>
      <c r="GNH18" s="7"/>
      <c r="GNI18" s="7"/>
      <c r="GNJ18" s="7"/>
      <c r="GNK18" s="7"/>
      <c r="GNL18" s="7"/>
      <c r="GNM18" s="7"/>
      <c r="GNN18" s="7"/>
      <c r="GNO18" s="7"/>
      <c r="GNP18" s="7"/>
      <c r="GNQ18" s="7"/>
      <c r="GNR18" s="7"/>
      <c r="GNS18" s="7"/>
      <c r="GNT18" s="7"/>
      <c r="GNU18" s="7"/>
      <c r="GNV18" s="7"/>
      <c r="GNW18" s="7"/>
      <c r="GNX18" s="7"/>
      <c r="GNY18" s="7"/>
      <c r="GNZ18" s="7"/>
      <c r="GOA18" s="7"/>
      <c r="GOB18" s="7"/>
      <c r="GOC18" s="7"/>
      <c r="GOD18" s="7"/>
      <c r="GOE18" s="7"/>
      <c r="GOF18" s="7"/>
      <c r="GOG18" s="7"/>
      <c r="GOH18" s="7"/>
      <c r="GOI18" s="7"/>
      <c r="GOJ18" s="7"/>
      <c r="GOK18" s="7"/>
      <c r="GOL18" s="7"/>
      <c r="GOM18" s="7"/>
      <c r="GON18" s="7"/>
      <c r="GOO18" s="7"/>
      <c r="GOP18" s="7"/>
      <c r="GOQ18" s="7"/>
      <c r="GOR18" s="7"/>
      <c r="GOS18" s="7"/>
      <c r="GOT18" s="7"/>
      <c r="GOU18" s="7"/>
      <c r="GOV18" s="7"/>
      <c r="GOW18" s="7"/>
      <c r="GOX18" s="7"/>
      <c r="GOY18" s="7"/>
      <c r="GOZ18" s="7"/>
      <c r="GPA18" s="7"/>
      <c r="GPB18" s="7"/>
      <c r="GPC18" s="7"/>
      <c r="GPD18" s="7"/>
      <c r="GPE18" s="7"/>
      <c r="GPF18" s="7"/>
      <c r="GPG18" s="7"/>
      <c r="GPH18" s="7"/>
      <c r="GPI18" s="7"/>
      <c r="GPJ18" s="7"/>
      <c r="GPK18" s="7"/>
      <c r="GPL18" s="7"/>
      <c r="GPM18" s="7"/>
      <c r="GPN18" s="7"/>
      <c r="GPO18" s="7"/>
      <c r="GPP18" s="7"/>
      <c r="GPQ18" s="7"/>
      <c r="GPR18" s="7"/>
      <c r="GPS18" s="7"/>
      <c r="GPT18" s="7"/>
      <c r="GPU18" s="7"/>
      <c r="GPV18" s="7"/>
      <c r="GPW18" s="7"/>
      <c r="GPX18" s="7"/>
      <c r="GPY18" s="7"/>
      <c r="GPZ18" s="7"/>
      <c r="GQA18" s="7"/>
      <c r="GQB18" s="7"/>
      <c r="GQC18" s="7"/>
      <c r="GQD18" s="7"/>
      <c r="GQE18" s="7"/>
      <c r="GQF18" s="7"/>
      <c r="GQG18" s="7"/>
      <c r="GQH18" s="7"/>
      <c r="GQI18" s="7"/>
      <c r="GQJ18" s="7"/>
      <c r="GQK18" s="7"/>
      <c r="GQL18" s="7"/>
      <c r="GQM18" s="7"/>
      <c r="GQN18" s="7"/>
      <c r="GQO18" s="7"/>
      <c r="GQP18" s="7"/>
      <c r="GQQ18" s="7"/>
      <c r="GQR18" s="7"/>
      <c r="GQS18" s="7"/>
      <c r="GQT18" s="7"/>
      <c r="GQU18" s="7"/>
      <c r="GQV18" s="7"/>
      <c r="GQW18" s="7"/>
      <c r="GQX18" s="7"/>
      <c r="GQY18" s="7"/>
      <c r="GQZ18" s="7"/>
      <c r="GRA18" s="7"/>
      <c r="GRB18" s="7"/>
      <c r="GRC18" s="7"/>
      <c r="GRD18" s="7"/>
      <c r="GRE18" s="7"/>
      <c r="GRF18" s="7"/>
      <c r="GRG18" s="7"/>
      <c r="GRH18" s="7"/>
      <c r="GRI18" s="7"/>
      <c r="GRJ18" s="7"/>
      <c r="GRK18" s="7"/>
      <c r="GRL18" s="7"/>
      <c r="GRM18" s="7"/>
      <c r="GRN18" s="7"/>
      <c r="GRO18" s="7"/>
      <c r="GRP18" s="7"/>
      <c r="GRQ18" s="7"/>
      <c r="GRR18" s="7"/>
      <c r="GRS18" s="7"/>
      <c r="GRT18" s="7"/>
      <c r="GRU18" s="7"/>
      <c r="GRV18" s="7"/>
      <c r="GRW18" s="7"/>
      <c r="GRX18" s="7"/>
      <c r="GRY18" s="7"/>
      <c r="GRZ18" s="7"/>
      <c r="GSA18" s="7"/>
      <c r="GSB18" s="7"/>
      <c r="GSC18" s="7"/>
      <c r="GSD18" s="7"/>
      <c r="GSE18" s="7"/>
      <c r="GSF18" s="7"/>
      <c r="GSG18" s="7"/>
      <c r="GSH18" s="7"/>
      <c r="GSI18" s="7"/>
      <c r="GSJ18" s="7"/>
      <c r="GSK18" s="7"/>
      <c r="GSL18" s="7"/>
      <c r="GSM18" s="7"/>
      <c r="GSN18" s="7"/>
      <c r="GSO18" s="7"/>
      <c r="GSP18" s="7"/>
      <c r="GSQ18" s="7"/>
      <c r="GSR18" s="7"/>
      <c r="GSS18" s="7"/>
      <c r="GST18" s="7"/>
      <c r="GSU18" s="7"/>
      <c r="GSV18" s="7"/>
      <c r="GSW18" s="7"/>
      <c r="GSX18" s="7"/>
      <c r="GSY18" s="7"/>
      <c r="GSZ18" s="7"/>
      <c r="GTA18" s="7"/>
      <c r="GTB18" s="7"/>
      <c r="GTC18" s="7"/>
      <c r="GTD18" s="7"/>
      <c r="GTE18" s="7"/>
      <c r="GTF18" s="7"/>
      <c r="GTG18" s="7"/>
      <c r="GTH18" s="7"/>
      <c r="GTI18" s="7"/>
      <c r="GTJ18" s="7"/>
      <c r="GTK18" s="7"/>
      <c r="GTL18" s="7"/>
      <c r="GTM18" s="7"/>
      <c r="GTN18" s="7"/>
      <c r="GTO18" s="7"/>
      <c r="GTP18" s="7"/>
      <c r="GTQ18" s="7"/>
      <c r="GTR18" s="7"/>
      <c r="GTS18" s="7"/>
      <c r="GTT18" s="7"/>
      <c r="GTU18" s="7"/>
      <c r="GTV18" s="7"/>
      <c r="GTW18" s="7"/>
      <c r="GTX18" s="7"/>
      <c r="GTY18" s="7"/>
      <c r="GTZ18" s="7"/>
      <c r="GUA18" s="7"/>
      <c r="GUB18" s="7"/>
      <c r="GUC18" s="7"/>
      <c r="GUD18" s="7"/>
      <c r="GUE18" s="7"/>
      <c r="GUF18" s="7"/>
      <c r="GUG18" s="7"/>
      <c r="GUH18" s="7"/>
      <c r="GUI18" s="7"/>
      <c r="GUJ18" s="7"/>
      <c r="GUK18" s="7"/>
      <c r="GUL18" s="7"/>
      <c r="GUM18" s="7"/>
      <c r="GUN18" s="7"/>
      <c r="GUO18" s="7"/>
      <c r="GUP18" s="7"/>
      <c r="GUQ18" s="7"/>
      <c r="GUR18" s="7"/>
      <c r="GUS18" s="7"/>
      <c r="GUT18" s="7"/>
      <c r="GUU18" s="7"/>
      <c r="GUV18" s="7"/>
      <c r="GUW18" s="7"/>
      <c r="GUX18" s="7"/>
      <c r="GUY18" s="7"/>
      <c r="GUZ18" s="7"/>
      <c r="GVA18" s="7"/>
      <c r="GVB18" s="7"/>
      <c r="GVC18" s="7"/>
      <c r="GVD18" s="7"/>
      <c r="GVE18" s="7"/>
      <c r="GVF18" s="7"/>
      <c r="GVG18" s="7"/>
      <c r="GVH18" s="7"/>
      <c r="GVI18" s="7"/>
      <c r="GVJ18" s="7"/>
      <c r="GVK18" s="7"/>
      <c r="GVL18" s="7"/>
      <c r="GVM18" s="7"/>
      <c r="GVN18" s="7"/>
      <c r="GVO18" s="7"/>
      <c r="GVP18" s="7"/>
      <c r="GVQ18" s="7"/>
      <c r="GVR18" s="7"/>
      <c r="GVS18" s="7"/>
      <c r="GVT18" s="7"/>
      <c r="GVU18" s="7"/>
      <c r="GVV18" s="7"/>
      <c r="GVW18" s="7"/>
      <c r="GVX18" s="7"/>
      <c r="GVY18" s="7"/>
      <c r="GVZ18" s="7"/>
      <c r="GWA18" s="7"/>
      <c r="GWB18" s="7"/>
      <c r="GWC18" s="7"/>
      <c r="GWD18" s="7"/>
      <c r="GWE18" s="7"/>
      <c r="GWF18" s="7"/>
      <c r="GWG18" s="7"/>
      <c r="GWH18" s="7"/>
      <c r="GWI18" s="7"/>
      <c r="GWJ18" s="7"/>
      <c r="GWK18" s="7"/>
      <c r="GWL18" s="7"/>
      <c r="GWM18" s="7"/>
      <c r="GWN18" s="7"/>
      <c r="GWO18" s="7"/>
      <c r="GWP18" s="7"/>
      <c r="GWQ18" s="7"/>
      <c r="GWR18" s="7"/>
      <c r="GWS18" s="7"/>
      <c r="GWT18" s="7"/>
      <c r="GWU18" s="7"/>
      <c r="GWV18" s="7"/>
      <c r="GWW18" s="7"/>
      <c r="GWX18" s="7"/>
      <c r="GWY18" s="7"/>
      <c r="GWZ18" s="7"/>
      <c r="GXA18" s="7"/>
      <c r="GXB18" s="7"/>
      <c r="GXC18" s="7"/>
      <c r="GXD18" s="7"/>
      <c r="GXE18" s="7"/>
      <c r="GXF18" s="7"/>
      <c r="GXG18" s="7"/>
      <c r="GXH18" s="7"/>
      <c r="GXI18" s="7"/>
      <c r="GXJ18" s="7"/>
      <c r="GXK18" s="7"/>
      <c r="GXL18" s="7"/>
      <c r="GXM18" s="7"/>
      <c r="GXN18" s="7"/>
      <c r="GXO18" s="7"/>
      <c r="GXP18" s="7"/>
      <c r="GXQ18" s="7"/>
      <c r="GXR18" s="7"/>
      <c r="GXS18" s="7"/>
      <c r="GXT18" s="7"/>
      <c r="GXU18" s="7"/>
      <c r="GXV18" s="7"/>
      <c r="GXW18" s="7"/>
      <c r="GXX18" s="7"/>
      <c r="GXY18" s="7"/>
      <c r="GXZ18" s="7"/>
      <c r="GYA18" s="7"/>
      <c r="GYB18" s="7"/>
      <c r="GYC18" s="7"/>
      <c r="GYD18" s="7"/>
      <c r="GYE18" s="7"/>
      <c r="GYF18" s="7"/>
      <c r="GYG18" s="7"/>
      <c r="GYH18" s="7"/>
      <c r="GYI18" s="7"/>
      <c r="GYJ18" s="7"/>
      <c r="GYK18" s="7"/>
      <c r="GYL18" s="7"/>
      <c r="GYM18" s="7"/>
      <c r="GYN18" s="7"/>
      <c r="GYO18" s="7"/>
      <c r="GYP18" s="7"/>
      <c r="GYQ18" s="7"/>
      <c r="GYR18" s="7"/>
      <c r="GYS18" s="7"/>
      <c r="GYT18" s="7"/>
      <c r="GYU18" s="7"/>
      <c r="GYV18" s="7"/>
      <c r="GYW18" s="7"/>
      <c r="GYX18" s="7"/>
      <c r="GYY18" s="7"/>
      <c r="GYZ18" s="7"/>
      <c r="GZA18" s="7"/>
      <c r="GZB18" s="7"/>
      <c r="GZC18" s="7"/>
      <c r="GZD18" s="7"/>
      <c r="GZE18" s="7"/>
      <c r="GZF18" s="7"/>
      <c r="GZG18" s="7"/>
      <c r="GZH18" s="7"/>
      <c r="GZI18" s="7"/>
      <c r="GZJ18" s="7"/>
      <c r="GZK18" s="7"/>
      <c r="GZL18" s="7"/>
      <c r="GZM18" s="7"/>
      <c r="GZN18" s="7"/>
      <c r="GZO18" s="7"/>
      <c r="GZP18" s="7"/>
      <c r="GZQ18" s="7"/>
      <c r="GZR18" s="7"/>
      <c r="GZS18" s="7"/>
      <c r="GZT18" s="7"/>
      <c r="GZU18" s="7"/>
      <c r="GZV18" s="7"/>
      <c r="GZW18" s="7"/>
      <c r="GZX18" s="7"/>
      <c r="GZY18" s="7"/>
      <c r="GZZ18" s="7"/>
      <c r="HAA18" s="7"/>
      <c r="HAB18" s="7"/>
      <c r="HAC18" s="7"/>
      <c r="HAD18" s="7"/>
      <c r="HAE18" s="7"/>
      <c r="HAF18" s="7"/>
      <c r="HAG18" s="7"/>
      <c r="HAH18" s="7"/>
      <c r="HAI18" s="7"/>
      <c r="HAJ18" s="7"/>
      <c r="HAK18" s="7"/>
      <c r="HAL18" s="7"/>
      <c r="HAM18" s="7"/>
      <c r="HAN18" s="7"/>
      <c r="HAO18" s="7"/>
      <c r="HAP18" s="7"/>
      <c r="HAQ18" s="7"/>
      <c r="HAR18" s="7"/>
      <c r="HAS18" s="7"/>
      <c r="HAT18" s="7"/>
      <c r="HAU18" s="7"/>
      <c r="HAV18" s="7"/>
      <c r="HAW18" s="7"/>
      <c r="HAX18" s="7"/>
      <c r="HAY18" s="7"/>
      <c r="HAZ18" s="7"/>
      <c r="HBA18" s="7"/>
      <c r="HBB18" s="7"/>
      <c r="HBC18" s="7"/>
      <c r="HBD18" s="7"/>
      <c r="HBE18" s="7"/>
      <c r="HBF18" s="7"/>
      <c r="HBG18" s="7"/>
      <c r="HBH18" s="7"/>
      <c r="HBI18" s="7"/>
      <c r="HBJ18" s="7"/>
      <c r="HBK18" s="7"/>
      <c r="HBL18" s="7"/>
      <c r="HBM18" s="7"/>
      <c r="HBN18" s="7"/>
      <c r="HBO18" s="7"/>
      <c r="HBP18" s="7"/>
      <c r="HBQ18" s="7"/>
      <c r="HBR18" s="7"/>
      <c r="HBS18" s="7"/>
      <c r="HBT18" s="7"/>
      <c r="HBU18" s="7"/>
      <c r="HBV18" s="7"/>
      <c r="HBW18" s="7"/>
      <c r="HBX18" s="7"/>
      <c r="HBY18" s="7"/>
      <c r="HBZ18" s="7"/>
      <c r="HCA18" s="7"/>
      <c r="HCB18" s="7"/>
      <c r="HCC18" s="7"/>
      <c r="HCD18" s="7"/>
      <c r="HCE18" s="7"/>
      <c r="HCF18" s="7"/>
      <c r="HCG18" s="7"/>
      <c r="HCH18" s="7"/>
      <c r="HCI18" s="7"/>
      <c r="HCJ18" s="7"/>
      <c r="HCK18" s="7"/>
      <c r="HCL18" s="7"/>
      <c r="HCM18" s="7"/>
      <c r="HCN18" s="7"/>
      <c r="HCO18" s="7"/>
      <c r="HCP18" s="7"/>
      <c r="HCQ18" s="7"/>
      <c r="HCR18" s="7"/>
      <c r="HCS18" s="7"/>
      <c r="HCT18" s="7"/>
      <c r="HCU18" s="7"/>
      <c r="HCV18" s="7"/>
      <c r="HCW18" s="7"/>
      <c r="HCX18" s="7"/>
      <c r="HCY18" s="7"/>
      <c r="HCZ18" s="7"/>
      <c r="HDA18" s="7"/>
      <c r="HDB18" s="7"/>
      <c r="HDC18" s="7"/>
      <c r="HDD18" s="7"/>
      <c r="HDE18" s="7"/>
      <c r="HDF18" s="7"/>
      <c r="HDG18" s="7"/>
      <c r="HDH18" s="7"/>
      <c r="HDI18" s="7"/>
      <c r="HDJ18" s="7"/>
      <c r="HDK18" s="7"/>
      <c r="HDL18" s="7"/>
      <c r="HDM18" s="7"/>
      <c r="HDN18" s="7"/>
      <c r="HDO18" s="7"/>
      <c r="HDP18" s="7"/>
      <c r="HDQ18" s="7"/>
      <c r="HDR18" s="7"/>
      <c r="HDS18" s="7"/>
      <c r="HDT18" s="7"/>
      <c r="HDU18" s="7"/>
      <c r="HDV18" s="7"/>
      <c r="HDW18" s="7"/>
      <c r="HDX18" s="7"/>
      <c r="HDY18" s="7"/>
      <c r="HDZ18" s="7"/>
      <c r="HEA18" s="7"/>
      <c r="HEB18" s="7"/>
      <c r="HEC18" s="7"/>
      <c r="HED18" s="7"/>
      <c r="HEE18" s="7"/>
      <c r="HEF18" s="7"/>
      <c r="HEG18" s="7"/>
      <c r="HEH18" s="7"/>
      <c r="HEI18" s="7"/>
      <c r="HEJ18" s="7"/>
      <c r="HEK18" s="7"/>
      <c r="HEL18" s="7"/>
      <c r="HEM18" s="7"/>
      <c r="HEN18" s="7"/>
      <c r="HEO18" s="7"/>
      <c r="HEP18" s="7"/>
      <c r="HEQ18" s="7"/>
      <c r="HER18" s="7"/>
      <c r="HES18" s="7"/>
      <c r="HET18" s="7"/>
      <c r="HEU18" s="7"/>
      <c r="HEV18" s="7"/>
      <c r="HEW18" s="7"/>
      <c r="HEX18" s="7"/>
      <c r="HEY18" s="7"/>
      <c r="HEZ18" s="7"/>
      <c r="HFA18" s="7"/>
      <c r="HFB18" s="7"/>
      <c r="HFC18" s="7"/>
      <c r="HFD18" s="7"/>
      <c r="HFE18" s="7"/>
      <c r="HFF18" s="7"/>
      <c r="HFG18" s="7"/>
      <c r="HFH18" s="7"/>
      <c r="HFI18" s="7"/>
      <c r="HFJ18" s="7"/>
      <c r="HFK18" s="7"/>
      <c r="HFL18" s="7"/>
      <c r="HFM18" s="7"/>
      <c r="HFN18" s="7"/>
      <c r="HFO18" s="7"/>
      <c r="HFP18" s="7"/>
      <c r="HFQ18" s="7"/>
      <c r="HFR18" s="7"/>
      <c r="HFS18" s="7"/>
      <c r="HFT18" s="7"/>
      <c r="HFU18" s="7"/>
      <c r="HFV18" s="7"/>
      <c r="HFW18" s="7"/>
      <c r="HFX18" s="7"/>
      <c r="HFY18" s="7"/>
      <c r="HFZ18" s="7"/>
      <c r="HGA18" s="7"/>
      <c r="HGB18" s="7"/>
      <c r="HGC18" s="7"/>
      <c r="HGD18" s="7"/>
      <c r="HGE18" s="7"/>
      <c r="HGF18" s="7"/>
      <c r="HGG18" s="7"/>
      <c r="HGH18" s="7"/>
      <c r="HGI18" s="7"/>
      <c r="HGJ18" s="7"/>
      <c r="HGK18" s="7"/>
      <c r="HGL18" s="7"/>
      <c r="HGM18" s="7"/>
      <c r="HGN18" s="7"/>
      <c r="HGO18" s="7"/>
      <c r="HGP18" s="7"/>
      <c r="HGQ18" s="7"/>
      <c r="HGR18" s="7"/>
      <c r="HGS18" s="7"/>
      <c r="HGT18" s="7"/>
      <c r="HGU18" s="7"/>
      <c r="HGV18" s="7"/>
      <c r="HGW18" s="7"/>
      <c r="HGX18" s="7"/>
      <c r="HGY18" s="7"/>
      <c r="HGZ18" s="7"/>
      <c r="HHA18" s="7"/>
      <c r="HHB18" s="7"/>
      <c r="HHC18" s="7"/>
      <c r="HHD18" s="7"/>
      <c r="HHE18" s="7"/>
      <c r="HHF18" s="7"/>
      <c r="HHG18" s="7"/>
      <c r="HHH18" s="7"/>
      <c r="HHI18" s="7"/>
      <c r="HHJ18" s="7"/>
      <c r="HHK18" s="7"/>
      <c r="HHL18" s="7"/>
      <c r="HHM18" s="7"/>
      <c r="HHN18" s="7"/>
      <c r="HHO18" s="7"/>
      <c r="HHP18" s="7"/>
      <c r="HHQ18" s="7"/>
      <c r="HHR18" s="7"/>
      <c r="HHS18" s="7"/>
      <c r="HHT18" s="7"/>
      <c r="HHU18" s="7"/>
      <c r="HHV18" s="7"/>
      <c r="HHW18" s="7"/>
      <c r="HHX18" s="7"/>
      <c r="HHY18" s="7"/>
      <c r="HHZ18" s="7"/>
      <c r="HIA18" s="7"/>
      <c r="HIB18" s="7"/>
      <c r="HIC18" s="7"/>
      <c r="HID18" s="7"/>
      <c r="HIE18" s="7"/>
      <c r="HIF18" s="7"/>
      <c r="HIG18" s="7"/>
      <c r="HIH18" s="7"/>
      <c r="HII18" s="7"/>
      <c r="HIJ18" s="7"/>
      <c r="HIK18" s="7"/>
      <c r="HIL18" s="7"/>
      <c r="HIM18" s="7"/>
      <c r="HIN18" s="7"/>
      <c r="HIO18" s="7"/>
      <c r="HIP18" s="7"/>
      <c r="HIQ18" s="7"/>
      <c r="HIR18" s="7"/>
      <c r="HIS18" s="7"/>
      <c r="HIT18" s="7"/>
      <c r="HIU18" s="7"/>
      <c r="HIV18" s="7"/>
      <c r="HIW18" s="7"/>
      <c r="HIX18" s="7"/>
      <c r="HIY18" s="7"/>
      <c r="HIZ18" s="7"/>
      <c r="HJA18" s="7"/>
      <c r="HJB18" s="7"/>
      <c r="HJC18" s="7"/>
      <c r="HJD18" s="7"/>
      <c r="HJE18" s="7"/>
      <c r="HJF18" s="7"/>
      <c r="HJG18" s="7"/>
      <c r="HJH18" s="7"/>
      <c r="HJI18" s="7"/>
      <c r="HJJ18" s="7"/>
      <c r="HJK18" s="7"/>
      <c r="HJL18" s="7"/>
      <c r="HJM18" s="7"/>
      <c r="HJN18" s="7"/>
      <c r="HJO18" s="7"/>
      <c r="HJP18" s="7"/>
      <c r="HJQ18" s="7"/>
      <c r="HJR18" s="7"/>
      <c r="HJS18" s="7"/>
      <c r="HJT18" s="7"/>
      <c r="HJU18" s="7"/>
      <c r="HJV18" s="7"/>
      <c r="HJW18" s="7"/>
      <c r="HJX18" s="7"/>
      <c r="HJY18" s="7"/>
      <c r="HJZ18" s="7"/>
      <c r="HKA18" s="7"/>
      <c r="HKB18" s="7"/>
      <c r="HKC18" s="7"/>
      <c r="HKD18" s="7"/>
      <c r="HKE18" s="7"/>
      <c r="HKF18" s="7"/>
      <c r="HKG18" s="7"/>
      <c r="HKH18" s="7"/>
      <c r="HKI18" s="7"/>
      <c r="HKJ18" s="7"/>
      <c r="HKK18" s="7"/>
      <c r="HKL18" s="7"/>
      <c r="HKM18" s="7"/>
      <c r="HKN18" s="7"/>
      <c r="HKO18" s="7"/>
      <c r="HKP18" s="7"/>
      <c r="HKQ18" s="7"/>
      <c r="HKR18" s="7"/>
      <c r="HKS18" s="7"/>
      <c r="HKT18" s="7"/>
      <c r="HKU18" s="7"/>
      <c r="HKV18" s="7"/>
      <c r="HKW18" s="7"/>
      <c r="HKX18" s="7"/>
      <c r="HKY18" s="7"/>
      <c r="HKZ18" s="7"/>
      <c r="HLA18" s="7"/>
      <c r="HLB18" s="7"/>
      <c r="HLC18" s="7"/>
      <c r="HLD18" s="7"/>
      <c r="HLE18" s="7"/>
      <c r="HLF18" s="7"/>
      <c r="HLG18" s="7"/>
      <c r="HLH18" s="7"/>
      <c r="HLI18" s="7"/>
      <c r="HLJ18" s="7"/>
      <c r="HLK18" s="7"/>
      <c r="HLL18" s="7"/>
      <c r="HLM18" s="7"/>
      <c r="HLN18" s="7"/>
      <c r="HLO18" s="7"/>
      <c r="HLP18" s="7"/>
      <c r="HLQ18" s="7"/>
      <c r="HLR18" s="7"/>
      <c r="HLS18" s="7"/>
      <c r="HLT18" s="7"/>
      <c r="HLU18" s="7"/>
      <c r="HLV18" s="7"/>
      <c r="HLW18" s="7"/>
      <c r="HLX18" s="7"/>
      <c r="HLY18" s="7"/>
      <c r="HLZ18" s="7"/>
      <c r="HMA18" s="7"/>
      <c r="HMB18" s="7"/>
      <c r="HMC18" s="7"/>
      <c r="HMD18" s="7"/>
      <c r="HME18" s="7"/>
      <c r="HMF18" s="7"/>
      <c r="HMG18" s="7"/>
      <c r="HMH18" s="7"/>
      <c r="HMI18" s="7"/>
      <c r="HMJ18" s="7"/>
      <c r="HMK18" s="7"/>
      <c r="HML18" s="7"/>
      <c r="HMM18" s="7"/>
      <c r="HMN18" s="7"/>
      <c r="HMO18" s="7"/>
      <c r="HMP18" s="7"/>
      <c r="HMQ18" s="7"/>
      <c r="HMR18" s="7"/>
      <c r="HMS18" s="7"/>
      <c r="HMT18" s="7"/>
      <c r="HMU18" s="7"/>
      <c r="HMV18" s="7"/>
      <c r="HMW18" s="7"/>
      <c r="HMX18" s="7"/>
      <c r="HMY18" s="7"/>
      <c r="HMZ18" s="7"/>
      <c r="HNA18" s="7"/>
      <c r="HNB18" s="7"/>
      <c r="HNC18" s="7"/>
      <c r="HND18" s="7"/>
      <c r="HNE18" s="7"/>
      <c r="HNF18" s="7"/>
      <c r="HNG18" s="7"/>
      <c r="HNH18" s="7"/>
      <c r="HNI18" s="7"/>
      <c r="HNJ18" s="7"/>
      <c r="HNK18" s="7"/>
      <c r="HNL18" s="7"/>
      <c r="HNM18" s="7"/>
      <c r="HNN18" s="7"/>
      <c r="HNO18" s="7"/>
      <c r="HNP18" s="7"/>
      <c r="HNQ18" s="7"/>
      <c r="HNR18" s="7"/>
      <c r="HNS18" s="7"/>
      <c r="HNT18" s="7"/>
      <c r="HNU18" s="7"/>
      <c r="HNV18" s="7"/>
      <c r="HNW18" s="7"/>
      <c r="HNX18" s="7"/>
      <c r="HNY18" s="7"/>
      <c r="HNZ18" s="7"/>
      <c r="HOA18" s="7"/>
      <c r="HOB18" s="7"/>
      <c r="HOC18" s="7"/>
      <c r="HOD18" s="7"/>
      <c r="HOE18" s="7"/>
      <c r="HOF18" s="7"/>
      <c r="HOG18" s="7"/>
      <c r="HOH18" s="7"/>
      <c r="HOI18" s="7"/>
      <c r="HOJ18" s="7"/>
      <c r="HOK18" s="7"/>
      <c r="HOL18" s="7"/>
      <c r="HOM18" s="7"/>
      <c r="HON18" s="7"/>
      <c r="HOO18" s="7"/>
      <c r="HOP18" s="7"/>
      <c r="HOQ18" s="7"/>
      <c r="HOR18" s="7"/>
      <c r="HOS18" s="7"/>
      <c r="HOT18" s="7"/>
      <c r="HOU18" s="7"/>
      <c r="HOV18" s="7"/>
      <c r="HOW18" s="7"/>
      <c r="HOX18" s="7"/>
      <c r="HOY18" s="7"/>
      <c r="HOZ18" s="7"/>
      <c r="HPA18" s="7"/>
      <c r="HPB18" s="7"/>
      <c r="HPC18" s="7"/>
      <c r="HPD18" s="7"/>
      <c r="HPE18" s="7"/>
      <c r="HPF18" s="7"/>
      <c r="HPG18" s="7"/>
      <c r="HPH18" s="7"/>
      <c r="HPI18" s="7"/>
      <c r="HPJ18" s="7"/>
      <c r="HPK18" s="7"/>
      <c r="HPL18" s="7"/>
      <c r="HPM18" s="7"/>
      <c r="HPN18" s="7"/>
      <c r="HPO18" s="7"/>
      <c r="HPP18" s="7"/>
      <c r="HPQ18" s="7"/>
      <c r="HPR18" s="7"/>
      <c r="HPS18" s="7"/>
      <c r="HPT18" s="7"/>
      <c r="HPU18" s="7"/>
      <c r="HPV18" s="7"/>
      <c r="HPW18" s="7"/>
      <c r="HPX18" s="7"/>
      <c r="HPY18" s="7"/>
      <c r="HPZ18" s="7"/>
      <c r="HQA18" s="7"/>
      <c r="HQB18" s="7"/>
      <c r="HQC18" s="7"/>
      <c r="HQD18" s="7"/>
      <c r="HQE18" s="7"/>
      <c r="HQF18" s="7"/>
      <c r="HQG18" s="7"/>
      <c r="HQH18" s="7"/>
      <c r="HQI18" s="7"/>
      <c r="HQJ18" s="7"/>
      <c r="HQK18" s="7"/>
      <c r="HQL18" s="7"/>
      <c r="HQM18" s="7"/>
      <c r="HQN18" s="7"/>
      <c r="HQO18" s="7"/>
      <c r="HQP18" s="7"/>
      <c r="HQQ18" s="7"/>
      <c r="HQR18" s="7"/>
      <c r="HQS18" s="7"/>
      <c r="HQT18" s="7"/>
      <c r="HQU18" s="7"/>
      <c r="HQV18" s="7"/>
      <c r="HQW18" s="7"/>
      <c r="HQX18" s="7"/>
      <c r="HQY18" s="7"/>
      <c r="HQZ18" s="7"/>
      <c r="HRA18" s="7"/>
      <c r="HRB18" s="7"/>
      <c r="HRC18" s="7"/>
      <c r="HRD18" s="7"/>
      <c r="HRE18" s="7"/>
      <c r="HRF18" s="7"/>
      <c r="HRG18" s="7"/>
      <c r="HRH18" s="7"/>
      <c r="HRI18" s="7"/>
      <c r="HRJ18" s="7"/>
      <c r="HRK18" s="7"/>
      <c r="HRL18" s="7"/>
      <c r="HRM18" s="7"/>
      <c r="HRN18" s="7"/>
      <c r="HRO18" s="7"/>
      <c r="HRP18" s="7"/>
      <c r="HRQ18" s="7"/>
      <c r="HRR18" s="7"/>
      <c r="HRS18" s="7"/>
      <c r="HRT18" s="7"/>
      <c r="HRU18" s="7"/>
      <c r="HRV18" s="7"/>
      <c r="HRW18" s="7"/>
      <c r="HRX18" s="7"/>
      <c r="HRY18" s="7"/>
      <c r="HRZ18" s="7"/>
      <c r="HSA18" s="7"/>
      <c r="HSB18" s="7"/>
      <c r="HSC18" s="7"/>
      <c r="HSD18" s="7"/>
      <c r="HSE18" s="7"/>
      <c r="HSF18" s="7"/>
      <c r="HSG18" s="7"/>
      <c r="HSH18" s="7"/>
      <c r="HSI18" s="7"/>
      <c r="HSJ18" s="7"/>
      <c r="HSK18" s="7"/>
      <c r="HSL18" s="7"/>
      <c r="HSM18" s="7"/>
      <c r="HSN18" s="7"/>
      <c r="HSO18" s="7"/>
      <c r="HSP18" s="7"/>
      <c r="HSQ18" s="7"/>
      <c r="HSR18" s="7"/>
      <c r="HSS18" s="7"/>
      <c r="HST18" s="7"/>
      <c r="HSU18" s="7"/>
      <c r="HSV18" s="7"/>
      <c r="HSW18" s="7"/>
      <c r="HSX18" s="7"/>
      <c r="HSY18" s="7"/>
      <c r="HSZ18" s="7"/>
      <c r="HTA18" s="7"/>
      <c r="HTB18" s="7"/>
      <c r="HTC18" s="7"/>
      <c r="HTD18" s="7"/>
      <c r="HTE18" s="7"/>
      <c r="HTF18" s="7"/>
      <c r="HTG18" s="7"/>
      <c r="HTH18" s="7"/>
      <c r="HTI18" s="7"/>
      <c r="HTJ18" s="7"/>
      <c r="HTK18" s="7"/>
      <c r="HTL18" s="7"/>
      <c r="HTM18" s="7"/>
      <c r="HTN18" s="7"/>
      <c r="HTO18" s="7"/>
      <c r="HTP18" s="7"/>
      <c r="HTQ18" s="7"/>
      <c r="HTR18" s="7"/>
      <c r="HTS18" s="7"/>
      <c r="HTT18" s="7"/>
      <c r="HTU18" s="7"/>
      <c r="HTV18" s="7"/>
      <c r="HTW18" s="7"/>
      <c r="HTX18" s="7"/>
      <c r="HTY18" s="7"/>
      <c r="HTZ18" s="7"/>
      <c r="HUA18" s="7"/>
      <c r="HUB18" s="7"/>
      <c r="HUC18" s="7"/>
      <c r="HUD18" s="7"/>
      <c r="HUE18" s="7"/>
      <c r="HUF18" s="7"/>
      <c r="HUG18" s="7"/>
      <c r="HUH18" s="7"/>
      <c r="HUI18" s="7"/>
      <c r="HUJ18" s="7"/>
      <c r="HUK18" s="7"/>
      <c r="HUL18" s="7"/>
      <c r="HUM18" s="7"/>
      <c r="HUN18" s="7"/>
      <c r="HUO18" s="7"/>
      <c r="HUP18" s="7"/>
      <c r="HUQ18" s="7"/>
      <c r="HUR18" s="7"/>
      <c r="HUS18" s="7"/>
      <c r="HUT18" s="7"/>
      <c r="HUU18" s="7"/>
      <c r="HUV18" s="7"/>
      <c r="HUW18" s="7"/>
      <c r="HUX18" s="7"/>
      <c r="HUY18" s="7"/>
      <c r="HUZ18" s="7"/>
      <c r="HVA18" s="7"/>
      <c r="HVB18" s="7"/>
      <c r="HVC18" s="7"/>
      <c r="HVD18" s="7"/>
      <c r="HVE18" s="7"/>
      <c r="HVF18" s="7"/>
      <c r="HVG18" s="7"/>
      <c r="HVH18" s="7"/>
      <c r="HVI18" s="7"/>
      <c r="HVJ18" s="7"/>
      <c r="HVK18" s="7"/>
      <c r="HVL18" s="7"/>
      <c r="HVM18" s="7"/>
      <c r="HVN18" s="7"/>
      <c r="HVO18" s="7"/>
      <c r="HVP18" s="7"/>
      <c r="HVQ18" s="7"/>
      <c r="HVR18" s="7"/>
      <c r="HVS18" s="7"/>
      <c r="HVT18" s="7"/>
      <c r="HVU18" s="7"/>
      <c r="HVV18" s="7"/>
      <c r="HVW18" s="7"/>
      <c r="HVX18" s="7"/>
      <c r="HVY18" s="7"/>
      <c r="HVZ18" s="7"/>
      <c r="HWA18" s="7"/>
      <c r="HWB18" s="7"/>
      <c r="HWC18" s="7"/>
      <c r="HWD18" s="7"/>
      <c r="HWE18" s="7"/>
      <c r="HWF18" s="7"/>
      <c r="HWG18" s="7"/>
      <c r="HWH18" s="7"/>
      <c r="HWI18" s="7"/>
      <c r="HWJ18" s="7"/>
      <c r="HWK18" s="7"/>
      <c r="HWL18" s="7"/>
      <c r="HWM18" s="7"/>
      <c r="HWN18" s="7"/>
      <c r="HWO18" s="7"/>
      <c r="HWP18" s="7"/>
      <c r="HWQ18" s="7"/>
      <c r="HWR18" s="7"/>
      <c r="HWS18" s="7"/>
      <c r="HWT18" s="7"/>
      <c r="HWU18" s="7"/>
      <c r="HWV18" s="7"/>
      <c r="HWW18" s="7"/>
      <c r="HWX18" s="7"/>
      <c r="HWY18" s="7"/>
      <c r="HWZ18" s="7"/>
      <c r="HXA18" s="7"/>
      <c r="HXB18" s="7"/>
      <c r="HXC18" s="7"/>
      <c r="HXD18" s="7"/>
      <c r="HXE18" s="7"/>
      <c r="HXF18" s="7"/>
      <c r="HXG18" s="7"/>
      <c r="HXH18" s="7"/>
      <c r="HXI18" s="7"/>
      <c r="HXJ18" s="7"/>
      <c r="HXK18" s="7"/>
      <c r="HXL18" s="7"/>
      <c r="HXM18" s="7"/>
      <c r="HXN18" s="7"/>
      <c r="HXO18" s="7"/>
      <c r="HXP18" s="7"/>
      <c r="HXQ18" s="7"/>
      <c r="HXR18" s="7"/>
      <c r="HXS18" s="7"/>
      <c r="HXT18" s="7"/>
      <c r="HXU18" s="7"/>
      <c r="HXV18" s="7"/>
      <c r="HXW18" s="7"/>
      <c r="HXX18" s="7"/>
      <c r="HXY18" s="7"/>
      <c r="HXZ18" s="7"/>
      <c r="HYA18" s="7"/>
      <c r="HYB18" s="7"/>
      <c r="HYC18" s="7"/>
      <c r="HYD18" s="7"/>
      <c r="HYE18" s="7"/>
      <c r="HYF18" s="7"/>
      <c r="HYG18" s="7"/>
      <c r="HYH18" s="7"/>
      <c r="HYI18" s="7"/>
      <c r="HYJ18" s="7"/>
      <c r="HYK18" s="7"/>
      <c r="HYL18" s="7"/>
      <c r="HYM18" s="7"/>
      <c r="HYN18" s="7"/>
      <c r="HYO18" s="7"/>
      <c r="HYP18" s="7"/>
      <c r="HYQ18" s="7"/>
      <c r="HYR18" s="7"/>
      <c r="HYS18" s="7"/>
      <c r="HYT18" s="7"/>
      <c r="HYU18" s="7"/>
      <c r="HYV18" s="7"/>
      <c r="HYW18" s="7"/>
      <c r="HYX18" s="7"/>
      <c r="HYY18" s="7"/>
      <c r="HYZ18" s="7"/>
      <c r="HZA18" s="7"/>
      <c r="HZB18" s="7"/>
      <c r="HZC18" s="7"/>
      <c r="HZD18" s="7"/>
      <c r="HZE18" s="7"/>
      <c r="HZF18" s="7"/>
      <c r="HZG18" s="7"/>
      <c r="HZH18" s="7"/>
      <c r="HZI18" s="7"/>
      <c r="HZJ18" s="7"/>
      <c r="HZK18" s="7"/>
      <c r="HZL18" s="7"/>
      <c r="HZM18" s="7"/>
      <c r="HZN18" s="7"/>
      <c r="HZO18" s="7"/>
      <c r="HZP18" s="7"/>
      <c r="HZQ18" s="7"/>
      <c r="HZR18" s="7"/>
      <c r="HZS18" s="7"/>
      <c r="HZT18" s="7"/>
      <c r="HZU18" s="7"/>
      <c r="HZV18" s="7"/>
      <c r="HZW18" s="7"/>
      <c r="HZX18" s="7"/>
      <c r="HZY18" s="7"/>
      <c r="HZZ18" s="7"/>
      <c r="IAA18" s="7"/>
      <c r="IAB18" s="7"/>
      <c r="IAC18" s="7"/>
      <c r="IAD18" s="7"/>
      <c r="IAE18" s="7"/>
      <c r="IAF18" s="7"/>
      <c r="IAG18" s="7"/>
      <c r="IAH18" s="7"/>
      <c r="IAI18" s="7"/>
      <c r="IAJ18" s="7"/>
      <c r="IAK18" s="7"/>
      <c r="IAL18" s="7"/>
      <c r="IAM18" s="7"/>
      <c r="IAN18" s="7"/>
      <c r="IAO18" s="7"/>
      <c r="IAP18" s="7"/>
      <c r="IAQ18" s="7"/>
      <c r="IAR18" s="7"/>
      <c r="IAS18" s="7"/>
      <c r="IAT18" s="7"/>
      <c r="IAU18" s="7"/>
      <c r="IAV18" s="7"/>
      <c r="IAW18" s="7"/>
      <c r="IAX18" s="7"/>
      <c r="IAY18" s="7"/>
      <c r="IAZ18" s="7"/>
      <c r="IBA18" s="7"/>
      <c r="IBB18" s="7"/>
      <c r="IBC18" s="7"/>
      <c r="IBD18" s="7"/>
      <c r="IBE18" s="7"/>
      <c r="IBF18" s="7"/>
      <c r="IBG18" s="7"/>
      <c r="IBH18" s="7"/>
      <c r="IBI18" s="7"/>
      <c r="IBJ18" s="7"/>
      <c r="IBK18" s="7"/>
      <c r="IBL18" s="7"/>
      <c r="IBM18" s="7"/>
      <c r="IBN18" s="7"/>
      <c r="IBO18" s="7"/>
      <c r="IBP18" s="7"/>
      <c r="IBQ18" s="7"/>
      <c r="IBR18" s="7"/>
      <c r="IBS18" s="7"/>
      <c r="IBT18" s="7"/>
      <c r="IBU18" s="7"/>
      <c r="IBV18" s="7"/>
      <c r="IBW18" s="7"/>
      <c r="IBX18" s="7"/>
      <c r="IBY18" s="7"/>
      <c r="IBZ18" s="7"/>
      <c r="ICA18" s="7"/>
      <c r="ICB18" s="7"/>
      <c r="ICC18" s="7"/>
      <c r="ICD18" s="7"/>
      <c r="ICE18" s="7"/>
      <c r="ICF18" s="7"/>
      <c r="ICG18" s="7"/>
      <c r="ICH18" s="7"/>
      <c r="ICI18" s="7"/>
      <c r="ICJ18" s="7"/>
      <c r="ICK18" s="7"/>
      <c r="ICL18" s="7"/>
      <c r="ICM18" s="7"/>
      <c r="ICN18" s="7"/>
      <c r="ICO18" s="7"/>
      <c r="ICP18" s="7"/>
      <c r="ICQ18" s="7"/>
      <c r="ICR18" s="7"/>
      <c r="ICS18" s="7"/>
      <c r="ICT18" s="7"/>
      <c r="ICU18" s="7"/>
      <c r="ICV18" s="7"/>
      <c r="ICW18" s="7"/>
      <c r="ICX18" s="7"/>
      <c r="ICY18" s="7"/>
      <c r="ICZ18" s="7"/>
      <c r="IDA18" s="7"/>
      <c r="IDB18" s="7"/>
      <c r="IDC18" s="7"/>
      <c r="IDD18" s="7"/>
      <c r="IDE18" s="7"/>
      <c r="IDF18" s="7"/>
      <c r="IDG18" s="7"/>
      <c r="IDH18" s="7"/>
      <c r="IDI18" s="7"/>
      <c r="IDJ18" s="7"/>
      <c r="IDK18" s="7"/>
      <c r="IDL18" s="7"/>
      <c r="IDM18" s="7"/>
      <c r="IDN18" s="7"/>
      <c r="IDO18" s="7"/>
      <c r="IDP18" s="7"/>
      <c r="IDQ18" s="7"/>
      <c r="IDR18" s="7"/>
      <c r="IDS18" s="7"/>
      <c r="IDT18" s="7"/>
      <c r="IDU18" s="7"/>
      <c r="IDV18" s="7"/>
      <c r="IDW18" s="7"/>
      <c r="IDX18" s="7"/>
      <c r="IDY18" s="7"/>
      <c r="IDZ18" s="7"/>
      <c r="IEA18" s="7"/>
      <c r="IEB18" s="7"/>
      <c r="IEC18" s="7"/>
      <c r="IED18" s="7"/>
      <c r="IEE18" s="7"/>
      <c r="IEF18" s="7"/>
      <c r="IEG18" s="7"/>
      <c r="IEH18" s="7"/>
      <c r="IEI18" s="7"/>
      <c r="IEJ18" s="7"/>
      <c r="IEK18" s="7"/>
      <c r="IEL18" s="7"/>
      <c r="IEM18" s="7"/>
      <c r="IEN18" s="7"/>
      <c r="IEO18" s="7"/>
      <c r="IEP18" s="7"/>
      <c r="IEQ18" s="7"/>
      <c r="IER18" s="7"/>
      <c r="IES18" s="7"/>
      <c r="IET18" s="7"/>
      <c r="IEU18" s="7"/>
      <c r="IEV18" s="7"/>
      <c r="IEW18" s="7"/>
      <c r="IEX18" s="7"/>
      <c r="IEY18" s="7"/>
      <c r="IEZ18" s="7"/>
      <c r="IFA18" s="7"/>
      <c r="IFB18" s="7"/>
      <c r="IFC18" s="7"/>
      <c r="IFD18" s="7"/>
      <c r="IFE18" s="7"/>
      <c r="IFF18" s="7"/>
      <c r="IFG18" s="7"/>
      <c r="IFH18" s="7"/>
      <c r="IFI18" s="7"/>
      <c r="IFJ18" s="7"/>
      <c r="IFK18" s="7"/>
      <c r="IFL18" s="7"/>
      <c r="IFM18" s="7"/>
      <c r="IFN18" s="7"/>
      <c r="IFO18" s="7"/>
      <c r="IFP18" s="7"/>
      <c r="IFQ18" s="7"/>
      <c r="IFR18" s="7"/>
      <c r="IFS18" s="7"/>
      <c r="IFT18" s="7"/>
      <c r="IFU18" s="7"/>
      <c r="IFV18" s="7"/>
      <c r="IFW18" s="7"/>
      <c r="IFX18" s="7"/>
      <c r="IFY18" s="7"/>
      <c r="IFZ18" s="7"/>
      <c r="IGA18" s="7"/>
      <c r="IGB18" s="7"/>
      <c r="IGC18" s="7"/>
      <c r="IGD18" s="7"/>
      <c r="IGE18" s="7"/>
      <c r="IGF18" s="7"/>
      <c r="IGG18" s="7"/>
      <c r="IGH18" s="7"/>
      <c r="IGI18" s="7"/>
      <c r="IGJ18" s="7"/>
      <c r="IGK18" s="7"/>
      <c r="IGL18" s="7"/>
      <c r="IGM18" s="7"/>
      <c r="IGN18" s="7"/>
      <c r="IGO18" s="7"/>
      <c r="IGP18" s="7"/>
      <c r="IGQ18" s="7"/>
      <c r="IGR18" s="7"/>
      <c r="IGS18" s="7"/>
      <c r="IGT18" s="7"/>
      <c r="IGU18" s="7"/>
      <c r="IGV18" s="7"/>
      <c r="IGW18" s="7"/>
      <c r="IGX18" s="7"/>
      <c r="IGY18" s="7"/>
      <c r="IGZ18" s="7"/>
      <c r="IHA18" s="7"/>
      <c r="IHB18" s="7"/>
      <c r="IHC18" s="7"/>
      <c r="IHD18" s="7"/>
      <c r="IHE18" s="7"/>
      <c r="IHF18" s="7"/>
      <c r="IHG18" s="7"/>
      <c r="IHH18" s="7"/>
      <c r="IHI18" s="7"/>
      <c r="IHJ18" s="7"/>
      <c r="IHK18" s="7"/>
      <c r="IHL18" s="7"/>
      <c r="IHM18" s="7"/>
      <c r="IHN18" s="7"/>
      <c r="IHO18" s="7"/>
      <c r="IHP18" s="7"/>
      <c r="IHQ18" s="7"/>
      <c r="IHR18" s="7"/>
      <c r="IHS18" s="7"/>
      <c r="IHT18" s="7"/>
      <c r="IHU18" s="7"/>
      <c r="IHV18" s="7"/>
      <c r="IHW18" s="7"/>
      <c r="IHX18" s="7"/>
      <c r="IHY18" s="7"/>
      <c r="IHZ18" s="7"/>
      <c r="IIA18" s="7"/>
      <c r="IIB18" s="7"/>
      <c r="IIC18" s="7"/>
      <c r="IID18" s="7"/>
      <c r="IIE18" s="7"/>
      <c r="IIF18" s="7"/>
      <c r="IIG18" s="7"/>
      <c r="IIH18" s="7"/>
      <c r="III18" s="7"/>
      <c r="IIJ18" s="7"/>
      <c r="IIK18" s="7"/>
      <c r="IIL18" s="7"/>
      <c r="IIM18" s="7"/>
      <c r="IIN18" s="7"/>
      <c r="IIO18" s="7"/>
      <c r="IIP18" s="7"/>
      <c r="IIQ18" s="7"/>
      <c r="IIR18" s="7"/>
      <c r="IIS18" s="7"/>
      <c r="IIT18" s="7"/>
      <c r="IIU18" s="7"/>
      <c r="IIV18" s="7"/>
      <c r="IIW18" s="7"/>
      <c r="IIX18" s="7"/>
      <c r="IIY18" s="7"/>
      <c r="IIZ18" s="7"/>
      <c r="IJA18" s="7"/>
      <c r="IJB18" s="7"/>
      <c r="IJC18" s="7"/>
      <c r="IJD18" s="7"/>
      <c r="IJE18" s="7"/>
      <c r="IJF18" s="7"/>
      <c r="IJG18" s="7"/>
      <c r="IJH18" s="7"/>
      <c r="IJI18" s="7"/>
      <c r="IJJ18" s="7"/>
      <c r="IJK18" s="7"/>
      <c r="IJL18" s="7"/>
      <c r="IJM18" s="7"/>
      <c r="IJN18" s="7"/>
      <c r="IJO18" s="7"/>
      <c r="IJP18" s="7"/>
      <c r="IJQ18" s="7"/>
      <c r="IJR18" s="7"/>
      <c r="IJS18" s="7"/>
      <c r="IJT18" s="7"/>
      <c r="IJU18" s="7"/>
      <c r="IJV18" s="7"/>
      <c r="IJW18" s="7"/>
      <c r="IJX18" s="7"/>
      <c r="IJY18" s="7"/>
      <c r="IJZ18" s="7"/>
      <c r="IKA18" s="7"/>
      <c r="IKB18" s="7"/>
      <c r="IKC18" s="7"/>
      <c r="IKD18" s="7"/>
      <c r="IKE18" s="7"/>
      <c r="IKF18" s="7"/>
      <c r="IKG18" s="7"/>
      <c r="IKH18" s="7"/>
      <c r="IKI18" s="7"/>
      <c r="IKJ18" s="7"/>
      <c r="IKK18" s="7"/>
      <c r="IKL18" s="7"/>
      <c r="IKM18" s="7"/>
      <c r="IKN18" s="7"/>
      <c r="IKO18" s="7"/>
      <c r="IKP18" s="7"/>
      <c r="IKQ18" s="7"/>
      <c r="IKR18" s="7"/>
      <c r="IKS18" s="7"/>
      <c r="IKT18" s="7"/>
      <c r="IKU18" s="7"/>
      <c r="IKV18" s="7"/>
      <c r="IKW18" s="7"/>
      <c r="IKX18" s="7"/>
      <c r="IKY18" s="7"/>
      <c r="IKZ18" s="7"/>
      <c r="ILA18" s="7"/>
      <c r="ILB18" s="7"/>
      <c r="ILC18" s="7"/>
      <c r="ILD18" s="7"/>
      <c r="ILE18" s="7"/>
      <c r="ILF18" s="7"/>
      <c r="ILG18" s="7"/>
      <c r="ILH18" s="7"/>
      <c r="ILI18" s="7"/>
      <c r="ILJ18" s="7"/>
      <c r="ILK18" s="7"/>
      <c r="ILL18" s="7"/>
      <c r="ILM18" s="7"/>
      <c r="ILN18" s="7"/>
      <c r="ILO18" s="7"/>
      <c r="ILP18" s="7"/>
      <c r="ILQ18" s="7"/>
      <c r="ILR18" s="7"/>
      <c r="ILS18" s="7"/>
      <c r="ILT18" s="7"/>
      <c r="ILU18" s="7"/>
      <c r="ILV18" s="7"/>
      <c r="ILW18" s="7"/>
      <c r="ILX18" s="7"/>
      <c r="ILY18" s="7"/>
      <c r="ILZ18" s="7"/>
      <c r="IMA18" s="7"/>
      <c r="IMB18" s="7"/>
      <c r="IMC18" s="7"/>
      <c r="IMD18" s="7"/>
      <c r="IME18" s="7"/>
      <c r="IMF18" s="7"/>
      <c r="IMG18" s="7"/>
      <c r="IMH18" s="7"/>
      <c r="IMI18" s="7"/>
      <c r="IMJ18" s="7"/>
      <c r="IMK18" s="7"/>
      <c r="IML18" s="7"/>
      <c r="IMM18" s="7"/>
      <c r="IMN18" s="7"/>
      <c r="IMO18" s="7"/>
      <c r="IMP18" s="7"/>
      <c r="IMQ18" s="7"/>
      <c r="IMR18" s="7"/>
      <c r="IMS18" s="7"/>
      <c r="IMT18" s="7"/>
      <c r="IMU18" s="7"/>
      <c r="IMV18" s="7"/>
      <c r="IMW18" s="7"/>
      <c r="IMX18" s="7"/>
      <c r="IMY18" s="7"/>
      <c r="IMZ18" s="7"/>
      <c r="INA18" s="7"/>
      <c r="INB18" s="7"/>
      <c r="INC18" s="7"/>
      <c r="IND18" s="7"/>
      <c r="INE18" s="7"/>
      <c r="INF18" s="7"/>
      <c r="ING18" s="7"/>
      <c r="INH18" s="7"/>
      <c r="INI18" s="7"/>
      <c r="INJ18" s="7"/>
      <c r="INK18" s="7"/>
      <c r="INL18" s="7"/>
      <c r="INM18" s="7"/>
      <c r="INN18" s="7"/>
      <c r="INO18" s="7"/>
      <c r="INP18" s="7"/>
      <c r="INQ18" s="7"/>
      <c r="INR18" s="7"/>
      <c r="INS18" s="7"/>
      <c r="INT18" s="7"/>
      <c r="INU18" s="7"/>
      <c r="INV18" s="7"/>
      <c r="INW18" s="7"/>
      <c r="INX18" s="7"/>
      <c r="INY18" s="7"/>
      <c r="INZ18" s="7"/>
      <c r="IOA18" s="7"/>
      <c r="IOB18" s="7"/>
      <c r="IOC18" s="7"/>
      <c r="IOD18" s="7"/>
      <c r="IOE18" s="7"/>
      <c r="IOF18" s="7"/>
      <c r="IOG18" s="7"/>
      <c r="IOH18" s="7"/>
      <c r="IOI18" s="7"/>
      <c r="IOJ18" s="7"/>
      <c r="IOK18" s="7"/>
      <c r="IOL18" s="7"/>
      <c r="IOM18" s="7"/>
      <c r="ION18" s="7"/>
      <c r="IOO18" s="7"/>
      <c r="IOP18" s="7"/>
      <c r="IOQ18" s="7"/>
      <c r="IOR18" s="7"/>
      <c r="IOS18" s="7"/>
      <c r="IOT18" s="7"/>
      <c r="IOU18" s="7"/>
      <c r="IOV18" s="7"/>
      <c r="IOW18" s="7"/>
      <c r="IOX18" s="7"/>
      <c r="IOY18" s="7"/>
      <c r="IOZ18" s="7"/>
      <c r="IPA18" s="7"/>
      <c r="IPB18" s="7"/>
      <c r="IPC18" s="7"/>
      <c r="IPD18" s="7"/>
      <c r="IPE18" s="7"/>
      <c r="IPF18" s="7"/>
      <c r="IPG18" s="7"/>
      <c r="IPH18" s="7"/>
      <c r="IPI18" s="7"/>
      <c r="IPJ18" s="7"/>
      <c r="IPK18" s="7"/>
      <c r="IPL18" s="7"/>
      <c r="IPM18" s="7"/>
      <c r="IPN18" s="7"/>
      <c r="IPO18" s="7"/>
      <c r="IPP18" s="7"/>
      <c r="IPQ18" s="7"/>
      <c r="IPR18" s="7"/>
      <c r="IPS18" s="7"/>
      <c r="IPT18" s="7"/>
      <c r="IPU18" s="7"/>
      <c r="IPV18" s="7"/>
      <c r="IPW18" s="7"/>
      <c r="IPX18" s="7"/>
      <c r="IPY18" s="7"/>
      <c r="IPZ18" s="7"/>
      <c r="IQA18" s="7"/>
      <c r="IQB18" s="7"/>
      <c r="IQC18" s="7"/>
      <c r="IQD18" s="7"/>
      <c r="IQE18" s="7"/>
      <c r="IQF18" s="7"/>
      <c r="IQG18" s="7"/>
      <c r="IQH18" s="7"/>
      <c r="IQI18" s="7"/>
      <c r="IQJ18" s="7"/>
      <c r="IQK18" s="7"/>
      <c r="IQL18" s="7"/>
      <c r="IQM18" s="7"/>
      <c r="IQN18" s="7"/>
      <c r="IQO18" s="7"/>
      <c r="IQP18" s="7"/>
      <c r="IQQ18" s="7"/>
      <c r="IQR18" s="7"/>
      <c r="IQS18" s="7"/>
      <c r="IQT18" s="7"/>
      <c r="IQU18" s="7"/>
      <c r="IQV18" s="7"/>
      <c r="IQW18" s="7"/>
      <c r="IQX18" s="7"/>
      <c r="IQY18" s="7"/>
      <c r="IQZ18" s="7"/>
      <c r="IRA18" s="7"/>
      <c r="IRB18" s="7"/>
      <c r="IRC18" s="7"/>
      <c r="IRD18" s="7"/>
      <c r="IRE18" s="7"/>
      <c r="IRF18" s="7"/>
      <c r="IRG18" s="7"/>
      <c r="IRH18" s="7"/>
      <c r="IRI18" s="7"/>
      <c r="IRJ18" s="7"/>
      <c r="IRK18" s="7"/>
      <c r="IRL18" s="7"/>
      <c r="IRM18" s="7"/>
      <c r="IRN18" s="7"/>
      <c r="IRO18" s="7"/>
      <c r="IRP18" s="7"/>
      <c r="IRQ18" s="7"/>
      <c r="IRR18" s="7"/>
      <c r="IRS18" s="7"/>
      <c r="IRT18" s="7"/>
      <c r="IRU18" s="7"/>
      <c r="IRV18" s="7"/>
      <c r="IRW18" s="7"/>
      <c r="IRX18" s="7"/>
      <c r="IRY18" s="7"/>
      <c r="IRZ18" s="7"/>
      <c r="ISA18" s="7"/>
      <c r="ISB18" s="7"/>
      <c r="ISC18" s="7"/>
      <c r="ISD18" s="7"/>
      <c r="ISE18" s="7"/>
      <c r="ISF18" s="7"/>
      <c r="ISG18" s="7"/>
      <c r="ISH18" s="7"/>
      <c r="ISI18" s="7"/>
      <c r="ISJ18" s="7"/>
      <c r="ISK18" s="7"/>
      <c r="ISL18" s="7"/>
      <c r="ISM18" s="7"/>
      <c r="ISN18" s="7"/>
      <c r="ISO18" s="7"/>
      <c r="ISP18" s="7"/>
      <c r="ISQ18" s="7"/>
      <c r="ISR18" s="7"/>
      <c r="ISS18" s="7"/>
      <c r="IST18" s="7"/>
      <c r="ISU18" s="7"/>
      <c r="ISV18" s="7"/>
      <c r="ISW18" s="7"/>
      <c r="ISX18" s="7"/>
      <c r="ISY18" s="7"/>
      <c r="ISZ18" s="7"/>
      <c r="ITA18" s="7"/>
      <c r="ITB18" s="7"/>
      <c r="ITC18" s="7"/>
      <c r="ITD18" s="7"/>
      <c r="ITE18" s="7"/>
      <c r="ITF18" s="7"/>
      <c r="ITG18" s="7"/>
      <c r="ITH18" s="7"/>
      <c r="ITI18" s="7"/>
      <c r="ITJ18" s="7"/>
      <c r="ITK18" s="7"/>
      <c r="ITL18" s="7"/>
      <c r="ITM18" s="7"/>
      <c r="ITN18" s="7"/>
      <c r="ITO18" s="7"/>
      <c r="ITP18" s="7"/>
      <c r="ITQ18" s="7"/>
      <c r="ITR18" s="7"/>
      <c r="ITS18" s="7"/>
      <c r="ITT18" s="7"/>
      <c r="ITU18" s="7"/>
      <c r="ITV18" s="7"/>
      <c r="ITW18" s="7"/>
      <c r="ITX18" s="7"/>
      <c r="ITY18" s="7"/>
      <c r="ITZ18" s="7"/>
      <c r="IUA18" s="7"/>
      <c r="IUB18" s="7"/>
      <c r="IUC18" s="7"/>
      <c r="IUD18" s="7"/>
      <c r="IUE18" s="7"/>
      <c r="IUF18" s="7"/>
      <c r="IUG18" s="7"/>
      <c r="IUH18" s="7"/>
      <c r="IUI18" s="7"/>
      <c r="IUJ18" s="7"/>
      <c r="IUK18" s="7"/>
      <c r="IUL18" s="7"/>
      <c r="IUM18" s="7"/>
      <c r="IUN18" s="7"/>
      <c r="IUO18" s="7"/>
      <c r="IUP18" s="7"/>
      <c r="IUQ18" s="7"/>
      <c r="IUR18" s="7"/>
      <c r="IUS18" s="7"/>
      <c r="IUT18" s="7"/>
      <c r="IUU18" s="7"/>
      <c r="IUV18" s="7"/>
      <c r="IUW18" s="7"/>
      <c r="IUX18" s="7"/>
      <c r="IUY18" s="7"/>
      <c r="IUZ18" s="7"/>
      <c r="IVA18" s="7"/>
      <c r="IVB18" s="7"/>
      <c r="IVC18" s="7"/>
      <c r="IVD18" s="7"/>
      <c r="IVE18" s="7"/>
      <c r="IVF18" s="7"/>
      <c r="IVG18" s="7"/>
      <c r="IVH18" s="7"/>
      <c r="IVI18" s="7"/>
      <c r="IVJ18" s="7"/>
      <c r="IVK18" s="7"/>
      <c r="IVL18" s="7"/>
      <c r="IVM18" s="7"/>
      <c r="IVN18" s="7"/>
      <c r="IVO18" s="7"/>
      <c r="IVP18" s="7"/>
      <c r="IVQ18" s="7"/>
      <c r="IVR18" s="7"/>
      <c r="IVS18" s="7"/>
      <c r="IVT18" s="7"/>
      <c r="IVU18" s="7"/>
      <c r="IVV18" s="7"/>
      <c r="IVW18" s="7"/>
      <c r="IVX18" s="7"/>
      <c r="IVY18" s="7"/>
      <c r="IVZ18" s="7"/>
      <c r="IWA18" s="7"/>
      <c r="IWB18" s="7"/>
      <c r="IWC18" s="7"/>
      <c r="IWD18" s="7"/>
      <c r="IWE18" s="7"/>
      <c r="IWF18" s="7"/>
      <c r="IWG18" s="7"/>
      <c r="IWH18" s="7"/>
      <c r="IWI18" s="7"/>
      <c r="IWJ18" s="7"/>
      <c r="IWK18" s="7"/>
      <c r="IWL18" s="7"/>
      <c r="IWM18" s="7"/>
      <c r="IWN18" s="7"/>
      <c r="IWO18" s="7"/>
      <c r="IWP18" s="7"/>
      <c r="IWQ18" s="7"/>
      <c r="IWR18" s="7"/>
      <c r="IWS18" s="7"/>
      <c r="IWT18" s="7"/>
      <c r="IWU18" s="7"/>
      <c r="IWV18" s="7"/>
      <c r="IWW18" s="7"/>
      <c r="IWX18" s="7"/>
      <c r="IWY18" s="7"/>
      <c r="IWZ18" s="7"/>
      <c r="IXA18" s="7"/>
      <c r="IXB18" s="7"/>
      <c r="IXC18" s="7"/>
      <c r="IXD18" s="7"/>
      <c r="IXE18" s="7"/>
      <c r="IXF18" s="7"/>
      <c r="IXG18" s="7"/>
      <c r="IXH18" s="7"/>
      <c r="IXI18" s="7"/>
      <c r="IXJ18" s="7"/>
      <c r="IXK18" s="7"/>
      <c r="IXL18" s="7"/>
      <c r="IXM18" s="7"/>
      <c r="IXN18" s="7"/>
      <c r="IXO18" s="7"/>
      <c r="IXP18" s="7"/>
      <c r="IXQ18" s="7"/>
      <c r="IXR18" s="7"/>
      <c r="IXS18" s="7"/>
      <c r="IXT18" s="7"/>
      <c r="IXU18" s="7"/>
      <c r="IXV18" s="7"/>
      <c r="IXW18" s="7"/>
      <c r="IXX18" s="7"/>
      <c r="IXY18" s="7"/>
      <c r="IXZ18" s="7"/>
      <c r="IYA18" s="7"/>
      <c r="IYB18" s="7"/>
      <c r="IYC18" s="7"/>
      <c r="IYD18" s="7"/>
      <c r="IYE18" s="7"/>
      <c r="IYF18" s="7"/>
      <c r="IYG18" s="7"/>
      <c r="IYH18" s="7"/>
      <c r="IYI18" s="7"/>
      <c r="IYJ18" s="7"/>
      <c r="IYK18" s="7"/>
      <c r="IYL18" s="7"/>
      <c r="IYM18" s="7"/>
      <c r="IYN18" s="7"/>
      <c r="IYO18" s="7"/>
      <c r="IYP18" s="7"/>
      <c r="IYQ18" s="7"/>
      <c r="IYR18" s="7"/>
      <c r="IYS18" s="7"/>
      <c r="IYT18" s="7"/>
      <c r="IYU18" s="7"/>
      <c r="IYV18" s="7"/>
      <c r="IYW18" s="7"/>
      <c r="IYX18" s="7"/>
      <c r="IYY18" s="7"/>
      <c r="IYZ18" s="7"/>
      <c r="IZA18" s="7"/>
      <c r="IZB18" s="7"/>
      <c r="IZC18" s="7"/>
      <c r="IZD18" s="7"/>
      <c r="IZE18" s="7"/>
      <c r="IZF18" s="7"/>
      <c r="IZG18" s="7"/>
      <c r="IZH18" s="7"/>
      <c r="IZI18" s="7"/>
      <c r="IZJ18" s="7"/>
      <c r="IZK18" s="7"/>
      <c r="IZL18" s="7"/>
      <c r="IZM18" s="7"/>
      <c r="IZN18" s="7"/>
      <c r="IZO18" s="7"/>
      <c r="IZP18" s="7"/>
      <c r="IZQ18" s="7"/>
      <c r="IZR18" s="7"/>
      <c r="IZS18" s="7"/>
      <c r="IZT18" s="7"/>
      <c r="IZU18" s="7"/>
      <c r="IZV18" s="7"/>
      <c r="IZW18" s="7"/>
      <c r="IZX18" s="7"/>
      <c r="IZY18" s="7"/>
      <c r="IZZ18" s="7"/>
      <c r="JAA18" s="7"/>
      <c r="JAB18" s="7"/>
      <c r="JAC18" s="7"/>
      <c r="JAD18" s="7"/>
      <c r="JAE18" s="7"/>
      <c r="JAF18" s="7"/>
      <c r="JAG18" s="7"/>
      <c r="JAH18" s="7"/>
      <c r="JAI18" s="7"/>
      <c r="JAJ18" s="7"/>
      <c r="JAK18" s="7"/>
      <c r="JAL18" s="7"/>
      <c r="JAM18" s="7"/>
      <c r="JAN18" s="7"/>
      <c r="JAO18" s="7"/>
      <c r="JAP18" s="7"/>
      <c r="JAQ18" s="7"/>
      <c r="JAR18" s="7"/>
      <c r="JAS18" s="7"/>
      <c r="JAT18" s="7"/>
      <c r="JAU18" s="7"/>
      <c r="JAV18" s="7"/>
      <c r="JAW18" s="7"/>
      <c r="JAX18" s="7"/>
      <c r="JAY18" s="7"/>
      <c r="JAZ18" s="7"/>
      <c r="JBA18" s="7"/>
      <c r="JBB18" s="7"/>
      <c r="JBC18" s="7"/>
      <c r="JBD18" s="7"/>
      <c r="JBE18" s="7"/>
      <c r="JBF18" s="7"/>
      <c r="JBG18" s="7"/>
      <c r="JBH18" s="7"/>
      <c r="JBI18" s="7"/>
      <c r="JBJ18" s="7"/>
      <c r="JBK18" s="7"/>
      <c r="JBL18" s="7"/>
      <c r="JBM18" s="7"/>
      <c r="JBN18" s="7"/>
      <c r="JBO18" s="7"/>
      <c r="JBP18" s="7"/>
      <c r="JBQ18" s="7"/>
      <c r="JBR18" s="7"/>
      <c r="JBS18" s="7"/>
      <c r="JBT18" s="7"/>
      <c r="JBU18" s="7"/>
      <c r="JBV18" s="7"/>
      <c r="JBW18" s="7"/>
      <c r="JBX18" s="7"/>
      <c r="JBY18" s="7"/>
      <c r="JBZ18" s="7"/>
      <c r="JCA18" s="7"/>
      <c r="JCB18" s="7"/>
      <c r="JCC18" s="7"/>
      <c r="JCD18" s="7"/>
      <c r="JCE18" s="7"/>
      <c r="JCF18" s="7"/>
      <c r="JCG18" s="7"/>
      <c r="JCH18" s="7"/>
      <c r="JCI18" s="7"/>
      <c r="JCJ18" s="7"/>
      <c r="JCK18" s="7"/>
      <c r="JCL18" s="7"/>
      <c r="JCM18" s="7"/>
      <c r="JCN18" s="7"/>
      <c r="JCO18" s="7"/>
      <c r="JCP18" s="7"/>
      <c r="JCQ18" s="7"/>
      <c r="JCR18" s="7"/>
      <c r="JCS18" s="7"/>
      <c r="JCT18" s="7"/>
      <c r="JCU18" s="7"/>
      <c r="JCV18" s="7"/>
      <c r="JCW18" s="7"/>
      <c r="JCX18" s="7"/>
      <c r="JCY18" s="7"/>
      <c r="JCZ18" s="7"/>
      <c r="JDA18" s="7"/>
      <c r="JDB18" s="7"/>
      <c r="JDC18" s="7"/>
      <c r="JDD18" s="7"/>
      <c r="JDE18" s="7"/>
      <c r="JDF18" s="7"/>
      <c r="JDG18" s="7"/>
      <c r="JDH18" s="7"/>
      <c r="JDI18" s="7"/>
      <c r="JDJ18" s="7"/>
      <c r="JDK18" s="7"/>
      <c r="JDL18" s="7"/>
      <c r="JDM18" s="7"/>
      <c r="JDN18" s="7"/>
      <c r="JDO18" s="7"/>
      <c r="JDP18" s="7"/>
      <c r="JDQ18" s="7"/>
      <c r="JDR18" s="7"/>
      <c r="JDS18" s="7"/>
      <c r="JDT18" s="7"/>
      <c r="JDU18" s="7"/>
      <c r="JDV18" s="7"/>
      <c r="JDW18" s="7"/>
      <c r="JDX18" s="7"/>
      <c r="JDY18" s="7"/>
      <c r="JDZ18" s="7"/>
      <c r="JEA18" s="7"/>
      <c r="JEB18" s="7"/>
      <c r="JEC18" s="7"/>
      <c r="JED18" s="7"/>
      <c r="JEE18" s="7"/>
      <c r="JEF18" s="7"/>
      <c r="JEG18" s="7"/>
      <c r="JEH18" s="7"/>
      <c r="JEI18" s="7"/>
      <c r="JEJ18" s="7"/>
      <c r="JEK18" s="7"/>
      <c r="JEL18" s="7"/>
      <c r="JEM18" s="7"/>
      <c r="JEN18" s="7"/>
      <c r="JEO18" s="7"/>
      <c r="JEP18" s="7"/>
      <c r="JEQ18" s="7"/>
      <c r="JER18" s="7"/>
      <c r="JES18" s="7"/>
      <c r="JET18" s="7"/>
      <c r="JEU18" s="7"/>
      <c r="JEV18" s="7"/>
      <c r="JEW18" s="7"/>
      <c r="JEX18" s="7"/>
      <c r="JEY18" s="7"/>
      <c r="JEZ18" s="7"/>
      <c r="JFA18" s="7"/>
      <c r="JFB18" s="7"/>
      <c r="JFC18" s="7"/>
      <c r="JFD18" s="7"/>
      <c r="JFE18" s="7"/>
      <c r="JFF18" s="7"/>
      <c r="JFG18" s="7"/>
      <c r="JFH18" s="7"/>
      <c r="JFI18" s="7"/>
      <c r="JFJ18" s="7"/>
      <c r="JFK18" s="7"/>
      <c r="JFL18" s="7"/>
      <c r="JFM18" s="7"/>
      <c r="JFN18" s="7"/>
      <c r="JFO18" s="7"/>
      <c r="JFP18" s="7"/>
      <c r="JFQ18" s="7"/>
      <c r="JFR18" s="7"/>
      <c r="JFS18" s="7"/>
      <c r="JFT18" s="7"/>
      <c r="JFU18" s="7"/>
      <c r="JFV18" s="7"/>
      <c r="JFW18" s="7"/>
      <c r="JFX18" s="7"/>
      <c r="JFY18" s="7"/>
      <c r="JFZ18" s="7"/>
      <c r="JGA18" s="7"/>
      <c r="JGB18" s="7"/>
      <c r="JGC18" s="7"/>
      <c r="JGD18" s="7"/>
      <c r="JGE18" s="7"/>
      <c r="JGF18" s="7"/>
      <c r="JGG18" s="7"/>
      <c r="JGH18" s="7"/>
      <c r="JGI18" s="7"/>
      <c r="JGJ18" s="7"/>
      <c r="JGK18" s="7"/>
      <c r="JGL18" s="7"/>
      <c r="JGM18" s="7"/>
      <c r="JGN18" s="7"/>
      <c r="JGO18" s="7"/>
      <c r="JGP18" s="7"/>
      <c r="JGQ18" s="7"/>
      <c r="JGR18" s="7"/>
      <c r="JGS18" s="7"/>
      <c r="JGT18" s="7"/>
      <c r="JGU18" s="7"/>
      <c r="JGV18" s="7"/>
      <c r="JGW18" s="7"/>
      <c r="JGX18" s="7"/>
      <c r="JGY18" s="7"/>
      <c r="JGZ18" s="7"/>
      <c r="JHA18" s="7"/>
      <c r="JHB18" s="7"/>
      <c r="JHC18" s="7"/>
      <c r="JHD18" s="7"/>
      <c r="JHE18" s="7"/>
      <c r="JHF18" s="7"/>
      <c r="JHG18" s="7"/>
      <c r="JHH18" s="7"/>
      <c r="JHI18" s="7"/>
      <c r="JHJ18" s="7"/>
      <c r="JHK18" s="7"/>
      <c r="JHL18" s="7"/>
      <c r="JHM18" s="7"/>
      <c r="JHN18" s="7"/>
      <c r="JHO18" s="7"/>
      <c r="JHP18" s="7"/>
      <c r="JHQ18" s="7"/>
      <c r="JHR18" s="7"/>
      <c r="JHS18" s="7"/>
      <c r="JHT18" s="7"/>
      <c r="JHU18" s="7"/>
      <c r="JHV18" s="7"/>
      <c r="JHW18" s="7"/>
      <c r="JHX18" s="7"/>
      <c r="JHY18" s="7"/>
      <c r="JHZ18" s="7"/>
      <c r="JIA18" s="7"/>
      <c r="JIB18" s="7"/>
      <c r="JIC18" s="7"/>
      <c r="JID18" s="7"/>
      <c r="JIE18" s="7"/>
      <c r="JIF18" s="7"/>
      <c r="JIG18" s="7"/>
      <c r="JIH18" s="7"/>
      <c r="JII18" s="7"/>
      <c r="JIJ18" s="7"/>
      <c r="JIK18" s="7"/>
      <c r="JIL18" s="7"/>
      <c r="JIM18" s="7"/>
      <c r="JIN18" s="7"/>
      <c r="JIO18" s="7"/>
      <c r="JIP18" s="7"/>
      <c r="JIQ18" s="7"/>
      <c r="JIR18" s="7"/>
      <c r="JIS18" s="7"/>
      <c r="JIT18" s="7"/>
      <c r="JIU18" s="7"/>
      <c r="JIV18" s="7"/>
      <c r="JIW18" s="7"/>
      <c r="JIX18" s="7"/>
      <c r="JIY18" s="7"/>
      <c r="JIZ18" s="7"/>
      <c r="JJA18" s="7"/>
      <c r="JJB18" s="7"/>
      <c r="JJC18" s="7"/>
      <c r="JJD18" s="7"/>
      <c r="JJE18" s="7"/>
      <c r="JJF18" s="7"/>
      <c r="JJG18" s="7"/>
      <c r="JJH18" s="7"/>
      <c r="JJI18" s="7"/>
      <c r="JJJ18" s="7"/>
      <c r="JJK18" s="7"/>
      <c r="JJL18" s="7"/>
      <c r="JJM18" s="7"/>
      <c r="JJN18" s="7"/>
      <c r="JJO18" s="7"/>
      <c r="JJP18" s="7"/>
      <c r="JJQ18" s="7"/>
      <c r="JJR18" s="7"/>
      <c r="JJS18" s="7"/>
      <c r="JJT18" s="7"/>
      <c r="JJU18" s="7"/>
      <c r="JJV18" s="7"/>
      <c r="JJW18" s="7"/>
      <c r="JJX18" s="7"/>
      <c r="JJY18" s="7"/>
      <c r="JJZ18" s="7"/>
      <c r="JKA18" s="7"/>
      <c r="JKB18" s="7"/>
      <c r="JKC18" s="7"/>
      <c r="JKD18" s="7"/>
      <c r="JKE18" s="7"/>
      <c r="JKF18" s="7"/>
      <c r="JKG18" s="7"/>
      <c r="JKH18" s="7"/>
      <c r="JKI18" s="7"/>
      <c r="JKJ18" s="7"/>
      <c r="JKK18" s="7"/>
      <c r="JKL18" s="7"/>
      <c r="JKM18" s="7"/>
      <c r="JKN18" s="7"/>
      <c r="JKO18" s="7"/>
      <c r="JKP18" s="7"/>
      <c r="JKQ18" s="7"/>
      <c r="JKR18" s="7"/>
      <c r="JKS18" s="7"/>
      <c r="JKT18" s="7"/>
      <c r="JKU18" s="7"/>
      <c r="JKV18" s="7"/>
      <c r="JKW18" s="7"/>
      <c r="JKX18" s="7"/>
      <c r="JKY18" s="7"/>
      <c r="JKZ18" s="7"/>
      <c r="JLA18" s="7"/>
      <c r="JLB18" s="7"/>
      <c r="JLC18" s="7"/>
      <c r="JLD18" s="7"/>
      <c r="JLE18" s="7"/>
      <c r="JLF18" s="7"/>
      <c r="JLG18" s="7"/>
      <c r="JLH18" s="7"/>
      <c r="JLI18" s="7"/>
      <c r="JLJ18" s="7"/>
      <c r="JLK18" s="7"/>
      <c r="JLL18" s="7"/>
      <c r="JLM18" s="7"/>
      <c r="JLN18" s="7"/>
      <c r="JLO18" s="7"/>
      <c r="JLP18" s="7"/>
      <c r="JLQ18" s="7"/>
      <c r="JLR18" s="7"/>
      <c r="JLS18" s="7"/>
      <c r="JLT18" s="7"/>
      <c r="JLU18" s="7"/>
      <c r="JLV18" s="7"/>
      <c r="JLW18" s="7"/>
      <c r="JLX18" s="7"/>
      <c r="JLY18" s="7"/>
      <c r="JLZ18" s="7"/>
      <c r="JMA18" s="7"/>
      <c r="JMB18" s="7"/>
      <c r="JMC18" s="7"/>
      <c r="JMD18" s="7"/>
      <c r="JME18" s="7"/>
      <c r="JMF18" s="7"/>
      <c r="JMG18" s="7"/>
      <c r="JMH18" s="7"/>
      <c r="JMI18" s="7"/>
      <c r="JMJ18" s="7"/>
      <c r="JMK18" s="7"/>
      <c r="JML18" s="7"/>
      <c r="JMM18" s="7"/>
      <c r="JMN18" s="7"/>
      <c r="JMO18" s="7"/>
      <c r="JMP18" s="7"/>
      <c r="JMQ18" s="7"/>
      <c r="JMR18" s="7"/>
      <c r="JMS18" s="7"/>
      <c r="JMT18" s="7"/>
      <c r="JMU18" s="7"/>
      <c r="JMV18" s="7"/>
      <c r="JMW18" s="7"/>
      <c r="JMX18" s="7"/>
      <c r="JMY18" s="7"/>
      <c r="JMZ18" s="7"/>
      <c r="JNA18" s="7"/>
      <c r="JNB18" s="7"/>
      <c r="JNC18" s="7"/>
      <c r="JND18" s="7"/>
      <c r="JNE18" s="7"/>
      <c r="JNF18" s="7"/>
      <c r="JNG18" s="7"/>
      <c r="JNH18" s="7"/>
      <c r="JNI18" s="7"/>
      <c r="JNJ18" s="7"/>
      <c r="JNK18" s="7"/>
      <c r="JNL18" s="7"/>
      <c r="JNM18" s="7"/>
      <c r="JNN18" s="7"/>
      <c r="JNO18" s="7"/>
      <c r="JNP18" s="7"/>
      <c r="JNQ18" s="7"/>
      <c r="JNR18" s="7"/>
      <c r="JNS18" s="7"/>
      <c r="JNT18" s="7"/>
      <c r="JNU18" s="7"/>
      <c r="JNV18" s="7"/>
      <c r="JNW18" s="7"/>
      <c r="JNX18" s="7"/>
      <c r="JNY18" s="7"/>
      <c r="JNZ18" s="7"/>
      <c r="JOA18" s="7"/>
      <c r="JOB18" s="7"/>
      <c r="JOC18" s="7"/>
      <c r="JOD18" s="7"/>
      <c r="JOE18" s="7"/>
      <c r="JOF18" s="7"/>
      <c r="JOG18" s="7"/>
      <c r="JOH18" s="7"/>
      <c r="JOI18" s="7"/>
      <c r="JOJ18" s="7"/>
      <c r="JOK18" s="7"/>
      <c r="JOL18" s="7"/>
      <c r="JOM18" s="7"/>
      <c r="JON18" s="7"/>
      <c r="JOO18" s="7"/>
      <c r="JOP18" s="7"/>
      <c r="JOQ18" s="7"/>
      <c r="JOR18" s="7"/>
      <c r="JOS18" s="7"/>
      <c r="JOT18" s="7"/>
      <c r="JOU18" s="7"/>
      <c r="JOV18" s="7"/>
      <c r="JOW18" s="7"/>
      <c r="JOX18" s="7"/>
      <c r="JOY18" s="7"/>
      <c r="JOZ18" s="7"/>
      <c r="JPA18" s="7"/>
      <c r="JPB18" s="7"/>
      <c r="JPC18" s="7"/>
      <c r="JPD18" s="7"/>
      <c r="JPE18" s="7"/>
      <c r="JPF18" s="7"/>
      <c r="JPG18" s="7"/>
      <c r="JPH18" s="7"/>
      <c r="JPI18" s="7"/>
      <c r="JPJ18" s="7"/>
      <c r="JPK18" s="7"/>
      <c r="JPL18" s="7"/>
      <c r="JPM18" s="7"/>
      <c r="JPN18" s="7"/>
      <c r="JPO18" s="7"/>
      <c r="JPP18" s="7"/>
      <c r="JPQ18" s="7"/>
      <c r="JPR18" s="7"/>
      <c r="JPS18" s="7"/>
      <c r="JPT18" s="7"/>
      <c r="JPU18" s="7"/>
      <c r="JPV18" s="7"/>
      <c r="JPW18" s="7"/>
      <c r="JPX18" s="7"/>
      <c r="JPY18" s="7"/>
      <c r="JPZ18" s="7"/>
      <c r="JQA18" s="7"/>
      <c r="JQB18" s="7"/>
      <c r="JQC18" s="7"/>
      <c r="JQD18" s="7"/>
      <c r="JQE18" s="7"/>
      <c r="JQF18" s="7"/>
      <c r="JQG18" s="7"/>
      <c r="JQH18" s="7"/>
      <c r="JQI18" s="7"/>
      <c r="JQJ18" s="7"/>
      <c r="JQK18" s="7"/>
      <c r="JQL18" s="7"/>
      <c r="JQM18" s="7"/>
      <c r="JQN18" s="7"/>
      <c r="JQO18" s="7"/>
      <c r="JQP18" s="7"/>
      <c r="JQQ18" s="7"/>
      <c r="JQR18" s="7"/>
      <c r="JQS18" s="7"/>
      <c r="JQT18" s="7"/>
      <c r="JQU18" s="7"/>
      <c r="JQV18" s="7"/>
      <c r="JQW18" s="7"/>
      <c r="JQX18" s="7"/>
      <c r="JQY18" s="7"/>
      <c r="JQZ18" s="7"/>
      <c r="JRA18" s="7"/>
      <c r="JRB18" s="7"/>
      <c r="JRC18" s="7"/>
      <c r="JRD18" s="7"/>
      <c r="JRE18" s="7"/>
      <c r="JRF18" s="7"/>
      <c r="JRG18" s="7"/>
      <c r="JRH18" s="7"/>
      <c r="JRI18" s="7"/>
      <c r="JRJ18" s="7"/>
      <c r="JRK18" s="7"/>
      <c r="JRL18" s="7"/>
      <c r="JRM18" s="7"/>
      <c r="JRN18" s="7"/>
      <c r="JRO18" s="7"/>
      <c r="JRP18" s="7"/>
      <c r="JRQ18" s="7"/>
      <c r="JRR18" s="7"/>
      <c r="JRS18" s="7"/>
      <c r="JRT18" s="7"/>
      <c r="JRU18" s="7"/>
      <c r="JRV18" s="7"/>
      <c r="JRW18" s="7"/>
      <c r="JRX18" s="7"/>
      <c r="JRY18" s="7"/>
      <c r="JRZ18" s="7"/>
      <c r="JSA18" s="7"/>
      <c r="JSB18" s="7"/>
      <c r="JSC18" s="7"/>
      <c r="JSD18" s="7"/>
      <c r="JSE18" s="7"/>
      <c r="JSF18" s="7"/>
      <c r="JSG18" s="7"/>
      <c r="JSH18" s="7"/>
      <c r="JSI18" s="7"/>
      <c r="JSJ18" s="7"/>
      <c r="JSK18" s="7"/>
      <c r="JSL18" s="7"/>
      <c r="JSM18" s="7"/>
      <c r="JSN18" s="7"/>
      <c r="JSO18" s="7"/>
      <c r="JSP18" s="7"/>
      <c r="JSQ18" s="7"/>
      <c r="JSR18" s="7"/>
      <c r="JSS18" s="7"/>
      <c r="JST18" s="7"/>
      <c r="JSU18" s="7"/>
      <c r="JSV18" s="7"/>
      <c r="JSW18" s="7"/>
      <c r="JSX18" s="7"/>
      <c r="JSY18" s="7"/>
      <c r="JSZ18" s="7"/>
      <c r="JTA18" s="7"/>
      <c r="JTB18" s="7"/>
      <c r="JTC18" s="7"/>
      <c r="JTD18" s="7"/>
      <c r="JTE18" s="7"/>
      <c r="JTF18" s="7"/>
      <c r="JTG18" s="7"/>
      <c r="JTH18" s="7"/>
      <c r="JTI18" s="7"/>
      <c r="JTJ18" s="7"/>
      <c r="JTK18" s="7"/>
      <c r="JTL18" s="7"/>
      <c r="JTM18" s="7"/>
      <c r="JTN18" s="7"/>
      <c r="JTO18" s="7"/>
      <c r="JTP18" s="7"/>
      <c r="JTQ18" s="7"/>
      <c r="JTR18" s="7"/>
      <c r="JTS18" s="7"/>
      <c r="JTT18" s="7"/>
      <c r="JTU18" s="7"/>
      <c r="JTV18" s="7"/>
      <c r="JTW18" s="7"/>
      <c r="JTX18" s="7"/>
      <c r="JTY18" s="7"/>
      <c r="JTZ18" s="7"/>
      <c r="JUA18" s="7"/>
      <c r="JUB18" s="7"/>
      <c r="JUC18" s="7"/>
      <c r="JUD18" s="7"/>
      <c r="JUE18" s="7"/>
      <c r="JUF18" s="7"/>
      <c r="JUG18" s="7"/>
      <c r="JUH18" s="7"/>
      <c r="JUI18" s="7"/>
      <c r="JUJ18" s="7"/>
      <c r="JUK18" s="7"/>
      <c r="JUL18" s="7"/>
      <c r="JUM18" s="7"/>
      <c r="JUN18" s="7"/>
      <c r="JUO18" s="7"/>
      <c r="JUP18" s="7"/>
      <c r="JUQ18" s="7"/>
      <c r="JUR18" s="7"/>
      <c r="JUS18" s="7"/>
      <c r="JUT18" s="7"/>
      <c r="JUU18" s="7"/>
      <c r="JUV18" s="7"/>
      <c r="JUW18" s="7"/>
      <c r="JUX18" s="7"/>
      <c r="JUY18" s="7"/>
      <c r="JUZ18" s="7"/>
      <c r="JVA18" s="7"/>
      <c r="JVB18" s="7"/>
      <c r="JVC18" s="7"/>
      <c r="JVD18" s="7"/>
      <c r="JVE18" s="7"/>
      <c r="JVF18" s="7"/>
      <c r="JVG18" s="7"/>
      <c r="JVH18" s="7"/>
      <c r="JVI18" s="7"/>
      <c r="JVJ18" s="7"/>
      <c r="JVK18" s="7"/>
      <c r="JVL18" s="7"/>
      <c r="JVM18" s="7"/>
      <c r="JVN18" s="7"/>
      <c r="JVO18" s="7"/>
      <c r="JVP18" s="7"/>
      <c r="JVQ18" s="7"/>
      <c r="JVR18" s="7"/>
      <c r="JVS18" s="7"/>
      <c r="JVT18" s="7"/>
      <c r="JVU18" s="7"/>
      <c r="JVV18" s="7"/>
      <c r="JVW18" s="7"/>
      <c r="JVX18" s="7"/>
      <c r="JVY18" s="7"/>
      <c r="JVZ18" s="7"/>
      <c r="JWA18" s="7"/>
      <c r="JWB18" s="7"/>
      <c r="JWC18" s="7"/>
      <c r="JWD18" s="7"/>
      <c r="JWE18" s="7"/>
      <c r="JWF18" s="7"/>
      <c r="JWG18" s="7"/>
      <c r="JWH18" s="7"/>
      <c r="JWI18" s="7"/>
      <c r="JWJ18" s="7"/>
      <c r="JWK18" s="7"/>
      <c r="JWL18" s="7"/>
      <c r="JWM18" s="7"/>
      <c r="JWN18" s="7"/>
      <c r="JWO18" s="7"/>
      <c r="JWP18" s="7"/>
      <c r="JWQ18" s="7"/>
      <c r="JWR18" s="7"/>
      <c r="JWS18" s="7"/>
      <c r="JWT18" s="7"/>
      <c r="JWU18" s="7"/>
      <c r="JWV18" s="7"/>
      <c r="JWW18" s="7"/>
      <c r="JWX18" s="7"/>
      <c r="JWY18" s="7"/>
      <c r="JWZ18" s="7"/>
      <c r="JXA18" s="7"/>
      <c r="JXB18" s="7"/>
      <c r="JXC18" s="7"/>
      <c r="JXD18" s="7"/>
      <c r="JXE18" s="7"/>
      <c r="JXF18" s="7"/>
      <c r="JXG18" s="7"/>
      <c r="JXH18" s="7"/>
      <c r="JXI18" s="7"/>
      <c r="JXJ18" s="7"/>
      <c r="JXK18" s="7"/>
      <c r="JXL18" s="7"/>
      <c r="JXM18" s="7"/>
      <c r="JXN18" s="7"/>
      <c r="JXO18" s="7"/>
      <c r="JXP18" s="7"/>
      <c r="JXQ18" s="7"/>
      <c r="JXR18" s="7"/>
      <c r="JXS18" s="7"/>
      <c r="JXT18" s="7"/>
      <c r="JXU18" s="7"/>
      <c r="JXV18" s="7"/>
      <c r="JXW18" s="7"/>
      <c r="JXX18" s="7"/>
      <c r="JXY18" s="7"/>
      <c r="JXZ18" s="7"/>
      <c r="JYA18" s="7"/>
      <c r="JYB18" s="7"/>
      <c r="JYC18" s="7"/>
      <c r="JYD18" s="7"/>
      <c r="JYE18" s="7"/>
      <c r="JYF18" s="7"/>
      <c r="JYG18" s="7"/>
      <c r="JYH18" s="7"/>
      <c r="JYI18" s="7"/>
      <c r="JYJ18" s="7"/>
      <c r="JYK18" s="7"/>
      <c r="JYL18" s="7"/>
      <c r="JYM18" s="7"/>
      <c r="JYN18" s="7"/>
      <c r="JYO18" s="7"/>
      <c r="JYP18" s="7"/>
      <c r="JYQ18" s="7"/>
      <c r="JYR18" s="7"/>
      <c r="JYS18" s="7"/>
      <c r="JYT18" s="7"/>
      <c r="JYU18" s="7"/>
      <c r="JYV18" s="7"/>
      <c r="JYW18" s="7"/>
      <c r="JYX18" s="7"/>
      <c r="JYY18" s="7"/>
      <c r="JYZ18" s="7"/>
      <c r="JZA18" s="7"/>
      <c r="JZB18" s="7"/>
      <c r="JZC18" s="7"/>
      <c r="JZD18" s="7"/>
      <c r="JZE18" s="7"/>
      <c r="JZF18" s="7"/>
      <c r="JZG18" s="7"/>
      <c r="JZH18" s="7"/>
      <c r="JZI18" s="7"/>
      <c r="JZJ18" s="7"/>
      <c r="JZK18" s="7"/>
      <c r="JZL18" s="7"/>
      <c r="JZM18" s="7"/>
      <c r="JZN18" s="7"/>
      <c r="JZO18" s="7"/>
      <c r="JZP18" s="7"/>
      <c r="JZQ18" s="7"/>
      <c r="JZR18" s="7"/>
      <c r="JZS18" s="7"/>
      <c r="JZT18" s="7"/>
      <c r="JZU18" s="7"/>
      <c r="JZV18" s="7"/>
      <c r="JZW18" s="7"/>
      <c r="JZX18" s="7"/>
      <c r="JZY18" s="7"/>
      <c r="JZZ18" s="7"/>
      <c r="KAA18" s="7"/>
      <c r="KAB18" s="7"/>
      <c r="KAC18" s="7"/>
      <c r="KAD18" s="7"/>
      <c r="KAE18" s="7"/>
      <c r="KAF18" s="7"/>
      <c r="KAG18" s="7"/>
      <c r="KAH18" s="7"/>
      <c r="KAI18" s="7"/>
      <c r="KAJ18" s="7"/>
      <c r="KAK18" s="7"/>
      <c r="KAL18" s="7"/>
      <c r="KAM18" s="7"/>
      <c r="KAN18" s="7"/>
      <c r="KAO18" s="7"/>
      <c r="KAP18" s="7"/>
      <c r="KAQ18" s="7"/>
      <c r="KAR18" s="7"/>
      <c r="KAS18" s="7"/>
      <c r="KAT18" s="7"/>
      <c r="KAU18" s="7"/>
      <c r="KAV18" s="7"/>
      <c r="KAW18" s="7"/>
      <c r="KAX18" s="7"/>
      <c r="KAY18" s="7"/>
      <c r="KAZ18" s="7"/>
      <c r="KBA18" s="7"/>
      <c r="KBB18" s="7"/>
      <c r="KBC18" s="7"/>
      <c r="KBD18" s="7"/>
      <c r="KBE18" s="7"/>
      <c r="KBF18" s="7"/>
      <c r="KBG18" s="7"/>
      <c r="KBH18" s="7"/>
      <c r="KBI18" s="7"/>
      <c r="KBJ18" s="7"/>
      <c r="KBK18" s="7"/>
      <c r="KBL18" s="7"/>
      <c r="KBM18" s="7"/>
      <c r="KBN18" s="7"/>
      <c r="KBO18" s="7"/>
      <c r="KBP18" s="7"/>
      <c r="KBQ18" s="7"/>
      <c r="KBR18" s="7"/>
      <c r="KBS18" s="7"/>
      <c r="KBT18" s="7"/>
      <c r="KBU18" s="7"/>
      <c r="KBV18" s="7"/>
      <c r="KBW18" s="7"/>
      <c r="KBX18" s="7"/>
      <c r="KBY18" s="7"/>
      <c r="KBZ18" s="7"/>
      <c r="KCA18" s="7"/>
      <c r="KCB18" s="7"/>
      <c r="KCC18" s="7"/>
      <c r="KCD18" s="7"/>
      <c r="KCE18" s="7"/>
      <c r="KCF18" s="7"/>
      <c r="KCG18" s="7"/>
      <c r="KCH18" s="7"/>
      <c r="KCI18" s="7"/>
      <c r="KCJ18" s="7"/>
      <c r="KCK18" s="7"/>
      <c r="KCL18" s="7"/>
      <c r="KCM18" s="7"/>
      <c r="KCN18" s="7"/>
      <c r="KCO18" s="7"/>
      <c r="KCP18" s="7"/>
      <c r="KCQ18" s="7"/>
      <c r="KCR18" s="7"/>
      <c r="KCS18" s="7"/>
      <c r="KCT18" s="7"/>
      <c r="KCU18" s="7"/>
      <c r="KCV18" s="7"/>
      <c r="KCW18" s="7"/>
      <c r="KCX18" s="7"/>
      <c r="KCY18" s="7"/>
      <c r="KCZ18" s="7"/>
      <c r="KDA18" s="7"/>
      <c r="KDB18" s="7"/>
      <c r="KDC18" s="7"/>
      <c r="KDD18" s="7"/>
      <c r="KDE18" s="7"/>
      <c r="KDF18" s="7"/>
      <c r="KDG18" s="7"/>
      <c r="KDH18" s="7"/>
      <c r="KDI18" s="7"/>
      <c r="KDJ18" s="7"/>
      <c r="KDK18" s="7"/>
      <c r="KDL18" s="7"/>
      <c r="KDM18" s="7"/>
      <c r="KDN18" s="7"/>
      <c r="KDO18" s="7"/>
      <c r="KDP18" s="7"/>
      <c r="KDQ18" s="7"/>
      <c r="KDR18" s="7"/>
      <c r="KDS18" s="7"/>
      <c r="KDT18" s="7"/>
      <c r="KDU18" s="7"/>
      <c r="KDV18" s="7"/>
      <c r="KDW18" s="7"/>
      <c r="KDX18" s="7"/>
      <c r="KDY18" s="7"/>
      <c r="KDZ18" s="7"/>
      <c r="KEA18" s="7"/>
      <c r="KEB18" s="7"/>
      <c r="KEC18" s="7"/>
      <c r="KED18" s="7"/>
      <c r="KEE18" s="7"/>
      <c r="KEF18" s="7"/>
      <c r="KEG18" s="7"/>
      <c r="KEH18" s="7"/>
      <c r="KEI18" s="7"/>
      <c r="KEJ18" s="7"/>
      <c r="KEK18" s="7"/>
      <c r="KEL18" s="7"/>
      <c r="KEM18" s="7"/>
      <c r="KEN18" s="7"/>
      <c r="KEO18" s="7"/>
      <c r="KEP18" s="7"/>
      <c r="KEQ18" s="7"/>
      <c r="KER18" s="7"/>
      <c r="KES18" s="7"/>
      <c r="KET18" s="7"/>
      <c r="KEU18" s="7"/>
      <c r="KEV18" s="7"/>
      <c r="KEW18" s="7"/>
      <c r="KEX18" s="7"/>
      <c r="KEY18" s="7"/>
      <c r="KEZ18" s="7"/>
      <c r="KFA18" s="7"/>
      <c r="KFB18" s="7"/>
      <c r="KFC18" s="7"/>
      <c r="KFD18" s="7"/>
      <c r="KFE18" s="7"/>
      <c r="KFF18" s="7"/>
      <c r="KFG18" s="7"/>
      <c r="KFH18" s="7"/>
      <c r="KFI18" s="7"/>
      <c r="KFJ18" s="7"/>
      <c r="KFK18" s="7"/>
      <c r="KFL18" s="7"/>
      <c r="KFM18" s="7"/>
      <c r="KFN18" s="7"/>
      <c r="KFO18" s="7"/>
      <c r="KFP18" s="7"/>
      <c r="KFQ18" s="7"/>
      <c r="KFR18" s="7"/>
      <c r="KFS18" s="7"/>
      <c r="KFT18" s="7"/>
      <c r="KFU18" s="7"/>
      <c r="KFV18" s="7"/>
      <c r="KFW18" s="7"/>
      <c r="KFX18" s="7"/>
      <c r="KFY18" s="7"/>
      <c r="KFZ18" s="7"/>
      <c r="KGA18" s="7"/>
      <c r="KGB18" s="7"/>
      <c r="KGC18" s="7"/>
      <c r="KGD18" s="7"/>
      <c r="KGE18" s="7"/>
      <c r="KGF18" s="7"/>
      <c r="KGG18" s="7"/>
      <c r="KGH18" s="7"/>
      <c r="KGI18" s="7"/>
      <c r="KGJ18" s="7"/>
      <c r="KGK18" s="7"/>
      <c r="KGL18" s="7"/>
      <c r="KGM18" s="7"/>
      <c r="KGN18" s="7"/>
      <c r="KGO18" s="7"/>
      <c r="KGP18" s="7"/>
      <c r="KGQ18" s="7"/>
      <c r="KGR18" s="7"/>
      <c r="KGS18" s="7"/>
      <c r="KGT18" s="7"/>
      <c r="KGU18" s="7"/>
      <c r="KGV18" s="7"/>
      <c r="KGW18" s="7"/>
      <c r="KGX18" s="7"/>
      <c r="KGY18" s="7"/>
      <c r="KGZ18" s="7"/>
      <c r="KHA18" s="7"/>
      <c r="KHB18" s="7"/>
      <c r="KHC18" s="7"/>
      <c r="KHD18" s="7"/>
      <c r="KHE18" s="7"/>
      <c r="KHF18" s="7"/>
      <c r="KHG18" s="7"/>
      <c r="KHH18" s="7"/>
      <c r="KHI18" s="7"/>
      <c r="KHJ18" s="7"/>
      <c r="KHK18" s="7"/>
      <c r="KHL18" s="7"/>
      <c r="KHM18" s="7"/>
      <c r="KHN18" s="7"/>
      <c r="KHO18" s="7"/>
      <c r="KHP18" s="7"/>
      <c r="KHQ18" s="7"/>
      <c r="KHR18" s="7"/>
      <c r="KHS18" s="7"/>
      <c r="KHT18" s="7"/>
      <c r="KHU18" s="7"/>
      <c r="KHV18" s="7"/>
      <c r="KHW18" s="7"/>
      <c r="KHX18" s="7"/>
      <c r="KHY18" s="7"/>
      <c r="KHZ18" s="7"/>
      <c r="KIA18" s="7"/>
      <c r="KIB18" s="7"/>
      <c r="KIC18" s="7"/>
      <c r="KID18" s="7"/>
      <c r="KIE18" s="7"/>
      <c r="KIF18" s="7"/>
      <c r="KIG18" s="7"/>
      <c r="KIH18" s="7"/>
      <c r="KII18" s="7"/>
      <c r="KIJ18" s="7"/>
      <c r="KIK18" s="7"/>
      <c r="KIL18" s="7"/>
      <c r="KIM18" s="7"/>
      <c r="KIN18" s="7"/>
      <c r="KIO18" s="7"/>
      <c r="KIP18" s="7"/>
      <c r="KIQ18" s="7"/>
      <c r="KIR18" s="7"/>
      <c r="KIS18" s="7"/>
      <c r="KIT18" s="7"/>
      <c r="KIU18" s="7"/>
      <c r="KIV18" s="7"/>
      <c r="KIW18" s="7"/>
      <c r="KIX18" s="7"/>
      <c r="KIY18" s="7"/>
      <c r="KIZ18" s="7"/>
      <c r="KJA18" s="7"/>
      <c r="KJB18" s="7"/>
      <c r="KJC18" s="7"/>
      <c r="KJD18" s="7"/>
      <c r="KJE18" s="7"/>
      <c r="KJF18" s="7"/>
      <c r="KJG18" s="7"/>
      <c r="KJH18" s="7"/>
      <c r="KJI18" s="7"/>
      <c r="KJJ18" s="7"/>
      <c r="KJK18" s="7"/>
      <c r="KJL18" s="7"/>
      <c r="KJM18" s="7"/>
      <c r="KJN18" s="7"/>
      <c r="KJO18" s="7"/>
      <c r="KJP18" s="7"/>
      <c r="KJQ18" s="7"/>
      <c r="KJR18" s="7"/>
      <c r="KJS18" s="7"/>
      <c r="KJT18" s="7"/>
      <c r="KJU18" s="7"/>
      <c r="KJV18" s="7"/>
      <c r="KJW18" s="7"/>
      <c r="KJX18" s="7"/>
      <c r="KJY18" s="7"/>
      <c r="KJZ18" s="7"/>
      <c r="KKA18" s="7"/>
      <c r="KKB18" s="7"/>
      <c r="KKC18" s="7"/>
      <c r="KKD18" s="7"/>
      <c r="KKE18" s="7"/>
      <c r="KKF18" s="7"/>
      <c r="KKG18" s="7"/>
      <c r="KKH18" s="7"/>
      <c r="KKI18" s="7"/>
      <c r="KKJ18" s="7"/>
      <c r="KKK18" s="7"/>
      <c r="KKL18" s="7"/>
      <c r="KKM18" s="7"/>
      <c r="KKN18" s="7"/>
      <c r="KKO18" s="7"/>
      <c r="KKP18" s="7"/>
      <c r="KKQ18" s="7"/>
      <c r="KKR18" s="7"/>
      <c r="KKS18" s="7"/>
      <c r="KKT18" s="7"/>
      <c r="KKU18" s="7"/>
      <c r="KKV18" s="7"/>
      <c r="KKW18" s="7"/>
      <c r="KKX18" s="7"/>
      <c r="KKY18" s="7"/>
      <c r="KKZ18" s="7"/>
      <c r="KLA18" s="7"/>
      <c r="KLB18" s="7"/>
      <c r="KLC18" s="7"/>
      <c r="KLD18" s="7"/>
      <c r="KLE18" s="7"/>
      <c r="KLF18" s="7"/>
      <c r="KLG18" s="7"/>
      <c r="KLH18" s="7"/>
      <c r="KLI18" s="7"/>
      <c r="KLJ18" s="7"/>
      <c r="KLK18" s="7"/>
      <c r="KLL18" s="7"/>
      <c r="KLM18" s="7"/>
      <c r="KLN18" s="7"/>
      <c r="KLO18" s="7"/>
      <c r="KLP18" s="7"/>
      <c r="KLQ18" s="7"/>
      <c r="KLR18" s="7"/>
      <c r="KLS18" s="7"/>
      <c r="KLT18" s="7"/>
      <c r="KLU18" s="7"/>
      <c r="KLV18" s="7"/>
      <c r="KLW18" s="7"/>
      <c r="KLX18" s="7"/>
      <c r="KLY18" s="7"/>
      <c r="KLZ18" s="7"/>
      <c r="KMA18" s="7"/>
      <c r="KMB18" s="7"/>
      <c r="KMC18" s="7"/>
      <c r="KMD18" s="7"/>
      <c r="KME18" s="7"/>
      <c r="KMF18" s="7"/>
      <c r="KMG18" s="7"/>
      <c r="KMH18" s="7"/>
      <c r="KMI18" s="7"/>
      <c r="KMJ18" s="7"/>
      <c r="KMK18" s="7"/>
      <c r="KML18" s="7"/>
      <c r="KMM18" s="7"/>
      <c r="KMN18" s="7"/>
      <c r="KMO18" s="7"/>
      <c r="KMP18" s="7"/>
      <c r="KMQ18" s="7"/>
      <c r="KMR18" s="7"/>
      <c r="KMS18" s="7"/>
      <c r="KMT18" s="7"/>
      <c r="KMU18" s="7"/>
      <c r="KMV18" s="7"/>
      <c r="KMW18" s="7"/>
      <c r="KMX18" s="7"/>
      <c r="KMY18" s="7"/>
      <c r="KMZ18" s="7"/>
      <c r="KNA18" s="7"/>
      <c r="KNB18" s="7"/>
      <c r="KNC18" s="7"/>
      <c r="KND18" s="7"/>
      <c r="KNE18" s="7"/>
      <c r="KNF18" s="7"/>
      <c r="KNG18" s="7"/>
      <c r="KNH18" s="7"/>
      <c r="KNI18" s="7"/>
      <c r="KNJ18" s="7"/>
      <c r="KNK18" s="7"/>
      <c r="KNL18" s="7"/>
      <c r="KNM18" s="7"/>
      <c r="KNN18" s="7"/>
      <c r="KNO18" s="7"/>
      <c r="KNP18" s="7"/>
      <c r="KNQ18" s="7"/>
      <c r="KNR18" s="7"/>
      <c r="KNS18" s="7"/>
      <c r="KNT18" s="7"/>
      <c r="KNU18" s="7"/>
      <c r="KNV18" s="7"/>
      <c r="KNW18" s="7"/>
      <c r="KNX18" s="7"/>
      <c r="KNY18" s="7"/>
      <c r="KNZ18" s="7"/>
      <c r="KOA18" s="7"/>
      <c r="KOB18" s="7"/>
      <c r="KOC18" s="7"/>
      <c r="KOD18" s="7"/>
      <c r="KOE18" s="7"/>
      <c r="KOF18" s="7"/>
      <c r="KOG18" s="7"/>
      <c r="KOH18" s="7"/>
      <c r="KOI18" s="7"/>
      <c r="KOJ18" s="7"/>
      <c r="KOK18" s="7"/>
      <c r="KOL18" s="7"/>
      <c r="KOM18" s="7"/>
      <c r="KON18" s="7"/>
      <c r="KOO18" s="7"/>
      <c r="KOP18" s="7"/>
      <c r="KOQ18" s="7"/>
      <c r="KOR18" s="7"/>
      <c r="KOS18" s="7"/>
      <c r="KOT18" s="7"/>
      <c r="KOU18" s="7"/>
      <c r="KOV18" s="7"/>
      <c r="KOW18" s="7"/>
      <c r="KOX18" s="7"/>
      <c r="KOY18" s="7"/>
      <c r="KOZ18" s="7"/>
      <c r="KPA18" s="7"/>
      <c r="KPB18" s="7"/>
      <c r="KPC18" s="7"/>
      <c r="KPD18" s="7"/>
      <c r="KPE18" s="7"/>
      <c r="KPF18" s="7"/>
      <c r="KPG18" s="7"/>
      <c r="KPH18" s="7"/>
      <c r="KPI18" s="7"/>
      <c r="KPJ18" s="7"/>
      <c r="KPK18" s="7"/>
      <c r="KPL18" s="7"/>
      <c r="KPM18" s="7"/>
      <c r="KPN18" s="7"/>
      <c r="KPO18" s="7"/>
      <c r="KPP18" s="7"/>
      <c r="KPQ18" s="7"/>
      <c r="KPR18" s="7"/>
      <c r="KPS18" s="7"/>
      <c r="KPT18" s="7"/>
      <c r="KPU18" s="7"/>
      <c r="KPV18" s="7"/>
      <c r="KPW18" s="7"/>
      <c r="KPX18" s="7"/>
      <c r="KPY18" s="7"/>
      <c r="KPZ18" s="7"/>
      <c r="KQA18" s="7"/>
      <c r="KQB18" s="7"/>
      <c r="KQC18" s="7"/>
      <c r="KQD18" s="7"/>
      <c r="KQE18" s="7"/>
      <c r="KQF18" s="7"/>
      <c r="KQG18" s="7"/>
      <c r="KQH18" s="7"/>
      <c r="KQI18" s="7"/>
      <c r="KQJ18" s="7"/>
      <c r="KQK18" s="7"/>
      <c r="KQL18" s="7"/>
      <c r="KQM18" s="7"/>
      <c r="KQN18" s="7"/>
      <c r="KQO18" s="7"/>
      <c r="KQP18" s="7"/>
      <c r="KQQ18" s="7"/>
      <c r="KQR18" s="7"/>
      <c r="KQS18" s="7"/>
      <c r="KQT18" s="7"/>
      <c r="KQU18" s="7"/>
      <c r="KQV18" s="7"/>
      <c r="KQW18" s="7"/>
      <c r="KQX18" s="7"/>
      <c r="KQY18" s="7"/>
      <c r="KQZ18" s="7"/>
      <c r="KRA18" s="7"/>
      <c r="KRB18" s="7"/>
      <c r="KRC18" s="7"/>
      <c r="KRD18" s="7"/>
      <c r="KRE18" s="7"/>
      <c r="KRF18" s="7"/>
      <c r="KRG18" s="7"/>
      <c r="KRH18" s="7"/>
      <c r="KRI18" s="7"/>
      <c r="KRJ18" s="7"/>
      <c r="KRK18" s="7"/>
      <c r="KRL18" s="7"/>
      <c r="KRM18" s="7"/>
      <c r="KRN18" s="7"/>
      <c r="KRO18" s="7"/>
      <c r="KRP18" s="7"/>
      <c r="KRQ18" s="7"/>
      <c r="KRR18" s="7"/>
      <c r="KRS18" s="7"/>
      <c r="KRT18" s="7"/>
      <c r="KRU18" s="7"/>
      <c r="KRV18" s="7"/>
      <c r="KRW18" s="7"/>
      <c r="KRX18" s="7"/>
      <c r="KRY18" s="7"/>
      <c r="KRZ18" s="7"/>
      <c r="KSA18" s="7"/>
      <c r="KSB18" s="7"/>
      <c r="KSC18" s="7"/>
      <c r="KSD18" s="7"/>
      <c r="KSE18" s="7"/>
      <c r="KSF18" s="7"/>
      <c r="KSG18" s="7"/>
      <c r="KSH18" s="7"/>
      <c r="KSI18" s="7"/>
      <c r="KSJ18" s="7"/>
      <c r="KSK18" s="7"/>
      <c r="KSL18" s="7"/>
      <c r="KSM18" s="7"/>
      <c r="KSN18" s="7"/>
      <c r="KSO18" s="7"/>
      <c r="KSP18" s="7"/>
      <c r="KSQ18" s="7"/>
      <c r="KSR18" s="7"/>
      <c r="KSS18" s="7"/>
      <c r="KST18" s="7"/>
      <c r="KSU18" s="7"/>
      <c r="KSV18" s="7"/>
      <c r="KSW18" s="7"/>
      <c r="KSX18" s="7"/>
      <c r="KSY18" s="7"/>
      <c r="KSZ18" s="7"/>
      <c r="KTA18" s="7"/>
      <c r="KTB18" s="7"/>
      <c r="KTC18" s="7"/>
      <c r="KTD18" s="7"/>
      <c r="KTE18" s="7"/>
      <c r="KTF18" s="7"/>
      <c r="KTG18" s="7"/>
      <c r="KTH18" s="7"/>
      <c r="KTI18" s="7"/>
      <c r="KTJ18" s="7"/>
      <c r="KTK18" s="7"/>
      <c r="KTL18" s="7"/>
      <c r="KTM18" s="7"/>
      <c r="KTN18" s="7"/>
      <c r="KTO18" s="7"/>
      <c r="KTP18" s="7"/>
      <c r="KTQ18" s="7"/>
      <c r="KTR18" s="7"/>
      <c r="KTS18" s="7"/>
      <c r="KTT18" s="7"/>
      <c r="KTU18" s="7"/>
      <c r="KTV18" s="7"/>
      <c r="KTW18" s="7"/>
      <c r="KTX18" s="7"/>
      <c r="KTY18" s="7"/>
      <c r="KTZ18" s="7"/>
      <c r="KUA18" s="7"/>
      <c r="KUB18" s="7"/>
      <c r="KUC18" s="7"/>
      <c r="KUD18" s="7"/>
      <c r="KUE18" s="7"/>
      <c r="KUF18" s="7"/>
      <c r="KUG18" s="7"/>
      <c r="KUH18" s="7"/>
      <c r="KUI18" s="7"/>
      <c r="KUJ18" s="7"/>
      <c r="KUK18" s="7"/>
      <c r="KUL18" s="7"/>
      <c r="KUM18" s="7"/>
      <c r="KUN18" s="7"/>
      <c r="KUO18" s="7"/>
      <c r="KUP18" s="7"/>
      <c r="KUQ18" s="7"/>
      <c r="KUR18" s="7"/>
      <c r="KUS18" s="7"/>
      <c r="KUT18" s="7"/>
      <c r="KUU18" s="7"/>
      <c r="KUV18" s="7"/>
      <c r="KUW18" s="7"/>
      <c r="KUX18" s="7"/>
      <c r="KUY18" s="7"/>
      <c r="KUZ18" s="7"/>
      <c r="KVA18" s="7"/>
      <c r="KVB18" s="7"/>
      <c r="KVC18" s="7"/>
      <c r="KVD18" s="7"/>
      <c r="KVE18" s="7"/>
      <c r="KVF18" s="7"/>
      <c r="KVG18" s="7"/>
      <c r="KVH18" s="7"/>
      <c r="KVI18" s="7"/>
      <c r="KVJ18" s="7"/>
      <c r="KVK18" s="7"/>
      <c r="KVL18" s="7"/>
      <c r="KVM18" s="7"/>
      <c r="KVN18" s="7"/>
      <c r="KVO18" s="7"/>
      <c r="KVP18" s="7"/>
      <c r="KVQ18" s="7"/>
      <c r="KVR18" s="7"/>
      <c r="KVS18" s="7"/>
      <c r="KVT18" s="7"/>
      <c r="KVU18" s="7"/>
      <c r="KVV18" s="7"/>
      <c r="KVW18" s="7"/>
      <c r="KVX18" s="7"/>
      <c r="KVY18" s="7"/>
      <c r="KVZ18" s="7"/>
      <c r="KWA18" s="7"/>
      <c r="KWB18" s="7"/>
      <c r="KWC18" s="7"/>
      <c r="KWD18" s="7"/>
      <c r="KWE18" s="7"/>
      <c r="KWF18" s="7"/>
      <c r="KWG18" s="7"/>
      <c r="KWH18" s="7"/>
      <c r="KWI18" s="7"/>
      <c r="KWJ18" s="7"/>
      <c r="KWK18" s="7"/>
      <c r="KWL18" s="7"/>
      <c r="KWM18" s="7"/>
      <c r="KWN18" s="7"/>
      <c r="KWO18" s="7"/>
      <c r="KWP18" s="7"/>
      <c r="KWQ18" s="7"/>
      <c r="KWR18" s="7"/>
      <c r="KWS18" s="7"/>
      <c r="KWT18" s="7"/>
      <c r="KWU18" s="7"/>
      <c r="KWV18" s="7"/>
      <c r="KWW18" s="7"/>
      <c r="KWX18" s="7"/>
      <c r="KWY18" s="7"/>
      <c r="KWZ18" s="7"/>
      <c r="KXA18" s="7"/>
      <c r="KXB18" s="7"/>
      <c r="KXC18" s="7"/>
      <c r="KXD18" s="7"/>
      <c r="KXE18" s="7"/>
      <c r="KXF18" s="7"/>
      <c r="KXG18" s="7"/>
      <c r="KXH18" s="7"/>
      <c r="KXI18" s="7"/>
      <c r="KXJ18" s="7"/>
      <c r="KXK18" s="7"/>
      <c r="KXL18" s="7"/>
      <c r="KXM18" s="7"/>
      <c r="KXN18" s="7"/>
      <c r="KXO18" s="7"/>
      <c r="KXP18" s="7"/>
      <c r="KXQ18" s="7"/>
      <c r="KXR18" s="7"/>
      <c r="KXS18" s="7"/>
      <c r="KXT18" s="7"/>
      <c r="KXU18" s="7"/>
      <c r="KXV18" s="7"/>
      <c r="KXW18" s="7"/>
      <c r="KXX18" s="7"/>
      <c r="KXY18" s="7"/>
      <c r="KXZ18" s="7"/>
      <c r="KYA18" s="7"/>
      <c r="KYB18" s="7"/>
      <c r="KYC18" s="7"/>
      <c r="KYD18" s="7"/>
      <c r="KYE18" s="7"/>
      <c r="KYF18" s="7"/>
      <c r="KYG18" s="7"/>
      <c r="KYH18" s="7"/>
      <c r="KYI18" s="7"/>
      <c r="KYJ18" s="7"/>
      <c r="KYK18" s="7"/>
      <c r="KYL18" s="7"/>
      <c r="KYM18" s="7"/>
      <c r="KYN18" s="7"/>
      <c r="KYO18" s="7"/>
      <c r="KYP18" s="7"/>
      <c r="KYQ18" s="7"/>
      <c r="KYR18" s="7"/>
      <c r="KYS18" s="7"/>
      <c r="KYT18" s="7"/>
      <c r="KYU18" s="7"/>
      <c r="KYV18" s="7"/>
      <c r="KYW18" s="7"/>
      <c r="KYX18" s="7"/>
      <c r="KYY18" s="7"/>
      <c r="KYZ18" s="7"/>
      <c r="KZA18" s="7"/>
      <c r="KZB18" s="7"/>
      <c r="KZC18" s="7"/>
      <c r="KZD18" s="7"/>
      <c r="KZE18" s="7"/>
      <c r="KZF18" s="7"/>
      <c r="KZG18" s="7"/>
      <c r="KZH18" s="7"/>
      <c r="KZI18" s="7"/>
      <c r="KZJ18" s="7"/>
      <c r="KZK18" s="7"/>
      <c r="KZL18" s="7"/>
      <c r="KZM18" s="7"/>
      <c r="KZN18" s="7"/>
      <c r="KZO18" s="7"/>
      <c r="KZP18" s="7"/>
      <c r="KZQ18" s="7"/>
      <c r="KZR18" s="7"/>
      <c r="KZS18" s="7"/>
      <c r="KZT18" s="7"/>
      <c r="KZU18" s="7"/>
      <c r="KZV18" s="7"/>
      <c r="KZW18" s="7"/>
      <c r="KZX18" s="7"/>
      <c r="KZY18" s="7"/>
      <c r="KZZ18" s="7"/>
      <c r="LAA18" s="7"/>
      <c r="LAB18" s="7"/>
      <c r="LAC18" s="7"/>
      <c r="LAD18" s="7"/>
      <c r="LAE18" s="7"/>
      <c r="LAF18" s="7"/>
      <c r="LAG18" s="7"/>
      <c r="LAH18" s="7"/>
      <c r="LAI18" s="7"/>
      <c r="LAJ18" s="7"/>
      <c r="LAK18" s="7"/>
      <c r="LAL18" s="7"/>
      <c r="LAM18" s="7"/>
      <c r="LAN18" s="7"/>
      <c r="LAO18" s="7"/>
      <c r="LAP18" s="7"/>
      <c r="LAQ18" s="7"/>
      <c r="LAR18" s="7"/>
      <c r="LAS18" s="7"/>
      <c r="LAT18" s="7"/>
      <c r="LAU18" s="7"/>
      <c r="LAV18" s="7"/>
      <c r="LAW18" s="7"/>
      <c r="LAX18" s="7"/>
      <c r="LAY18" s="7"/>
      <c r="LAZ18" s="7"/>
      <c r="LBA18" s="7"/>
      <c r="LBB18" s="7"/>
      <c r="LBC18" s="7"/>
      <c r="LBD18" s="7"/>
      <c r="LBE18" s="7"/>
      <c r="LBF18" s="7"/>
      <c r="LBG18" s="7"/>
      <c r="LBH18" s="7"/>
      <c r="LBI18" s="7"/>
      <c r="LBJ18" s="7"/>
      <c r="LBK18" s="7"/>
      <c r="LBL18" s="7"/>
      <c r="LBM18" s="7"/>
      <c r="LBN18" s="7"/>
      <c r="LBO18" s="7"/>
      <c r="LBP18" s="7"/>
      <c r="LBQ18" s="7"/>
      <c r="LBR18" s="7"/>
      <c r="LBS18" s="7"/>
      <c r="LBT18" s="7"/>
      <c r="LBU18" s="7"/>
      <c r="LBV18" s="7"/>
      <c r="LBW18" s="7"/>
      <c r="LBX18" s="7"/>
      <c r="LBY18" s="7"/>
      <c r="LBZ18" s="7"/>
      <c r="LCA18" s="7"/>
      <c r="LCB18" s="7"/>
      <c r="LCC18" s="7"/>
      <c r="LCD18" s="7"/>
      <c r="LCE18" s="7"/>
      <c r="LCF18" s="7"/>
      <c r="LCG18" s="7"/>
      <c r="LCH18" s="7"/>
      <c r="LCI18" s="7"/>
      <c r="LCJ18" s="7"/>
      <c r="LCK18" s="7"/>
      <c r="LCL18" s="7"/>
      <c r="LCM18" s="7"/>
      <c r="LCN18" s="7"/>
      <c r="LCO18" s="7"/>
      <c r="LCP18" s="7"/>
      <c r="LCQ18" s="7"/>
      <c r="LCR18" s="7"/>
      <c r="LCS18" s="7"/>
      <c r="LCT18" s="7"/>
      <c r="LCU18" s="7"/>
      <c r="LCV18" s="7"/>
      <c r="LCW18" s="7"/>
      <c r="LCX18" s="7"/>
      <c r="LCY18" s="7"/>
      <c r="LCZ18" s="7"/>
      <c r="LDA18" s="7"/>
      <c r="LDB18" s="7"/>
      <c r="LDC18" s="7"/>
      <c r="LDD18" s="7"/>
      <c r="LDE18" s="7"/>
      <c r="LDF18" s="7"/>
      <c r="LDG18" s="7"/>
      <c r="LDH18" s="7"/>
      <c r="LDI18" s="7"/>
      <c r="LDJ18" s="7"/>
      <c r="LDK18" s="7"/>
      <c r="LDL18" s="7"/>
      <c r="LDM18" s="7"/>
      <c r="LDN18" s="7"/>
      <c r="LDO18" s="7"/>
      <c r="LDP18" s="7"/>
      <c r="LDQ18" s="7"/>
      <c r="LDR18" s="7"/>
      <c r="LDS18" s="7"/>
      <c r="LDT18" s="7"/>
      <c r="LDU18" s="7"/>
      <c r="LDV18" s="7"/>
      <c r="LDW18" s="7"/>
      <c r="LDX18" s="7"/>
      <c r="LDY18" s="7"/>
      <c r="LDZ18" s="7"/>
      <c r="LEA18" s="7"/>
      <c r="LEB18" s="7"/>
      <c r="LEC18" s="7"/>
      <c r="LED18" s="7"/>
      <c r="LEE18" s="7"/>
      <c r="LEF18" s="7"/>
      <c r="LEG18" s="7"/>
      <c r="LEH18" s="7"/>
      <c r="LEI18" s="7"/>
      <c r="LEJ18" s="7"/>
      <c r="LEK18" s="7"/>
      <c r="LEL18" s="7"/>
      <c r="LEM18" s="7"/>
      <c r="LEN18" s="7"/>
      <c r="LEO18" s="7"/>
      <c r="LEP18" s="7"/>
      <c r="LEQ18" s="7"/>
      <c r="LER18" s="7"/>
      <c r="LES18" s="7"/>
      <c r="LET18" s="7"/>
      <c r="LEU18" s="7"/>
      <c r="LEV18" s="7"/>
      <c r="LEW18" s="7"/>
      <c r="LEX18" s="7"/>
      <c r="LEY18" s="7"/>
      <c r="LEZ18" s="7"/>
      <c r="LFA18" s="7"/>
      <c r="LFB18" s="7"/>
      <c r="LFC18" s="7"/>
      <c r="LFD18" s="7"/>
      <c r="LFE18" s="7"/>
      <c r="LFF18" s="7"/>
      <c r="LFG18" s="7"/>
      <c r="LFH18" s="7"/>
      <c r="LFI18" s="7"/>
      <c r="LFJ18" s="7"/>
      <c r="LFK18" s="7"/>
      <c r="LFL18" s="7"/>
      <c r="LFM18" s="7"/>
      <c r="LFN18" s="7"/>
      <c r="LFO18" s="7"/>
      <c r="LFP18" s="7"/>
      <c r="LFQ18" s="7"/>
      <c r="LFR18" s="7"/>
      <c r="LFS18" s="7"/>
      <c r="LFT18" s="7"/>
      <c r="LFU18" s="7"/>
      <c r="LFV18" s="7"/>
      <c r="LFW18" s="7"/>
      <c r="LFX18" s="7"/>
      <c r="LFY18" s="7"/>
      <c r="LFZ18" s="7"/>
      <c r="LGA18" s="7"/>
      <c r="LGB18" s="7"/>
      <c r="LGC18" s="7"/>
      <c r="LGD18" s="7"/>
      <c r="LGE18" s="7"/>
      <c r="LGF18" s="7"/>
      <c r="LGG18" s="7"/>
      <c r="LGH18" s="7"/>
      <c r="LGI18" s="7"/>
      <c r="LGJ18" s="7"/>
      <c r="LGK18" s="7"/>
      <c r="LGL18" s="7"/>
      <c r="LGM18" s="7"/>
      <c r="LGN18" s="7"/>
      <c r="LGO18" s="7"/>
      <c r="LGP18" s="7"/>
      <c r="LGQ18" s="7"/>
      <c r="LGR18" s="7"/>
      <c r="LGS18" s="7"/>
      <c r="LGT18" s="7"/>
      <c r="LGU18" s="7"/>
      <c r="LGV18" s="7"/>
      <c r="LGW18" s="7"/>
      <c r="LGX18" s="7"/>
      <c r="LGY18" s="7"/>
      <c r="LGZ18" s="7"/>
      <c r="LHA18" s="7"/>
      <c r="LHB18" s="7"/>
      <c r="LHC18" s="7"/>
      <c r="LHD18" s="7"/>
      <c r="LHE18" s="7"/>
      <c r="LHF18" s="7"/>
      <c r="LHG18" s="7"/>
      <c r="LHH18" s="7"/>
      <c r="LHI18" s="7"/>
      <c r="LHJ18" s="7"/>
      <c r="LHK18" s="7"/>
      <c r="LHL18" s="7"/>
      <c r="LHM18" s="7"/>
      <c r="LHN18" s="7"/>
      <c r="LHO18" s="7"/>
      <c r="LHP18" s="7"/>
      <c r="LHQ18" s="7"/>
      <c r="LHR18" s="7"/>
      <c r="LHS18" s="7"/>
      <c r="LHT18" s="7"/>
      <c r="LHU18" s="7"/>
      <c r="LHV18" s="7"/>
      <c r="LHW18" s="7"/>
      <c r="LHX18" s="7"/>
      <c r="LHY18" s="7"/>
      <c r="LHZ18" s="7"/>
      <c r="LIA18" s="7"/>
      <c r="LIB18" s="7"/>
      <c r="LIC18" s="7"/>
      <c r="LID18" s="7"/>
      <c r="LIE18" s="7"/>
      <c r="LIF18" s="7"/>
      <c r="LIG18" s="7"/>
      <c r="LIH18" s="7"/>
      <c r="LII18" s="7"/>
      <c r="LIJ18" s="7"/>
      <c r="LIK18" s="7"/>
      <c r="LIL18" s="7"/>
      <c r="LIM18" s="7"/>
      <c r="LIN18" s="7"/>
      <c r="LIO18" s="7"/>
      <c r="LIP18" s="7"/>
      <c r="LIQ18" s="7"/>
      <c r="LIR18" s="7"/>
      <c r="LIS18" s="7"/>
      <c r="LIT18" s="7"/>
      <c r="LIU18" s="7"/>
      <c r="LIV18" s="7"/>
      <c r="LIW18" s="7"/>
      <c r="LIX18" s="7"/>
      <c r="LIY18" s="7"/>
      <c r="LIZ18" s="7"/>
      <c r="LJA18" s="7"/>
      <c r="LJB18" s="7"/>
      <c r="LJC18" s="7"/>
      <c r="LJD18" s="7"/>
      <c r="LJE18" s="7"/>
      <c r="LJF18" s="7"/>
      <c r="LJG18" s="7"/>
      <c r="LJH18" s="7"/>
      <c r="LJI18" s="7"/>
      <c r="LJJ18" s="7"/>
      <c r="LJK18" s="7"/>
      <c r="LJL18" s="7"/>
      <c r="LJM18" s="7"/>
      <c r="LJN18" s="7"/>
      <c r="LJO18" s="7"/>
      <c r="LJP18" s="7"/>
      <c r="LJQ18" s="7"/>
      <c r="LJR18" s="7"/>
      <c r="LJS18" s="7"/>
      <c r="LJT18" s="7"/>
      <c r="LJU18" s="7"/>
      <c r="LJV18" s="7"/>
      <c r="LJW18" s="7"/>
      <c r="LJX18" s="7"/>
      <c r="LJY18" s="7"/>
      <c r="LJZ18" s="7"/>
      <c r="LKA18" s="7"/>
      <c r="LKB18" s="7"/>
      <c r="LKC18" s="7"/>
      <c r="LKD18" s="7"/>
      <c r="LKE18" s="7"/>
      <c r="LKF18" s="7"/>
      <c r="LKG18" s="7"/>
      <c r="LKH18" s="7"/>
      <c r="LKI18" s="7"/>
      <c r="LKJ18" s="7"/>
      <c r="LKK18" s="7"/>
      <c r="LKL18" s="7"/>
      <c r="LKM18" s="7"/>
      <c r="LKN18" s="7"/>
      <c r="LKO18" s="7"/>
      <c r="LKP18" s="7"/>
      <c r="LKQ18" s="7"/>
      <c r="LKR18" s="7"/>
      <c r="LKS18" s="7"/>
      <c r="LKT18" s="7"/>
      <c r="LKU18" s="7"/>
      <c r="LKV18" s="7"/>
      <c r="LKW18" s="7"/>
      <c r="LKX18" s="7"/>
      <c r="LKY18" s="7"/>
      <c r="LKZ18" s="7"/>
      <c r="LLA18" s="7"/>
      <c r="LLB18" s="7"/>
      <c r="LLC18" s="7"/>
      <c r="LLD18" s="7"/>
      <c r="LLE18" s="7"/>
      <c r="LLF18" s="7"/>
      <c r="LLG18" s="7"/>
      <c r="LLH18" s="7"/>
      <c r="LLI18" s="7"/>
      <c r="LLJ18" s="7"/>
      <c r="LLK18" s="7"/>
      <c r="LLL18" s="7"/>
      <c r="LLM18" s="7"/>
      <c r="LLN18" s="7"/>
      <c r="LLO18" s="7"/>
      <c r="LLP18" s="7"/>
      <c r="LLQ18" s="7"/>
      <c r="LLR18" s="7"/>
      <c r="LLS18" s="7"/>
      <c r="LLT18" s="7"/>
      <c r="LLU18" s="7"/>
      <c r="LLV18" s="7"/>
      <c r="LLW18" s="7"/>
      <c r="LLX18" s="7"/>
      <c r="LLY18" s="7"/>
      <c r="LLZ18" s="7"/>
      <c r="LMA18" s="7"/>
      <c r="LMB18" s="7"/>
      <c r="LMC18" s="7"/>
      <c r="LMD18" s="7"/>
      <c r="LME18" s="7"/>
      <c r="LMF18" s="7"/>
      <c r="LMG18" s="7"/>
      <c r="LMH18" s="7"/>
      <c r="LMI18" s="7"/>
      <c r="LMJ18" s="7"/>
      <c r="LMK18" s="7"/>
      <c r="LML18" s="7"/>
      <c r="LMM18" s="7"/>
      <c r="LMN18" s="7"/>
      <c r="LMO18" s="7"/>
      <c r="LMP18" s="7"/>
      <c r="LMQ18" s="7"/>
      <c r="LMR18" s="7"/>
      <c r="LMS18" s="7"/>
      <c r="LMT18" s="7"/>
      <c r="LMU18" s="7"/>
      <c r="LMV18" s="7"/>
      <c r="LMW18" s="7"/>
      <c r="LMX18" s="7"/>
      <c r="LMY18" s="7"/>
      <c r="LMZ18" s="7"/>
      <c r="LNA18" s="7"/>
      <c r="LNB18" s="7"/>
      <c r="LNC18" s="7"/>
      <c r="LND18" s="7"/>
      <c r="LNE18" s="7"/>
      <c r="LNF18" s="7"/>
      <c r="LNG18" s="7"/>
      <c r="LNH18" s="7"/>
      <c r="LNI18" s="7"/>
      <c r="LNJ18" s="7"/>
      <c r="LNK18" s="7"/>
      <c r="LNL18" s="7"/>
      <c r="LNM18" s="7"/>
      <c r="LNN18" s="7"/>
      <c r="LNO18" s="7"/>
      <c r="LNP18" s="7"/>
      <c r="LNQ18" s="7"/>
      <c r="LNR18" s="7"/>
      <c r="LNS18" s="7"/>
      <c r="LNT18" s="7"/>
      <c r="LNU18" s="7"/>
      <c r="LNV18" s="7"/>
      <c r="LNW18" s="7"/>
      <c r="LNX18" s="7"/>
      <c r="LNY18" s="7"/>
      <c r="LNZ18" s="7"/>
      <c r="LOA18" s="7"/>
      <c r="LOB18" s="7"/>
      <c r="LOC18" s="7"/>
      <c r="LOD18" s="7"/>
      <c r="LOE18" s="7"/>
      <c r="LOF18" s="7"/>
      <c r="LOG18" s="7"/>
      <c r="LOH18" s="7"/>
      <c r="LOI18" s="7"/>
      <c r="LOJ18" s="7"/>
      <c r="LOK18" s="7"/>
      <c r="LOL18" s="7"/>
      <c r="LOM18" s="7"/>
      <c r="LON18" s="7"/>
      <c r="LOO18" s="7"/>
      <c r="LOP18" s="7"/>
      <c r="LOQ18" s="7"/>
      <c r="LOR18" s="7"/>
      <c r="LOS18" s="7"/>
      <c r="LOT18" s="7"/>
      <c r="LOU18" s="7"/>
      <c r="LOV18" s="7"/>
      <c r="LOW18" s="7"/>
      <c r="LOX18" s="7"/>
      <c r="LOY18" s="7"/>
      <c r="LOZ18" s="7"/>
      <c r="LPA18" s="7"/>
      <c r="LPB18" s="7"/>
      <c r="LPC18" s="7"/>
      <c r="LPD18" s="7"/>
      <c r="LPE18" s="7"/>
      <c r="LPF18" s="7"/>
      <c r="LPG18" s="7"/>
      <c r="LPH18" s="7"/>
      <c r="LPI18" s="7"/>
      <c r="LPJ18" s="7"/>
      <c r="LPK18" s="7"/>
      <c r="LPL18" s="7"/>
      <c r="LPM18" s="7"/>
      <c r="LPN18" s="7"/>
      <c r="LPO18" s="7"/>
      <c r="LPP18" s="7"/>
      <c r="LPQ18" s="7"/>
      <c r="LPR18" s="7"/>
      <c r="LPS18" s="7"/>
      <c r="LPT18" s="7"/>
      <c r="LPU18" s="7"/>
      <c r="LPV18" s="7"/>
      <c r="LPW18" s="7"/>
      <c r="LPX18" s="7"/>
      <c r="LPY18" s="7"/>
      <c r="LPZ18" s="7"/>
      <c r="LQA18" s="7"/>
      <c r="LQB18" s="7"/>
      <c r="LQC18" s="7"/>
      <c r="LQD18" s="7"/>
      <c r="LQE18" s="7"/>
      <c r="LQF18" s="7"/>
      <c r="LQG18" s="7"/>
      <c r="LQH18" s="7"/>
      <c r="LQI18" s="7"/>
      <c r="LQJ18" s="7"/>
      <c r="LQK18" s="7"/>
      <c r="LQL18" s="7"/>
      <c r="LQM18" s="7"/>
      <c r="LQN18" s="7"/>
      <c r="LQO18" s="7"/>
      <c r="LQP18" s="7"/>
      <c r="LQQ18" s="7"/>
      <c r="LQR18" s="7"/>
      <c r="LQS18" s="7"/>
      <c r="LQT18" s="7"/>
      <c r="LQU18" s="7"/>
      <c r="LQV18" s="7"/>
      <c r="LQW18" s="7"/>
      <c r="LQX18" s="7"/>
      <c r="LQY18" s="7"/>
      <c r="LQZ18" s="7"/>
      <c r="LRA18" s="7"/>
      <c r="LRB18" s="7"/>
      <c r="LRC18" s="7"/>
      <c r="LRD18" s="7"/>
      <c r="LRE18" s="7"/>
      <c r="LRF18" s="7"/>
      <c r="LRG18" s="7"/>
      <c r="LRH18" s="7"/>
      <c r="LRI18" s="7"/>
      <c r="LRJ18" s="7"/>
      <c r="LRK18" s="7"/>
      <c r="LRL18" s="7"/>
      <c r="LRM18" s="7"/>
      <c r="LRN18" s="7"/>
      <c r="LRO18" s="7"/>
      <c r="LRP18" s="7"/>
      <c r="LRQ18" s="7"/>
      <c r="LRR18" s="7"/>
      <c r="LRS18" s="7"/>
      <c r="LRT18" s="7"/>
      <c r="LRU18" s="7"/>
      <c r="LRV18" s="7"/>
      <c r="LRW18" s="7"/>
      <c r="LRX18" s="7"/>
      <c r="LRY18" s="7"/>
      <c r="LRZ18" s="7"/>
      <c r="LSA18" s="7"/>
      <c r="LSB18" s="7"/>
      <c r="LSC18" s="7"/>
      <c r="LSD18" s="7"/>
      <c r="LSE18" s="7"/>
      <c r="LSF18" s="7"/>
      <c r="LSG18" s="7"/>
      <c r="LSH18" s="7"/>
      <c r="LSI18" s="7"/>
      <c r="LSJ18" s="7"/>
      <c r="LSK18" s="7"/>
      <c r="LSL18" s="7"/>
      <c r="LSM18" s="7"/>
      <c r="LSN18" s="7"/>
      <c r="LSO18" s="7"/>
      <c r="LSP18" s="7"/>
      <c r="LSQ18" s="7"/>
      <c r="LSR18" s="7"/>
      <c r="LSS18" s="7"/>
      <c r="LST18" s="7"/>
      <c r="LSU18" s="7"/>
      <c r="LSV18" s="7"/>
      <c r="LSW18" s="7"/>
      <c r="LSX18" s="7"/>
      <c r="LSY18" s="7"/>
      <c r="LSZ18" s="7"/>
      <c r="LTA18" s="7"/>
      <c r="LTB18" s="7"/>
      <c r="LTC18" s="7"/>
      <c r="LTD18" s="7"/>
      <c r="LTE18" s="7"/>
      <c r="LTF18" s="7"/>
      <c r="LTG18" s="7"/>
      <c r="LTH18" s="7"/>
      <c r="LTI18" s="7"/>
      <c r="LTJ18" s="7"/>
      <c r="LTK18" s="7"/>
      <c r="LTL18" s="7"/>
      <c r="LTM18" s="7"/>
      <c r="LTN18" s="7"/>
      <c r="LTO18" s="7"/>
      <c r="LTP18" s="7"/>
      <c r="LTQ18" s="7"/>
      <c r="LTR18" s="7"/>
      <c r="LTS18" s="7"/>
      <c r="LTT18" s="7"/>
      <c r="LTU18" s="7"/>
      <c r="LTV18" s="7"/>
      <c r="LTW18" s="7"/>
      <c r="LTX18" s="7"/>
      <c r="LTY18" s="7"/>
      <c r="LTZ18" s="7"/>
      <c r="LUA18" s="7"/>
      <c r="LUB18" s="7"/>
      <c r="LUC18" s="7"/>
      <c r="LUD18" s="7"/>
      <c r="LUE18" s="7"/>
      <c r="LUF18" s="7"/>
      <c r="LUG18" s="7"/>
      <c r="LUH18" s="7"/>
      <c r="LUI18" s="7"/>
      <c r="LUJ18" s="7"/>
      <c r="LUK18" s="7"/>
      <c r="LUL18" s="7"/>
      <c r="LUM18" s="7"/>
      <c r="LUN18" s="7"/>
      <c r="LUO18" s="7"/>
      <c r="LUP18" s="7"/>
      <c r="LUQ18" s="7"/>
      <c r="LUR18" s="7"/>
      <c r="LUS18" s="7"/>
      <c r="LUT18" s="7"/>
      <c r="LUU18" s="7"/>
      <c r="LUV18" s="7"/>
      <c r="LUW18" s="7"/>
      <c r="LUX18" s="7"/>
      <c r="LUY18" s="7"/>
      <c r="LUZ18" s="7"/>
      <c r="LVA18" s="7"/>
      <c r="LVB18" s="7"/>
      <c r="LVC18" s="7"/>
      <c r="LVD18" s="7"/>
      <c r="LVE18" s="7"/>
      <c r="LVF18" s="7"/>
      <c r="LVG18" s="7"/>
      <c r="LVH18" s="7"/>
      <c r="LVI18" s="7"/>
      <c r="LVJ18" s="7"/>
      <c r="LVK18" s="7"/>
      <c r="LVL18" s="7"/>
      <c r="LVM18" s="7"/>
      <c r="LVN18" s="7"/>
      <c r="LVO18" s="7"/>
      <c r="LVP18" s="7"/>
      <c r="LVQ18" s="7"/>
      <c r="LVR18" s="7"/>
      <c r="LVS18" s="7"/>
      <c r="LVT18" s="7"/>
      <c r="LVU18" s="7"/>
      <c r="LVV18" s="7"/>
      <c r="LVW18" s="7"/>
      <c r="LVX18" s="7"/>
      <c r="LVY18" s="7"/>
      <c r="LVZ18" s="7"/>
      <c r="LWA18" s="7"/>
      <c r="LWB18" s="7"/>
      <c r="LWC18" s="7"/>
      <c r="LWD18" s="7"/>
      <c r="LWE18" s="7"/>
      <c r="LWF18" s="7"/>
      <c r="LWG18" s="7"/>
      <c r="LWH18" s="7"/>
      <c r="LWI18" s="7"/>
      <c r="LWJ18" s="7"/>
      <c r="LWK18" s="7"/>
      <c r="LWL18" s="7"/>
      <c r="LWM18" s="7"/>
      <c r="LWN18" s="7"/>
      <c r="LWO18" s="7"/>
      <c r="LWP18" s="7"/>
      <c r="LWQ18" s="7"/>
      <c r="LWR18" s="7"/>
      <c r="LWS18" s="7"/>
      <c r="LWT18" s="7"/>
      <c r="LWU18" s="7"/>
      <c r="LWV18" s="7"/>
      <c r="LWW18" s="7"/>
      <c r="LWX18" s="7"/>
      <c r="LWY18" s="7"/>
      <c r="LWZ18" s="7"/>
      <c r="LXA18" s="7"/>
      <c r="LXB18" s="7"/>
      <c r="LXC18" s="7"/>
      <c r="LXD18" s="7"/>
      <c r="LXE18" s="7"/>
      <c r="LXF18" s="7"/>
      <c r="LXG18" s="7"/>
      <c r="LXH18" s="7"/>
      <c r="LXI18" s="7"/>
      <c r="LXJ18" s="7"/>
      <c r="LXK18" s="7"/>
      <c r="LXL18" s="7"/>
      <c r="LXM18" s="7"/>
      <c r="LXN18" s="7"/>
      <c r="LXO18" s="7"/>
      <c r="LXP18" s="7"/>
      <c r="LXQ18" s="7"/>
      <c r="LXR18" s="7"/>
      <c r="LXS18" s="7"/>
      <c r="LXT18" s="7"/>
      <c r="LXU18" s="7"/>
      <c r="LXV18" s="7"/>
      <c r="LXW18" s="7"/>
      <c r="LXX18" s="7"/>
      <c r="LXY18" s="7"/>
      <c r="LXZ18" s="7"/>
      <c r="LYA18" s="7"/>
      <c r="LYB18" s="7"/>
      <c r="LYC18" s="7"/>
      <c r="LYD18" s="7"/>
      <c r="LYE18" s="7"/>
      <c r="LYF18" s="7"/>
      <c r="LYG18" s="7"/>
      <c r="LYH18" s="7"/>
      <c r="LYI18" s="7"/>
      <c r="LYJ18" s="7"/>
      <c r="LYK18" s="7"/>
      <c r="LYL18" s="7"/>
      <c r="LYM18" s="7"/>
      <c r="LYN18" s="7"/>
      <c r="LYO18" s="7"/>
      <c r="LYP18" s="7"/>
      <c r="LYQ18" s="7"/>
      <c r="LYR18" s="7"/>
      <c r="LYS18" s="7"/>
      <c r="LYT18" s="7"/>
      <c r="LYU18" s="7"/>
      <c r="LYV18" s="7"/>
      <c r="LYW18" s="7"/>
      <c r="LYX18" s="7"/>
      <c r="LYY18" s="7"/>
      <c r="LYZ18" s="7"/>
      <c r="LZA18" s="7"/>
      <c r="LZB18" s="7"/>
      <c r="LZC18" s="7"/>
      <c r="LZD18" s="7"/>
      <c r="LZE18" s="7"/>
      <c r="LZF18" s="7"/>
      <c r="LZG18" s="7"/>
      <c r="LZH18" s="7"/>
      <c r="LZI18" s="7"/>
      <c r="LZJ18" s="7"/>
      <c r="LZK18" s="7"/>
      <c r="LZL18" s="7"/>
      <c r="LZM18" s="7"/>
      <c r="LZN18" s="7"/>
      <c r="LZO18" s="7"/>
      <c r="LZP18" s="7"/>
      <c r="LZQ18" s="7"/>
      <c r="LZR18" s="7"/>
      <c r="LZS18" s="7"/>
      <c r="LZT18" s="7"/>
      <c r="LZU18" s="7"/>
      <c r="LZV18" s="7"/>
      <c r="LZW18" s="7"/>
      <c r="LZX18" s="7"/>
      <c r="LZY18" s="7"/>
      <c r="LZZ18" s="7"/>
      <c r="MAA18" s="7"/>
      <c r="MAB18" s="7"/>
      <c r="MAC18" s="7"/>
      <c r="MAD18" s="7"/>
      <c r="MAE18" s="7"/>
      <c r="MAF18" s="7"/>
      <c r="MAG18" s="7"/>
      <c r="MAH18" s="7"/>
      <c r="MAI18" s="7"/>
      <c r="MAJ18" s="7"/>
      <c r="MAK18" s="7"/>
      <c r="MAL18" s="7"/>
      <c r="MAM18" s="7"/>
      <c r="MAN18" s="7"/>
      <c r="MAO18" s="7"/>
      <c r="MAP18" s="7"/>
      <c r="MAQ18" s="7"/>
      <c r="MAR18" s="7"/>
      <c r="MAS18" s="7"/>
      <c r="MAT18" s="7"/>
      <c r="MAU18" s="7"/>
      <c r="MAV18" s="7"/>
      <c r="MAW18" s="7"/>
      <c r="MAX18" s="7"/>
      <c r="MAY18" s="7"/>
      <c r="MAZ18" s="7"/>
      <c r="MBA18" s="7"/>
      <c r="MBB18" s="7"/>
      <c r="MBC18" s="7"/>
      <c r="MBD18" s="7"/>
      <c r="MBE18" s="7"/>
      <c r="MBF18" s="7"/>
      <c r="MBG18" s="7"/>
      <c r="MBH18" s="7"/>
      <c r="MBI18" s="7"/>
      <c r="MBJ18" s="7"/>
      <c r="MBK18" s="7"/>
      <c r="MBL18" s="7"/>
      <c r="MBM18" s="7"/>
      <c r="MBN18" s="7"/>
      <c r="MBO18" s="7"/>
      <c r="MBP18" s="7"/>
      <c r="MBQ18" s="7"/>
      <c r="MBR18" s="7"/>
      <c r="MBS18" s="7"/>
      <c r="MBT18" s="7"/>
      <c r="MBU18" s="7"/>
      <c r="MBV18" s="7"/>
      <c r="MBW18" s="7"/>
      <c r="MBX18" s="7"/>
      <c r="MBY18" s="7"/>
      <c r="MBZ18" s="7"/>
      <c r="MCA18" s="7"/>
      <c r="MCB18" s="7"/>
      <c r="MCC18" s="7"/>
      <c r="MCD18" s="7"/>
      <c r="MCE18" s="7"/>
      <c r="MCF18" s="7"/>
      <c r="MCG18" s="7"/>
      <c r="MCH18" s="7"/>
      <c r="MCI18" s="7"/>
      <c r="MCJ18" s="7"/>
      <c r="MCK18" s="7"/>
      <c r="MCL18" s="7"/>
      <c r="MCM18" s="7"/>
      <c r="MCN18" s="7"/>
      <c r="MCO18" s="7"/>
      <c r="MCP18" s="7"/>
      <c r="MCQ18" s="7"/>
      <c r="MCR18" s="7"/>
      <c r="MCS18" s="7"/>
      <c r="MCT18" s="7"/>
      <c r="MCU18" s="7"/>
      <c r="MCV18" s="7"/>
      <c r="MCW18" s="7"/>
      <c r="MCX18" s="7"/>
      <c r="MCY18" s="7"/>
      <c r="MCZ18" s="7"/>
      <c r="MDA18" s="7"/>
      <c r="MDB18" s="7"/>
      <c r="MDC18" s="7"/>
      <c r="MDD18" s="7"/>
      <c r="MDE18" s="7"/>
      <c r="MDF18" s="7"/>
      <c r="MDG18" s="7"/>
      <c r="MDH18" s="7"/>
      <c r="MDI18" s="7"/>
      <c r="MDJ18" s="7"/>
      <c r="MDK18" s="7"/>
      <c r="MDL18" s="7"/>
      <c r="MDM18" s="7"/>
      <c r="MDN18" s="7"/>
      <c r="MDO18" s="7"/>
      <c r="MDP18" s="7"/>
      <c r="MDQ18" s="7"/>
      <c r="MDR18" s="7"/>
      <c r="MDS18" s="7"/>
      <c r="MDT18" s="7"/>
      <c r="MDU18" s="7"/>
      <c r="MDV18" s="7"/>
      <c r="MDW18" s="7"/>
      <c r="MDX18" s="7"/>
      <c r="MDY18" s="7"/>
      <c r="MDZ18" s="7"/>
      <c r="MEA18" s="7"/>
      <c r="MEB18" s="7"/>
      <c r="MEC18" s="7"/>
      <c r="MED18" s="7"/>
      <c r="MEE18" s="7"/>
      <c r="MEF18" s="7"/>
      <c r="MEG18" s="7"/>
      <c r="MEH18" s="7"/>
      <c r="MEI18" s="7"/>
      <c r="MEJ18" s="7"/>
      <c r="MEK18" s="7"/>
      <c r="MEL18" s="7"/>
      <c r="MEM18" s="7"/>
      <c r="MEN18" s="7"/>
      <c r="MEO18" s="7"/>
      <c r="MEP18" s="7"/>
      <c r="MEQ18" s="7"/>
      <c r="MER18" s="7"/>
      <c r="MES18" s="7"/>
      <c r="MET18" s="7"/>
      <c r="MEU18" s="7"/>
      <c r="MEV18" s="7"/>
      <c r="MEW18" s="7"/>
      <c r="MEX18" s="7"/>
      <c r="MEY18" s="7"/>
      <c r="MEZ18" s="7"/>
      <c r="MFA18" s="7"/>
      <c r="MFB18" s="7"/>
      <c r="MFC18" s="7"/>
      <c r="MFD18" s="7"/>
      <c r="MFE18" s="7"/>
      <c r="MFF18" s="7"/>
      <c r="MFG18" s="7"/>
      <c r="MFH18" s="7"/>
      <c r="MFI18" s="7"/>
      <c r="MFJ18" s="7"/>
      <c r="MFK18" s="7"/>
      <c r="MFL18" s="7"/>
      <c r="MFM18" s="7"/>
      <c r="MFN18" s="7"/>
      <c r="MFO18" s="7"/>
      <c r="MFP18" s="7"/>
      <c r="MFQ18" s="7"/>
      <c r="MFR18" s="7"/>
      <c r="MFS18" s="7"/>
      <c r="MFT18" s="7"/>
      <c r="MFU18" s="7"/>
      <c r="MFV18" s="7"/>
      <c r="MFW18" s="7"/>
      <c r="MFX18" s="7"/>
      <c r="MFY18" s="7"/>
      <c r="MFZ18" s="7"/>
      <c r="MGA18" s="7"/>
      <c r="MGB18" s="7"/>
      <c r="MGC18" s="7"/>
      <c r="MGD18" s="7"/>
      <c r="MGE18" s="7"/>
      <c r="MGF18" s="7"/>
      <c r="MGG18" s="7"/>
      <c r="MGH18" s="7"/>
      <c r="MGI18" s="7"/>
      <c r="MGJ18" s="7"/>
      <c r="MGK18" s="7"/>
      <c r="MGL18" s="7"/>
      <c r="MGM18" s="7"/>
      <c r="MGN18" s="7"/>
      <c r="MGO18" s="7"/>
      <c r="MGP18" s="7"/>
      <c r="MGQ18" s="7"/>
      <c r="MGR18" s="7"/>
      <c r="MGS18" s="7"/>
      <c r="MGT18" s="7"/>
      <c r="MGU18" s="7"/>
      <c r="MGV18" s="7"/>
      <c r="MGW18" s="7"/>
      <c r="MGX18" s="7"/>
      <c r="MGY18" s="7"/>
      <c r="MGZ18" s="7"/>
      <c r="MHA18" s="7"/>
      <c r="MHB18" s="7"/>
      <c r="MHC18" s="7"/>
      <c r="MHD18" s="7"/>
      <c r="MHE18" s="7"/>
      <c r="MHF18" s="7"/>
      <c r="MHG18" s="7"/>
      <c r="MHH18" s="7"/>
      <c r="MHI18" s="7"/>
      <c r="MHJ18" s="7"/>
      <c r="MHK18" s="7"/>
      <c r="MHL18" s="7"/>
      <c r="MHM18" s="7"/>
      <c r="MHN18" s="7"/>
      <c r="MHO18" s="7"/>
      <c r="MHP18" s="7"/>
      <c r="MHQ18" s="7"/>
      <c r="MHR18" s="7"/>
      <c r="MHS18" s="7"/>
      <c r="MHT18" s="7"/>
      <c r="MHU18" s="7"/>
      <c r="MHV18" s="7"/>
      <c r="MHW18" s="7"/>
      <c r="MHX18" s="7"/>
      <c r="MHY18" s="7"/>
      <c r="MHZ18" s="7"/>
      <c r="MIA18" s="7"/>
      <c r="MIB18" s="7"/>
      <c r="MIC18" s="7"/>
      <c r="MID18" s="7"/>
      <c r="MIE18" s="7"/>
      <c r="MIF18" s="7"/>
      <c r="MIG18" s="7"/>
      <c r="MIH18" s="7"/>
      <c r="MII18" s="7"/>
      <c r="MIJ18" s="7"/>
      <c r="MIK18" s="7"/>
      <c r="MIL18" s="7"/>
      <c r="MIM18" s="7"/>
      <c r="MIN18" s="7"/>
      <c r="MIO18" s="7"/>
      <c r="MIP18" s="7"/>
      <c r="MIQ18" s="7"/>
      <c r="MIR18" s="7"/>
      <c r="MIS18" s="7"/>
      <c r="MIT18" s="7"/>
      <c r="MIU18" s="7"/>
      <c r="MIV18" s="7"/>
      <c r="MIW18" s="7"/>
      <c r="MIX18" s="7"/>
      <c r="MIY18" s="7"/>
      <c r="MIZ18" s="7"/>
      <c r="MJA18" s="7"/>
      <c r="MJB18" s="7"/>
      <c r="MJC18" s="7"/>
      <c r="MJD18" s="7"/>
      <c r="MJE18" s="7"/>
      <c r="MJF18" s="7"/>
      <c r="MJG18" s="7"/>
      <c r="MJH18" s="7"/>
      <c r="MJI18" s="7"/>
      <c r="MJJ18" s="7"/>
      <c r="MJK18" s="7"/>
      <c r="MJL18" s="7"/>
      <c r="MJM18" s="7"/>
      <c r="MJN18" s="7"/>
      <c r="MJO18" s="7"/>
      <c r="MJP18" s="7"/>
      <c r="MJQ18" s="7"/>
      <c r="MJR18" s="7"/>
      <c r="MJS18" s="7"/>
      <c r="MJT18" s="7"/>
      <c r="MJU18" s="7"/>
      <c r="MJV18" s="7"/>
      <c r="MJW18" s="7"/>
      <c r="MJX18" s="7"/>
      <c r="MJY18" s="7"/>
      <c r="MJZ18" s="7"/>
      <c r="MKA18" s="7"/>
      <c r="MKB18" s="7"/>
      <c r="MKC18" s="7"/>
      <c r="MKD18" s="7"/>
      <c r="MKE18" s="7"/>
      <c r="MKF18" s="7"/>
      <c r="MKG18" s="7"/>
      <c r="MKH18" s="7"/>
      <c r="MKI18" s="7"/>
      <c r="MKJ18" s="7"/>
      <c r="MKK18" s="7"/>
      <c r="MKL18" s="7"/>
      <c r="MKM18" s="7"/>
      <c r="MKN18" s="7"/>
      <c r="MKO18" s="7"/>
      <c r="MKP18" s="7"/>
      <c r="MKQ18" s="7"/>
      <c r="MKR18" s="7"/>
      <c r="MKS18" s="7"/>
      <c r="MKT18" s="7"/>
      <c r="MKU18" s="7"/>
      <c r="MKV18" s="7"/>
      <c r="MKW18" s="7"/>
      <c r="MKX18" s="7"/>
      <c r="MKY18" s="7"/>
      <c r="MKZ18" s="7"/>
      <c r="MLA18" s="7"/>
      <c r="MLB18" s="7"/>
      <c r="MLC18" s="7"/>
      <c r="MLD18" s="7"/>
      <c r="MLE18" s="7"/>
      <c r="MLF18" s="7"/>
      <c r="MLG18" s="7"/>
      <c r="MLH18" s="7"/>
      <c r="MLI18" s="7"/>
      <c r="MLJ18" s="7"/>
      <c r="MLK18" s="7"/>
      <c r="MLL18" s="7"/>
      <c r="MLM18" s="7"/>
      <c r="MLN18" s="7"/>
      <c r="MLO18" s="7"/>
      <c r="MLP18" s="7"/>
      <c r="MLQ18" s="7"/>
      <c r="MLR18" s="7"/>
      <c r="MLS18" s="7"/>
      <c r="MLT18" s="7"/>
      <c r="MLU18" s="7"/>
      <c r="MLV18" s="7"/>
      <c r="MLW18" s="7"/>
      <c r="MLX18" s="7"/>
      <c r="MLY18" s="7"/>
      <c r="MLZ18" s="7"/>
      <c r="MMA18" s="7"/>
      <c r="MMB18" s="7"/>
      <c r="MMC18" s="7"/>
      <c r="MMD18" s="7"/>
      <c r="MME18" s="7"/>
      <c r="MMF18" s="7"/>
      <c r="MMG18" s="7"/>
      <c r="MMH18" s="7"/>
      <c r="MMI18" s="7"/>
      <c r="MMJ18" s="7"/>
      <c r="MMK18" s="7"/>
      <c r="MML18" s="7"/>
      <c r="MMM18" s="7"/>
      <c r="MMN18" s="7"/>
      <c r="MMO18" s="7"/>
      <c r="MMP18" s="7"/>
      <c r="MMQ18" s="7"/>
      <c r="MMR18" s="7"/>
      <c r="MMS18" s="7"/>
      <c r="MMT18" s="7"/>
      <c r="MMU18" s="7"/>
      <c r="MMV18" s="7"/>
      <c r="MMW18" s="7"/>
      <c r="MMX18" s="7"/>
      <c r="MMY18" s="7"/>
      <c r="MMZ18" s="7"/>
      <c r="MNA18" s="7"/>
      <c r="MNB18" s="7"/>
      <c r="MNC18" s="7"/>
      <c r="MND18" s="7"/>
      <c r="MNE18" s="7"/>
      <c r="MNF18" s="7"/>
      <c r="MNG18" s="7"/>
      <c r="MNH18" s="7"/>
      <c r="MNI18" s="7"/>
      <c r="MNJ18" s="7"/>
      <c r="MNK18" s="7"/>
      <c r="MNL18" s="7"/>
      <c r="MNM18" s="7"/>
      <c r="MNN18" s="7"/>
      <c r="MNO18" s="7"/>
      <c r="MNP18" s="7"/>
      <c r="MNQ18" s="7"/>
      <c r="MNR18" s="7"/>
      <c r="MNS18" s="7"/>
      <c r="MNT18" s="7"/>
      <c r="MNU18" s="7"/>
      <c r="MNV18" s="7"/>
      <c r="MNW18" s="7"/>
      <c r="MNX18" s="7"/>
      <c r="MNY18" s="7"/>
      <c r="MNZ18" s="7"/>
      <c r="MOA18" s="7"/>
      <c r="MOB18" s="7"/>
      <c r="MOC18" s="7"/>
      <c r="MOD18" s="7"/>
      <c r="MOE18" s="7"/>
      <c r="MOF18" s="7"/>
      <c r="MOG18" s="7"/>
      <c r="MOH18" s="7"/>
      <c r="MOI18" s="7"/>
      <c r="MOJ18" s="7"/>
      <c r="MOK18" s="7"/>
      <c r="MOL18" s="7"/>
      <c r="MOM18" s="7"/>
      <c r="MON18" s="7"/>
      <c r="MOO18" s="7"/>
      <c r="MOP18" s="7"/>
      <c r="MOQ18" s="7"/>
      <c r="MOR18" s="7"/>
      <c r="MOS18" s="7"/>
      <c r="MOT18" s="7"/>
      <c r="MOU18" s="7"/>
      <c r="MOV18" s="7"/>
      <c r="MOW18" s="7"/>
      <c r="MOX18" s="7"/>
      <c r="MOY18" s="7"/>
      <c r="MOZ18" s="7"/>
      <c r="MPA18" s="7"/>
      <c r="MPB18" s="7"/>
      <c r="MPC18" s="7"/>
      <c r="MPD18" s="7"/>
      <c r="MPE18" s="7"/>
      <c r="MPF18" s="7"/>
      <c r="MPG18" s="7"/>
      <c r="MPH18" s="7"/>
      <c r="MPI18" s="7"/>
      <c r="MPJ18" s="7"/>
      <c r="MPK18" s="7"/>
      <c r="MPL18" s="7"/>
      <c r="MPM18" s="7"/>
      <c r="MPN18" s="7"/>
      <c r="MPO18" s="7"/>
      <c r="MPP18" s="7"/>
      <c r="MPQ18" s="7"/>
      <c r="MPR18" s="7"/>
      <c r="MPS18" s="7"/>
      <c r="MPT18" s="7"/>
      <c r="MPU18" s="7"/>
      <c r="MPV18" s="7"/>
      <c r="MPW18" s="7"/>
      <c r="MPX18" s="7"/>
      <c r="MPY18" s="7"/>
      <c r="MPZ18" s="7"/>
      <c r="MQA18" s="7"/>
      <c r="MQB18" s="7"/>
      <c r="MQC18" s="7"/>
      <c r="MQD18" s="7"/>
      <c r="MQE18" s="7"/>
      <c r="MQF18" s="7"/>
      <c r="MQG18" s="7"/>
      <c r="MQH18" s="7"/>
      <c r="MQI18" s="7"/>
      <c r="MQJ18" s="7"/>
      <c r="MQK18" s="7"/>
      <c r="MQL18" s="7"/>
      <c r="MQM18" s="7"/>
      <c r="MQN18" s="7"/>
      <c r="MQO18" s="7"/>
      <c r="MQP18" s="7"/>
      <c r="MQQ18" s="7"/>
      <c r="MQR18" s="7"/>
      <c r="MQS18" s="7"/>
      <c r="MQT18" s="7"/>
      <c r="MQU18" s="7"/>
      <c r="MQV18" s="7"/>
      <c r="MQW18" s="7"/>
      <c r="MQX18" s="7"/>
      <c r="MQY18" s="7"/>
      <c r="MQZ18" s="7"/>
      <c r="MRA18" s="7"/>
      <c r="MRB18" s="7"/>
      <c r="MRC18" s="7"/>
      <c r="MRD18" s="7"/>
      <c r="MRE18" s="7"/>
      <c r="MRF18" s="7"/>
      <c r="MRG18" s="7"/>
      <c r="MRH18" s="7"/>
      <c r="MRI18" s="7"/>
      <c r="MRJ18" s="7"/>
      <c r="MRK18" s="7"/>
      <c r="MRL18" s="7"/>
      <c r="MRM18" s="7"/>
      <c r="MRN18" s="7"/>
      <c r="MRO18" s="7"/>
      <c r="MRP18" s="7"/>
      <c r="MRQ18" s="7"/>
      <c r="MRR18" s="7"/>
      <c r="MRS18" s="7"/>
      <c r="MRT18" s="7"/>
      <c r="MRU18" s="7"/>
      <c r="MRV18" s="7"/>
      <c r="MRW18" s="7"/>
      <c r="MRX18" s="7"/>
      <c r="MRY18" s="7"/>
      <c r="MRZ18" s="7"/>
      <c r="MSA18" s="7"/>
      <c r="MSB18" s="7"/>
      <c r="MSC18" s="7"/>
      <c r="MSD18" s="7"/>
      <c r="MSE18" s="7"/>
      <c r="MSF18" s="7"/>
      <c r="MSG18" s="7"/>
      <c r="MSH18" s="7"/>
      <c r="MSI18" s="7"/>
      <c r="MSJ18" s="7"/>
      <c r="MSK18" s="7"/>
      <c r="MSL18" s="7"/>
      <c r="MSM18" s="7"/>
      <c r="MSN18" s="7"/>
      <c r="MSO18" s="7"/>
      <c r="MSP18" s="7"/>
      <c r="MSQ18" s="7"/>
      <c r="MSR18" s="7"/>
      <c r="MSS18" s="7"/>
      <c r="MST18" s="7"/>
      <c r="MSU18" s="7"/>
      <c r="MSV18" s="7"/>
      <c r="MSW18" s="7"/>
      <c r="MSX18" s="7"/>
      <c r="MSY18" s="7"/>
      <c r="MSZ18" s="7"/>
      <c r="MTA18" s="7"/>
      <c r="MTB18" s="7"/>
      <c r="MTC18" s="7"/>
      <c r="MTD18" s="7"/>
      <c r="MTE18" s="7"/>
      <c r="MTF18" s="7"/>
      <c r="MTG18" s="7"/>
      <c r="MTH18" s="7"/>
      <c r="MTI18" s="7"/>
      <c r="MTJ18" s="7"/>
      <c r="MTK18" s="7"/>
      <c r="MTL18" s="7"/>
      <c r="MTM18" s="7"/>
      <c r="MTN18" s="7"/>
      <c r="MTO18" s="7"/>
      <c r="MTP18" s="7"/>
      <c r="MTQ18" s="7"/>
      <c r="MTR18" s="7"/>
      <c r="MTS18" s="7"/>
      <c r="MTT18" s="7"/>
      <c r="MTU18" s="7"/>
      <c r="MTV18" s="7"/>
      <c r="MTW18" s="7"/>
      <c r="MTX18" s="7"/>
      <c r="MTY18" s="7"/>
      <c r="MTZ18" s="7"/>
      <c r="MUA18" s="7"/>
      <c r="MUB18" s="7"/>
      <c r="MUC18" s="7"/>
      <c r="MUD18" s="7"/>
      <c r="MUE18" s="7"/>
      <c r="MUF18" s="7"/>
      <c r="MUG18" s="7"/>
      <c r="MUH18" s="7"/>
      <c r="MUI18" s="7"/>
      <c r="MUJ18" s="7"/>
      <c r="MUK18" s="7"/>
      <c r="MUL18" s="7"/>
      <c r="MUM18" s="7"/>
      <c r="MUN18" s="7"/>
      <c r="MUO18" s="7"/>
      <c r="MUP18" s="7"/>
      <c r="MUQ18" s="7"/>
      <c r="MUR18" s="7"/>
      <c r="MUS18" s="7"/>
      <c r="MUT18" s="7"/>
      <c r="MUU18" s="7"/>
      <c r="MUV18" s="7"/>
      <c r="MUW18" s="7"/>
      <c r="MUX18" s="7"/>
      <c r="MUY18" s="7"/>
      <c r="MUZ18" s="7"/>
      <c r="MVA18" s="7"/>
      <c r="MVB18" s="7"/>
      <c r="MVC18" s="7"/>
      <c r="MVD18" s="7"/>
      <c r="MVE18" s="7"/>
      <c r="MVF18" s="7"/>
      <c r="MVG18" s="7"/>
      <c r="MVH18" s="7"/>
      <c r="MVI18" s="7"/>
      <c r="MVJ18" s="7"/>
      <c r="MVK18" s="7"/>
      <c r="MVL18" s="7"/>
      <c r="MVM18" s="7"/>
      <c r="MVN18" s="7"/>
      <c r="MVO18" s="7"/>
      <c r="MVP18" s="7"/>
      <c r="MVQ18" s="7"/>
      <c r="MVR18" s="7"/>
      <c r="MVS18" s="7"/>
      <c r="MVT18" s="7"/>
      <c r="MVU18" s="7"/>
      <c r="MVV18" s="7"/>
      <c r="MVW18" s="7"/>
      <c r="MVX18" s="7"/>
      <c r="MVY18" s="7"/>
      <c r="MVZ18" s="7"/>
      <c r="MWA18" s="7"/>
      <c r="MWB18" s="7"/>
      <c r="MWC18" s="7"/>
      <c r="MWD18" s="7"/>
      <c r="MWE18" s="7"/>
      <c r="MWF18" s="7"/>
      <c r="MWG18" s="7"/>
      <c r="MWH18" s="7"/>
      <c r="MWI18" s="7"/>
      <c r="MWJ18" s="7"/>
      <c r="MWK18" s="7"/>
      <c r="MWL18" s="7"/>
      <c r="MWM18" s="7"/>
      <c r="MWN18" s="7"/>
      <c r="MWO18" s="7"/>
      <c r="MWP18" s="7"/>
      <c r="MWQ18" s="7"/>
      <c r="MWR18" s="7"/>
      <c r="MWS18" s="7"/>
      <c r="MWT18" s="7"/>
      <c r="MWU18" s="7"/>
      <c r="MWV18" s="7"/>
      <c r="MWW18" s="7"/>
      <c r="MWX18" s="7"/>
      <c r="MWY18" s="7"/>
      <c r="MWZ18" s="7"/>
      <c r="MXA18" s="7"/>
      <c r="MXB18" s="7"/>
      <c r="MXC18" s="7"/>
      <c r="MXD18" s="7"/>
      <c r="MXE18" s="7"/>
      <c r="MXF18" s="7"/>
      <c r="MXG18" s="7"/>
      <c r="MXH18" s="7"/>
      <c r="MXI18" s="7"/>
      <c r="MXJ18" s="7"/>
      <c r="MXK18" s="7"/>
      <c r="MXL18" s="7"/>
      <c r="MXM18" s="7"/>
      <c r="MXN18" s="7"/>
      <c r="MXO18" s="7"/>
      <c r="MXP18" s="7"/>
      <c r="MXQ18" s="7"/>
      <c r="MXR18" s="7"/>
      <c r="MXS18" s="7"/>
      <c r="MXT18" s="7"/>
      <c r="MXU18" s="7"/>
      <c r="MXV18" s="7"/>
      <c r="MXW18" s="7"/>
      <c r="MXX18" s="7"/>
      <c r="MXY18" s="7"/>
      <c r="MXZ18" s="7"/>
      <c r="MYA18" s="7"/>
      <c r="MYB18" s="7"/>
      <c r="MYC18" s="7"/>
      <c r="MYD18" s="7"/>
      <c r="MYE18" s="7"/>
      <c r="MYF18" s="7"/>
      <c r="MYG18" s="7"/>
      <c r="MYH18" s="7"/>
      <c r="MYI18" s="7"/>
      <c r="MYJ18" s="7"/>
      <c r="MYK18" s="7"/>
      <c r="MYL18" s="7"/>
      <c r="MYM18" s="7"/>
      <c r="MYN18" s="7"/>
      <c r="MYO18" s="7"/>
      <c r="MYP18" s="7"/>
      <c r="MYQ18" s="7"/>
      <c r="MYR18" s="7"/>
      <c r="MYS18" s="7"/>
      <c r="MYT18" s="7"/>
      <c r="MYU18" s="7"/>
      <c r="MYV18" s="7"/>
      <c r="MYW18" s="7"/>
      <c r="MYX18" s="7"/>
      <c r="MYY18" s="7"/>
      <c r="MYZ18" s="7"/>
      <c r="MZA18" s="7"/>
      <c r="MZB18" s="7"/>
      <c r="MZC18" s="7"/>
      <c r="MZD18" s="7"/>
      <c r="MZE18" s="7"/>
      <c r="MZF18" s="7"/>
      <c r="MZG18" s="7"/>
      <c r="MZH18" s="7"/>
      <c r="MZI18" s="7"/>
      <c r="MZJ18" s="7"/>
      <c r="MZK18" s="7"/>
      <c r="MZL18" s="7"/>
      <c r="MZM18" s="7"/>
      <c r="MZN18" s="7"/>
      <c r="MZO18" s="7"/>
      <c r="MZP18" s="7"/>
      <c r="MZQ18" s="7"/>
      <c r="MZR18" s="7"/>
      <c r="MZS18" s="7"/>
      <c r="MZT18" s="7"/>
      <c r="MZU18" s="7"/>
      <c r="MZV18" s="7"/>
      <c r="MZW18" s="7"/>
      <c r="MZX18" s="7"/>
      <c r="MZY18" s="7"/>
      <c r="MZZ18" s="7"/>
      <c r="NAA18" s="7"/>
      <c r="NAB18" s="7"/>
      <c r="NAC18" s="7"/>
      <c r="NAD18" s="7"/>
      <c r="NAE18" s="7"/>
      <c r="NAF18" s="7"/>
      <c r="NAG18" s="7"/>
      <c r="NAH18" s="7"/>
      <c r="NAI18" s="7"/>
      <c r="NAJ18" s="7"/>
      <c r="NAK18" s="7"/>
      <c r="NAL18" s="7"/>
      <c r="NAM18" s="7"/>
      <c r="NAN18" s="7"/>
      <c r="NAO18" s="7"/>
      <c r="NAP18" s="7"/>
      <c r="NAQ18" s="7"/>
      <c r="NAR18" s="7"/>
      <c r="NAS18" s="7"/>
      <c r="NAT18" s="7"/>
      <c r="NAU18" s="7"/>
      <c r="NAV18" s="7"/>
      <c r="NAW18" s="7"/>
      <c r="NAX18" s="7"/>
      <c r="NAY18" s="7"/>
      <c r="NAZ18" s="7"/>
      <c r="NBA18" s="7"/>
      <c r="NBB18" s="7"/>
      <c r="NBC18" s="7"/>
      <c r="NBD18" s="7"/>
      <c r="NBE18" s="7"/>
      <c r="NBF18" s="7"/>
      <c r="NBG18" s="7"/>
      <c r="NBH18" s="7"/>
      <c r="NBI18" s="7"/>
      <c r="NBJ18" s="7"/>
      <c r="NBK18" s="7"/>
      <c r="NBL18" s="7"/>
      <c r="NBM18" s="7"/>
      <c r="NBN18" s="7"/>
      <c r="NBO18" s="7"/>
      <c r="NBP18" s="7"/>
      <c r="NBQ18" s="7"/>
      <c r="NBR18" s="7"/>
      <c r="NBS18" s="7"/>
      <c r="NBT18" s="7"/>
      <c r="NBU18" s="7"/>
      <c r="NBV18" s="7"/>
      <c r="NBW18" s="7"/>
      <c r="NBX18" s="7"/>
      <c r="NBY18" s="7"/>
      <c r="NBZ18" s="7"/>
      <c r="NCA18" s="7"/>
      <c r="NCB18" s="7"/>
      <c r="NCC18" s="7"/>
      <c r="NCD18" s="7"/>
      <c r="NCE18" s="7"/>
      <c r="NCF18" s="7"/>
      <c r="NCG18" s="7"/>
      <c r="NCH18" s="7"/>
      <c r="NCI18" s="7"/>
      <c r="NCJ18" s="7"/>
      <c r="NCK18" s="7"/>
      <c r="NCL18" s="7"/>
      <c r="NCM18" s="7"/>
      <c r="NCN18" s="7"/>
      <c r="NCO18" s="7"/>
      <c r="NCP18" s="7"/>
      <c r="NCQ18" s="7"/>
      <c r="NCR18" s="7"/>
      <c r="NCS18" s="7"/>
      <c r="NCT18" s="7"/>
      <c r="NCU18" s="7"/>
      <c r="NCV18" s="7"/>
      <c r="NCW18" s="7"/>
      <c r="NCX18" s="7"/>
      <c r="NCY18" s="7"/>
      <c r="NCZ18" s="7"/>
      <c r="NDA18" s="7"/>
      <c r="NDB18" s="7"/>
      <c r="NDC18" s="7"/>
      <c r="NDD18" s="7"/>
      <c r="NDE18" s="7"/>
      <c r="NDF18" s="7"/>
      <c r="NDG18" s="7"/>
      <c r="NDH18" s="7"/>
      <c r="NDI18" s="7"/>
      <c r="NDJ18" s="7"/>
      <c r="NDK18" s="7"/>
      <c r="NDL18" s="7"/>
      <c r="NDM18" s="7"/>
      <c r="NDN18" s="7"/>
      <c r="NDO18" s="7"/>
      <c r="NDP18" s="7"/>
      <c r="NDQ18" s="7"/>
      <c r="NDR18" s="7"/>
      <c r="NDS18" s="7"/>
      <c r="NDT18" s="7"/>
      <c r="NDU18" s="7"/>
      <c r="NDV18" s="7"/>
      <c r="NDW18" s="7"/>
      <c r="NDX18" s="7"/>
      <c r="NDY18" s="7"/>
      <c r="NDZ18" s="7"/>
      <c r="NEA18" s="7"/>
      <c r="NEB18" s="7"/>
      <c r="NEC18" s="7"/>
      <c r="NED18" s="7"/>
      <c r="NEE18" s="7"/>
      <c r="NEF18" s="7"/>
      <c r="NEG18" s="7"/>
      <c r="NEH18" s="7"/>
      <c r="NEI18" s="7"/>
      <c r="NEJ18" s="7"/>
      <c r="NEK18" s="7"/>
      <c r="NEL18" s="7"/>
      <c r="NEM18" s="7"/>
      <c r="NEN18" s="7"/>
      <c r="NEO18" s="7"/>
      <c r="NEP18" s="7"/>
      <c r="NEQ18" s="7"/>
      <c r="NER18" s="7"/>
      <c r="NES18" s="7"/>
      <c r="NET18" s="7"/>
      <c r="NEU18" s="7"/>
      <c r="NEV18" s="7"/>
      <c r="NEW18" s="7"/>
      <c r="NEX18" s="7"/>
      <c r="NEY18" s="7"/>
      <c r="NEZ18" s="7"/>
      <c r="NFA18" s="7"/>
      <c r="NFB18" s="7"/>
      <c r="NFC18" s="7"/>
      <c r="NFD18" s="7"/>
      <c r="NFE18" s="7"/>
      <c r="NFF18" s="7"/>
      <c r="NFG18" s="7"/>
      <c r="NFH18" s="7"/>
      <c r="NFI18" s="7"/>
      <c r="NFJ18" s="7"/>
      <c r="NFK18" s="7"/>
      <c r="NFL18" s="7"/>
      <c r="NFM18" s="7"/>
      <c r="NFN18" s="7"/>
      <c r="NFO18" s="7"/>
      <c r="NFP18" s="7"/>
      <c r="NFQ18" s="7"/>
      <c r="NFR18" s="7"/>
      <c r="NFS18" s="7"/>
      <c r="NFT18" s="7"/>
      <c r="NFU18" s="7"/>
      <c r="NFV18" s="7"/>
      <c r="NFW18" s="7"/>
      <c r="NFX18" s="7"/>
      <c r="NFY18" s="7"/>
      <c r="NFZ18" s="7"/>
      <c r="NGA18" s="7"/>
      <c r="NGB18" s="7"/>
      <c r="NGC18" s="7"/>
      <c r="NGD18" s="7"/>
      <c r="NGE18" s="7"/>
      <c r="NGF18" s="7"/>
      <c r="NGG18" s="7"/>
      <c r="NGH18" s="7"/>
      <c r="NGI18" s="7"/>
      <c r="NGJ18" s="7"/>
      <c r="NGK18" s="7"/>
      <c r="NGL18" s="7"/>
      <c r="NGM18" s="7"/>
      <c r="NGN18" s="7"/>
      <c r="NGO18" s="7"/>
      <c r="NGP18" s="7"/>
      <c r="NGQ18" s="7"/>
      <c r="NGR18" s="7"/>
      <c r="NGS18" s="7"/>
      <c r="NGT18" s="7"/>
      <c r="NGU18" s="7"/>
      <c r="NGV18" s="7"/>
      <c r="NGW18" s="7"/>
      <c r="NGX18" s="7"/>
      <c r="NGY18" s="7"/>
      <c r="NGZ18" s="7"/>
      <c r="NHA18" s="7"/>
      <c r="NHB18" s="7"/>
      <c r="NHC18" s="7"/>
      <c r="NHD18" s="7"/>
      <c r="NHE18" s="7"/>
      <c r="NHF18" s="7"/>
      <c r="NHG18" s="7"/>
      <c r="NHH18" s="7"/>
      <c r="NHI18" s="7"/>
      <c r="NHJ18" s="7"/>
      <c r="NHK18" s="7"/>
      <c r="NHL18" s="7"/>
      <c r="NHM18" s="7"/>
      <c r="NHN18" s="7"/>
      <c r="NHO18" s="7"/>
      <c r="NHP18" s="7"/>
      <c r="NHQ18" s="7"/>
      <c r="NHR18" s="7"/>
      <c r="NHS18" s="7"/>
      <c r="NHT18" s="7"/>
      <c r="NHU18" s="7"/>
      <c r="NHV18" s="7"/>
      <c r="NHW18" s="7"/>
      <c r="NHX18" s="7"/>
      <c r="NHY18" s="7"/>
      <c r="NHZ18" s="7"/>
      <c r="NIA18" s="7"/>
      <c r="NIB18" s="7"/>
      <c r="NIC18" s="7"/>
      <c r="NID18" s="7"/>
      <c r="NIE18" s="7"/>
      <c r="NIF18" s="7"/>
      <c r="NIG18" s="7"/>
      <c r="NIH18" s="7"/>
      <c r="NII18" s="7"/>
      <c r="NIJ18" s="7"/>
      <c r="NIK18" s="7"/>
      <c r="NIL18" s="7"/>
      <c r="NIM18" s="7"/>
      <c r="NIN18" s="7"/>
      <c r="NIO18" s="7"/>
      <c r="NIP18" s="7"/>
      <c r="NIQ18" s="7"/>
      <c r="NIR18" s="7"/>
      <c r="NIS18" s="7"/>
      <c r="NIT18" s="7"/>
      <c r="NIU18" s="7"/>
      <c r="NIV18" s="7"/>
      <c r="NIW18" s="7"/>
      <c r="NIX18" s="7"/>
      <c r="NIY18" s="7"/>
      <c r="NIZ18" s="7"/>
      <c r="NJA18" s="7"/>
      <c r="NJB18" s="7"/>
      <c r="NJC18" s="7"/>
      <c r="NJD18" s="7"/>
      <c r="NJE18" s="7"/>
      <c r="NJF18" s="7"/>
      <c r="NJG18" s="7"/>
      <c r="NJH18" s="7"/>
      <c r="NJI18" s="7"/>
      <c r="NJJ18" s="7"/>
      <c r="NJK18" s="7"/>
      <c r="NJL18" s="7"/>
      <c r="NJM18" s="7"/>
      <c r="NJN18" s="7"/>
      <c r="NJO18" s="7"/>
      <c r="NJP18" s="7"/>
      <c r="NJQ18" s="7"/>
      <c r="NJR18" s="7"/>
      <c r="NJS18" s="7"/>
      <c r="NJT18" s="7"/>
      <c r="NJU18" s="7"/>
      <c r="NJV18" s="7"/>
      <c r="NJW18" s="7"/>
      <c r="NJX18" s="7"/>
      <c r="NJY18" s="7"/>
      <c r="NJZ18" s="7"/>
      <c r="NKA18" s="7"/>
      <c r="NKB18" s="7"/>
      <c r="NKC18" s="7"/>
      <c r="NKD18" s="7"/>
      <c r="NKE18" s="7"/>
      <c r="NKF18" s="7"/>
      <c r="NKG18" s="7"/>
      <c r="NKH18" s="7"/>
      <c r="NKI18" s="7"/>
      <c r="NKJ18" s="7"/>
      <c r="NKK18" s="7"/>
      <c r="NKL18" s="7"/>
      <c r="NKM18" s="7"/>
      <c r="NKN18" s="7"/>
      <c r="NKO18" s="7"/>
      <c r="NKP18" s="7"/>
      <c r="NKQ18" s="7"/>
      <c r="NKR18" s="7"/>
      <c r="NKS18" s="7"/>
      <c r="NKT18" s="7"/>
      <c r="NKU18" s="7"/>
      <c r="NKV18" s="7"/>
      <c r="NKW18" s="7"/>
      <c r="NKX18" s="7"/>
      <c r="NKY18" s="7"/>
      <c r="NKZ18" s="7"/>
      <c r="NLA18" s="7"/>
      <c r="NLB18" s="7"/>
      <c r="NLC18" s="7"/>
      <c r="NLD18" s="7"/>
      <c r="NLE18" s="7"/>
      <c r="NLF18" s="7"/>
      <c r="NLG18" s="7"/>
      <c r="NLH18" s="7"/>
      <c r="NLI18" s="7"/>
      <c r="NLJ18" s="7"/>
      <c r="NLK18" s="7"/>
      <c r="NLL18" s="7"/>
      <c r="NLM18" s="7"/>
      <c r="NLN18" s="7"/>
      <c r="NLO18" s="7"/>
      <c r="NLP18" s="7"/>
      <c r="NLQ18" s="7"/>
      <c r="NLR18" s="7"/>
      <c r="NLS18" s="7"/>
      <c r="NLT18" s="7"/>
      <c r="NLU18" s="7"/>
      <c r="NLV18" s="7"/>
      <c r="NLW18" s="7"/>
      <c r="NLX18" s="7"/>
      <c r="NLY18" s="7"/>
      <c r="NLZ18" s="7"/>
      <c r="NMA18" s="7"/>
      <c r="NMB18" s="7"/>
      <c r="NMC18" s="7"/>
      <c r="NMD18" s="7"/>
      <c r="NME18" s="7"/>
      <c r="NMF18" s="7"/>
      <c r="NMG18" s="7"/>
      <c r="NMH18" s="7"/>
      <c r="NMI18" s="7"/>
      <c r="NMJ18" s="7"/>
      <c r="NMK18" s="7"/>
      <c r="NML18" s="7"/>
      <c r="NMM18" s="7"/>
      <c r="NMN18" s="7"/>
      <c r="NMO18" s="7"/>
      <c r="NMP18" s="7"/>
      <c r="NMQ18" s="7"/>
      <c r="NMR18" s="7"/>
      <c r="NMS18" s="7"/>
      <c r="NMT18" s="7"/>
      <c r="NMU18" s="7"/>
      <c r="NMV18" s="7"/>
      <c r="NMW18" s="7"/>
      <c r="NMX18" s="7"/>
      <c r="NMY18" s="7"/>
      <c r="NMZ18" s="7"/>
      <c r="NNA18" s="7"/>
      <c r="NNB18" s="7"/>
      <c r="NNC18" s="7"/>
      <c r="NND18" s="7"/>
      <c r="NNE18" s="7"/>
      <c r="NNF18" s="7"/>
      <c r="NNG18" s="7"/>
      <c r="NNH18" s="7"/>
      <c r="NNI18" s="7"/>
      <c r="NNJ18" s="7"/>
      <c r="NNK18" s="7"/>
      <c r="NNL18" s="7"/>
      <c r="NNM18" s="7"/>
      <c r="NNN18" s="7"/>
      <c r="NNO18" s="7"/>
      <c r="NNP18" s="7"/>
      <c r="NNQ18" s="7"/>
      <c r="NNR18" s="7"/>
      <c r="NNS18" s="7"/>
      <c r="NNT18" s="7"/>
      <c r="NNU18" s="7"/>
      <c r="NNV18" s="7"/>
      <c r="NNW18" s="7"/>
      <c r="NNX18" s="7"/>
      <c r="NNY18" s="7"/>
      <c r="NNZ18" s="7"/>
      <c r="NOA18" s="7"/>
      <c r="NOB18" s="7"/>
      <c r="NOC18" s="7"/>
      <c r="NOD18" s="7"/>
      <c r="NOE18" s="7"/>
      <c r="NOF18" s="7"/>
      <c r="NOG18" s="7"/>
      <c r="NOH18" s="7"/>
      <c r="NOI18" s="7"/>
      <c r="NOJ18" s="7"/>
      <c r="NOK18" s="7"/>
      <c r="NOL18" s="7"/>
      <c r="NOM18" s="7"/>
      <c r="NON18" s="7"/>
      <c r="NOO18" s="7"/>
      <c r="NOP18" s="7"/>
      <c r="NOQ18" s="7"/>
      <c r="NOR18" s="7"/>
      <c r="NOS18" s="7"/>
      <c r="NOT18" s="7"/>
      <c r="NOU18" s="7"/>
      <c r="NOV18" s="7"/>
      <c r="NOW18" s="7"/>
      <c r="NOX18" s="7"/>
      <c r="NOY18" s="7"/>
      <c r="NOZ18" s="7"/>
      <c r="NPA18" s="7"/>
      <c r="NPB18" s="7"/>
      <c r="NPC18" s="7"/>
      <c r="NPD18" s="7"/>
      <c r="NPE18" s="7"/>
      <c r="NPF18" s="7"/>
      <c r="NPG18" s="7"/>
      <c r="NPH18" s="7"/>
      <c r="NPI18" s="7"/>
      <c r="NPJ18" s="7"/>
      <c r="NPK18" s="7"/>
      <c r="NPL18" s="7"/>
      <c r="NPM18" s="7"/>
      <c r="NPN18" s="7"/>
      <c r="NPO18" s="7"/>
      <c r="NPP18" s="7"/>
      <c r="NPQ18" s="7"/>
      <c r="NPR18" s="7"/>
      <c r="NPS18" s="7"/>
      <c r="NPT18" s="7"/>
      <c r="NPU18" s="7"/>
      <c r="NPV18" s="7"/>
      <c r="NPW18" s="7"/>
      <c r="NPX18" s="7"/>
      <c r="NPY18" s="7"/>
      <c r="NPZ18" s="7"/>
      <c r="NQA18" s="7"/>
      <c r="NQB18" s="7"/>
      <c r="NQC18" s="7"/>
      <c r="NQD18" s="7"/>
      <c r="NQE18" s="7"/>
      <c r="NQF18" s="7"/>
      <c r="NQG18" s="7"/>
      <c r="NQH18" s="7"/>
      <c r="NQI18" s="7"/>
      <c r="NQJ18" s="7"/>
      <c r="NQK18" s="7"/>
      <c r="NQL18" s="7"/>
      <c r="NQM18" s="7"/>
      <c r="NQN18" s="7"/>
      <c r="NQO18" s="7"/>
      <c r="NQP18" s="7"/>
      <c r="NQQ18" s="7"/>
      <c r="NQR18" s="7"/>
      <c r="NQS18" s="7"/>
      <c r="NQT18" s="7"/>
      <c r="NQU18" s="7"/>
      <c r="NQV18" s="7"/>
      <c r="NQW18" s="7"/>
      <c r="NQX18" s="7"/>
      <c r="NQY18" s="7"/>
      <c r="NQZ18" s="7"/>
      <c r="NRA18" s="7"/>
      <c r="NRB18" s="7"/>
      <c r="NRC18" s="7"/>
      <c r="NRD18" s="7"/>
      <c r="NRE18" s="7"/>
      <c r="NRF18" s="7"/>
      <c r="NRG18" s="7"/>
      <c r="NRH18" s="7"/>
      <c r="NRI18" s="7"/>
      <c r="NRJ18" s="7"/>
      <c r="NRK18" s="7"/>
      <c r="NRL18" s="7"/>
      <c r="NRM18" s="7"/>
      <c r="NRN18" s="7"/>
      <c r="NRO18" s="7"/>
      <c r="NRP18" s="7"/>
      <c r="NRQ18" s="7"/>
      <c r="NRR18" s="7"/>
      <c r="NRS18" s="7"/>
      <c r="NRT18" s="7"/>
      <c r="NRU18" s="7"/>
      <c r="NRV18" s="7"/>
      <c r="NRW18" s="7"/>
      <c r="NRX18" s="7"/>
      <c r="NRY18" s="7"/>
      <c r="NRZ18" s="7"/>
      <c r="NSA18" s="7"/>
      <c r="NSB18" s="7"/>
      <c r="NSC18" s="7"/>
      <c r="NSD18" s="7"/>
      <c r="NSE18" s="7"/>
      <c r="NSF18" s="7"/>
      <c r="NSG18" s="7"/>
      <c r="NSH18" s="7"/>
      <c r="NSI18" s="7"/>
      <c r="NSJ18" s="7"/>
      <c r="NSK18" s="7"/>
      <c r="NSL18" s="7"/>
      <c r="NSM18" s="7"/>
      <c r="NSN18" s="7"/>
      <c r="NSO18" s="7"/>
      <c r="NSP18" s="7"/>
      <c r="NSQ18" s="7"/>
      <c r="NSR18" s="7"/>
      <c r="NSS18" s="7"/>
      <c r="NST18" s="7"/>
      <c r="NSU18" s="7"/>
      <c r="NSV18" s="7"/>
      <c r="NSW18" s="7"/>
      <c r="NSX18" s="7"/>
      <c r="NSY18" s="7"/>
      <c r="NSZ18" s="7"/>
      <c r="NTA18" s="7"/>
      <c r="NTB18" s="7"/>
      <c r="NTC18" s="7"/>
      <c r="NTD18" s="7"/>
      <c r="NTE18" s="7"/>
      <c r="NTF18" s="7"/>
      <c r="NTG18" s="7"/>
      <c r="NTH18" s="7"/>
      <c r="NTI18" s="7"/>
      <c r="NTJ18" s="7"/>
      <c r="NTK18" s="7"/>
      <c r="NTL18" s="7"/>
      <c r="NTM18" s="7"/>
      <c r="NTN18" s="7"/>
      <c r="NTO18" s="7"/>
      <c r="NTP18" s="7"/>
      <c r="NTQ18" s="7"/>
      <c r="NTR18" s="7"/>
      <c r="NTS18" s="7"/>
      <c r="NTT18" s="7"/>
      <c r="NTU18" s="7"/>
      <c r="NTV18" s="7"/>
      <c r="NTW18" s="7"/>
      <c r="NTX18" s="7"/>
      <c r="NTY18" s="7"/>
      <c r="NTZ18" s="7"/>
      <c r="NUA18" s="7"/>
      <c r="NUB18" s="7"/>
      <c r="NUC18" s="7"/>
      <c r="NUD18" s="7"/>
      <c r="NUE18" s="7"/>
      <c r="NUF18" s="7"/>
      <c r="NUG18" s="7"/>
      <c r="NUH18" s="7"/>
      <c r="NUI18" s="7"/>
      <c r="NUJ18" s="7"/>
      <c r="NUK18" s="7"/>
      <c r="NUL18" s="7"/>
      <c r="NUM18" s="7"/>
      <c r="NUN18" s="7"/>
      <c r="NUO18" s="7"/>
      <c r="NUP18" s="7"/>
      <c r="NUQ18" s="7"/>
      <c r="NUR18" s="7"/>
      <c r="NUS18" s="7"/>
      <c r="NUT18" s="7"/>
      <c r="NUU18" s="7"/>
      <c r="NUV18" s="7"/>
      <c r="NUW18" s="7"/>
      <c r="NUX18" s="7"/>
      <c r="NUY18" s="7"/>
      <c r="NUZ18" s="7"/>
      <c r="NVA18" s="7"/>
      <c r="NVB18" s="7"/>
      <c r="NVC18" s="7"/>
      <c r="NVD18" s="7"/>
      <c r="NVE18" s="7"/>
      <c r="NVF18" s="7"/>
      <c r="NVG18" s="7"/>
      <c r="NVH18" s="7"/>
      <c r="NVI18" s="7"/>
      <c r="NVJ18" s="7"/>
      <c r="NVK18" s="7"/>
      <c r="NVL18" s="7"/>
      <c r="NVM18" s="7"/>
      <c r="NVN18" s="7"/>
      <c r="NVO18" s="7"/>
      <c r="NVP18" s="7"/>
      <c r="NVQ18" s="7"/>
      <c r="NVR18" s="7"/>
      <c r="NVS18" s="7"/>
      <c r="NVT18" s="7"/>
      <c r="NVU18" s="7"/>
      <c r="NVV18" s="7"/>
      <c r="NVW18" s="7"/>
      <c r="NVX18" s="7"/>
      <c r="NVY18" s="7"/>
      <c r="NVZ18" s="7"/>
      <c r="NWA18" s="7"/>
      <c r="NWB18" s="7"/>
      <c r="NWC18" s="7"/>
      <c r="NWD18" s="7"/>
      <c r="NWE18" s="7"/>
      <c r="NWF18" s="7"/>
      <c r="NWG18" s="7"/>
      <c r="NWH18" s="7"/>
      <c r="NWI18" s="7"/>
      <c r="NWJ18" s="7"/>
      <c r="NWK18" s="7"/>
      <c r="NWL18" s="7"/>
      <c r="NWM18" s="7"/>
      <c r="NWN18" s="7"/>
      <c r="NWO18" s="7"/>
      <c r="NWP18" s="7"/>
      <c r="NWQ18" s="7"/>
      <c r="NWR18" s="7"/>
      <c r="NWS18" s="7"/>
      <c r="NWT18" s="7"/>
      <c r="NWU18" s="7"/>
      <c r="NWV18" s="7"/>
      <c r="NWW18" s="7"/>
      <c r="NWX18" s="7"/>
      <c r="NWY18" s="7"/>
      <c r="NWZ18" s="7"/>
      <c r="NXA18" s="7"/>
      <c r="NXB18" s="7"/>
      <c r="NXC18" s="7"/>
      <c r="NXD18" s="7"/>
      <c r="NXE18" s="7"/>
      <c r="NXF18" s="7"/>
      <c r="NXG18" s="7"/>
      <c r="NXH18" s="7"/>
      <c r="NXI18" s="7"/>
      <c r="NXJ18" s="7"/>
      <c r="NXK18" s="7"/>
      <c r="NXL18" s="7"/>
      <c r="NXM18" s="7"/>
      <c r="NXN18" s="7"/>
      <c r="NXO18" s="7"/>
      <c r="NXP18" s="7"/>
      <c r="NXQ18" s="7"/>
      <c r="NXR18" s="7"/>
      <c r="NXS18" s="7"/>
      <c r="NXT18" s="7"/>
      <c r="NXU18" s="7"/>
      <c r="NXV18" s="7"/>
      <c r="NXW18" s="7"/>
      <c r="NXX18" s="7"/>
      <c r="NXY18" s="7"/>
      <c r="NXZ18" s="7"/>
      <c r="NYA18" s="7"/>
      <c r="NYB18" s="7"/>
      <c r="NYC18" s="7"/>
      <c r="NYD18" s="7"/>
      <c r="NYE18" s="7"/>
      <c r="NYF18" s="7"/>
      <c r="NYG18" s="7"/>
      <c r="NYH18" s="7"/>
      <c r="NYI18" s="7"/>
      <c r="NYJ18" s="7"/>
      <c r="NYK18" s="7"/>
      <c r="NYL18" s="7"/>
      <c r="NYM18" s="7"/>
      <c r="NYN18" s="7"/>
      <c r="NYO18" s="7"/>
      <c r="NYP18" s="7"/>
      <c r="NYQ18" s="7"/>
      <c r="NYR18" s="7"/>
      <c r="NYS18" s="7"/>
      <c r="NYT18" s="7"/>
      <c r="NYU18" s="7"/>
      <c r="NYV18" s="7"/>
      <c r="NYW18" s="7"/>
      <c r="NYX18" s="7"/>
      <c r="NYY18" s="7"/>
      <c r="NYZ18" s="7"/>
      <c r="NZA18" s="7"/>
      <c r="NZB18" s="7"/>
      <c r="NZC18" s="7"/>
      <c r="NZD18" s="7"/>
      <c r="NZE18" s="7"/>
      <c r="NZF18" s="7"/>
      <c r="NZG18" s="7"/>
      <c r="NZH18" s="7"/>
      <c r="NZI18" s="7"/>
      <c r="NZJ18" s="7"/>
      <c r="NZK18" s="7"/>
      <c r="NZL18" s="7"/>
      <c r="NZM18" s="7"/>
      <c r="NZN18" s="7"/>
      <c r="NZO18" s="7"/>
      <c r="NZP18" s="7"/>
      <c r="NZQ18" s="7"/>
      <c r="NZR18" s="7"/>
      <c r="NZS18" s="7"/>
      <c r="NZT18" s="7"/>
      <c r="NZU18" s="7"/>
      <c r="NZV18" s="7"/>
      <c r="NZW18" s="7"/>
      <c r="NZX18" s="7"/>
      <c r="NZY18" s="7"/>
      <c r="NZZ18" s="7"/>
      <c r="OAA18" s="7"/>
      <c r="OAB18" s="7"/>
      <c r="OAC18" s="7"/>
      <c r="OAD18" s="7"/>
      <c r="OAE18" s="7"/>
      <c r="OAF18" s="7"/>
      <c r="OAG18" s="7"/>
      <c r="OAH18" s="7"/>
      <c r="OAI18" s="7"/>
      <c r="OAJ18" s="7"/>
      <c r="OAK18" s="7"/>
      <c r="OAL18" s="7"/>
      <c r="OAM18" s="7"/>
      <c r="OAN18" s="7"/>
      <c r="OAO18" s="7"/>
      <c r="OAP18" s="7"/>
      <c r="OAQ18" s="7"/>
      <c r="OAR18" s="7"/>
      <c r="OAS18" s="7"/>
      <c r="OAT18" s="7"/>
      <c r="OAU18" s="7"/>
      <c r="OAV18" s="7"/>
      <c r="OAW18" s="7"/>
      <c r="OAX18" s="7"/>
      <c r="OAY18" s="7"/>
      <c r="OAZ18" s="7"/>
      <c r="OBA18" s="7"/>
      <c r="OBB18" s="7"/>
      <c r="OBC18" s="7"/>
      <c r="OBD18" s="7"/>
      <c r="OBE18" s="7"/>
      <c r="OBF18" s="7"/>
      <c r="OBG18" s="7"/>
      <c r="OBH18" s="7"/>
      <c r="OBI18" s="7"/>
      <c r="OBJ18" s="7"/>
      <c r="OBK18" s="7"/>
      <c r="OBL18" s="7"/>
      <c r="OBM18" s="7"/>
      <c r="OBN18" s="7"/>
      <c r="OBO18" s="7"/>
      <c r="OBP18" s="7"/>
      <c r="OBQ18" s="7"/>
      <c r="OBR18" s="7"/>
      <c r="OBS18" s="7"/>
      <c r="OBT18" s="7"/>
      <c r="OBU18" s="7"/>
      <c r="OBV18" s="7"/>
      <c r="OBW18" s="7"/>
      <c r="OBX18" s="7"/>
      <c r="OBY18" s="7"/>
      <c r="OBZ18" s="7"/>
      <c r="OCA18" s="7"/>
      <c r="OCB18" s="7"/>
      <c r="OCC18" s="7"/>
      <c r="OCD18" s="7"/>
      <c r="OCE18" s="7"/>
      <c r="OCF18" s="7"/>
      <c r="OCG18" s="7"/>
      <c r="OCH18" s="7"/>
      <c r="OCI18" s="7"/>
      <c r="OCJ18" s="7"/>
      <c r="OCK18" s="7"/>
      <c r="OCL18" s="7"/>
      <c r="OCM18" s="7"/>
      <c r="OCN18" s="7"/>
      <c r="OCO18" s="7"/>
      <c r="OCP18" s="7"/>
      <c r="OCQ18" s="7"/>
      <c r="OCR18" s="7"/>
      <c r="OCS18" s="7"/>
      <c r="OCT18" s="7"/>
      <c r="OCU18" s="7"/>
      <c r="OCV18" s="7"/>
      <c r="OCW18" s="7"/>
      <c r="OCX18" s="7"/>
      <c r="OCY18" s="7"/>
      <c r="OCZ18" s="7"/>
      <c r="ODA18" s="7"/>
      <c r="ODB18" s="7"/>
      <c r="ODC18" s="7"/>
      <c r="ODD18" s="7"/>
      <c r="ODE18" s="7"/>
      <c r="ODF18" s="7"/>
      <c r="ODG18" s="7"/>
      <c r="ODH18" s="7"/>
      <c r="ODI18" s="7"/>
      <c r="ODJ18" s="7"/>
      <c r="ODK18" s="7"/>
      <c r="ODL18" s="7"/>
      <c r="ODM18" s="7"/>
      <c r="ODN18" s="7"/>
      <c r="ODO18" s="7"/>
      <c r="ODP18" s="7"/>
      <c r="ODQ18" s="7"/>
      <c r="ODR18" s="7"/>
      <c r="ODS18" s="7"/>
      <c r="ODT18" s="7"/>
      <c r="ODU18" s="7"/>
      <c r="ODV18" s="7"/>
      <c r="ODW18" s="7"/>
      <c r="ODX18" s="7"/>
      <c r="ODY18" s="7"/>
      <c r="ODZ18" s="7"/>
      <c r="OEA18" s="7"/>
      <c r="OEB18" s="7"/>
      <c r="OEC18" s="7"/>
      <c r="OED18" s="7"/>
      <c r="OEE18" s="7"/>
      <c r="OEF18" s="7"/>
      <c r="OEG18" s="7"/>
      <c r="OEH18" s="7"/>
      <c r="OEI18" s="7"/>
      <c r="OEJ18" s="7"/>
      <c r="OEK18" s="7"/>
      <c r="OEL18" s="7"/>
      <c r="OEM18" s="7"/>
      <c r="OEN18" s="7"/>
      <c r="OEO18" s="7"/>
      <c r="OEP18" s="7"/>
      <c r="OEQ18" s="7"/>
      <c r="OER18" s="7"/>
      <c r="OES18" s="7"/>
      <c r="OET18" s="7"/>
      <c r="OEU18" s="7"/>
      <c r="OEV18" s="7"/>
      <c r="OEW18" s="7"/>
      <c r="OEX18" s="7"/>
      <c r="OEY18" s="7"/>
      <c r="OEZ18" s="7"/>
      <c r="OFA18" s="7"/>
      <c r="OFB18" s="7"/>
      <c r="OFC18" s="7"/>
      <c r="OFD18" s="7"/>
      <c r="OFE18" s="7"/>
      <c r="OFF18" s="7"/>
      <c r="OFG18" s="7"/>
      <c r="OFH18" s="7"/>
      <c r="OFI18" s="7"/>
      <c r="OFJ18" s="7"/>
      <c r="OFK18" s="7"/>
      <c r="OFL18" s="7"/>
      <c r="OFM18" s="7"/>
      <c r="OFN18" s="7"/>
      <c r="OFO18" s="7"/>
      <c r="OFP18" s="7"/>
      <c r="OFQ18" s="7"/>
      <c r="OFR18" s="7"/>
      <c r="OFS18" s="7"/>
      <c r="OFT18" s="7"/>
      <c r="OFU18" s="7"/>
      <c r="OFV18" s="7"/>
      <c r="OFW18" s="7"/>
      <c r="OFX18" s="7"/>
      <c r="OFY18" s="7"/>
      <c r="OFZ18" s="7"/>
      <c r="OGA18" s="7"/>
      <c r="OGB18" s="7"/>
      <c r="OGC18" s="7"/>
      <c r="OGD18" s="7"/>
      <c r="OGE18" s="7"/>
      <c r="OGF18" s="7"/>
      <c r="OGG18" s="7"/>
      <c r="OGH18" s="7"/>
      <c r="OGI18" s="7"/>
      <c r="OGJ18" s="7"/>
      <c r="OGK18" s="7"/>
      <c r="OGL18" s="7"/>
      <c r="OGM18" s="7"/>
      <c r="OGN18" s="7"/>
      <c r="OGO18" s="7"/>
      <c r="OGP18" s="7"/>
      <c r="OGQ18" s="7"/>
      <c r="OGR18" s="7"/>
      <c r="OGS18" s="7"/>
      <c r="OGT18" s="7"/>
      <c r="OGU18" s="7"/>
      <c r="OGV18" s="7"/>
      <c r="OGW18" s="7"/>
      <c r="OGX18" s="7"/>
      <c r="OGY18" s="7"/>
      <c r="OGZ18" s="7"/>
      <c r="OHA18" s="7"/>
      <c r="OHB18" s="7"/>
      <c r="OHC18" s="7"/>
      <c r="OHD18" s="7"/>
      <c r="OHE18" s="7"/>
      <c r="OHF18" s="7"/>
      <c r="OHG18" s="7"/>
      <c r="OHH18" s="7"/>
      <c r="OHI18" s="7"/>
      <c r="OHJ18" s="7"/>
      <c r="OHK18" s="7"/>
      <c r="OHL18" s="7"/>
      <c r="OHM18" s="7"/>
      <c r="OHN18" s="7"/>
      <c r="OHO18" s="7"/>
      <c r="OHP18" s="7"/>
      <c r="OHQ18" s="7"/>
      <c r="OHR18" s="7"/>
      <c r="OHS18" s="7"/>
      <c r="OHT18" s="7"/>
      <c r="OHU18" s="7"/>
      <c r="OHV18" s="7"/>
      <c r="OHW18" s="7"/>
      <c r="OHX18" s="7"/>
      <c r="OHY18" s="7"/>
      <c r="OHZ18" s="7"/>
      <c r="OIA18" s="7"/>
      <c r="OIB18" s="7"/>
      <c r="OIC18" s="7"/>
      <c r="OID18" s="7"/>
      <c r="OIE18" s="7"/>
      <c r="OIF18" s="7"/>
      <c r="OIG18" s="7"/>
      <c r="OIH18" s="7"/>
      <c r="OII18" s="7"/>
      <c r="OIJ18" s="7"/>
      <c r="OIK18" s="7"/>
      <c r="OIL18" s="7"/>
      <c r="OIM18" s="7"/>
      <c r="OIN18" s="7"/>
      <c r="OIO18" s="7"/>
      <c r="OIP18" s="7"/>
      <c r="OIQ18" s="7"/>
      <c r="OIR18" s="7"/>
      <c r="OIS18" s="7"/>
      <c r="OIT18" s="7"/>
      <c r="OIU18" s="7"/>
      <c r="OIV18" s="7"/>
      <c r="OIW18" s="7"/>
      <c r="OIX18" s="7"/>
      <c r="OIY18" s="7"/>
      <c r="OIZ18" s="7"/>
      <c r="OJA18" s="7"/>
      <c r="OJB18" s="7"/>
      <c r="OJC18" s="7"/>
      <c r="OJD18" s="7"/>
      <c r="OJE18" s="7"/>
      <c r="OJF18" s="7"/>
      <c r="OJG18" s="7"/>
      <c r="OJH18" s="7"/>
      <c r="OJI18" s="7"/>
      <c r="OJJ18" s="7"/>
      <c r="OJK18" s="7"/>
      <c r="OJL18" s="7"/>
      <c r="OJM18" s="7"/>
      <c r="OJN18" s="7"/>
      <c r="OJO18" s="7"/>
      <c r="OJP18" s="7"/>
      <c r="OJQ18" s="7"/>
      <c r="OJR18" s="7"/>
      <c r="OJS18" s="7"/>
      <c r="OJT18" s="7"/>
      <c r="OJU18" s="7"/>
      <c r="OJV18" s="7"/>
      <c r="OJW18" s="7"/>
      <c r="OJX18" s="7"/>
      <c r="OJY18" s="7"/>
      <c r="OJZ18" s="7"/>
      <c r="OKA18" s="7"/>
      <c r="OKB18" s="7"/>
      <c r="OKC18" s="7"/>
      <c r="OKD18" s="7"/>
      <c r="OKE18" s="7"/>
      <c r="OKF18" s="7"/>
      <c r="OKG18" s="7"/>
      <c r="OKH18" s="7"/>
      <c r="OKI18" s="7"/>
      <c r="OKJ18" s="7"/>
      <c r="OKK18" s="7"/>
      <c r="OKL18" s="7"/>
      <c r="OKM18" s="7"/>
      <c r="OKN18" s="7"/>
      <c r="OKO18" s="7"/>
      <c r="OKP18" s="7"/>
      <c r="OKQ18" s="7"/>
      <c r="OKR18" s="7"/>
      <c r="OKS18" s="7"/>
      <c r="OKT18" s="7"/>
      <c r="OKU18" s="7"/>
      <c r="OKV18" s="7"/>
      <c r="OKW18" s="7"/>
      <c r="OKX18" s="7"/>
      <c r="OKY18" s="7"/>
      <c r="OKZ18" s="7"/>
      <c r="OLA18" s="7"/>
      <c r="OLB18" s="7"/>
      <c r="OLC18" s="7"/>
      <c r="OLD18" s="7"/>
      <c r="OLE18" s="7"/>
      <c r="OLF18" s="7"/>
      <c r="OLG18" s="7"/>
      <c r="OLH18" s="7"/>
      <c r="OLI18" s="7"/>
      <c r="OLJ18" s="7"/>
      <c r="OLK18" s="7"/>
      <c r="OLL18" s="7"/>
      <c r="OLM18" s="7"/>
      <c r="OLN18" s="7"/>
      <c r="OLO18" s="7"/>
      <c r="OLP18" s="7"/>
      <c r="OLQ18" s="7"/>
      <c r="OLR18" s="7"/>
      <c r="OLS18" s="7"/>
      <c r="OLT18" s="7"/>
      <c r="OLU18" s="7"/>
      <c r="OLV18" s="7"/>
      <c r="OLW18" s="7"/>
      <c r="OLX18" s="7"/>
      <c r="OLY18" s="7"/>
      <c r="OLZ18" s="7"/>
      <c r="OMA18" s="7"/>
      <c r="OMB18" s="7"/>
      <c r="OMC18" s="7"/>
      <c r="OMD18" s="7"/>
      <c r="OME18" s="7"/>
      <c r="OMF18" s="7"/>
      <c r="OMG18" s="7"/>
      <c r="OMH18" s="7"/>
      <c r="OMI18" s="7"/>
      <c r="OMJ18" s="7"/>
      <c r="OMK18" s="7"/>
      <c r="OML18" s="7"/>
      <c r="OMM18" s="7"/>
      <c r="OMN18" s="7"/>
      <c r="OMO18" s="7"/>
      <c r="OMP18" s="7"/>
      <c r="OMQ18" s="7"/>
      <c r="OMR18" s="7"/>
      <c r="OMS18" s="7"/>
      <c r="OMT18" s="7"/>
      <c r="OMU18" s="7"/>
      <c r="OMV18" s="7"/>
      <c r="OMW18" s="7"/>
      <c r="OMX18" s="7"/>
      <c r="OMY18" s="7"/>
      <c r="OMZ18" s="7"/>
      <c r="ONA18" s="7"/>
      <c r="ONB18" s="7"/>
      <c r="ONC18" s="7"/>
      <c r="OND18" s="7"/>
      <c r="ONE18" s="7"/>
      <c r="ONF18" s="7"/>
      <c r="ONG18" s="7"/>
      <c r="ONH18" s="7"/>
      <c r="ONI18" s="7"/>
      <c r="ONJ18" s="7"/>
      <c r="ONK18" s="7"/>
      <c r="ONL18" s="7"/>
      <c r="ONM18" s="7"/>
      <c r="ONN18" s="7"/>
      <c r="ONO18" s="7"/>
      <c r="ONP18" s="7"/>
      <c r="ONQ18" s="7"/>
      <c r="ONR18" s="7"/>
      <c r="ONS18" s="7"/>
      <c r="ONT18" s="7"/>
      <c r="ONU18" s="7"/>
      <c r="ONV18" s="7"/>
      <c r="ONW18" s="7"/>
      <c r="ONX18" s="7"/>
      <c r="ONY18" s="7"/>
      <c r="ONZ18" s="7"/>
      <c r="OOA18" s="7"/>
      <c r="OOB18" s="7"/>
      <c r="OOC18" s="7"/>
      <c r="OOD18" s="7"/>
      <c r="OOE18" s="7"/>
      <c r="OOF18" s="7"/>
      <c r="OOG18" s="7"/>
      <c r="OOH18" s="7"/>
      <c r="OOI18" s="7"/>
      <c r="OOJ18" s="7"/>
      <c r="OOK18" s="7"/>
      <c r="OOL18" s="7"/>
      <c r="OOM18" s="7"/>
      <c r="OON18" s="7"/>
      <c r="OOO18" s="7"/>
      <c r="OOP18" s="7"/>
      <c r="OOQ18" s="7"/>
      <c r="OOR18" s="7"/>
      <c r="OOS18" s="7"/>
      <c r="OOT18" s="7"/>
      <c r="OOU18" s="7"/>
      <c r="OOV18" s="7"/>
      <c r="OOW18" s="7"/>
      <c r="OOX18" s="7"/>
      <c r="OOY18" s="7"/>
      <c r="OOZ18" s="7"/>
      <c r="OPA18" s="7"/>
      <c r="OPB18" s="7"/>
      <c r="OPC18" s="7"/>
      <c r="OPD18" s="7"/>
      <c r="OPE18" s="7"/>
      <c r="OPF18" s="7"/>
      <c r="OPG18" s="7"/>
      <c r="OPH18" s="7"/>
      <c r="OPI18" s="7"/>
      <c r="OPJ18" s="7"/>
      <c r="OPK18" s="7"/>
      <c r="OPL18" s="7"/>
      <c r="OPM18" s="7"/>
      <c r="OPN18" s="7"/>
      <c r="OPO18" s="7"/>
      <c r="OPP18" s="7"/>
      <c r="OPQ18" s="7"/>
      <c r="OPR18" s="7"/>
      <c r="OPS18" s="7"/>
      <c r="OPT18" s="7"/>
      <c r="OPU18" s="7"/>
      <c r="OPV18" s="7"/>
      <c r="OPW18" s="7"/>
      <c r="OPX18" s="7"/>
      <c r="OPY18" s="7"/>
      <c r="OPZ18" s="7"/>
      <c r="OQA18" s="7"/>
      <c r="OQB18" s="7"/>
      <c r="OQC18" s="7"/>
      <c r="OQD18" s="7"/>
      <c r="OQE18" s="7"/>
      <c r="OQF18" s="7"/>
      <c r="OQG18" s="7"/>
      <c r="OQH18" s="7"/>
      <c r="OQI18" s="7"/>
      <c r="OQJ18" s="7"/>
      <c r="OQK18" s="7"/>
      <c r="OQL18" s="7"/>
      <c r="OQM18" s="7"/>
      <c r="OQN18" s="7"/>
      <c r="OQO18" s="7"/>
      <c r="OQP18" s="7"/>
      <c r="OQQ18" s="7"/>
      <c r="OQR18" s="7"/>
      <c r="OQS18" s="7"/>
      <c r="OQT18" s="7"/>
      <c r="OQU18" s="7"/>
      <c r="OQV18" s="7"/>
      <c r="OQW18" s="7"/>
      <c r="OQX18" s="7"/>
      <c r="OQY18" s="7"/>
      <c r="OQZ18" s="7"/>
      <c r="ORA18" s="7"/>
      <c r="ORB18" s="7"/>
      <c r="ORC18" s="7"/>
      <c r="ORD18" s="7"/>
      <c r="ORE18" s="7"/>
      <c r="ORF18" s="7"/>
      <c r="ORG18" s="7"/>
      <c r="ORH18" s="7"/>
      <c r="ORI18" s="7"/>
      <c r="ORJ18" s="7"/>
      <c r="ORK18" s="7"/>
      <c r="ORL18" s="7"/>
      <c r="ORM18" s="7"/>
      <c r="ORN18" s="7"/>
      <c r="ORO18" s="7"/>
      <c r="ORP18" s="7"/>
      <c r="ORQ18" s="7"/>
      <c r="ORR18" s="7"/>
      <c r="ORS18" s="7"/>
      <c r="ORT18" s="7"/>
      <c r="ORU18" s="7"/>
      <c r="ORV18" s="7"/>
      <c r="ORW18" s="7"/>
      <c r="ORX18" s="7"/>
      <c r="ORY18" s="7"/>
      <c r="ORZ18" s="7"/>
      <c r="OSA18" s="7"/>
      <c r="OSB18" s="7"/>
      <c r="OSC18" s="7"/>
      <c r="OSD18" s="7"/>
      <c r="OSE18" s="7"/>
      <c r="OSF18" s="7"/>
      <c r="OSG18" s="7"/>
      <c r="OSH18" s="7"/>
      <c r="OSI18" s="7"/>
      <c r="OSJ18" s="7"/>
      <c r="OSK18" s="7"/>
      <c r="OSL18" s="7"/>
      <c r="OSM18" s="7"/>
      <c r="OSN18" s="7"/>
      <c r="OSO18" s="7"/>
      <c r="OSP18" s="7"/>
      <c r="OSQ18" s="7"/>
      <c r="OSR18" s="7"/>
      <c r="OSS18" s="7"/>
      <c r="OST18" s="7"/>
      <c r="OSU18" s="7"/>
      <c r="OSV18" s="7"/>
      <c r="OSW18" s="7"/>
      <c r="OSX18" s="7"/>
      <c r="OSY18" s="7"/>
      <c r="OSZ18" s="7"/>
      <c r="OTA18" s="7"/>
      <c r="OTB18" s="7"/>
      <c r="OTC18" s="7"/>
      <c r="OTD18" s="7"/>
      <c r="OTE18" s="7"/>
      <c r="OTF18" s="7"/>
      <c r="OTG18" s="7"/>
      <c r="OTH18" s="7"/>
      <c r="OTI18" s="7"/>
      <c r="OTJ18" s="7"/>
      <c r="OTK18" s="7"/>
      <c r="OTL18" s="7"/>
      <c r="OTM18" s="7"/>
      <c r="OTN18" s="7"/>
      <c r="OTO18" s="7"/>
      <c r="OTP18" s="7"/>
      <c r="OTQ18" s="7"/>
      <c r="OTR18" s="7"/>
      <c r="OTS18" s="7"/>
      <c r="OTT18" s="7"/>
      <c r="OTU18" s="7"/>
      <c r="OTV18" s="7"/>
      <c r="OTW18" s="7"/>
      <c r="OTX18" s="7"/>
      <c r="OTY18" s="7"/>
      <c r="OTZ18" s="7"/>
      <c r="OUA18" s="7"/>
      <c r="OUB18" s="7"/>
      <c r="OUC18" s="7"/>
      <c r="OUD18" s="7"/>
      <c r="OUE18" s="7"/>
      <c r="OUF18" s="7"/>
      <c r="OUG18" s="7"/>
      <c r="OUH18" s="7"/>
      <c r="OUI18" s="7"/>
      <c r="OUJ18" s="7"/>
      <c r="OUK18" s="7"/>
      <c r="OUL18" s="7"/>
      <c r="OUM18" s="7"/>
      <c r="OUN18" s="7"/>
      <c r="OUO18" s="7"/>
      <c r="OUP18" s="7"/>
      <c r="OUQ18" s="7"/>
      <c r="OUR18" s="7"/>
      <c r="OUS18" s="7"/>
      <c r="OUT18" s="7"/>
      <c r="OUU18" s="7"/>
      <c r="OUV18" s="7"/>
      <c r="OUW18" s="7"/>
      <c r="OUX18" s="7"/>
      <c r="OUY18" s="7"/>
      <c r="OUZ18" s="7"/>
      <c r="OVA18" s="7"/>
      <c r="OVB18" s="7"/>
      <c r="OVC18" s="7"/>
      <c r="OVD18" s="7"/>
      <c r="OVE18" s="7"/>
      <c r="OVF18" s="7"/>
      <c r="OVG18" s="7"/>
      <c r="OVH18" s="7"/>
      <c r="OVI18" s="7"/>
      <c r="OVJ18" s="7"/>
      <c r="OVK18" s="7"/>
      <c r="OVL18" s="7"/>
      <c r="OVM18" s="7"/>
      <c r="OVN18" s="7"/>
      <c r="OVO18" s="7"/>
      <c r="OVP18" s="7"/>
      <c r="OVQ18" s="7"/>
      <c r="OVR18" s="7"/>
      <c r="OVS18" s="7"/>
      <c r="OVT18" s="7"/>
      <c r="OVU18" s="7"/>
      <c r="OVV18" s="7"/>
      <c r="OVW18" s="7"/>
      <c r="OVX18" s="7"/>
      <c r="OVY18" s="7"/>
      <c r="OVZ18" s="7"/>
      <c r="OWA18" s="7"/>
      <c r="OWB18" s="7"/>
      <c r="OWC18" s="7"/>
      <c r="OWD18" s="7"/>
      <c r="OWE18" s="7"/>
      <c r="OWF18" s="7"/>
      <c r="OWG18" s="7"/>
      <c r="OWH18" s="7"/>
      <c r="OWI18" s="7"/>
      <c r="OWJ18" s="7"/>
      <c r="OWK18" s="7"/>
      <c r="OWL18" s="7"/>
      <c r="OWM18" s="7"/>
      <c r="OWN18" s="7"/>
      <c r="OWO18" s="7"/>
      <c r="OWP18" s="7"/>
      <c r="OWQ18" s="7"/>
      <c r="OWR18" s="7"/>
      <c r="OWS18" s="7"/>
      <c r="OWT18" s="7"/>
      <c r="OWU18" s="7"/>
      <c r="OWV18" s="7"/>
      <c r="OWW18" s="7"/>
      <c r="OWX18" s="7"/>
      <c r="OWY18" s="7"/>
      <c r="OWZ18" s="7"/>
      <c r="OXA18" s="7"/>
      <c r="OXB18" s="7"/>
      <c r="OXC18" s="7"/>
      <c r="OXD18" s="7"/>
      <c r="OXE18" s="7"/>
      <c r="OXF18" s="7"/>
      <c r="OXG18" s="7"/>
      <c r="OXH18" s="7"/>
      <c r="OXI18" s="7"/>
      <c r="OXJ18" s="7"/>
      <c r="OXK18" s="7"/>
      <c r="OXL18" s="7"/>
      <c r="OXM18" s="7"/>
      <c r="OXN18" s="7"/>
      <c r="OXO18" s="7"/>
      <c r="OXP18" s="7"/>
      <c r="OXQ18" s="7"/>
      <c r="OXR18" s="7"/>
      <c r="OXS18" s="7"/>
      <c r="OXT18" s="7"/>
      <c r="OXU18" s="7"/>
      <c r="OXV18" s="7"/>
      <c r="OXW18" s="7"/>
      <c r="OXX18" s="7"/>
      <c r="OXY18" s="7"/>
      <c r="OXZ18" s="7"/>
      <c r="OYA18" s="7"/>
      <c r="OYB18" s="7"/>
      <c r="OYC18" s="7"/>
      <c r="OYD18" s="7"/>
      <c r="OYE18" s="7"/>
      <c r="OYF18" s="7"/>
      <c r="OYG18" s="7"/>
      <c r="OYH18" s="7"/>
      <c r="OYI18" s="7"/>
      <c r="OYJ18" s="7"/>
      <c r="OYK18" s="7"/>
      <c r="OYL18" s="7"/>
      <c r="OYM18" s="7"/>
      <c r="OYN18" s="7"/>
      <c r="OYO18" s="7"/>
      <c r="OYP18" s="7"/>
      <c r="OYQ18" s="7"/>
      <c r="OYR18" s="7"/>
      <c r="OYS18" s="7"/>
      <c r="OYT18" s="7"/>
      <c r="OYU18" s="7"/>
      <c r="OYV18" s="7"/>
      <c r="OYW18" s="7"/>
      <c r="OYX18" s="7"/>
      <c r="OYY18" s="7"/>
      <c r="OYZ18" s="7"/>
      <c r="OZA18" s="7"/>
      <c r="OZB18" s="7"/>
      <c r="OZC18" s="7"/>
      <c r="OZD18" s="7"/>
      <c r="OZE18" s="7"/>
      <c r="OZF18" s="7"/>
      <c r="OZG18" s="7"/>
      <c r="OZH18" s="7"/>
      <c r="OZI18" s="7"/>
      <c r="OZJ18" s="7"/>
      <c r="OZK18" s="7"/>
      <c r="OZL18" s="7"/>
      <c r="OZM18" s="7"/>
      <c r="OZN18" s="7"/>
      <c r="OZO18" s="7"/>
      <c r="OZP18" s="7"/>
      <c r="OZQ18" s="7"/>
      <c r="OZR18" s="7"/>
      <c r="OZS18" s="7"/>
      <c r="OZT18" s="7"/>
      <c r="OZU18" s="7"/>
      <c r="OZV18" s="7"/>
      <c r="OZW18" s="7"/>
      <c r="OZX18" s="7"/>
      <c r="OZY18" s="7"/>
      <c r="OZZ18" s="7"/>
      <c r="PAA18" s="7"/>
      <c r="PAB18" s="7"/>
      <c r="PAC18" s="7"/>
      <c r="PAD18" s="7"/>
      <c r="PAE18" s="7"/>
      <c r="PAF18" s="7"/>
      <c r="PAG18" s="7"/>
      <c r="PAH18" s="7"/>
      <c r="PAI18" s="7"/>
      <c r="PAJ18" s="7"/>
      <c r="PAK18" s="7"/>
      <c r="PAL18" s="7"/>
      <c r="PAM18" s="7"/>
      <c r="PAN18" s="7"/>
      <c r="PAO18" s="7"/>
      <c r="PAP18" s="7"/>
      <c r="PAQ18" s="7"/>
      <c r="PAR18" s="7"/>
      <c r="PAS18" s="7"/>
      <c r="PAT18" s="7"/>
      <c r="PAU18" s="7"/>
      <c r="PAV18" s="7"/>
      <c r="PAW18" s="7"/>
      <c r="PAX18" s="7"/>
      <c r="PAY18" s="7"/>
      <c r="PAZ18" s="7"/>
      <c r="PBA18" s="7"/>
      <c r="PBB18" s="7"/>
      <c r="PBC18" s="7"/>
      <c r="PBD18" s="7"/>
      <c r="PBE18" s="7"/>
      <c r="PBF18" s="7"/>
      <c r="PBG18" s="7"/>
      <c r="PBH18" s="7"/>
      <c r="PBI18" s="7"/>
      <c r="PBJ18" s="7"/>
      <c r="PBK18" s="7"/>
      <c r="PBL18" s="7"/>
      <c r="PBM18" s="7"/>
      <c r="PBN18" s="7"/>
      <c r="PBO18" s="7"/>
      <c r="PBP18" s="7"/>
      <c r="PBQ18" s="7"/>
      <c r="PBR18" s="7"/>
      <c r="PBS18" s="7"/>
      <c r="PBT18" s="7"/>
      <c r="PBU18" s="7"/>
      <c r="PBV18" s="7"/>
      <c r="PBW18" s="7"/>
      <c r="PBX18" s="7"/>
      <c r="PBY18" s="7"/>
      <c r="PBZ18" s="7"/>
      <c r="PCA18" s="7"/>
      <c r="PCB18" s="7"/>
      <c r="PCC18" s="7"/>
      <c r="PCD18" s="7"/>
      <c r="PCE18" s="7"/>
      <c r="PCF18" s="7"/>
      <c r="PCG18" s="7"/>
      <c r="PCH18" s="7"/>
      <c r="PCI18" s="7"/>
      <c r="PCJ18" s="7"/>
      <c r="PCK18" s="7"/>
      <c r="PCL18" s="7"/>
      <c r="PCM18" s="7"/>
      <c r="PCN18" s="7"/>
      <c r="PCO18" s="7"/>
      <c r="PCP18" s="7"/>
      <c r="PCQ18" s="7"/>
      <c r="PCR18" s="7"/>
      <c r="PCS18" s="7"/>
      <c r="PCT18" s="7"/>
      <c r="PCU18" s="7"/>
      <c r="PCV18" s="7"/>
      <c r="PCW18" s="7"/>
      <c r="PCX18" s="7"/>
      <c r="PCY18" s="7"/>
      <c r="PCZ18" s="7"/>
      <c r="PDA18" s="7"/>
      <c r="PDB18" s="7"/>
      <c r="PDC18" s="7"/>
      <c r="PDD18" s="7"/>
      <c r="PDE18" s="7"/>
      <c r="PDF18" s="7"/>
      <c r="PDG18" s="7"/>
      <c r="PDH18" s="7"/>
      <c r="PDI18" s="7"/>
      <c r="PDJ18" s="7"/>
      <c r="PDK18" s="7"/>
      <c r="PDL18" s="7"/>
      <c r="PDM18" s="7"/>
      <c r="PDN18" s="7"/>
      <c r="PDO18" s="7"/>
      <c r="PDP18" s="7"/>
      <c r="PDQ18" s="7"/>
      <c r="PDR18" s="7"/>
      <c r="PDS18" s="7"/>
      <c r="PDT18" s="7"/>
      <c r="PDU18" s="7"/>
      <c r="PDV18" s="7"/>
      <c r="PDW18" s="7"/>
      <c r="PDX18" s="7"/>
      <c r="PDY18" s="7"/>
      <c r="PDZ18" s="7"/>
      <c r="PEA18" s="7"/>
      <c r="PEB18" s="7"/>
      <c r="PEC18" s="7"/>
      <c r="PED18" s="7"/>
      <c r="PEE18" s="7"/>
      <c r="PEF18" s="7"/>
      <c r="PEG18" s="7"/>
      <c r="PEH18" s="7"/>
      <c r="PEI18" s="7"/>
      <c r="PEJ18" s="7"/>
      <c r="PEK18" s="7"/>
      <c r="PEL18" s="7"/>
      <c r="PEM18" s="7"/>
      <c r="PEN18" s="7"/>
      <c r="PEO18" s="7"/>
      <c r="PEP18" s="7"/>
      <c r="PEQ18" s="7"/>
      <c r="PER18" s="7"/>
      <c r="PES18" s="7"/>
      <c r="PET18" s="7"/>
      <c r="PEU18" s="7"/>
      <c r="PEV18" s="7"/>
      <c r="PEW18" s="7"/>
      <c r="PEX18" s="7"/>
      <c r="PEY18" s="7"/>
      <c r="PEZ18" s="7"/>
      <c r="PFA18" s="7"/>
      <c r="PFB18" s="7"/>
      <c r="PFC18" s="7"/>
      <c r="PFD18" s="7"/>
      <c r="PFE18" s="7"/>
      <c r="PFF18" s="7"/>
      <c r="PFG18" s="7"/>
      <c r="PFH18" s="7"/>
      <c r="PFI18" s="7"/>
      <c r="PFJ18" s="7"/>
      <c r="PFK18" s="7"/>
      <c r="PFL18" s="7"/>
      <c r="PFM18" s="7"/>
      <c r="PFN18" s="7"/>
      <c r="PFO18" s="7"/>
      <c r="PFP18" s="7"/>
      <c r="PFQ18" s="7"/>
      <c r="PFR18" s="7"/>
      <c r="PFS18" s="7"/>
      <c r="PFT18" s="7"/>
      <c r="PFU18" s="7"/>
      <c r="PFV18" s="7"/>
      <c r="PFW18" s="7"/>
      <c r="PFX18" s="7"/>
      <c r="PFY18" s="7"/>
      <c r="PFZ18" s="7"/>
      <c r="PGA18" s="7"/>
      <c r="PGB18" s="7"/>
      <c r="PGC18" s="7"/>
      <c r="PGD18" s="7"/>
      <c r="PGE18" s="7"/>
      <c r="PGF18" s="7"/>
      <c r="PGG18" s="7"/>
      <c r="PGH18" s="7"/>
      <c r="PGI18" s="7"/>
      <c r="PGJ18" s="7"/>
      <c r="PGK18" s="7"/>
      <c r="PGL18" s="7"/>
      <c r="PGM18" s="7"/>
      <c r="PGN18" s="7"/>
      <c r="PGO18" s="7"/>
      <c r="PGP18" s="7"/>
      <c r="PGQ18" s="7"/>
      <c r="PGR18" s="7"/>
      <c r="PGS18" s="7"/>
      <c r="PGT18" s="7"/>
      <c r="PGU18" s="7"/>
      <c r="PGV18" s="7"/>
      <c r="PGW18" s="7"/>
      <c r="PGX18" s="7"/>
      <c r="PGY18" s="7"/>
      <c r="PGZ18" s="7"/>
      <c r="PHA18" s="7"/>
      <c r="PHB18" s="7"/>
      <c r="PHC18" s="7"/>
      <c r="PHD18" s="7"/>
      <c r="PHE18" s="7"/>
      <c r="PHF18" s="7"/>
      <c r="PHG18" s="7"/>
      <c r="PHH18" s="7"/>
      <c r="PHI18" s="7"/>
      <c r="PHJ18" s="7"/>
      <c r="PHK18" s="7"/>
      <c r="PHL18" s="7"/>
      <c r="PHM18" s="7"/>
      <c r="PHN18" s="7"/>
      <c r="PHO18" s="7"/>
      <c r="PHP18" s="7"/>
      <c r="PHQ18" s="7"/>
      <c r="PHR18" s="7"/>
      <c r="PHS18" s="7"/>
      <c r="PHT18" s="7"/>
      <c r="PHU18" s="7"/>
      <c r="PHV18" s="7"/>
      <c r="PHW18" s="7"/>
      <c r="PHX18" s="7"/>
      <c r="PHY18" s="7"/>
      <c r="PHZ18" s="7"/>
      <c r="PIA18" s="7"/>
      <c r="PIB18" s="7"/>
      <c r="PIC18" s="7"/>
      <c r="PID18" s="7"/>
      <c r="PIE18" s="7"/>
      <c r="PIF18" s="7"/>
      <c r="PIG18" s="7"/>
      <c r="PIH18" s="7"/>
      <c r="PII18" s="7"/>
      <c r="PIJ18" s="7"/>
      <c r="PIK18" s="7"/>
      <c r="PIL18" s="7"/>
      <c r="PIM18" s="7"/>
      <c r="PIN18" s="7"/>
      <c r="PIO18" s="7"/>
      <c r="PIP18" s="7"/>
      <c r="PIQ18" s="7"/>
      <c r="PIR18" s="7"/>
      <c r="PIS18" s="7"/>
      <c r="PIT18" s="7"/>
      <c r="PIU18" s="7"/>
      <c r="PIV18" s="7"/>
      <c r="PIW18" s="7"/>
      <c r="PIX18" s="7"/>
      <c r="PIY18" s="7"/>
      <c r="PIZ18" s="7"/>
      <c r="PJA18" s="7"/>
      <c r="PJB18" s="7"/>
      <c r="PJC18" s="7"/>
      <c r="PJD18" s="7"/>
      <c r="PJE18" s="7"/>
      <c r="PJF18" s="7"/>
      <c r="PJG18" s="7"/>
      <c r="PJH18" s="7"/>
      <c r="PJI18" s="7"/>
      <c r="PJJ18" s="7"/>
      <c r="PJK18" s="7"/>
      <c r="PJL18" s="7"/>
      <c r="PJM18" s="7"/>
      <c r="PJN18" s="7"/>
      <c r="PJO18" s="7"/>
      <c r="PJP18" s="7"/>
      <c r="PJQ18" s="7"/>
      <c r="PJR18" s="7"/>
      <c r="PJS18" s="7"/>
      <c r="PJT18" s="7"/>
      <c r="PJU18" s="7"/>
      <c r="PJV18" s="7"/>
      <c r="PJW18" s="7"/>
      <c r="PJX18" s="7"/>
      <c r="PJY18" s="7"/>
      <c r="PJZ18" s="7"/>
      <c r="PKA18" s="7"/>
      <c r="PKB18" s="7"/>
      <c r="PKC18" s="7"/>
      <c r="PKD18" s="7"/>
      <c r="PKE18" s="7"/>
      <c r="PKF18" s="7"/>
      <c r="PKG18" s="7"/>
      <c r="PKH18" s="7"/>
      <c r="PKI18" s="7"/>
      <c r="PKJ18" s="7"/>
      <c r="PKK18" s="7"/>
      <c r="PKL18" s="7"/>
      <c r="PKM18" s="7"/>
      <c r="PKN18" s="7"/>
      <c r="PKO18" s="7"/>
      <c r="PKP18" s="7"/>
      <c r="PKQ18" s="7"/>
      <c r="PKR18" s="7"/>
      <c r="PKS18" s="7"/>
      <c r="PKT18" s="7"/>
      <c r="PKU18" s="7"/>
      <c r="PKV18" s="7"/>
      <c r="PKW18" s="7"/>
      <c r="PKX18" s="7"/>
      <c r="PKY18" s="7"/>
      <c r="PKZ18" s="7"/>
      <c r="PLA18" s="7"/>
      <c r="PLB18" s="7"/>
      <c r="PLC18" s="7"/>
      <c r="PLD18" s="7"/>
      <c r="PLE18" s="7"/>
      <c r="PLF18" s="7"/>
      <c r="PLG18" s="7"/>
      <c r="PLH18" s="7"/>
      <c r="PLI18" s="7"/>
      <c r="PLJ18" s="7"/>
      <c r="PLK18" s="7"/>
      <c r="PLL18" s="7"/>
      <c r="PLM18" s="7"/>
      <c r="PLN18" s="7"/>
      <c r="PLO18" s="7"/>
      <c r="PLP18" s="7"/>
      <c r="PLQ18" s="7"/>
      <c r="PLR18" s="7"/>
      <c r="PLS18" s="7"/>
      <c r="PLT18" s="7"/>
      <c r="PLU18" s="7"/>
      <c r="PLV18" s="7"/>
      <c r="PLW18" s="7"/>
      <c r="PLX18" s="7"/>
      <c r="PLY18" s="7"/>
      <c r="PLZ18" s="7"/>
      <c r="PMA18" s="7"/>
      <c r="PMB18" s="7"/>
      <c r="PMC18" s="7"/>
      <c r="PMD18" s="7"/>
      <c r="PME18" s="7"/>
      <c r="PMF18" s="7"/>
      <c r="PMG18" s="7"/>
      <c r="PMH18" s="7"/>
      <c r="PMI18" s="7"/>
      <c r="PMJ18" s="7"/>
      <c r="PMK18" s="7"/>
      <c r="PML18" s="7"/>
      <c r="PMM18" s="7"/>
      <c r="PMN18" s="7"/>
      <c r="PMO18" s="7"/>
      <c r="PMP18" s="7"/>
      <c r="PMQ18" s="7"/>
      <c r="PMR18" s="7"/>
      <c r="PMS18" s="7"/>
      <c r="PMT18" s="7"/>
      <c r="PMU18" s="7"/>
      <c r="PMV18" s="7"/>
      <c r="PMW18" s="7"/>
      <c r="PMX18" s="7"/>
      <c r="PMY18" s="7"/>
      <c r="PMZ18" s="7"/>
      <c r="PNA18" s="7"/>
      <c r="PNB18" s="7"/>
      <c r="PNC18" s="7"/>
      <c r="PND18" s="7"/>
      <c r="PNE18" s="7"/>
      <c r="PNF18" s="7"/>
      <c r="PNG18" s="7"/>
      <c r="PNH18" s="7"/>
      <c r="PNI18" s="7"/>
      <c r="PNJ18" s="7"/>
      <c r="PNK18" s="7"/>
      <c r="PNL18" s="7"/>
      <c r="PNM18" s="7"/>
      <c r="PNN18" s="7"/>
      <c r="PNO18" s="7"/>
      <c r="PNP18" s="7"/>
      <c r="PNQ18" s="7"/>
      <c r="PNR18" s="7"/>
      <c r="PNS18" s="7"/>
      <c r="PNT18" s="7"/>
      <c r="PNU18" s="7"/>
      <c r="PNV18" s="7"/>
      <c r="PNW18" s="7"/>
      <c r="PNX18" s="7"/>
      <c r="PNY18" s="7"/>
      <c r="PNZ18" s="7"/>
      <c r="POA18" s="7"/>
      <c r="POB18" s="7"/>
      <c r="POC18" s="7"/>
      <c r="POD18" s="7"/>
      <c r="POE18" s="7"/>
      <c r="POF18" s="7"/>
      <c r="POG18" s="7"/>
      <c r="POH18" s="7"/>
      <c r="POI18" s="7"/>
      <c r="POJ18" s="7"/>
      <c r="POK18" s="7"/>
      <c r="POL18" s="7"/>
      <c r="POM18" s="7"/>
      <c r="PON18" s="7"/>
      <c r="POO18" s="7"/>
      <c r="POP18" s="7"/>
      <c r="POQ18" s="7"/>
      <c r="POR18" s="7"/>
      <c r="POS18" s="7"/>
      <c r="POT18" s="7"/>
      <c r="POU18" s="7"/>
      <c r="POV18" s="7"/>
      <c r="POW18" s="7"/>
      <c r="POX18" s="7"/>
      <c r="POY18" s="7"/>
      <c r="POZ18" s="7"/>
      <c r="PPA18" s="7"/>
      <c r="PPB18" s="7"/>
      <c r="PPC18" s="7"/>
      <c r="PPD18" s="7"/>
      <c r="PPE18" s="7"/>
      <c r="PPF18" s="7"/>
      <c r="PPG18" s="7"/>
      <c r="PPH18" s="7"/>
      <c r="PPI18" s="7"/>
      <c r="PPJ18" s="7"/>
      <c r="PPK18" s="7"/>
      <c r="PPL18" s="7"/>
      <c r="PPM18" s="7"/>
      <c r="PPN18" s="7"/>
      <c r="PPO18" s="7"/>
      <c r="PPP18" s="7"/>
      <c r="PPQ18" s="7"/>
      <c r="PPR18" s="7"/>
      <c r="PPS18" s="7"/>
      <c r="PPT18" s="7"/>
      <c r="PPU18" s="7"/>
      <c r="PPV18" s="7"/>
      <c r="PPW18" s="7"/>
      <c r="PPX18" s="7"/>
      <c r="PPY18" s="7"/>
      <c r="PPZ18" s="7"/>
      <c r="PQA18" s="7"/>
      <c r="PQB18" s="7"/>
      <c r="PQC18" s="7"/>
      <c r="PQD18" s="7"/>
      <c r="PQE18" s="7"/>
      <c r="PQF18" s="7"/>
      <c r="PQG18" s="7"/>
      <c r="PQH18" s="7"/>
      <c r="PQI18" s="7"/>
      <c r="PQJ18" s="7"/>
      <c r="PQK18" s="7"/>
      <c r="PQL18" s="7"/>
      <c r="PQM18" s="7"/>
      <c r="PQN18" s="7"/>
      <c r="PQO18" s="7"/>
      <c r="PQP18" s="7"/>
      <c r="PQQ18" s="7"/>
      <c r="PQR18" s="7"/>
      <c r="PQS18" s="7"/>
      <c r="PQT18" s="7"/>
      <c r="PQU18" s="7"/>
      <c r="PQV18" s="7"/>
      <c r="PQW18" s="7"/>
      <c r="PQX18" s="7"/>
      <c r="PQY18" s="7"/>
      <c r="PQZ18" s="7"/>
      <c r="PRA18" s="7"/>
      <c r="PRB18" s="7"/>
      <c r="PRC18" s="7"/>
      <c r="PRD18" s="7"/>
      <c r="PRE18" s="7"/>
      <c r="PRF18" s="7"/>
      <c r="PRG18" s="7"/>
      <c r="PRH18" s="7"/>
      <c r="PRI18" s="7"/>
      <c r="PRJ18" s="7"/>
      <c r="PRK18" s="7"/>
      <c r="PRL18" s="7"/>
      <c r="PRM18" s="7"/>
      <c r="PRN18" s="7"/>
      <c r="PRO18" s="7"/>
      <c r="PRP18" s="7"/>
      <c r="PRQ18" s="7"/>
      <c r="PRR18" s="7"/>
      <c r="PRS18" s="7"/>
      <c r="PRT18" s="7"/>
      <c r="PRU18" s="7"/>
      <c r="PRV18" s="7"/>
      <c r="PRW18" s="7"/>
      <c r="PRX18" s="7"/>
      <c r="PRY18" s="7"/>
      <c r="PRZ18" s="7"/>
      <c r="PSA18" s="7"/>
      <c r="PSB18" s="7"/>
      <c r="PSC18" s="7"/>
      <c r="PSD18" s="7"/>
      <c r="PSE18" s="7"/>
      <c r="PSF18" s="7"/>
      <c r="PSG18" s="7"/>
      <c r="PSH18" s="7"/>
      <c r="PSI18" s="7"/>
      <c r="PSJ18" s="7"/>
      <c r="PSK18" s="7"/>
      <c r="PSL18" s="7"/>
      <c r="PSM18" s="7"/>
      <c r="PSN18" s="7"/>
      <c r="PSO18" s="7"/>
      <c r="PSP18" s="7"/>
      <c r="PSQ18" s="7"/>
      <c r="PSR18" s="7"/>
      <c r="PSS18" s="7"/>
      <c r="PST18" s="7"/>
      <c r="PSU18" s="7"/>
      <c r="PSV18" s="7"/>
      <c r="PSW18" s="7"/>
      <c r="PSX18" s="7"/>
      <c r="PSY18" s="7"/>
      <c r="PSZ18" s="7"/>
      <c r="PTA18" s="7"/>
      <c r="PTB18" s="7"/>
      <c r="PTC18" s="7"/>
      <c r="PTD18" s="7"/>
      <c r="PTE18" s="7"/>
      <c r="PTF18" s="7"/>
      <c r="PTG18" s="7"/>
      <c r="PTH18" s="7"/>
      <c r="PTI18" s="7"/>
      <c r="PTJ18" s="7"/>
      <c r="PTK18" s="7"/>
      <c r="PTL18" s="7"/>
      <c r="PTM18" s="7"/>
      <c r="PTN18" s="7"/>
      <c r="PTO18" s="7"/>
      <c r="PTP18" s="7"/>
      <c r="PTQ18" s="7"/>
      <c r="PTR18" s="7"/>
      <c r="PTS18" s="7"/>
      <c r="PTT18" s="7"/>
      <c r="PTU18" s="7"/>
      <c r="PTV18" s="7"/>
      <c r="PTW18" s="7"/>
      <c r="PTX18" s="7"/>
      <c r="PTY18" s="7"/>
      <c r="PTZ18" s="7"/>
      <c r="PUA18" s="7"/>
      <c r="PUB18" s="7"/>
      <c r="PUC18" s="7"/>
      <c r="PUD18" s="7"/>
      <c r="PUE18" s="7"/>
      <c r="PUF18" s="7"/>
      <c r="PUG18" s="7"/>
      <c r="PUH18" s="7"/>
      <c r="PUI18" s="7"/>
      <c r="PUJ18" s="7"/>
      <c r="PUK18" s="7"/>
      <c r="PUL18" s="7"/>
      <c r="PUM18" s="7"/>
      <c r="PUN18" s="7"/>
      <c r="PUO18" s="7"/>
      <c r="PUP18" s="7"/>
      <c r="PUQ18" s="7"/>
      <c r="PUR18" s="7"/>
      <c r="PUS18" s="7"/>
      <c r="PUT18" s="7"/>
      <c r="PUU18" s="7"/>
      <c r="PUV18" s="7"/>
      <c r="PUW18" s="7"/>
      <c r="PUX18" s="7"/>
      <c r="PUY18" s="7"/>
      <c r="PUZ18" s="7"/>
      <c r="PVA18" s="7"/>
      <c r="PVB18" s="7"/>
      <c r="PVC18" s="7"/>
      <c r="PVD18" s="7"/>
      <c r="PVE18" s="7"/>
      <c r="PVF18" s="7"/>
      <c r="PVG18" s="7"/>
      <c r="PVH18" s="7"/>
      <c r="PVI18" s="7"/>
      <c r="PVJ18" s="7"/>
      <c r="PVK18" s="7"/>
      <c r="PVL18" s="7"/>
      <c r="PVM18" s="7"/>
      <c r="PVN18" s="7"/>
      <c r="PVO18" s="7"/>
      <c r="PVP18" s="7"/>
      <c r="PVQ18" s="7"/>
      <c r="PVR18" s="7"/>
      <c r="PVS18" s="7"/>
      <c r="PVT18" s="7"/>
      <c r="PVU18" s="7"/>
      <c r="PVV18" s="7"/>
      <c r="PVW18" s="7"/>
      <c r="PVX18" s="7"/>
      <c r="PVY18" s="7"/>
      <c r="PVZ18" s="7"/>
      <c r="PWA18" s="7"/>
      <c r="PWB18" s="7"/>
      <c r="PWC18" s="7"/>
      <c r="PWD18" s="7"/>
      <c r="PWE18" s="7"/>
      <c r="PWF18" s="7"/>
      <c r="PWG18" s="7"/>
      <c r="PWH18" s="7"/>
      <c r="PWI18" s="7"/>
      <c r="PWJ18" s="7"/>
      <c r="PWK18" s="7"/>
      <c r="PWL18" s="7"/>
      <c r="PWM18" s="7"/>
      <c r="PWN18" s="7"/>
      <c r="PWO18" s="7"/>
      <c r="PWP18" s="7"/>
      <c r="PWQ18" s="7"/>
      <c r="PWR18" s="7"/>
      <c r="PWS18" s="7"/>
      <c r="PWT18" s="7"/>
      <c r="PWU18" s="7"/>
      <c r="PWV18" s="7"/>
      <c r="PWW18" s="7"/>
      <c r="PWX18" s="7"/>
      <c r="PWY18" s="7"/>
      <c r="PWZ18" s="7"/>
      <c r="PXA18" s="7"/>
      <c r="PXB18" s="7"/>
      <c r="PXC18" s="7"/>
      <c r="PXD18" s="7"/>
      <c r="PXE18" s="7"/>
      <c r="PXF18" s="7"/>
      <c r="PXG18" s="7"/>
      <c r="PXH18" s="7"/>
      <c r="PXI18" s="7"/>
      <c r="PXJ18" s="7"/>
      <c r="PXK18" s="7"/>
      <c r="PXL18" s="7"/>
      <c r="PXM18" s="7"/>
      <c r="PXN18" s="7"/>
      <c r="PXO18" s="7"/>
      <c r="PXP18" s="7"/>
      <c r="PXQ18" s="7"/>
      <c r="PXR18" s="7"/>
      <c r="PXS18" s="7"/>
      <c r="PXT18" s="7"/>
      <c r="PXU18" s="7"/>
      <c r="PXV18" s="7"/>
      <c r="PXW18" s="7"/>
      <c r="PXX18" s="7"/>
      <c r="PXY18" s="7"/>
      <c r="PXZ18" s="7"/>
      <c r="PYA18" s="7"/>
      <c r="PYB18" s="7"/>
      <c r="PYC18" s="7"/>
      <c r="PYD18" s="7"/>
      <c r="PYE18" s="7"/>
      <c r="PYF18" s="7"/>
      <c r="PYG18" s="7"/>
      <c r="PYH18" s="7"/>
      <c r="PYI18" s="7"/>
      <c r="PYJ18" s="7"/>
      <c r="PYK18" s="7"/>
      <c r="PYL18" s="7"/>
      <c r="PYM18" s="7"/>
      <c r="PYN18" s="7"/>
      <c r="PYO18" s="7"/>
      <c r="PYP18" s="7"/>
      <c r="PYQ18" s="7"/>
      <c r="PYR18" s="7"/>
      <c r="PYS18" s="7"/>
      <c r="PYT18" s="7"/>
      <c r="PYU18" s="7"/>
      <c r="PYV18" s="7"/>
      <c r="PYW18" s="7"/>
      <c r="PYX18" s="7"/>
      <c r="PYY18" s="7"/>
      <c r="PYZ18" s="7"/>
      <c r="PZA18" s="7"/>
      <c r="PZB18" s="7"/>
      <c r="PZC18" s="7"/>
      <c r="PZD18" s="7"/>
      <c r="PZE18" s="7"/>
      <c r="PZF18" s="7"/>
      <c r="PZG18" s="7"/>
      <c r="PZH18" s="7"/>
      <c r="PZI18" s="7"/>
      <c r="PZJ18" s="7"/>
      <c r="PZK18" s="7"/>
      <c r="PZL18" s="7"/>
      <c r="PZM18" s="7"/>
      <c r="PZN18" s="7"/>
      <c r="PZO18" s="7"/>
      <c r="PZP18" s="7"/>
      <c r="PZQ18" s="7"/>
      <c r="PZR18" s="7"/>
      <c r="PZS18" s="7"/>
      <c r="PZT18" s="7"/>
      <c r="PZU18" s="7"/>
      <c r="PZV18" s="7"/>
      <c r="PZW18" s="7"/>
      <c r="PZX18" s="7"/>
      <c r="PZY18" s="7"/>
      <c r="PZZ18" s="7"/>
      <c r="QAA18" s="7"/>
      <c r="QAB18" s="7"/>
      <c r="QAC18" s="7"/>
      <c r="QAD18" s="7"/>
      <c r="QAE18" s="7"/>
      <c r="QAF18" s="7"/>
      <c r="QAG18" s="7"/>
      <c r="QAH18" s="7"/>
      <c r="QAI18" s="7"/>
      <c r="QAJ18" s="7"/>
      <c r="QAK18" s="7"/>
      <c r="QAL18" s="7"/>
      <c r="QAM18" s="7"/>
      <c r="QAN18" s="7"/>
      <c r="QAO18" s="7"/>
      <c r="QAP18" s="7"/>
      <c r="QAQ18" s="7"/>
      <c r="QAR18" s="7"/>
      <c r="QAS18" s="7"/>
      <c r="QAT18" s="7"/>
      <c r="QAU18" s="7"/>
      <c r="QAV18" s="7"/>
      <c r="QAW18" s="7"/>
      <c r="QAX18" s="7"/>
      <c r="QAY18" s="7"/>
      <c r="QAZ18" s="7"/>
      <c r="QBA18" s="7"/>
      <c r="QBB18" s="7"/>
      <c r="QBC18" s="7"/>
      <c r="QBD18" s="7"/>
      <c r="QBE18" s="7"/>
      <c r="QBF18" s="7"/>
      <c r="QBG18" s="7"/>
      <c r="QBH18" s="7"/>
      <c r="QBI18" s="7"/>
      <c r="QBJ18" s="7"/>
      <c r="QBK18" s="7"/>
      <c r="QBL18" s="7"/>
      <c r="QBM18" s="7"/>
      <c r="QBN18" s="7"/>
      <c r="QBO18" s="7"/>
      <c r="QBP18" s="7"/>
      <c r="QBQ18" s="7"/>
      <c r="QBR18" s="7"/>
      <c r="QBS18" s="7"/>
      <c r="QBT18" s="7"/>
      <c r="QBU18" s="7"/>
      <c r="QBV18" s="7"/>
      <c r="QBW18" s="7"/>
      <c r="QBX18" s="7"/>
      <c r="QBY18" s="7"/>
      <c r="QBZ18" s="7"/>
      <c r="QCA18" s="7"/>
      <c r="QCB18" s="7"/>
      <c r="QCC18" s="7"/>
      <c r="QCD18" s="7"/>
      <c r="QCE18" s="7"/>
      <c r="QCF18" s="7"/>
      <c r="QCG18" s="7"/>
      <c r="QCH18" s="7"/>
      <c r="QCI18" s="7"/>
      <c r="QCJ18" s="7"/>
      <c r="QCK18" s="7"/>
      <c r="QCL18" s="7"/>
      <c r="QCM18" s="7"/>
      <c r="QCN18" s="7"/>
      <c r="QCO18" s="7"/>
      <c r="QCP18" s="7"/>
      <c r="QCQ18" s="7"/>
      <c r="QCR18" s="7"/>
      <c r="QCS18" s="7"/>
      <c r="QCT18" s="7"/>
      <c r="QCU18" s="7"/>
      <c r="QCV18" s="7"/>
      <c r="QCW18" s="7"/>
      <c r="QCX18" s="7"/>
      <c r="QCY18" s="7"/>
      <c r="QCZ18" s="7"/>
      <c r="QDA18" s="7"/>
      <c r="QDB18" s="7"/>
      <c r="QDC18" s="7"/>
      <c r="QDD18" s="7"/>
      <c r="QDE18" s="7"/>
      <c r="QDF18" s="7"/>
      <c r="QDG18" s="7"/>
      <c r="QDH18" s="7"/>
      <c r="QDI18" s="7"/>
      <c r="QDJ18" s="7"/>
      <c r="QDK18" s="7"/>
      <c r="QDL18" s="7"/>
      <c r="QDM18" s="7"/>
      <c r="QDN18" s="7"/>
      <c r="QDO18" s="7"/>
      <c r="QDP18" s="7"/>
      <c r="QDQ18" s="7"/>
      <c r="QDR18" s="7"/>
      <c r="QDS18" s="7"/>
      <c r="QDT18" s="7"/>
      <c r="QDU18" s="7"/>
      <c r="QDV18" s="7"/>
      <c r="QDW18" s="7"/>
      <c r="QDX18" s="7"/>
      <c r="QDY18" s="7"/>
      <c r="QDZ18" s="7"/>
      <c r="QEA18" s="7"/>
      <c r="QEB18" s="7"/>
      <c r="QEC18" s="7"/>
      <c r="QED18" s="7"/>
      <c r="QEE18" s="7"/>
      <c r="QEF18" s="7"/>
      <c r="QEG18" s="7"/>
      <c r="QEH18" s="7"/>
      <c r="QEI18" s="7"/>
      <c r="QEJ18" s="7"/>
      <c r="QEK18" s="7"/>
      <c r="QEL18" s="7"/>
      <c r="QEM18" s="7"/>
      <c r="QEN18" s="7"/>
      <c r="QEO18" s="7"/>
      <c r="QEP18" s="7"/>
      <c r="QEQ18" s="7"/>
      <c r="QER18" s="7"/>
      <c r="QES18" s="7"/>
      <c r="QET18" s="7"/>
      <c r="QEU18" s="7"/>
      <c r="QEV18" s="7"/>
      <c r="QEW18" s="7"/>
      <c r="QEX18" s="7"/>
      <c r="QEY18" s="7"/>
      <c r="QEZ18" s="7"/>
      <c r="QFA18" s="7"/>
      <c r="QFB18" s="7"/>
      <c r="QFC18" s="7"/>
      <c r="QFD18" s="7"/>
      <c r="QFE18" s="7"/>
      <c r="QFF18" s="7"/>
      <c r="QFG18" s="7"/>
      <c r="QFH18" s="7"/>
      <c r="QFI18" s="7"/>
      <c r="QFJ18" s="7"/>
      <c r="QFK18" s="7"/>
      <c r="QFL18" s="7"/>
      <c r="QFM18" s="7"/>
      <c r="QFN18" s="7"/>
      <c r="QFO18" s="7"/>
      <c r="QFP18" s="7"/>
      <c r="QFQ18" s="7"/>
      <c r="QFR18" s="7"/>
      <c r="QFS18" s="7"/>
      <c r="QFT18" s="7"/>
      <c r="QFU18" s="7"/>
      <c r="QFV18" s="7"/>
      <c r="QFW18" s="7"/>
      <c r="QFX18" s="7"/>
      <c r="QFY18" s="7"/>
      <c r="QFZ18" s="7"/>
      <c r="QGA18" s="7"/>
      <c r="QGB18" s="7"/>
      <c r="QGC18" s="7"/>
      <c r="QGD18" s="7"/>
      <c r="QGE18" s="7"/>
      <c r="QGF18" s="7"/>
      <c r="QGG18" s="7"/>
      <c r="QGH18" s="7"/>
      <c r="QGI18" s="7"/>
      <c r="QGJ18" s="7"/>
      <c r="QGK18" s="7"/>
      <c r="QGL18" s="7"/>
      <c r="QGM18" s="7"/>
      <c r="QGN18" s="7"/>
      <c r="QGO18" s="7"/>
      <c r="QGP18" s="7"/>
      <c r="QGQ18" s="7"/>
      <c r="QGR18" s="7"/>
      <c r="QGS18" s="7"/>
      <c r="QGT18" s="7"/>
      <c r="QGU18" s="7"/>
      <c r="QGV18" s="7"/>
      <c r="QGW18" s="7"/>
      <c r="QGX18" s="7"/>
      <c r="QGY18" s="7"/>
      <c r="QGZ18" s="7"/>
      <c r="QHA18" s="7"/>
      <c r="QHB18" s="7"/>
      <c r="QHC18" s="7"/>
      <c r="QHD18" s="7"/>
      <c r="QHE18" s="7"/>
      <c r="QHF18" s="7"/>
      <c r="QHG18" s="7"/>
      <c r="QHH18" s="7"/>
      <c r="QHI18" s="7"/>
      <c r="QHJ18" s="7"/>
      <c r="QHK18" s="7"/>
      <c r="QHL18" s="7"/>
      <c r="QHM18" s="7"/>
      <c r="QHN18" s="7"/>
      <c r="QHO18" s="7"/>
      <c r="QHP18" s="7"/>
      <c r="QHQ18" s="7"/>
      <c r="QHR18" s="7"/>
      <c r="QHS18" s="7"/>
      <c r="QHT18" s="7"/>
      <c r="QHU18" s="7"/>
      <c r="QHV18" s="7"/>
      <c r="QHW18" s="7"/>
      <c r="QHX18" s="7"/>
      <c r="QHY18" s="7"/>
      <c r="QHZ18" s="7"/>
      <c r="QIA18" s="7"/>
      <c r="QIB18" s="7"/>
      <c r="QIC18" s="7"/>
      <c r="QID18" s="7"/>
      <c r="QIE18" s="7"/>
      <c r="QIF18" s="7"/>
      <c r="QIG18" s="7"/>
      <c r="QIH18" s="7"/>
      <c r="QII18" s="7"/>
      <c r="QIJ18" s="7"/>
      <c r="QIK18" s="7"/>
      <c r="QIL18" s="7"/>
      <c r="QIM18" s="7"/>
      <c r="QIN18" s="7"/>
      <c r="QIO18" s="7"/>
      <c r="QIP18" s="7"/>
      <c r="QIQ18" s="7"/>
      <c r="QIR18" s="7"/>
      <c r="QIS18" s="7"/>
      <c r="QIT18" s="7"/>
      <c r="QIU18" s="7"/>
      <c r="QIV18" s="7"/>
      <c r="QIW18" s="7"/>
      <c r="QIX18" s="7"/>
      <c r="QIY18" s="7"/>
      <c r="QIZ18" s="7"/>
      <c r="QJA18" s="7"/>
      <c r="QJB18" s="7"/>
      <c r="QJC18" s="7"/>
      <c r="QJD18" s="7"/>
      <c r="QJE18" s="7"/>
      <c r="QJF18" s="7"/>
      <c r="QJG18" s="7"/>
      <c r="QJH18" s="7"/>
      <c r="QJI18" s="7"/>
      <c r="QJJ18" s="7"/>
      <c r="QJK18" s="7"/>
      <c r="QJL18" s="7"/>
      <c r="QJM18" s="7"/>
      <c r="QJN18" s="7"/>
      <c r="QJO18" s="7"/>
      <c r="QJP18" s="7"/>
      <c r="QJQ18" s="7"/>
      <c r="QJR18" s="7"/>
      <c r="QJS18" s="7"/>
      <c r="QJT18" s="7"/>
      <c r="QJU18" s="7"/>
      <c r="QJV18" s="7"/>
      <c r="QJW18" s="7"/>
      <c r="QJX18" s="7"/>
      <c r="QJY18" s="7"/>
      <c r="QJZ18" s="7"/>
      <c r="QKA18" s="7"/>
      <c r="QKB18" s="7"/>
      <c r="QKC18" s="7"/>
      <c r="QKD18" s="7"/>
      <c r="QKE18" s="7"/>
      <c r="QKF18" s="7"/>
      <c r="QKG18" s="7"/>
      <c r="QKH18" s="7"/>
      <c r="QKI18" s="7"/>
      <c r="QKJ18" s="7"/>
      <c r="QKK18" s="7"/>
      <c r="QKL18" s="7"/>
      <c r="QKM18" s="7"/>
      <c r="QKN18" s="7"/>
      <c r="QKO18" s="7"/>
      <c r="QKP18" s="7"/>
      <c r="QKQ18" s="7"/>
      <c r="QKR18" s="7"/>
      <c r="QKS18" s="7"/>
      <c r="QKT18" s="7"/>
      <c r="QKU18" s="7"/>
      <c r="QKV18" s="7"/>
      <c r="QKW18" s="7"/>
      <c r="QKX18" s="7"/>
      <c r="QKY18" s="7"/>
      <c r="QKZ18" s="7"/>
      <c r="QLA18" s="7"/>
      <c r="QLB18" s="7"/>
      <c r="QLC18" s="7"/>
      <c r="QLD18" s="7"/>
      <c r="QLE18" s="7"/>
      <c r="QLF18" s="7"/>
      <c r="QLG18" s="7"/>
      <c r="QLH18" s="7"/>
      <c r="QLI18" s="7"/>
      <c r="QLJ18" s="7"/>
      <c r="QLK18" s="7"/>
      <c r="QLL18" s="7"/>
      <c r="QLM18" s="7"/>
      <c r="QLN18" s="7"/>
      <c r="QLO18" s="7"/>
      <c r="QLP18" s="7"/>
      <c r="QLQ18" s="7"/>
      <c r="QLR18" s="7"/>
      <c r="QLS18" s="7"/>
      <c r="QLT18" s="7"/>
      <c r="QLU18" s="7"/>
      <c r="QLV18" s="7"/>
      <c r="QLW18" s="7"/>
      <c r="QLX18" s="7"/>
      <c r="QLY18" s="7"/>
      <c r="QLZ18" s="7"/>
      <c r="QMA18" s="7"/>
      <c r="QMB18" s="7"/>
      <c r="QMC18" s="7"/>
      <c r="QMD18" s="7"/>
      <c r="QME18" s="7"/>
      <c r="QMF18" s="7"/>
      <c r="QMG18" s="7"/>
      <c r="QMH18" s="7"/>
      <c r="QMI18" s="7"/>
      <c r="QMJ18" s="7"/>
      <c r="QMK18" s="7"/>
      <c r="QML18" s="7"/>
      <c r="QMM18" s="7"/>
      <c r="QMN18" s="7"/>
      <c r="QMO18" s="7"/>
      <c r="QMP18" s="7"/>
      <c r="QMQ18" s="7"/>
      <c r="QMR18" s="7"/>
      <c r="QMS18" s="7"/>
      <c r="QMT18" s="7"/>
      <c r="QMU18" s="7"/>
      <c r="QMV18" s="7"/>
      <c r="QMW18" s="7"/>
      <c r="QMX18" s="7"/>
      <c r="QMY18" s="7"/>
      <c r="QMZ18" s="7"/>
      <c r="QNA18" s="7"/>
      <c r="QNB18" s="7"/>
      <c r="QNC18" s="7"/>
      <c r="QND18" s="7"/>
      <c r="QNE18" s="7"/>
      <c r="QNF18" s="7"/>
      <c r="QNG18" s="7"/>
      <c r="QNH18" s="7"/>
      <c r="QNI18" s="7"/>
      <c r="QNJ18" s="7"/>
      <c r="QNK18" s="7"/>
      <c r="QNL18" s="7"/>
      <c r="QNM18" s="7"/>
      <c r="QNN18" s="7"/>
      <c r="QNO18" s="7"/>
      <c r="QNP18" s="7"/>
      <c r="QNQ18" s="7"/>
      <c r="QNR18" s="7"/>
      <c r="QNS18" s="7"/>
      <c r="QNT18" s="7"/>
      <c r="QNU18" s="7"/>
      <c r="QNV18" s="7"/>
      <c r="QNW18" s="7"/>
      <c r="QNX18" s="7"/>
      <c r="QNY18" s="7"/>
      <c r="QNZ18" s="7"/>
      <c r="QOA18" s="7"/>
      <c r="QOB18" s="7"/>
      <c r="QOC18" s="7"/>
      <c r="QOD18" s="7"/>
      <c r="QOE18" s="7"/>
      <c r="QOF18" s="7"/>
      <c r="QOG18" s="7"/>
      <c r="QOH18" s="7"/>
      <c r="QOI18" s="7"/>
      <c r="QOJ18" s="7"/>
      <c r="QOK18" s="7"/>
      <c r="QOL18" s="7"/>
      <c r="QOM18" s="7"/>
      <c r="QON18" s="7"/>
      <c r="QOO18" s="7"/>
      <c r="QOP18" s="7"/>
      <c r="QOQ18" s="7"/>
      <c r="QOR18" s="7"/>
      <c r="QOS18" s="7"/>
      <c r="QOT18" s="7"/>
      <c r="QOU18" s="7"/>
      <c r="QOV18" s="7"/>
      <c r="QOW18" s="7"/>
      <c r="QOX18" s="7"/>
      <c r="QOY18" s="7"/>
      <c r="QOZ18" s="7"/>
      <c r="QPA18" s="7"/>
      <c r="QPB18" s="7"/>
      <c r="QPC18" s="7"/>
      <c r="QPD18" s="7"/>
      <c r="QPE18" s="7"/>
      <c r="QPF18" s="7"/>
      <c r="QPG18" s="7"/>
      <c r="QPH18" s="7"/>
      <c r="QPI18" s="7"/>
      <c r="QPJ18" s="7"/>
      <c r="QPK18" s="7"/>
      <c r="QPL18" s="7"/>
      <c r="QPM18" s="7"/>
      <c r="QPN18" s="7"/>
      <c r="QPO18" s="7"/>
      <c r="QPP18" s="7"/>
      <c r="QPQ18" s="7"/>
      <c r="QPR18" s="7"/>
      <c r="QPS18" s="7"/>
      <c r="QPT18" s="7"/>
      <c r="QPU18" s="7"/>
      <c r="QPV18" s="7"/>
      <c r="QPW18" s="7"/>
      <c r="QPX18" s="7"/>
      <c r="QPY18" s="7"/>
      <c r="QPZ18" s="7"/>
      <c r="QQA18" s="7"/>
      <c r="QQB18" s="7"/>
      <c r="QQC18" s="7"/>
      <c r="QQD18" s="7"/>
      <c r="QQE18" s="7"/>
      <c r="QQF18" s="7"/>
      <c r="QQG18" s="7"/>
      <c r="QQH18" s="7"/>
      <c r="QQI18" s="7"/>
      <c r="QQJ18" s="7"/>
      <c r="QQK18" s="7"/>
      <c r="QQL18" s="7"/>
      <c r="QQM18" s="7"/>
      <c r="QQN18" s="7"/>
      <c r="QQO18" s="7"/>
      <c r="QQP18" s="7"/>
      <c r="QQQ18" s="7"/>
      <c r="QQR18" s="7"/>
      <c r="QQS18" s="7"/>
      <c r="QQT18" s="7"/>
      <c r="QQU18" s="7"/>
      <c r="QQV18" s="7"/>
      <c r="QQW18" s="7"/>
      <c r="QQX18" s="7"/>
      <c r="QQY18" s="7"/>
      <c r="QQZ18" s="7"/>
      <c r="QRA18" s="7"/>
      <c r="QRB18" s="7"/>
      <c r="QRC18" s="7"/>
      <c r="QRD18" s="7"/>
      <c r="QRE18" s="7"/>
      <c r="QRF18" s="7"/>
      <c r="QRG18" s="7"/>
      <c r="QRH18" s="7"/>
      <c r="QRI18" s="7"/>
      <c r="QRJ18" s="7"/>
      <c r="QRK18" s="7"/>
      <c r="QRL18" s="7"/>
      <c r="QRM18" s="7"/>
      <c r="QRN18" s="7"/>
      <c r="QRO18" s="7"/>
      <c r="QRP18" s="7"/>
      <c r="QRQ18" s="7"/>
      <c r="QRR18" s="7"/>
      <c r="QRS18" s="7"/>
      <c r="QRT18" s="7"/>
      <c r="QRU18" s="7"/>
      <c r="QRV18" s="7"/>
      <c r="QRW18" s="7"/>
      <c r="QRX18" s="7"/>
      <c r="QRY18" s="7"/>
      <c r="QRZ18" s="7"/>
      <c r="QSA18" s="7"/>
      <c r="QSB18" s="7"/>
      <c r="QSC18" s="7"/>
      <c r="QSD18" s="7"/>
      <c r="QSE18" s="7"/>
      <c r="QSF18" s="7"/>
      <c r="QSG18" s="7"/>
      <c r="QSH18" s="7"/>
      <c r="QSI18" s="7"/>
      <c r="QSJ18" s="7"/>
      <c r="QSK18" s="7"/>
      <c r="QSL18" s="7"/>
      <c r="QSM18" s="7"/>
      <c r="QSN18" s="7"/>
      <c r="QSO18" s="7"/>
      <c r="QSP18" s="7"/>
      <c r="QSQ18" s="7"/>
      <c r="QSR18" s="7"/>
      <c r="QSS18" s="7"/>
      <c r="QST18" s="7"/>
      <c r="QSU18" s="7"/>
      <c r="QSV18" s="7"/>
      <c r="QSW18" s="7"/>
      <c r="QSX18" s="7"/>
      <c r="QSY18" s="7"/>
      <c r="QSZ18" s="7"/>
      <c r="QTA18" s="7"/>
      <c r="QTB18" s="7"/>
      <c r="QTC18" s="7"/>
      <c r="QTD18" s="7"/>
      <c r="QTE18" s="7"/>
      <c r="QTF18" s="7"/>
      <c r="QTG18" s="7"/>
      <c r="QTH18" s="7"/>
      <c r="QTI18" s="7"/>
      <c r="QTJ18" s="7"/>
      <c r="QTK18" s="7"/>
      <c r="QTL18" s="7"/>
      <c r="QTM18" s="7"/>
      <c r="QTN18" s="7"/>
      <c r="QTO18" s="7"/>
      <c r="QTP18" s="7"/>
      <c r="QTQ18" s="7"/>
      <c r="QTR18" s="7"/>
      <c r="QTS18" s="7"/>
      <c r="QTT18" s="7"/>
      <c r="QTU18" s="7"/>
      <c r="QTV18" s="7"/>
      <c r="QTW18" s="7"/>
      <c r="QTX18" s="7"/>
      <c r="QTY18" s="7"/>
      <c r="QTZ18" s="7"/>
      <c r="QUA18" s="7"/>
      <c r="QUB18" s="7"/>
      <c r="QUC18" s="7"/>
      <c r="QUD18" s="7"/>
      <c r="QUE18" s="7"/>
      <c r="QUF18" s="7"/>
      <c r="QUG18" s="7"/>
      <c r="QUH18" s="7"/>
      <c r="QUI18" s="7"/>
      <c r="QUJ18" s="7"/>
      <c r="QUK18" s="7"/>
      <c r="QUL18" s="7"/>
      <c r="QUM18" s="7"/>
      <c r="QUN18" s="7"/>
      <c r="QUO18" s="7"/>
      <c r="QUP18" s="7"/>
      <c r="QUQ18" s="7"/>
      <c r="QUR18" s="7"/>
      <c r="QUS18" s="7"/>
      <c r="QUT18" s="7"/>
      <c r="QUU18" s="7"/>
      <c r="QUV18" s="7"/>
      <c r="QUW18" s="7"/>
      <c r="QUX18" s="7"/>
      <c r="QUY18" s="7"/>
      <c r="QUZ18" s="7"/>
      <c r="QVA18" s="7"/>
      <c r="QVB18" s="7"/>
      <c r="QVC18" s="7"/>
      <c r="QVD18" s="7"/>
      <c r="QVE18" s="7"/>
      <c r="QVF18" s="7"/>
      <c r="QVG18" s="7"/>
      <c r="QVH18" s="7"/>
      <c r="QVI18" s="7"/>
      <c r="QVJ18" s="7"/>
      <c r="QVK18" s="7"/>
      <c r="QVL18" s="7"/>
      <c r="QVM18" s="7"/>
      <c r="QVN18" s="7"/>
      <c r="QVO18" s="7"/>
      <c r="QVP18" s="7"/>
      <c r="QVQ18" s="7"/>
      <c r="QVR18" s="7"/>
      <c r="QVS18" s="7"/>
      <c r="QVT18" s="7"/>
      <c r="QVU18" s="7"/>
      <c r="QVV18" s="7"/>
      <c r="QVW18" s="7"/>
      <c r="QVX18" s="7"/>
      <c r="QVY18" s="7"/>
      <c r="QVZ18" s="7"/>
      <c r="QWA18" s="7"/>
      <c r="QWB18" s="7"/>
      <c r="QWC18" s="7"/>
      <c r="QWD18" s="7"/>
      <c r="QWE18" s="7"/>
      <c r="QWF18" s="7"/>
      <c r="QWG18" s="7"/>
      <c r="QWH18" s="7"/>
      <c r="QWI18" s="7"/>
      <c r="QWJ18" s="7"/>
      <c r="QWK18" s="7"/>
      <c r="QWL18" s="7"/>
      <c r="QWM18" s="7"/>
      <c r="QWN18" s="7"/>
      <c r="QWO18" s="7"/>
      <c r="QWP18" s="7"/>
      <c r="QWQ18" s="7"/>
      <c r="QWR18" s="7"/>
      <c r="QWS18" s="7"/>
      <c r="QWT18" s="7"/>
      <c r="QWU18" s="7"/>
      <c r="QWV18" s="7"/>
      <c r="QWW18" s="7"/>
      <c r="QWX18" s="7"/>
      <c r="QWY18" s="7"/>
      <c r="QWZ18" s="7"/>
      <c r="QXA18" s="7"/>
      <c r="QXB18" s="7"/>
      <c r="QXC18" s="7"/>
      <c r="QXD18" s="7"/>
      <c r="QXE18" s="7"/>
      <c r="QXF18" s="7"/>
      <c r="QXG18" s="7"/>
      <c r="QXH18" s="7"/>
      <c r="QXI18" s="7"/>
      <c r="QXJ18" s="7"/>
      <c r="QXK18" s="7"/>
      <c r="QXL18" s="7"/>
      <c r="QXM18" s="7"/>
      <c r="QXN18" s="7"/>
      <c r="QXO18" s="7"/>
      <c r="QXP18" s="7"/>
      <c r="QXQ18" s="7"/>
      <c r="QXR18" s="7"/>
      <c r="QXS18" s="7"/>
      <c r="QXT18" s="7"/>
      <c r="QXU18" s="7"/>
      <c r="QXV18" s="7"/>
      <c r="QXW18" s="7"/>
      <c r="QXX18" s="7"/>
      <c r="QXY18" s="7"/>
      <c r="QXZ18" s="7"/>
      <c r="QYA18" s="7"/>
      <c r="QYB18" s="7"/>
      <c r="QYC18" s="7"/>
      <c r="QYD18" s="7"/>
      <c r="QYE18" s="7"/>
      <c r="QYF18" s="7"/>
      <c r="QYG18" s="7"/>
      <c r="QYH18" s="7"/>
      <c r="QYI18" s="7"/>
      <c r="QYJ18" s="7"/>
      <c r="QYK18" s="7"/>
      <c r="QYL18" s="7"/>
      <c r="QYM18" s="7"/>
      <c r="QYN18" s="7"/>
      <c r="QYO18" s="7"/>
      <c r="QYP18" s="7"/>
      <c r="QYQ18" s="7"/>
      <c r="QYR18" s="7"/>
      <c r="QYS18" s="7"/>
      <c r="QYT18" s="7"/>
      <c r="QYU18" s="7"/>
      <c r="QYV18" s="7"/>
      <c r="QYW18" s="7"/>
      <c r="QYX18" s="7"/>
      <c r="QYY18" s="7"/>
      <c r="QYZ18" s="7"/>
      <c r="QZA18" s="7"/>
      <c r="QZB18" s="7"/>
      <c r="QZC18" s="7"/>
      <c r="QZD18" s="7"/>
      <c r="QZE18" s="7"/>
      <c r="QZF18" s="7"/>
      <c r="QZG18" s="7"/>
      <c r="QZH18" s="7"/>
      <c r="QZI18" s="7"/>
      <c r="QZJ18" s="7"/>
      <c r="QZK18" s="7"/>
      <c r="QZL18" s="7"/>
      <c r="QZM18" s="7"/>
      <c r="QZN18" s="7"/>
      <c r="QZO18" s="7"/>
      <c r="QZP18" s="7"/>
      <c r="QZQ18" s="7"/>
      <c r="QZR18" s="7"/>
      <c r="QZS18" s="7"/>
      <c r="QZT18" s="7"/>
      <c r="QZU18" s="7"/>
      <c r="QZV18" s="7"/>
      <c r="QZW18" s="7"/>
      <c r="QZX18" s="7"/>
      <c r="QZY18" s="7"/>
      <c r="QZZ18" s="7"/>
      <c r="RAA18" s="7"/>
      <c r="RAB18" s="7"/>
      <c r="RAC18" s="7"/>
      <c r="RAD18" s="7"/>
      <c r="RAE18" s="7"/>
      <c r="RAF18" s="7"/>
      <c r="RAG18" s="7"/>
      <c r="RAH18" s="7"/>
      <c r="RAI18" s="7"/>
      <c r="RAJ18" s="7"/>
      <c r="RAK18" s="7"/>
      <c r="RAL18" s="7"/>
      <c r="RAM18" s="7"/>
      <c r="RAN18" s="7"/>
      <c r="RAO18" s="7"/>
      <c r="RAP18" s="7"/>
      <c r="RAQ18" s="7"/>
      <c r="RAR18" s="7"/>
      <c r="RAS18" s="7"/>
      <c r="RAT18" s="7"/>
      <c r="RAU18" s="7"/>
      <c r="RAV18" s="7"/>
      <c r="RAW18" s="7"/>
      <c r="RAX18" s="7"/>
      <c r="RAY18" s="7"/>
      <c r="RAZ18" s="7"/>
      <c r="RBA18" s="7"/>
      <c r="RBB18" s="7"/>
      <c r="RBC18" s="7"/>
      <c r="RBD18" s="7"/>
      <c r="RBE18" s="7"/>
      <c r="RBF18" s="7"/>
      <c r="RBG18" s="7"/>
      <c r="RBH18" s="7"/>
      <c r="RBI18" s="7"/>
      <c r="RBJ18" s="7"/>
      <c r="RBK18" s="7"/>
      <c r="RBL18" s="7"/>
      <c r="RBM18" s="7"/>
      <c r="RBN18" s="7"/>
      <c r="RBO18" s="7"/>
      <c r="RBP18" s="7"/>
      <c r="RBQ18" s="7"/>
      <c r="RBR18" s="7"/>
      <c r="RBS18" s="7"/>
      <c r="RBT18" s="7"/>
      <c r="RBU18" s="7"/>
      <c r="RBV18" s="7"/>
      <c r="RBW18" s="7"/>
      <c r="RBX18" s="7"/>
      <c r="RBY18" s="7"/>
      <c r="RBZ18" s="7"/>
      <c r="RCA18" s="7"/>
      <c r="RCB18" s="7"/>
      <c r="RCC18" s="7"/>
      <c r="RCD18" s="7"/>
      <c r="RCE18" s="7"/>
      <c r="RCF18" s="7"/>
      <c r="RCG18" s="7"/>
      <c r="RCH18" s="7"/>
      <c r="RCI18" s="7"/>
      <c r="RCJ18" s="7"/>
      <c r="RCK18" s="7"/>
      <c r="RCL18" s="7"/>
      <c r="RCM18" s="7"/>
      <c r="RCN18" s="7"/>
      <c r="RCO18" s="7"/>
      <c r="RCP18" s="7"/>
      <c r="RCQ18" s="7"/>
      <c r="RCR18" s="7"/>
      <c r="RCS18" s="7"/>
      <c r="RCT18" s="7"/>
      <c r="RCU18" s="7"/>
      <c r="RCV18" s="7"/>
      <c r="RCW18" s="7"/>
      <c r="RCX18" s="7"/>
      <c r="RCY18" s="7"/>
      <c r="RCZ18" s="7"/>
      <c r="RDA18" s="7"/>
      <c r="RDB18" s="7"/>
      <c r="RDC18" s="7"/>
      <c r="RDD18" s="7"/>
      <c r="RDE18" s="7"/>
      <c r="RDF18" s="7"/>
      <c r="RDG18" s="7"/>
      <c r="RDH18" s="7"/>
      <c r="RDI18" s="7"/>
      <c r="RDJ18" s="7"/>
      <c r="RDK18" s="7"/>
      <c r="RDL18" s="7"/>
      <c r="RDM18" s="7"/>
      <c r="RDN18" s="7"/>
      <c r="RDO18" s="7"/>
      <c r="RDP18" s="7"/>
      <c r="RDQ18" s="7"/>
      <c r="RDR18" s="7"/>
      <c r="RDS18" s="7"/>
      <c r="RDT18" s="7"/>
      <c r="RDU18" s="7"/>
      <c r="RDV18" s="7"/>
      <c r="RDW18" s="7"/>
      <c r="RDX18" s="7"/>
      <c r="RDY18" s="7"/>
      <c r="RDZ18" s="7"/>
      <c r="REA18" s="7"/>
      <c r="REB18" s="7"/>
      <c r="REC18" s="7"/>
      <c r="RED18" s="7"/>
      <c r="REE18" s="7"/>
      <c r="REF18" s="7"/>
      <c r="REG18" s="7"/>
      <c r="REH18" s="7"/>
      <c r="REI18" s="7"/>
      <c r="REJ18" s="7"/>
      <c r="REK18" s="7"/>
      <c r="REL18" s="7"/>
      <c r="REM18" s="7"/>
      <c r="REN18" s="7"/>
      <c r="REO18" s="7"/>
      <c r="REP18" s="7"/>
      <c r="REQ18" s="7"/>
      <c r="RER18" s="7"/>
      <c r="RES18" s="7"/>
      <c r="RET18" s="7"/>
      <c r="REU18" s="7"/>
      <c r="REV18" s="7"/>
      <c r="REW18" s="7"/>
      <c r="REX18" s="7"/>
      <c r="REY18" s="7"/>
      <c r="REZ18" s="7"/>
      <c r="RFA18" s="7"/>
      <c r="RFB18" s="7"/>
      <c r="RFC18" s="7"/>
      <c r="RFD18" s="7"/>
      <c r="RFE18" s="7"/>
      <c r="RFF18" s="7"/>
      <c r="RFG18" s="7"/>
      <c r="RFH18" s="7"/>
      <c r="RFI18" s="7"/>
      <c r="RFJ18" s="7"/>
      <c r="RFK18" s="7"/>
      <c r="RFL18" s="7"/>
      <c r="RFM18" s="7"/>
      <c r="RFN18" s="7"/>
      <c r="RFO18" s="7"/>
      <c r="RFP18" s="7"/>
      <c r="RFQ18" s="7"/>
      <c r="RFR18" s="7"/>
      <c r="RFS18" s="7"/>
      <c r="RFT18" s="7"/>
      <c r="RFU18" s="7"/>
      <c r="RFV18" s="7"/>
      <c r="RFW18" s="7"/>
      <c r="RFX18" s="7"/>
      <c r="RFY18" s="7"/>
      <c r="RFZ18" s="7"/>
      <c r="RGA18" s="7"/>
      <c r="RGB18" s="7"/>
      <c r="RGC18" s="7"/>
      <c r="RGD18" s="7"/>
      <c r="RGE18" s="7"/>
      <c r="RGF18" s="7"/>
      <c r="RGG18" s="7"/>
      <c r="RGH18" s="7"/>
      <c r="RGI18" s="7"/>
      <c r="RGJ18" s="7"/>
      <c r="RGK18" s="7"/>
      <c r="RGL18" s="7"/>
      <c r="RGM18" s="7"/>
      <c r="RGN18" s="7"/>
      <c r="RGO18" s="7"/>
      <c r="RGP18" s="7"/>
      <c r="RGQ18" s="7"/>
      <c r="RGR18" s="7"/>
      <c r="RGS18" s="7"/>
      <c r="RGT18" s="7"/>
      <c r="RGU18" s="7"/>
      <c r="RGV18" s="7"/>
      <c r="RGW18" s="7"/>
      <c r="RGX18" s="7"/>
      <c r="RGY18" s="7"/>
      <c r="RGZ18" s="7"/>
      <c r="RHA18" s="7"/>
      <c r="RHB18" s="7"/>
      <c r="RHC18" s="7"/>
      <c r="RHD18" s="7"/>
      <c r="RHE18" s="7"/>
      <c r="RHF18" s="7"/>
      <c r="RHG18" s="7"/>
      <c r="RHH18" s="7"/>
      <c r="RHI18" s="7"/>
      <c r="RHJ18" s="7"/>
      <c r="RHK18" s="7"/>
      <c r="RHL18" s="7"/>
      <c r="RHM18" s="7"/>
      <c r="RHN18" s="7"/>
      <c r="RHO18" s="7"/>
      <c r="RHP18" s="7"/>
      <c r="RHQ18" s="7"/>
      <c r="RHR18" s="7"/>
      <c r="RHS18" s="7"/>
      <c r="RHT18" s="7"/>
      <c r="RHU18" s="7"/>
      <c r="RHV18" s="7"/>
      <c r="RHW18" s="7"/>
      <c r="RHX18" s="7"/>
      <c r="RHY18" s="7"/>
      <c r="RHZ18" s="7"/>
      <c r="RIA18" s="7"/>
      <c r="RIB18" s="7"/>
      <c r="RIC18" s="7"/>
      <c r="RID18" s="7"/>
      <c r="RIE18" s="7"/>
      <c r="RIF18" s="7"/>
      <c r="RIG18" s="7"/>
      <c r="RIH18" s="7"/>
      <c r="RII18" s="7"/>
      <c r="RIJ18" s="7"/>
      <c r="RIK18" s="7"/>
      <c r="RIL18" s="7"/>
      <c r="RIM18" s="7"/>
      <c r="RIN18" s="7"/>
      <c r="RIO18" s="7"/>
      <c r="RIP18" s="7"/>
      <c r="RIQ18" s="7"/>
      <c r="RIR18" s="7"/>
      <c r="RIS18" s="7"/>
      <c r="RIT18" s="7"/>
      <c r="RIU18" s="7"/>
      <c r="RIV18" s="7"/>
      <c r="RIW18" s="7"/>
      <c r="RIX18" s="7"/>
      <c r="RIY18" s="7"/>
      <c r="RIZ18" s="7"/>
      <c r="RJA18" s="7"/>
      <c r="RJB18" s="7"/>
      <c r="RJC18" s="7"/>
      <c r="RJD18" s="7"/>
      <c r="RJE18" s="7"/>
      <c r="RJF18" s="7"/>
      <c r="RJG18" s="7"/>
      <c r="RJH18" s="7"/>
      <c r="RJI18" s="7"/>
      <c r="RJJ18" s="7"/>
      <c r="RJK18" s="7"/>
      <c r="RJL18" s="7"/>
      <c r="RJM18" s="7"/>
      <c r="RJN18" s="7"/>
      <c r="RJO18" s="7"/>
      <c r="RJP18" s="7"/>
      <c r="RJQ18" s="7"/>
      <c r="RJR18" s="7"/>
      <c r="RJS18" s="7"/>
      <c r="RJT18" s="7"/>
      <c r="RJU18" s="7"/>
      <c r="RJV18" s="7"/>
      <c r="RJW18" s="7"/>
      <c r="RJX18" s="7"/>
      <c r="RJY18" s="7"/>
      <c r="RJZ18" s="7"/>
      <c r="RKA18" s="7"/>
      <c r="RKB18" s="7"/>
      <c r="RKC18" s="7"/>
      <c r="RKD18" s="7"/>
      <c r="RKE18" s="7"/>
      <c r="RKF18" s="7"/>
      <c r="RKG18" s="7"/>
      <c r="RKH18" s="7"/>
      <c r="RKI18" s="7"/>
      <c r="RKJ18" s="7"/>
      <c r="RKK18" s="7"/>
      <c r="RKL18" s="7"/>
      <c r="RKM18" s="7"/>
      <c r="RKN18" s="7"/>
      <c r="RKO18" s="7"/>
      <c r="RKP18" s="7"/>
      <c r="RKQ18" s="7"/>
      <c r="RKR18" s="7"/>
      <c r="RKS18" s="7"/>
      <c r="RKT18" s="7"/>
      <c r="RKU18" s="7"/>
      <c r="RKV18" s="7"/>
      <c r="RKW18" s="7"/>
      <c r="RKX18" s="7"/>
      <c r="RKY18" s="7"/>
      <c r="RKZ18" s="7"/>
      <c r="RLA18" s="7"/>
      <c r="RLB18" s="7"/>
      <c r="RLC18" s="7"/>
      <c r="RLD18" s="7"/>
      <c r="RLE18" s="7"/>
      <c r="RLF18" s="7"/>
      <c r="RLG18" s="7"/>
      <c r="RLH18" s="7"/>
      <c r="RLI18" s="7"/>
      <c r="RLJ18" s="7"/>
      <c r="RLK18" s="7"/>
      <c r="RLL18" s="7"/>
      <c r="RLM18" s="7"/>
      <c r="RLN18" s="7"/>
      <c r="RLO18" s="7"/>
      <c r="RLP18" s="7"/>
      <c r="RLQ18" s="7"/>
      <c r="RLR18" s="7"/>
      <c r="RLS18" s="7"/>
      <c r="RLT18" s="7"/>
      <c r="RLU18" s="7"/>
      <c r="RLV18" s="7"/>
      <c r="RLW18" s="7"/>
      <c r="RLX18" s="7"/>
      <c r="RLY18" s="7"/>
      <c r="RLZ18" s="7"/>
      <c r="RMA18" s="7"/>
      <c r="RMB18" s="7"/>
      <c r="RMC18" s="7"/>
      <c r="RMD18" s="7"/>
      <c r="RME18" s="7"/>
      <c r="RMF18" s="7"/>
      <c r="RMG18" s="7"/>
      <c r="RMH18" s="7"/>
      <c r="RMI18" s="7"/>
      <c r="RMJ18" s="7"/>
      <c r="RMK18" s="7"/>
      <c r="RML18" s="7"/>
      <c r="RMM18" s="7"/>
      <c r="RMN18" s="7"/>
      <c r="RMO18" s="7"/>
      <c r="RMP18" s="7"/>
      <c r="RMQ18" s="7"/>
      <c r="RMR18" s="7"/>
      <c r="RMS18" s="7"/>
      <c r="RMT18" s="7"/>
      <c r="RMU18" s="7"/>
      <c r="RMV18" s="7"/>
      <c r="RMW18" s="7"/>
      <c r="RMX18" s="7"/>
      <c r="RMY18" s="7"/>
      <c r="RMZ18" s="7"/>
      <c r="RNA18" s="7"/>
      <c r="RNB18" s="7"/>
      <c r="RNC18" s="7"/>
      <c r="RND18" s="7"/>
      <c r="RNE18" s="7"/>
      <c r="RNF18" s="7"/>
      <c r="RNG18" s="7"/>
      <c r="RNH18" s="7"/>
      <c r="RNI18" s="7"/>
      <c r="RNJ18" s="7"/>
      <c r="RNK18" s="7"/>
      <c r="RNL18" s="7"/>
      <c r="RNM18" s="7"/>
      <c r="RNN18" s="7"/>
      <c r="RNO18" s="7"/>
      <c r="RNP18" s="7"/>
      <c r="RNQ18" s="7"/>
      <c r="RNR18" s="7"/>
      <c r="RNS18" s="7"/>
      <c r="RNT18" s="7"/>
      <c r="RNU18" s="7"/>
      <c r="RNV18" s="7"/>
      <c r="RNW18" s="7"/>
      <c r="RNX18" s="7"/>
      <c r="RNY18" s="7"/>
      <c r="RNZ18" s="7"/>
      <c r="ROA18" s="7"/>
      <c r="ROB18" s="7"/>
      <c r="ROC18" s="7"/>
      <c r="ROD18" s="7"/>
      <c r="ROE18" s="7"/>
      <c r="ROF18" s="7"/>
      <c r="ROG18" s="7"/>
      <c r="ROH18" s="7"/>
      <c r="ROI18" s="7"/>
      <c r="ROJ18" s="7"/>
      <c r="ROK18" s="7"/>
      <c r="ROL18" s="7"/>
      <c r="ROM18" s="7"/>
      <c r="RON18" s="7"/>
      <c r="ROO18" s="7"/>
      <c r="ROP18" s="7"/>
      <c r="ROQ18" s="7"/>
      <c r="ROR18" s="7"/>
      <c r="ROS18" s="7"/>
      <c r="ROT18" s="7"/>
      <c r="ROU18" s="7"/>
      <c r="ROV18" s="7"/>
      <c r="ROW18" s="7"/>
      <c r="ROX18" s="7"/>
      <c r="ROY18" s="7"/>
      <c r="ROZ18" s="7"/>
      <c r="RPA18" s="7"/>
      <c r="RPB18" s="7"/>
      <c r="RPC18" s="7"/>
      <c r="RPD18" s="7"/>
      <c r="RPE18" s="7"/>
      <c r="RPF18" s="7"/>
      <c r="RPG18" s="7"/>
      <c r="RPH18" s="7"/>
      <c r="RPI18" s="7"/>
      <c r="RPJ18" s="7"/>
      <c r="RPK18" s="7"/>
      <c r="RPL18" s="7"/>
      <c r="RPM18" s="7"/>
      <c r="RPN18" s="7"/>
      <c r="RPO18" s="7"/>
      <c r="RPP18" s="7"/>
      <c r="RPQ18" s="7"/>
      <c r="RPR18" s="7"/>
      <c r="RPS18" s="7"/>
      <c r="RPT18" s="7"/>
      <c r="RPU18" s="7"/>
      <c r="RPV18" s="7"/>
      <c r="RPW18" s="7"/>
      <c r="RPX18" s="7"/>
      <c r="RPY18" s="7"/>
      <c r="RPZ18" s="7"/>
      <c r="RQA18" s="7"/>
      <c r="RQB18" s="7"/>
      <c r="RQC18" s="7"/>
      <c r="RQD18" s="7"/>
      <c r="RQE18" s="7"/>
      <c r="RQF18" s="7"/>
      <c r="RQG18" s="7"/>
      <c r="RQH18" s="7"/>
      <c r="RQI18" s="7"/>
      <c r="RQJ18" s="7"/>
      <c r="RQK18" s="7"/>
      <c r="RQL18" s="7"/>
      <c r="RQM18" s="7"/>
      <c r="RQN18" s="7"/>
      <c r="RQO18" s="7"/>
      <c r="RQP18" s="7"/>
      <c r="RQQ18" s="7"/>
      <c r="RQR18" s="7"/>
      <c r="RQS18" s="7"/>
      <c r="RQT18" s="7"/>
      <c r="RQU18" s="7"/>
      <c r="RQV18" s="7"/>
      <c r="RQW18" s="7"/>
      <c r="RQX18" s="7"/>
      <c r="RQY18" s="7"/>
      <c r="RQZ18" s="7"/>
      <c r="RRA18" s="7"/>
      <c r="RRB18" s="7"/>
      <c r="RRC18" s="7"/>
      <c r="RRD18" s="7"/>
      <c r="RRE18" s="7"/>
      <c r="RRF18" s="7"/>
      <c r="RRG18" s="7"/>
      <c r="RRH18" s="7"/>
      <c r="RRI18" s="7"/>
      <c r="RRJ18" s="7"/>
      <c r="RRK18" s="7"/>
      <c r="RRL18" s="7"/>
      <c r="RRM18" s="7"/>
      <c r="RRN18" s="7"/>
      <c r="RRO18" s="7"/>
      <c r="RRP18" s="7"/>
      <c r="RRQ18" s="7"/>
      <c r="RRR18" s="7"/>
      <c r="RRS18" s="7"/>
      <c r="RRT18" s="7"/>
      <c r="RRU18" s="7"/>
      <c r="RRV18" s="7"/>
      <c r="RRW18" s="7"/>
      <c r="RRX18" s="7"/>
      <c r="RRY18" s="7"/>
      <c r="RRZ18" s="7"/>
      <c r="RSA18" s="7"/>
      <c r="RSB18" s="7"/>
      <c r="RSC18" s="7"/>
      <c r="RSD18" s="7"/>
      <c r="RSE18" s="7"/>
      <c r="RSF18" s="7"/>
      <c r="RSG18" s="7"/>
      <c r="RSH18" s="7"/>
      <c r="RSI18" s="7"/>
      <c r="RSJ18" s="7"/>
      <c r="RSK18" s="7"/>
      <c r="RSL18" s="7"/>
      <c r="RSM18" s="7"/>
      <c r="RSN18" s="7"/>
      <c r="RSO18" s="7"/>
      <c r="RSP18" s="7"/>
      <c r="RSQ18" s="7"/>
      <c r="RSR18" s="7"/>
      <c r="RSS18" s="7"/>
      <c r="RST18" s="7"/>
      <c r="RSU18" s="7"/>
      <c r="RSV18" s="7"/>
      <c r="RSW18" s="7"/>
      <c r="RSX18" s="7"/>
      <c r="RSY18" s="7"/>
      <c r="RSZ18" s="7"/>
      <c r="RTA18" s="7"/>
      <c r="RTB18" s="7"/>
      <c r="RTC18" s="7"/>
      <c r="RTD18" s="7"/>
      <c r="RTE18" s="7"/>
      <c r="RTF18" s="7"/>
      <c r="RTG18" s="7"/>
      <c r="RTH18" s="7"/>
      <c r="RTI18" s="7"/>
      <c r="RTJ18" s="7"/>
      <c r="RTK18" s="7"/>
      <c r="RTL18" s="7"/>
      <c r="RTM18" s="7"/>
      <c r="RTN18" s="7"/>
      <c r="RTO18" s="7"/>
      <c r="RTP18" s="7"/>
      <c r="RTQ18" s="7"/>
      <c r="RTR18" s="7"/>
      <c r="RTS18" s="7"/>
      <c r="RTT18" s="7"/>
      <c r="RTU18" s="7"/>
      <c r="RTV18" s="7"/>
      <c r="RTW18" s="7"/>
      <c r="RTX18" s="7"/>
      <c r="RTY18" s="7"/>
      <c r="RTZ18" s="7"/>
      <c r="RUA18" s="7"/>
      <c r="RUB18" s="7"/>
      <c r="RUC18" s="7"/>
      <c r="RUD18" s="7"/>
      <c r="RUE18" s="7"/>
      <c r="RUF18" s="7"/>
      <c r="RUG18" s="7"/>
      <c r="RUH18" s="7"/>
      <c r="RUI18" s="7"/>
      <c r="RUJ18" s="7"/>
      <c r="RUK18" s="7"/>
      <c r="RUL18" s="7"/>
      <c r="RUM18" s="7"/>
      <c r="RUN18" s="7"/>
      <c r="RUO18" s="7"/>
      <c r="RUP18" s="7"/>
      <c r="RUQ18" s="7"/>
      <c r="RUR18" s="7"/>
      <c r="RUS18" s="7"/>
      <c r="RUT18" s="7"/>
      <c r="RUU18" s="7"/>
      <c r="RUV18" s="7"/>
      <c r="RUW18" s="7"/>
      <c r="RUX18" s="7"/>
      <c r="RUY18" s="7"/>
      <c r="RUZ18" s="7"/>
      <c r="RVA18" s="7"/>
      <c r="RVB18" s="7"/>
      <c r="RVC18" s="7"/>
      <c r="RVD18" s="7"/>
      <c r="RVE18" s="7"/>
      <c r="RVF18" s="7"/>
      <c r="RVG18" s="7"/>
      <c r="RVH18" s="7"/>
      <c r="RVI18" s="7"/>
      <c r="RVJ18" s="7"/>
      <c r="RVK18" s="7"/>
      <c r="RVL18" s="7"/>
      <c r="RVM18" s="7"/>
      <c r="RVN18" s="7"/>
      <c r="RVO18" s="7"/>
      <c r="RVP18" s="7"/>
      <c r="RVQ18" s="7"/>
      <c r="RVR18" s="7"/>
      <c r="RVS18" s="7"/>
      <c r="RVT18" s="7"/>
      <c r="RVU18" s="7"/>
      <c r="RVV18" s="7"/>
      <c r="RVW18" s="7"/>
      <c r="RVX18" s="7"/>
      <c r="RVY18" s="7"/>
      <c r="RVZ18" s="7"/>
      <c r="RWA18" s="7"/>
      <c r="RWB18" s="7"/>
      <c r="RWC18" s="7"/>
      <c r="RWD18" s="7"/>
      <c r="RWE18" s="7"/>
      <c r="RWF18" s="7"/>
      <c r="RWG18" s="7"/>
      <c r="RWH18" s="7"/>
      <c r="RWI18" s="7"/>
      <c r="RWJ18" s="7"/>
      <c r="RWK18" s="7"/>
      <c r="RWL18" s="7"/>
      <c r="RWM18" s="7"/>
      <c r="RWN18" s="7"/>
      <c r="RWO18" s="7"/>
      <c r="RWP18" s="7"/>
      <c r="RWQ18" s="7"/>
      <c r="RWR18" s="7"/>
      <c r="RWS18" s="7"/>
      <c r="RWT18" s="7"/>
      <c r="RWU18" s="7"/>
      <c r="RWV18" s="7"/>
      <c r="RWW18" s="7"/>
      <c r="RWX18" s="7"/>
      <c r="RWY18" s="7"/>
      <c r="RWZ18" s="7"/>
      <c r="RXA18" s="7"/>
      <c r="RXB18" s="7"/>
      <c r="RXC18" s="7"/>
      <c r="RXD18" s="7"/>
      <c r="RXE18" s="7"/>
      <c r="RXF18" s="7"/>
      <c r="RXG18" s="7"/>
      <c r="RXH18" s="7"/>
      <c r="RXI18" s="7"/>
      <c r="RXJ18" s="7"/>
      <c r="RXK18" s="7"/>
      <c r="RXL18" s="7"/>
      <c r="RXM18" s="7"/>
      <c r="RXN18" s="7"/>
      <c r="RXO18" s="7"/>
      <c r="RXP18" s="7"/>
      <c r="RXQ18" s="7"/>
      <c r="RXR18" s="7"/>
      <c r="RXS18" s="7"/>
      <c r="RXT18" s="7"/>
      <c r="RXU18" s="7"/>
      <c r="RXV18" s="7"/>
      <c r="RXW18" s="7"/>
      <c r="RXX18" s="7"/>
      <c r="RXY18" s="7"/>
      <c r="RXZ18" s="7"/>
      <c r="RYA18" s="7"/>
      <c r="RYB18" s="7"/>
      <c r="RYC18" s="7"/>
      <c r="RYD18" s="7"/>
      <c r="RYE18" s="7"/>
      <c r="RYF18" s="7"/>
      <c r="RYG18" s="7"/>
      <c r="RYH18" s="7"/>
      <c r="RYI18" s="7"/>
      <c r="RYJ18" s="7"/>
      <c r="RYK18" s="7"/>
      <c r="RYL18" s="7"/>
      <c r="RYM18" s="7"/>
      <c r="RYN18" s="7"/>
      <c r="RYO18" s="7"/>
      <c r="RYP18" s="7"/>
      <c r="RYQ18" s="7"/>
      <c r="RYR18" s="7"/>
      <c r="RYS18" s="7"/>
      <c r="RYT18" s="7"/>
      <c r="RYU18" s="7"/>
      <c r="RYV18" s="7"/>
      <c r="RYW18" s="7"/>
      <c r="RYX18" s="7"/>
      <c r="RYY18" s="7"/>
      <c r="RYZ18" s="7"/>
      <c r="RZA18" s="7"/>
      <c r="RZB18" s="7"/>
      <c r="RZC18" s="7"/>
      <c r="RZD18" s="7"/>
      <c r="RZE18" s="7"/>
      <c r="RZF18" s="7"/>
      <c r="RZG18" s="7"/>
      <c r="RZH18" s="7"/>
      <c r="RZI18" s="7"/>
      <c r="RZJ18" s="7"/>
      <c r="RZK18" s="7"/>
      <c r="RZL18" s="7"/>
      <c r="RZM18" s="7"/>
      <c r="RZN18" s="7"/>
      <c r="RZO18" s="7"/>
      <c r="RZP18" s="7"/>
      <c r="RZQ18" s="7"/>
      <c r="RZR18" s="7"/>
      <c r="RZS18" s="7"/>
      <c r="RZT18" s="7"/>
      <c r="RZU18" s="7"/>
      <c r="RZV18" s="7"/>
      <c r="RZW18" s="7"/>
      <c r="RZX18" s="7"/>
      <c r="RZY18" s="7"/>
      <c r="RZZ18" s="7"/>
      <c r="SAA18" s="7"/>
      <c r="SAB18" s="7"/>
      <c r="SAC18" s="7"/>
      <c r="SAD18" s="7"/>
      <c r="SAE18" s="7"/>
      <c r="SAF18" s="7"/>
      <c r="SAG18" s="7"/>
      <c r="SAH18" s="7"/>
      <c r="SAI18" s="7"/>
      <c r="SAJ18" s="7"/>
      <c r="SAK18" s="7"/>
      <c r="SAL18" s="7"/>
      <c r="SAM18" s="7"/>
      <c r="SAN18" s="7"/>
      <c r="SAO18" s="7"/>
      <c r="SAP18" s="7"/>
      <c r="SAQ18" s="7"/>
      <c r="SAR18" s="7"/>
      <c r="SAS18" s="7"/>
      <c r="SAT18" s="7"/>
      <c r="SAU18" s="7"/>
      <c r="SAV18" s="7"/>
      <c r="SAW18" s="7"/>
      <c r="SAX18" s="7"/>
      <c r="SAY18" s="7"/>
      <c r="SAZ18" s="7"/>
      <c r="SBA18" s="7"/>
      <c r="SBB18" s="7"/>
      <c r="SBC18" s="7"/>
      <c r="SBD18" s="7"/>
      <c r="SBE18" s="7"/>
      <c r="SBF18" s="7"/>
      <c r="SBG18" s="7"/>
      <c r="SBH18" s="7"/>
      <c r="SBI18" s="7"/>
      <c r="SBJ18" s="7"/>
      <c r="SBK18" s="7"/>
      <c r="SBL18" s="7"/>
      <c r="SBM18" s="7"/>
      <c r="SBN18" s="7"/>
      <c r="SBO18" s="7"/>
      <c r="SBP18" s="7"/>
      <c r="SBQ18" s="7"/>
      <c r="SBR18" s="7"/>
      <c r="SBS18" s="7"/>
      <c r="SBT18" s="7"/>
      <c r="SBU18" s="7"/>
      <c r="SBV18" s="7"/>
      <c r="SBW18" s="7"/>
      <c r="SBX18" s="7"/>
      <c r="SBY18" s="7"/>
      <c r="SBZ18" s="7"/>
      <c r="SCA18" s="7"/>
      <c r="SCB18" s="7"/>
      <c r="SCC18" s="7"/>
      <c r="SCD18" s="7"/>
      <c r="SCE18" s="7"/>
      <c r="SCF18" s="7"/>
      <c r="SCG18" s="7"/>
      <c r="SCH18" s="7"/>
      <c r="SCI18" s="7"/>
      <c r="SCJ18" s="7"/>
      <c r="SCK18" s="7"/>
      <c r="SCL18" s="7"/>
      <c r="SCM18" s="7"/>
      <c r="SCN18" s="7"/>
      <c r="SCO18" s="7"/>
      <c r="SCP18" s="7"/>
      <c r="SCQ18" s="7"/>
      <c r="SCR18" s="7"/>
      <c r="SCS18" s="7"/>
      <c r="SCT18" s="7"/>
      <c r="SCU18" s="7"/>
      <c r="SCV18" s="7"/>
      <c r="SCW18" s="7"/>
      <c r="SCX18" s="7"/>
      <c r="SCY18" s="7"/>
      <c r="SCZ18" s="7"/>
      <c r="SDA18" s="7"/>
      <c r="SDB18" s="7"/>
      <c r="SDC18" s="7"/>
      <c r="SDD18" s="7"/>
      <c r="SDE18" s="7"/>
      <c r="SDF18" s="7"/>
      <c r="SDG18" s="7"/>
      <c r="SDH18" s="7"/>
      <c r="SDI18" s="7"/>
      <c r="SDJ18" s="7"/>
      <c r="SDK18" s="7"/>
      <c r="SDL18" s="7"/>
      <c r="SDM18" s="7"/>
      <c r="SDN18" s="7"/>
      <c r="SDO18" s="7"/>
      <c r="SDP18" s="7"/>
      <c r="SDQ18" s="7"/>
      <c r="SDR18" s="7"/>
      <c r="SDS18" s="7"/>
      <c r="SDT18" s="7"/>
      <c r="SDU18" s="7"/>
      <c r="SDV18" s="7"/>
      <c r="SDW18" s="7"/>
      <c r="SDX18" s="7"/>
      <c r="SDY18" s="7"/>
      <c r="SDZ18" s="7"/>
      <c r="SEA18" s="7"/>
      <c r="SEB18" s="7"/>
      <c r="SEC18" s="7"/>
      <c r="SED18" s="7"/>
      <c r="SEE18" s="7"/>
      <c r="SEF18" s="7"/>
      <c r="SEG18" s="7"/>
      <c r="SEH18" s="7"/>
      <c r="SEI18" s="7"/>
      <c r="SEJ18" s="7"/>
      <c r="SEK18" s="7"/>
      <c r="SEL18" s="7"/>
      <c r="SEM18" s="7"/>
      <c r="SEN18" s="7"/>
      <c r="SEO18" s="7"/>
      <c r="SEP18" s="7"/>
      <c r="SEQ18" s="7"/>
      <c r="SER18" s="7"/>
      <c r="SES18" s="7"/>
      <c r="SET18" s="7"/>
      <c r="SEU18" s="7"/>
      <c r="SEV18" s="7"/>
      <c r="SEW18" s="7"/>
      <c r="SEX18" s="7"/>
      <c r="SEY18" s="7"/>
      <c r="SEZ18" s="7"/>
      <c r="SFA18" s="7"/>
      <c r="SFB18" s="7"/>
      <c r="SFC18" s="7"/>
      <c r="SFD18" s="7"/>
      <c r="SFE18" s="7"/>
      <c r="SFF18" s="7"/>
      <c r="SFG18" s="7"/>
      <c r="SFH18" s="7"/>
      <c r="SFI18" s="7"/>
      <c r="SFJ18" s="7"/>
      <c r="SFK18" s="7"/>
      <c r="SFL18" s="7"/>
      <c r="SFM18" s="7"/>
      <c r="SFN18" s="7"/>
      <c r="SFO18" s="7"/>
      <c r="SFP18" s="7"/>
      <c r="SFQ18" s="7"/>
      <c r="SFR18" s="7"/>
      <c r="SFS18" s="7"/>
      <c r="SFT18" s="7"/>
      <c r="SFU18" s="7"/>
      <c r="SFV18" s="7"/>
      <c r="SFW18" s="7"/>
      <c r="SFX18" s="7"/>
      <c r="SFY18" s="7"/>
      <c r="SFZ18" s="7"/>
      <c r="SGA18" s="7"/>
      <c r="SGB18" s="7"/>
      <c r="SGC18" s="7"/>
      <c r="SGD18" s="7"/>
      <c r="SGE18" s="7"/>
      <c r="SGF18" s="7"/>
      <c r="SGG18" s="7"/>
      <c r="SGH18" s="7"/>
      <c r="SGI18" s="7"/>
      <c r="SGJ18" s="7"/>
      <c r="SGK18" s="7"/>
      <c r="SGL18" s="7"/>
      <c r="SGM18" s="7"/>
      <c r="SGN18" s="7"/>
      <c r="SGO18" s="7"/>
      <c r="SGP18" s="7"/>
      <c r="SGQ18" s="7"/>
      <c r="SGR18" s="7"/>
      <c r="SGS18" s="7"/>
      <c r="SGT18" s="7"/>
      <c r="SGU18" s="7"/>
      <c r="SGV18" s="7"/>
      <c r="SGW18" s="7"/>
      <c r="SGX18" s="7"/>
      <c r="SGY18" s="7"/>
      <c r="SGZ18" s="7"/>
      <c r="SHA18" s="7"/>
      <c r="SHB18" s="7"/>
      <c r="SHC18" s="7"/>
      <c r="SHD18" s="7"/>
      <c r="SHE18" s="7"/>
      <c r="SHF18" s="7"/>
      <c r="SHG18" s="7"/>
      <c r="SHH18" s="7"/>
      <c r="SHI18" s="7"/>
      <c r="SHJ18" s="7"/>
      <c r="SHK18" s="7"/>
      <c r="SHL18" s="7"/>
      <c r="SHM18" s="7"/>
      <c r="SHN18" s="7"/>
      <c r="SHO18" s="7"/>
      <c r="SHP18" s="7"/>
      <c r="SHQ18" s="7"/>
      <c r="SHR18" s="7"/>
      <c r="SHS18" s="7"/>
      <c r="SHT18" s="7"/>
      <c r="SHU18" s="7"/>
      <c r="SHV18" s="7"/>
      <c r="SHW18" s="7"/>
      <c r="SHX18" s="7"/>
      <c r="SHY18" s="7"/>
      <c r="SHZ18" s="7"/>
      <c r="SIA18" s="7"/>
      <c r="SIB18" s="7"/>
      <c r="SIC18" s="7"/>
      <c r="SID18" s="7"/>
      <c r="SIE18" s="7"/>
      <c r="SIF18" s="7"/>
      <c r="SIG18" s="7"/>
      <c r="SIH18" s="7"/>
      <c r="SII18" s="7"/>
      <c r="SIJ18" s="7"/>
      <c r="SIK18" s="7"/>
      <c r="SIL18" s="7"/>
      <c r="SIM18" s="7"/>
      <c r="SIN18" s="7"/>
      <c r="SIO18" s="7"/>
      <c r="SIP18" s="7"/>
      <c r="SIQ18" s="7"/>
      <c r="SIR18" s="7"/>
      <c r="SIS18" s="7"/>
      <c r="SIT18" s="7"/>
      <c r="SIU18" s="7"/>
      <c r="SIV18" s="7"/>
      <c r="SIW18" s="7"/>
      <c r="SIX18" s="7"/>
      <c r="SIY18" s="7"/>
      <c r="SIZ18" s="7"/>
      <c r="SJA18" s="7"/>
      <c r="SJB18" s="7"/>
      <c r="SJC18" s="7"/>
      <c r="SJD18" s="7"/>
      <c r="SJE18" s="7"/>
      <c r="SJF18" s="7"/>
      <c r="SJG18" s="7"/>
      <c r="SJH18" s="7"/>
      <c r="SJI18" s="7"/>
      <c r="SJJ18" s="7"/>
      <c r="SJK18" s="7"/>
      <c r="SJL18" s="7"/>
      <c r="SJM18" s="7"/>
      <c r="SJN18" s="7"/>
      <c r="SJO18" s="7"/>
      <c r="SJP18" s="7"/>
      <c r="SJQ18" s="7"/>
      <c r="SJR18" s="7"/>
      <c r="SJS18" s="7"/>
      <c r="SJT18" s="7"/>
      <c r="SJU18" s="7"/>
      <c r="SJV18" s="7"/>
      <c r="SJW18" s="7"/>
      <c r="SJX18" s="7"/>
      <c r="SJY18" s="7"/>
      <c r="SJZ18" s="7"/>
      <c r="SKA18" s="7"/>
      <c r="SKB18" s="7"/>
      <c r="SKC18" s="7"/>
      <c r="SKD18" s="7"/>
      <c r="SKE18" s="7"/>
      <c r="SKF18" s="7"/>
      <c r="SKG18" s="7"/>
      <c r="SKH18" s="7"/>
      <c r="SKI18" s="7"/>
      <c r="SKJ18" s="7"/>
      <c r="SKK18" s="7"/>
      <c r="SKL18" s="7"/>
      <c r="SKM18" s="7"/>
      <c r="SKN18" s="7"/>
      <c r="SKO18" s="7"/>
      <c r="SKP18" s="7"/>
      <c r="SKQ18" s="7"/>
      <c r="SKR18" s="7"/>
      <c r="SKS18" s="7"/>
      <c r="SKT18" s="7"/>
      <c r="SKU18" s="7"/>
      <c r="SKV18" s="7"/>
      <c r="SKW18" s="7"/>
      <c r="SKX18" s="7"/>
      <c r="SKY18" s="7"/>
      <c r="SKZ18" s="7"/>
      <c r="SLA18" s="7"/>
      <c r="SLB18" s="7"/>
      <c r="SLC18" s="7"/>
      <c r="SLD18" s="7"/>
      <c r="SLE18" s="7"/>
      <c r="SLF18" s="7"/>
      <c r="SLG18" s="7"/>
      <c r="SLH18" s="7"/>
      <c r="SLI18" s="7"/>
      <c r="SLJ18" s="7"/>
      <c r="SLK18" s="7"/>
      <c r="SLL18" s="7"/>
      <c r="SLM18" s="7"/>
      <c r="SLN18" s="7"/>
      <c r="SLO18" s="7"/>
      <c r="SLP18" s="7"/>
      <c r="SLQ18" s="7"/>
      <c r="SLR18" s="7"/>
      <c r="SLS18" s="7"/>
      <c r="SLT18" s="7"/>
      <c r="SLU18" s="7"/>
      <c r="SLV18" s="7"/>
      <c r="SLW18" s="7"/>
      <c r="SLX18" s="7"/>
      <c r="SLY18" s="7"/>
      <c r="SLZ18" s="7"/>
      <c r="SMA18" s="7"/>
      <c r="SMB18" s="7"/>
      <c r="SMC18" s="7"/>
      <c r="SMD18" s="7"/>
      <c r="SME18" s="7"/>
      <c r="SMF18" s="7"/>
      <c r="SMG18" s="7"/>
      <c r="SMH18" s="7"/>
      <c r="SMI18" s="7"/>
      <c r="SMJ18" s="7"/>
      <c r="SMK18" s="7"/>
      <c r="SML18" s="7"/>
      <c r="SMM18" s="7"/>
      <c r="SMN18" s="7"/>
      <c r="SMO18" s="7"/>
      <c r="SMP18" s="7"/>
      <c r="SMQ18" s="7"/>
      <c r="SMR18" s="7"/>
      <c r="SMS18" s="7"/>
      <c r="SMT18" s="7"/>
      <c r="SMU18" s="7"/>
      <c r="SMV18" s="7"/>
      <c r="SMW18" s="7"/>
      <c r="SMX18" s="7"/>
      <c r="SMY18" s="7"/>
      <c r="SMZ18" s="7"/>
      <c r="SNA18" s="7"/>
      <c r="SNB18" s="7"/>
      <c r="SNC18" s="7"/>
      <c r="SND18" s="7"/>
      <c r="SNE18" s="7"/>
      <c r="SNF18" s="7"/>
      <c r="SNG18" s="7"/>
      <c r="SNH18" s="7"/>
      <c r="SNI18" s="7"/>
      <c r="SNJ18" s="7"/>
      <c r="SNK18" s="7"/>
      <c r="SNL18" s="7"/>
      <c r="SNM18" s="7"/>
      <c r="SNN18" s="7"/>
      <c r="SNO18" s="7"/>
      <c r="SNP18" s="7"/>
      <c r="SNQ18" s="7"/>
      <c r="SNR18" s="7"/>
      <c r="SNS18" s="7"/>
      <c r="SNT18" s="7"/>
      <c r="SNU18" s="7"/>
      <c r="SNV18" s="7"/>
      <c r="SNW18" s="7"/>
      <c r="SNX18" s="7"/>
      <c r="SNY18" s="7"/>
      <c r="SNZ18" s="7"/>
      <c r="SOA18" s="7"/>
      <c r="SOB18" s="7"/>
      <c r="SOC18" s="7"/>
      <c r="SOD18" s="7"/>
      <c r="SOE18" s="7"/>
      <c r="SOF18" s="7"/>
      <c r="SOG18" s="7"/>
      <c r="SOH18" s="7"/>
      <c r="SOI18" s="7"/>
      <c r="SOJ18" s="7"/>
      <c r="SOK18" s="7"/>
      <c r="SOL18" s="7"/>
      <c r="SOM18" s="7"/>
      <c r="SON18" s="7"/>
      <c r="SOO18" s="7"/>
      <c r="SOP18" s="7"/>
      <c r="SOQ18" s="7"/>
      <c r="SOR18" s="7"/>
      <c r="SOS18" s="7"/>
      <c r="SOT18" s="7"/>
      <c r="SOU18" s="7"/>
      <c r="SOV18" s="7"/>
      <c r="SOW18" s="7"/>
      <c r="SOX18" s="7"/>
      <c r="SOY18" s="7"/>
      <c r="SOZ18" s="7"/>
      <c r="SPA18" s="7"/>
      <c r="SPB18" s="7"/>
      <c r="SPC18" s="7"/>
      <c r="SPD18" s="7"/>
      <c r="SPE18" s="7"/>
      <c r="SPF18" s="7"/>
      <c r="SPG18" s="7"/>
      <c r="SPH18" s="7"/>
      <c r="SPI18" s="7"/>
      <c r="SPJ18" s="7"/>
      <c r="SPK18" s="7"/>
      <c r="SPL18" s="7"/>
      <c r="SPM18" s="7"/>
      <c r="SPN18" s="7"/>
      <c r="SPO18" s="7"/>
      <c r="SPP18" s="7"/>
      <c r="SPQ18" s="7"/>
      <c r="SPR18" s="7"/>
      <c r="SPS18" s="7"/>
      <c r="SPT18" s="7"/>
      <c r="SPU18" s="7"/>
      <c r="SPV18" s="7"/>
      <c r="SPW18" s="7"/>
      <c r="SPX18" s="7"/>
      <c r="SPY18" s="7"/>
      <c r="SPZ18" s="7"/>
      <c r="SQA18" s="7"/>
      <c r="SQB18" s="7"/>
      <c r="SQC18" s="7"/>
      <c r="SQD18" s="7"/>
      <c r="SQE18" s="7"/>
      <c r="SQF18" s="7"/>
      <c r="SQG18" s="7"/>
      <c r="SQH18" s="7"/>
      <c r="SQI18" s="7"/>
      <c r="SQJ18" s="7"/>
      <c r="SQK18" s="7"/>
      <c r="SQL18" s="7"/>
      <c r="SQM18" s="7"/>
      <c r="SQN18" s="7"/>
      <c r="SQO18" s="7"/>
      <c r="SQP18" s="7"/>
      <c r="SQQ18" s="7"/>
      <c r="SQR18" s="7"/>
      <c r="SQS18" s="7"/>
      <c r="SQT18" s="7"/>
      <c r="SQU18" s="7"/>
      <c r="SQV18" s="7"/>
      <c r="SQW18" s="7"/>
      <c r="SQX18" s="7"/>
      <c r="SQY18" s="7"/>
      <c r="SQZ18" s="7"/>
      <c r="SRA18" s="7"/>
      <c r="SRB18" s="7"/>
      <c r="SRC18" s="7"/>
      <c r="SRD18" s="7"/>
      <c r="SRE18" s="7"/>
      <c r="SRF18" s="7"/>
      <c r="SRG18" s="7"/>
      <c r="SRH18" s="7"/>
      <c r="SRI18" s="7"/>
      <c r="SRJ18" s="7"/>
      <c r="SRK18" s="7"/>
      <c r="SRL18" s="7"/>
      <c r="SRM18" s="7"/>
      <c r="SRN18" s="7"/>
      <c r="SRO18" s="7"/>
      <c r="SRP18" s="7"/>
      <c r="SRQ18" s="7"/>
      <c r="SRR18" s="7"/>
      <c r="SRS18" s="7"/>
      <c r="SRT18" s="7"/>
      <c r="SRU18" s="7"/>
      <c r="SRV18" s="7"/>
      <c r="SRW18" s="7"/>
      <c r="SRX18" s="7"/>
      <c r="SRY18" s="7"/>
      <c r="SRZ18" s="7"/>
      <c r="SSA18" s="7"/>
      <c r="SSB18" s="7"/>
      <c r="SSC18" s="7"/>
      <c r="SSD18" s="7"/>
      <c r="SSE18" s="7"/>
      <c r="SSF18" s="7"/>
      <c r="SSG18" s="7"/>
      <c r="SSH18" s="7"/>
      <c r="SSI18" s="7"/>
      <c r="SSJ18" s="7"/>
      <c r="SSK18" s="7"/>
      <c r="SSL18" s="7"/>
      <c r="SSM18" s="7"/>
      <c r="SSN18" s="7"/>
      <c r="SSO18" s="7"/>
      <c r="SSP18" s="7"/>
      <c r="SSQ18" s="7"/>
      <c r="SSR18" s="7"/>
      <c r="SSS18" s="7"/>
      <c r="SST18" s="7"/>
      <c r="SSU18" s="7"/>
      <c r="SSV18" s="7"/>
      <c r="SSW18" s="7"/>
      <c r="SSX18" s="7"/>
      <c r="SSY18" s="7"/>
      <c r="SSZ18" s="7"/>
      <c r="STA18" s="7"/>
      <c r="STB18" s="7"/>
      <c r="STC18" s="7"/>
      <c r="STD18" s="7"/>
      <c r="STE18" s="7"/>
      <c r="STF18" s="7"/>
      <c r="STG18" s="7"/>
      <c r="STH18" s="7"/>
      <c r="STI18" s="7"/>
      <c r="STJ18" s="7"/>
      <c r="STK18" s="7"/>
      <c r="STL18" s="7"/>
      <c r="STM18" s="7"/>
      <c r="STN18" s="7"/>
      <c r="STO18" s="7"/>
      <c r="STP18" s="7"/>
      <c r="STQ18" s="7"/>
      <c r="STR18" s="7"/>
      <c r="STS18" s="7"/>
      <c r="STT18" s="7"/>
      <c r="STU18" s="7"/>
      <c r="STV18" s="7"/>
      <c r="STW18" s="7"/>
      <c r="STX18" s="7"/>
      <c r="STY18" s="7"/>
      <c r="STZ18" s="7"/>
      <c r="SUA18" s="7"/>
      <c r="SUB18" s="7"/>
      <c r="SUC18" s="7"/>
      <c r="SUD18" s="7"/>
      <c r="SUE18" s="7"/>
      <c r="SUF18" s="7"/>
      <c r="SUG18" s="7"/>
      <c r="SUH18" s="7"/>
      <c r="SUI18" s="7"/>
      <c r="SUJ18" s="7"/>
      <c r="SUK18" s="7"/>
      <c r="SUL18" s="7"/>
      <c r="SUM18" s="7"/>
      <c r="SUN18" s="7"/>
      <c r="SUO18" s="7"/>
      <c r="SUP18" s="7"/>
      <c r="SUQ18" s="7"/>
      <c r="SUR18" s="7"/>
      <c r="SUS18" s="7"/>
      <c r="SUT18" s="7"/>
      <c r="SUU18" s="7"/>
      <c r="SUV18" s="7"/>
      <c r="SUW18" s="7"/>
      <c r="SUX18" s="7"/>
      <c r="SUY18" s="7"/>
      <c r="SUZ18" s="7"/>
      <c r="SVA18" s="7"/>
      <c r="SVB18" s="7"/>
      <c r="SVC18" s="7"/>
      <c r="SVD18" s="7"/>
      <c r="SVE18" s="7"/>
      <c r="SVF18" s="7"/>
      <c r="SVG18" s="7"/>
      <c r="SVH18" s="7"/>
      <c r="SVI18" s="7"/>
      <c r="SVJ18" s="7"/>
      <c r="SVK18" s="7"/>
      <c r="SVL18" s="7"/>
      <c r="SVM18" s="7"/>
      <c r="SVN18" s="7"/>
      <c r="SVO18" s="7"/>
      <c r="SVP18" s="7"/>
      <c r="SVQ18" s="7"/>
      <c r="SVR18" s="7"/>
      <c r="SVS18" s="7"/>
      <c r="SVT18" s="7"/>
      <c r="SVU18" s="7"/>
      <c r="SVV18" s="7"/>
      <c r="SVW18" s="7"/>
      <c r="SVX18" s="7"/>
      <c r="SVY18" s="7"/>
      <c r="SVZ18" s="7"/>
      <c r="SWA18" s="7"/>
      <c r="SWB18" s="7"/>
      <c r="SWC18" s="7"/>
      <c r="SWD18" s="7"/>
      <c r="SWE18" s="7"/>
      <c r="SWF18" s="7"/>
      <c r="SWG18" s="7"/>
      <c r="SWH18" s="7"/>
      <c r="SWI18" s="7"/>
      <c r="SWJ18" s="7"/>
      <c r="SWK18" s="7"/>
      <c r="SWL18" s="7"/>
      <c r="SWM18" s="7"/>
      <c r="SWN18" s="7"/>
      <c r="SWO18" s="7"/>
      <c r="SWP18" s="7"/>
      <c r="SWQ18" s="7"/>
      <c r="SWR18" s="7"/>
      <c r="SWS18" s="7"/>
      <c r="SWT18" s="7"/>
      <c r="SWU18" s="7"/>
      <c r="SWV18" s="7"/>
      <c r="SWW18" s="7"/>
      <c r="SWX18" s="7"/>
      <c r="SWY18" s="7"/>
      <c r="SWZ18" s="7"/>
      <c r="SXA18" s="7"/>
      <c r="SXB18" s="7"/>
      <c r="SXC18" s="7"/>
      <c r="SXD18" s="7"/>
      <c r="SXE18" s="7"/>
      <c r="SXF18" s="7"/>
      <c r="SXG18" s="7"/>
      <c r="SXH18" s="7"/>
      <c r="SXI18" s="7"/>
      <c r="SXJ18" s="7"/>
      <c r="SXK18" s="7"/>
      <c r="SXL18" s="7"/>
      <c r="SXM18" s="7"/>
      <c r="SXN18" s="7"/>
      <c r="SXO18" s="7"/>
      <c r="SXP18" s="7"/>
      <c r="SXQ18" s="7"/>
      <c r="SXR18" s="7"/>
      <c r="SXS18" s="7"/>
      <c r="SXT18" s="7"/>
      <c r="SXU18" s="7"/>
      <c r="SXV18" s="7"/>
      <c r="SXW18" s="7"/>
      <c r="SXX18" s="7"/>
      <c r="SXY18" s="7"/>
      <c r="SXZ18" s="7"/>
      <c r="SYA18" s="7"/>
      <c r="SYB18" s="7"/>
      <c r="SYC18" s="7"/>
      <c r="SYD18" s="7"/>
      <c r="SYE18" s="7"/>
      <c r="SYF18" s="7"/>
      <c r="SYG18" s="7"/>
      <c r="SYH18" s="7"/>
      <c r="SYI18" s="7"/>
      <c r="SYJ18" s="7"/>
      <c r="SYK18" s="7"/>
      <c r="SYL18" s="7"/>
      <c r="SYM18" s="7"/>
      <c r="SYN18" s="7"/>
      <c r="SYO18" s="7"/>
      <c r="SYP18" s="7"/>
      <c r="SYQ18" s="7"/>
      <c r="SYR18" s="7"/>
      <c r="SYS18" s="7"/>
      <c r="SYT18" s="7"/>
      <c r="SYU18" s="7"/>
      <c r="SYV18" s="7"/>
      <c r="SYW18" s="7"/>
      <c r="SYX18" s="7"/>
      <c r="SYY18" s="7"/>
      <c r="SYZ18" s="7"/>
      <c r="SZA18" s="7"/>
      <c r="SZB18" s="7"/>
      <c r="SZC18" s="7"/>
      <c r="SZD18" s="7"/>
      <c r="SZE18" s="7"/>
      <c r="SZF18" s="7"/>
      <c r="SZG18" s="7"/>
      <c r="SZH18" s="7"/>
      <c r="SZI18" s="7"/>
      <c r="SZJ18" s="7"/>
      <c r="SZK18" s="7"/>
      <c r="SZL18" s="7"/>
      <c r="SZM18" s="7"/>
      <c r="SZN18" s="7"/>
      <c r="SZO18" s="7"/>
      <c r="SZP18" s="7"/>
      <c r="SZQ18" s="7"/>
      <c r="SZR18" s="7"/>
      <c r="SZS18" s="7"/>
      <c r="SZT18" s="7"/>
      <c r="SZU18" s="7"/>
      <c r="SZV18" s="7"/>
      <c r="SZW18" s="7"/>
      <c r="SZX18" s="7"/>
      <c r="SZY18" s="7"/>
      <c r="SZZ18" s="7"/>
      <c r="TAA18" s="7"/>
      <c r="TAB18" s="7"/>
      <c r="TAC18" s="7"/>
      <c r="TAD18" s="7"/>
      <c r="TAE18" s="7"/>
      <c r="TAF18" s="7"/>
      <c r="TAG18" s="7"/>
      <c r="TAH18" s="7"/>
      <c r="TAI18" s="7"/>
      <c r="TAJ18" s="7"/>
      <c r="TAK18" s="7"/>
      <c r="TAL18" s="7"/>
      <c r="TAM18" s="7"/>
      <c r="TAN18" s="7"/>
      <c r="TAO18" s="7"/>
      <c r="TAP18" s="7"/>
      <c r="TAQ18" s="7"/>
      <c r="TAR18" s="7"/>
      <c r="TAS18" s="7"/>
      <c r="TAT18" s="7"/>
      <c r="TAU18" s="7"/>
      <c r="TAV18" s="7"/>
      <c r="TAW18" s="7"/>
      <c r="TAX18" s="7"/>
      <c r="TAY18" s="7"/>
      <c r="TAZ18" s="7"/>
      <c r="TBA18" s="7"/>
      <c r="TBB18" s="7"/>
      <c r="TBC18" s="7"/>
      <c r="TBD18" s="7"/>
      <c r="TBE18" s="7"/>
      <c r="TBF18" s="7"/>
      <c r="TBG18" s="7"/>
      <c r="TBH18" s="7"/>
      <c r="TBI18" s="7"/>
      <c r="TBJ18" s="7"/>
      <c r="TBK18" s="7"/>
      <c r="TBL18" s="7"/>
      <c r="TBM18" s="7"/>
      <c r="TBN18" s="7"/>
      <c r="TBO18" s="7"/>
      <c r="TBP18" s="7"/>
      <c r="TBQ18" s="7"/>
      <c r="TBR18" s="7"/>
      <c r="TBS18" s="7"/>
      <c r="TBT18" s="7"/>
      <c r="TBU18" s="7"/>
      <c r="TBV18" s="7"/>
      <c r="TBW18" s="7"/>
      <c r="TBX18" s="7"/>
      <c r="TBY18" s="7"/>
      <c r="TBZ18" s="7"/>
      <c r="TCA18" s="7"/>
      <c r="TCB18" s="7"/>
      <c r="TCC18" s="7"/>
      <c r="TCD18" s="7"/>
      <c r="TCE18" s="7"/>
      <c r="TCF18" s="7"/>
      <c r="TCG18" s="7"/>
      <c r="TCH18" s="7"/>
      <c r="TCI18" s="7"/>
      <c r="TCJ18" s="7"/>
      <c r="TCK18" s="7"/>
      <c r="TCL18" s="7"/>
      <c r="TCM18" s="7"/>
      <c r="TCN18" s="7"/>
      <c r="TCO18" s="7"/>
      <c r="TCP18" s="7"/>
      <c r="TCQ18" s="7"/>
      <c r="TCR18" s="7"/>
      <c r="TCS18" s="7"/>
      <c r="TCT18" s="7"/>
      <c r="TCU18" s="7"/>
      <c r="TCV18" s="7"/>
      <c r="TCW18" s="7"/>
      <c r="TCX18" s="7"/>
      <c r="TCY18" s="7"/>
      <c r="TCZ18" s="7"/>
      <c r="TDA18" s="7"/>
      <c r="TDB18" s="7"/>
      <c r="TDC18" s="7"/>
      <c r="TDD18" s="7"/>
      <c r="TDE18" s="7"/>
      <c r="TDF18" s="7"/>
      <c r="TDG18" s="7"/>
      <c r="TDH18" s="7"/>
      <c r="TDI18" s="7"/>
      <c r="TDJ18" s="7"/>
      <c r="TDK18" s="7"/>
      <c r="TDL18" s="7"/>
      <c r="TDM18" s="7"/>
      <c r="TDN18" s="7"/>
      <c r="TDO18" s="7"/>
      <c r="TDP18" s="7"/>
      <c r="TDQ18" s="7"/>
      <c r="TDR18" s="7"/>
      <c r="TDS18" s="7"/>
      <c r="TDT18" s="7"/>
      <c r="TDU18" s="7"/>
      <c r="TDV18" s="7"/>
      <c r="TDW18" s="7"/>
      <c r="TDX18" s="7"/>
      <c r="TDY18" s="7"/>
      <c r="TDZ18" s="7"/>
      <c r="TEA18" s="7"/>
      <c r="TEB18" s="7"/>
      <c r="TEC18" s="7"/>
      <c r="TED18" s="7"/>
      <c r="TEE18" s="7"/>
      <c r="TEF18" s="7"/>
      <c r="TEG18" s="7"/>
      <c r="TEH18" s="7"/>
      <c r="TEI18" s="7"/>
      <c r="TEJ18" s="7"/>
      <c r="TEK18" s="7"/>
      <c r="TEL18" s="7"/>
      <c r="TEM18" s="7"/>
      <c r="TEN18" s="7"/>
      <c r="TEO18" s="7"/>
      <c r="TEP18" s="7"/>
      <c r="TEQ18" s="7"/>
      <c r="TER18" s="7"/>
      <c r="TES18" s="7"/>
      <c r="TET18" s="7"/>
      <c r="TEU18" s="7"/>
      <c r="TEV18" s="7"/>
      <c r="TEW18" s="7"/>
      <c r="TEX18" s="7"/>
      <c r="TEY18" s="7"/>
      <c r="TEZ18" s="7"/>
      <c r="TFA18" s="7"/>
      <c r="TFB18" s="7"/>
      <c r="TFC18" s="7"/>
      <c r="TFD18" s="7"/>
      <c r="TFE18" s="7"/>
      <c r="TFF18" s="7"/>
      <c r="TFG18" s="7"/>
      <c r="TFH18" s="7"/>
      <c r="TFI18" s="7"/>
      <c r="TFJ18" s="7"/>
      <c r="TFK18" s="7"/>
      <c r="TFL18" s="7"/>
      <c r="TFM18" s="7"/>
      <c r="TFN18" s="7"/>
      <c r="TFO18" s="7"/>
      <c r="TFP18" s="7"/>
      <c r="TFQ18" s="7"/>
      <c r="TFR18" s="7"/>
      <c r="TFS18" s="7"/>
      <c r="TFT18" s="7"/>
      <c r="TFU18" s="7"/>
      <c r="TFV18" s="7"/>
      <c r="TFW18" s="7"/>
      <c r="TFX18" s="7"/>
      <c r="TFY18" s="7"/>
      <c r="TFZ18" s="7"/>
      <c r="TGA18" s="7"/>
      <c r="TGB18" s="7"/>
      <c r="TGC18" s="7"/>
      <c r="TGD18" s="7"/>
      <c r="TGE18" s="7"/>
      <c r="TGF18" s="7"/>
      <c r="TGG18" s="7"/>
      <c r="TGH18" s="7"/>
      <c r="TGI18" s="7"/>
      <c r="TGJ18" s="7"/>
      <c r="TGK18" s="7"/>
      <c r="TGL18" s="7"/>
      <c r="TGM18" s="7"/>
      <c r="TGN18" s="7"/>
      <c r="TGO18" s="7"/>
      <c r="TGP18" s="7"/>
      <c r="TGQ18" s="7"/>
      <c r="TGR18" s="7"/>
      <c r="TGS18" s="7"/>
      <c r="TGT18" s="7"/>
      <c r="TGU18" s="7"/>
      <c r="TGV18" s="7"/>
      <c r="TGW18" s="7"/>
      <c r="TGX18" s="7"/>
      <c r="TGY18" s="7"/>
      <c r="TGZ18" s="7"/>
      <c r="THA18" s="7"/>
      <c r="THB18" s="7"/>
      <c r="THC18" s="7"/>
      <c r="THD18" s="7"/>
      <c r="THE18" s="7"/>
      <c r="THF18" s="7"/>
      <c r="THG18" s="7"/>
      <c r="THH18" s="7"/>
      <c r="THI18" s="7"/>
      <c r="THJ18" s="7"/>
      <c r="THK18" s="7"/>
      <c r="THL18" s="7"/>
      <c r="THM18" s="7"/>
      <c r="THN18" s="7"/>
      <c r="THO18" s="7"/>
      <c r="THP18" s="7"/>
      <c r="THQ18" s="7"/>
      <c r="THR18" s="7"/>
      <c r="THS18" s="7"/>
      <c r="THT18" s="7"/>
      <c r="THU18" s="7"/>
      <c r="THV18" s="7"/>
      <c r="THW18" s="7"/>
      <c r="THX18" s="7"/>
      <c r="THY18" s="7"/>
      <c r="THZ18" s="7"/>
      <c r="TIA18" s="7"/>
      <c r="TIB18" s="7"/>
      <c r="TIC18" s="7"/>
      <c r="TID18" s="7"/>
      <c r="TIE18" s="7"/>
      <c r="TIF18" s="7"/>
      <c r="TIG18" s="7"/>
      <c r="TIH18" s="7"/>
      <c r="TII18" s="7"/>
      <c r="TIJ18" s="7"/>
      <c r="TIK18" s="7"/>
      <c r="TIL18" s="7"/>
      <c r="TIM18" s="7"/>
      <c r="TIN18" s="7"/>
      <c r="TIO18" s="7"/>
      <c r="TIP18" s="7"/>
      <c r="TIQ18" s="7"/>
      <c r="TIR18" s="7"/>
      <c r="TIS18" s="7"/>
      <c r="TIT18" s="7"/>
      <c r="TIU18" s="7"/>
      <c r="TIV18" s="7"/>
      <c r="TIW18" s="7"/>
      <c r="TIX18" s="7"/>
      <c r="TIY18" s="7"/>
      <c r="TIZ18" s="7"/>
      <c r="TJA18" s="7"/>
      <c r="TJB18" s="7"/>
      <c r="TJC18" s="7"/>
      <c r="TJD18" s="7"/>
      <c r="TJE18" s="7"/>
      <c r="TJF18" s="7"/>
      <c r="TJG18" s="7"/>
      <c r="TJH18" s="7"/>
      <c r="TJI18" s="7"/>
      <c r="TJJ18" s="7"/>
      <c r="TJK18" s="7"/>
      <c r="TJL18" s="7"/>
      <c r="TJM18" s="7"/>
      <c r="TJN18" s="7"/>
      <c r="TJO18" s="7"/>
      <c r="TJP18" s="7"/>
      <c r="TJQ18" s="7"/>
      <c r="TJR18" s="7"/>
      <c r="TJS18" s="7"/>
      <c r="TJT18" s="7"/>
      <c r="TJU18" s="7"/>
      <c r="TJV18" s="7"/>
      <c r="TJW18" s="7"/>
      <c r="TJX18" s="7"/>
      <c r="TJY18" s="7"/>
      <c r="TJZ18" s="7"/>
      <c r="TKA18" s="7"/>
      <c r="TKB18" s="7"/>
      <c r="TKC18" s="7"/>
      <c r="TKD18" s="7"/>
      <c r="TKE18" s="7"/>
      <c r="TKF18" s="7"/>
      <c r="TKG18" s="7"/>
      <c r="TKH18" s="7"/>
      <c r="TKI18" s="7"/>
      <c r="TKJ18" s="7"/>
      <c r="TKK18" s="7"/>
      <c r="TKL18" s="7"/>
      <c r="TKM18" s="7"/>
      <c r="TKN18" s="7"/>
      <c r="TKO18" s="7"/>
      <c r="TKP18" s="7"/>
      <c r="TKQ18" s="7"/>
      <c r="TKR18" s="7"/>
      <c r="TKS18" s="7"/>
      <c r="TKT18" s="7"/>
      <c r="TKU18" s="7"/>
      <c r="TKV18" s="7"/>
      <c r="TKW18" s="7"/>
      <c r="TKX18" s="7"/>
      <c r="TKY18" s="7"/>
      <c r="TKZ18" s="7"/>
      <c r="TLA18" s="7"/>
      <c r="TLB18" s="7"/>
      <c r="TLC18" s="7"/>
      <c r="TLD18" s="7"/>
      <c r="TLE18" s="7"/>
      <c r="TLF18" s="7"/>
      <c r="TLG18" s="7"/>
      <c r="TLH18" s="7"/>
      <c r="TLI18" s="7"/>
      <c r="TLJ18" s="7"/>
      <c r="TLK18" s="7"/>
      <c r="TLL18" s="7"/>
      <c r="TLM18" s="7"/>
      <c r="TLN18" s="7"/>
      <c r="TLO18" s="7"/>
      <c r="TLP18" s="7"/>
      <c r="TLQ18" s="7"/>
      <c r="TLR18" s="7"/>
      <c r="TLS18" s="7"/>
      <c r="TLT18" s="7"/>
      <c r="TLU18" s="7"/>
      <c r="TLV18" s="7"/>
      <c r="TLW18" s="7"/>
      <c r="TLX18" s="7"/>
      <c r="TLY18" s="7"/>
      <c r="TLZ18" s="7"/>
      <c r="TMA18" s="7"/>
      <c r="TMB18" s="7"/>
      <c r="TMC18" s="7"/>
      <c r="TMD18" s="7"/>
      <c r="TME18" s="7"/>
      <c r="TMF18" s="7"/>
      <c r="TMG18" s="7"/>
      <c r="TMH18" s="7"/>
      <c r="TMI18" s="7"/>
      <c r="TMJ18" s="7"/>
      <c r="TMK18" s="7"/>
      <c r="TML18" s="7"/>
      <c r="TMM18" s="7"/>
      <c r="TMN18" s="7"/>
      <c r="TMO18" s="7"/>
      <c r="TMP18" s="7"/>
      <c r="TMQ18" s="7"/>
      <c r="TMR18" s="7"/>
      <c r="TMS18" s="7"/>
      <c r="TMT18" s="7"/>
      <c r="TMU18" s="7"/>
      <c r="TMV18" s="7"/>
      <c r="TMW18" s="7"/>
      <c r="TMX18" s="7"/>
      <c r="TMY18" s="7"/>
      <c r="TMZ18" s="7"/>
      <c r="TNA18" s="7"/>
      <c r="TNB18" s="7"/>
      <c r="TNC18" s="7"/>
      <c r="TND18" s="7"/>
      <c r="TNE18" s="7"/>
      <c r="TNF18" s="7"/>
      <c r="TNG18" s="7"/>
      <c r="TNH18" s="7"/>
      <c r="TNI18" s="7"/>
      <c r="TNJ18" s="7"/>
      <c r="TNK18" s="7"/>
      <c r="TNL18" s="7"/>
      <c r="TNM18" s="7"/>
      <c r="TNN18" s="7"/>
      <c r="TNO18" s="7"/>
      <c r="TNP18" s="7"/>
      <c r="TNQ18" s="7"/>
      <c r="TNR18" s="7"/>
      <c r="TNS18" s="7"/>
      <c r="TNT18" s="7"/>
      <c r="TNU18" s="7"/>
      <c r="TNV18" s="7"/>
      <c r="TNW18" s="7"/>
      <c r="TNX18" s="7"/>
      <c r="TNY18" s="7"/>
      <c r="TNZ18" s="7"/>
      <c r="TOA18" s="7"/>
      <c r="TOB18" s="7"/>
      <c r="TOC18" s="7"/>
      <c r="TOD18" s="7"/>
      <c r="TOE18" s="7"/>
      <c r="TOF18" s="7"/>
      <c r="TOG18" s="7"/>
      <c r="TOH18" s="7"/>
      <c r="TOI18" s="7"/>
      <c r="TOJ18" s="7"/>
      <c r="TOK18" s="7"/>
      <c r="TOL18" s="7"/>
      <c r="TOM18" s="7"/>
      <c r="TON18" s="7"/>
      <c r="TOO18" s="7"/>
      <c r="TOP18" s="7"/>
      <c r="TOQ18" s="7"/>
      <c r="TOR18" s="7"/>
      <c r="TOS18" s="7"/>
      <c r="TOT18" s="7"/>
      <c r="TOU18" s="7"/>
      <c r="TOV18" s="7"/>
      <c r="TOW18" s="7"/>
      <c r="TOX18" s="7"/>
      <c r="TOY18" s="7"/>
      <c r="TOZ18" s="7"/>
      <c r="TPA18" s="7"/>
      <c r="TPB18" s="7"/>
      <c r="TPC18" s="7"/>
      <c r="TPD18" s="7"/>
      <c r="TPE18" s="7"/>
      <c r="TPF18" s="7"/>
      <c r="TPG18" s="7"/>
      <c r="TPH18" s="7"/>
      <c r="TPI18" s="7"/>
      <c r="TPJ18" s="7"/>
      <c r="TPK18" s="7"/>
      <c r="TPL18" s="7"/>
      <c r="TPM18" s="7"/>
      <c r="TPN18" s="7"/>
      <c r="TPO18" s="7"/>
      <c r="TPP18" s="7"/>
      <c r="TPQ18" s="7"/>
      <c r="TPR18" s="7"/>
      <c r="TPS18" s="7"/>
      <c r="TPT18" s="7"/>
      <c r="TPU18" s="7"/>
      <c r="TPV18" s="7"/>
      <c r="TPW18" s="7"/>
      <c r="TPX18" s="7"/>
      <c r="TPY18" s="7"/>
      <c r="TPZ18" s="7"/>
      <c r="TQA18" s="7"/>
      <c r="TQB18" s="7"/>
      <c r="TQC18" s="7"/>
      <c r="TQD18" s="7"/>
      <c r="TQE18" s="7"/>
      <c r="TQF18" s="7"/>
      <c r="TQG18" s="7"/>
      <c r="TQH18" s="7"/>
      <c r="TQI18" s="7"/>
      <c r="TQJ18" s="7"/>
      <c r="TQK18" s="7"/>
      <c r="TQL18" s="7"/>
      <c r="TQM18" s="7"/>
      <c r="TQN18" s="7"/>
      <c r="TQO18" s="7"/>
      <c r="TQP18" s="7"/>
      <c r="TQQ18" s="7"/>
      <c r="TQR18" s="7"/>
      <c r="TQS18" s="7"/>
      <c r="TQT18" s="7"/>
      <c r="TQU18" s="7"/>
      <c r="TQV18" s="7"/>
      <c r="TQW18" s="7"/>
      <c r="TQX18" s="7"/>
      <c r="TQY18" s="7"/>
      <c r="TQZ18" s="7"/>
      <c r="TRA18" s="7"/>
      <c r="TRB18" s="7"/>
      <c r="TRC18" s="7"/>
      <c r="TRD18" s="7"/>
      <c r="TRE18" s="7"/>
      <c r="TRF18" s="7"/>
      <c r="TRG18" s="7"/>
      <c r="TRH18" s="7"/>
      <c r="TRI18" s="7"/>
      <c r="TRJ18" s="7"/>
      <c r="TRK18" s="7"/>
      <c r="TRL18" s="7"/>
      <c r="TRM18" s="7"/>
      <c r="TRN18" s="7"/>
      <c r="TRO18" s="7"/>
      <c r="TRP18" s="7"/>
      <c r="TRQ18" s="7"/>
      <c r="TRR18" s="7"/>
      <c r="TRS18" s="7"/>
      <c r="TRT18" s="7"/>
      <c r="TRU18" s="7"/>
      <c r="TRV18" s="7"/>
      <c r="TRW18" s="7"/>
      <c r="TRX18" s="7"/>
      <c r="TRY18" s="7"/>
      <c r="TRZ18" s="7"/>
      <c r="TSA18" s="7"/>
      <c r="TSB18" s="7"/>
      <c r="TSC18" s="7"/>
      <c r="TSD18" s="7"/>
      <c r="TSE18" s="7"/>
      <c r="TSF18" s="7"/>
      <c r="TSG18" s="7"/>
      <c r="TSH18" s="7"/>
      <c r="TSI18" s="7"/>
      <c r="TSJ18" s="7"/>
      <c r="TSK18" s="7"/>
      <c r="TSL18" s="7"/>
      <c r="TSM18" s="7"/>
      <c r="TSN18" s="7"/>
      <c r="TSO18" s="7"/>
      <c r="TSP18" s="7"/>
      <c r="TSQ18" s="7"/>
      <c r="TSR18" s="7"/>
      <c r="TSS18" s="7"/>
      <c r="TST18" s="7"/>
      <c r="TSU18" s="7"/>
      <c r="TSV18" s="7"/>
      <c r="TSW18" s="7"/>
      <c r="TSX18" s="7"/>
      <c r="TSY18" s="7"/>
      <c r="TSZ18" s="7"/>
      <c r="TTA18" s="7"/>
      <c r="TTB18" s="7"/>
      <c r="TTC18" s="7"/>
      <c r="TTD18" s="7"/>
      <c r="TTE18" s="7"/>
      <c r="TTF18" s="7"/>
      <c r="TTG18" s="7"/>
      <c r="TTH18" s="7"/>
      <c r="TTI18" s="7"/>
      <c r="TTJ18" s="7"/>
      <c r="TTK18" s="7"/>
      <c r="TTL18" s="7"/>
      <c r="TTM18" s="7"/>
      <c r="TTN18" s="7"/>
      <c r="TTO18" s="7"/>
      <c r="TTP18" s="7"/>
      <c r="TTQ18" s="7"/>
      <c r="TTR18" s="7"/>
      <c r="TTS18" s="7"/>
      <c r="TTT18" s="7"/>
      <c r="TTU18" s="7"/>
      <c r="TTV18" s="7"/>
      <c r="TTW18" s="7"/>
      <c r="TTX18" s="7"/>
      <c r="TTY18" s="7"/>
      <c r="TTZ18" s="7"/>
      <c r="TUA18" s="7"/>
      <c r="TUB18" s="7"/>
      <c r="TUC18" s="7"/>
      <c r="TUD18" s="7"/>
      <c r="TUE18" s="7"/>
      <c r="TUF18" s="7"/>
      <c r="TUG18" s="7"/>
      <c r="TUH18" s="7"/>
      <c r="TUI18" s="7"/>
      <c r="TUJ18" s="7"/>
      <c r="TUK18" s="7"/>
      <c r="TUL18" s="7"/>
      <c r="TUM18" s="7"/>
      <c r="TUN18" s="7"/>
      <c r="TUO18" s="7"/>
      <c r="TUP18" s="7"/>
      <c r="TUQ18" s="7"/>
      <c r="TUR18" s="7"/>
      <c r="TUS18" s="7"/>
      <c r="TUT18" s="7"/>
      <c r="TUU18" s="7"/>
      <c r="TUV18" s="7"/>
      <c r="TUW18" s="7"/>
      <c r="TUX18" s="7"/>
      <c r="TUY18" s="7"/>
      <c r="TUZ18" s="7"/>
      <c r="TVA18" s="7"/>
      <c r="TVB18" s="7"/>
      <c r="TVC18" s="7"/>
      <c r="TVD18" s="7"/>
      <c r="TVE18" s="7"/>
      <c r="TVF18" s="7"/>
      <c r="TVG18" s="7"/>
      <c r="TVH18" s="7"/>
      <c r="TVI18" s="7"/>
      <c r="TVJ18" s="7"/>
      <c r="TVK18" s="7"/>
      <c r="TVL18" s="7"/>
      <c r="TVM18" s="7"/>
      <c r="TVN18" s="7"/>
      <c r="TVO18" s="7"/>
      <c r="TVP18" s="7"/>
      <c r="TVQ18" s="7"/>
      <c r="TVR18" s="7"/>
      <c r="TVS18" s="7"/>
      <c r="TVT18" s="7"/>
      <c r="TVU18" s="7"/>
      <c r="TVV18" s="7"/>
      <c r="TVW18" s="7"/>
      <c r="TVX18" s="7"/>
      <c r="TVY18" s="7"/>
      <c r="TVZ18" s="7"/>
      <c r="TWA18" s="7"/>
      <c r="TWB18" s="7"/>
      <c r="TWC18" s="7"/>
      <c r="TWD18" s="7"/>
      <c r="TWE18" s="7"/>
      <c r="TWF18" s="7"/>
      <c r="TWG18" s="7"/>
      <c r="TWH18" s="7"/>
      <c r="TWI18" s="7"/>
      <c r="TWJ18" s="7"/>
      <c r="TWK18" s="7"/>
      <c r="TWL18" s="7"/>
      <c r="TWM18" s="7"/>
      <c r="TWN18" s="7"/>
      <c r="TWO18" s="7"/>
      <c r="TWP18" s="7"/>
      <c r="TWQ18" s="7"/>
      <c r="TWR18" s="7"/>
      <c r="TWS18" s="7"/>
      <c r="TWT18" s="7"/>
      <c r="TWU18" s="7"/>
      <c r="TWV18" s="7"/>
      <c r="TWW18" s="7"/>
      <c r="TWX18" s="7"/>
      <c r="TWY18" s="7"/>
      <c r="TWZ18" s="7"/>
      <c r="TXA18" s="7"/>
      <c r="TXB18" s="7"/>
      <c r="TXC18" s="7"/>
      <c r="TXD18" s="7"/>
      <c r="TXE18" s="7"/>
      <c r="TXF18" s="7"/>
      <c r="TXG18" s="7"/>
      <c r="TXH18" s="7"/>
      <c r="TXI18" s="7"/>
      <c r="TXJ18" s="7"/>
      <c r="TXK18" s="7"/>
      <c r="TXL18" s="7"/>
      <c r="TXM18" s="7"/>
      <c r="TXN18" s="7"/>
      <c r="TXO18" s="7"/>
      <c r="TXP18" s="7"/>
      <c r="TXQ18" s="7"/>
      <c r="TXR18" s="7"/>
      <c r="TXS18" s="7"/>
      <c r="TXT18" s="7"/>
      <c r="TXU18" s="7"/>
      <c r="TXV18" s="7"/>
      <c r="TXW18" s="7"/>
      <c r="TXX18" s="7"/>
      <c r="TXY18" s="7"/>
      <c r="TXZ18" s="7"/>
      <c r="TYA18" s="7"/>
      <c r="TYB18" s="7"/>
      <c r="TYC18" s="7"/>
      <c r="TYD18" s="7"/>
      <c r="TYE18" s="7"/>
      <c r="TYF18" s="7"/>
      <c r="TYG18" s="7"/>
      <c r="TYH18" s="7"/>
      <c r="TYI18" s="7"/>
      <c r="TYJ18" s="7"/>
      <c r="TYK18" s="7"/>
      <c r="TYL18" s="7"/>
      <c r="TYM18" s="7"/>
      <c r="TYN18" s="7"/>
      <c r="TYO18" s="7"/>
      <c r="TYP18" s="7"/>
      <c r="TYQ18" s="7"/>
      <c r="TYR18" s="7"/>
      <c r="TYS18" s="7"/>
      <c r="TYT18" s="7"/>
      <c r="TYU18" s="7"/>
      <c r="TYV18" s="7"/>
      <c r="TYW18" s="7"/>
      <c r="TYX18" s="7"/>
      <c r="TYY18" s="7"/>
      <c r="TYZ18" s="7"/>
      <c r="TZA18" s="7"/>
      <c r="TZB18" s="7"/>
      <c r="TZC18" s="7"/>
      <c r="TZD18" s="7"/>
      <c r="TZE18" s="7"/>
      <c r="TZF18" s="7"/>
      <c r="TZG18" s="7"/>
      <c r="TZH18" s="7"/>
      <c r="TZI18" s="7"/>
      <c r="TZJ18" s="7"/>
      <c r="TZK18" s="7"/>
      <c r="TZL18" s="7"/>
      <c r="TZM18" s="7"/>
      <c r="TZN18" s="7"/>
      <c r="TZO18" s="7"/>
      <c r="TZP18" s="7"/>
      <c r="TZQ18" s="7"/>
      <c r="TZR18" s="7"/>
      <c r="TZS18" s="7"/>
      <c r="TZT18" s="7"/>
      <c r="TZU18" s="7"/>
      <c r="TZV18" s="7"/>
      <c r="TZW18" s="7"/>
      <c r="TZX18" s="7"/>
      <c r="TZY18" s="7"/>
      <c r="TZZ18" s="7"/>
      <c r="UAA18" s="7"/>
      <c r="UAB18" s="7"/>
      <c r="UAC18" s="7"/>
      <c r="UAD18" s="7"/>
      <c r="UAE18" s="7"/>
      <c r="UAF18" s="7"/>
      <c r="UAG18" s="7"/>
      <c r="UAH18" s="7"/>
      <c r="UAI18" s="7"/>
      <c r="UAJ18" s="7"/>
      <c r="UAK18" s="7"/>
      <c r="UAL18" s="7"/>
      <c r="UAM18" s="7"/>
      <c r="UAN18" s="7"/>
      <c r="UAO18" s="7"/>
      <c r="UAP18" s="7"/>
      <c r="UAQ18" s="7"/>
      <c r="UAR18" s="7"/>
      <c r="UAS18" s="7"/>
      <c r="UAT18" s="7"/>
      <c r="UAU18" s="7"/>
      <c r="UAV18" s="7"/>
      <c r="UAW18" s="7"/>
      <c r="UAX18" s="7"/>
      <c r="UAY18" s="7"/>
      <c r="UAZ18" s="7"/>
      <c r="UBA18" s="7"/>
      <c r="UBB18" s="7"/>
      <c r="UBC18" s="7"/>
      <c r="UBD18" s="7"/>
      <c r="UBE18" s="7"/>
      <c r="UBF18" s="7"/>
      <c r="UBG18" s="7"/>
      <c r="UBH18" s="7"/>
      <c r="UBI18" s="7"/>
      <c r="UBJ18" s="7"/>
      <c r="UBK18" s="7"/>
      <c r="UBL18" s="7"/>
      <c r="UBM18" s="7"/>
      <c r="UBN18" s="7"/>
      <c r="UBO18" s="7"/>
      <c r="UBP18" s="7"/>
      <c r="UBQ18" s="7"/>
      <c r="UBR18" s="7"/>
      <c r="UBS18" s="7"/>
      <c r="UBT18" s="7"/>
      <c r="UBU18" s="7"/>
      <c r="UBV18" s="7"/>
      <c r="UBW18" s="7"/>
      <c r="UBX18" s="7"/>
      <c r="UBY18" s="7"/>
      <c r="UBZ18" s="7"/>
      <c r="UCA18" s="7"/>
      <c r="UCB18" s="7"/>
      <c r="UCC18" s="7"/>
      <c r="UCD18" s="7"/>
      <c r="UCE18" s="7"/>
      <c r="UCF18" s="7"/>
      <c r="UCG18" s="7"/>
      <c r="UCH18" s="7"/>
      <c r="UCI18" s="7"/>
      <c r="UCJ18" s="7"/>
      <c r="UCK18" s="7"/>
      <c r="UCL18" s="7"/>
      <c r="UCM18" s="7"/>
      <c r="UCN18" s="7"/>
      <c r="UCO18" s="7"/>
      <c r="UCP18" s="7"/>
      <c r="UCQ18" s="7"/>
      <c r="UCR18" s="7"/>
      <c r="UCS18" s="7"/>
      <c r="UCT18" s="7"/>
      <c r="UCU18" s="7"/>
      <c r="UCV18" s="7"/>
      <c r="UCW18" s="7"/>
      <c r="UCX18" s="7"/>
      <c r="UCY18" s="7"/>
      <c r="UCZ18" s="7"/>
      <c r="UDA18" s="7"/>
      <c r="UDB18" s="7"/>
      <c r="UDC18" s="7"/>
      <c r="UDD18" s="7"/>
      <c r="UDE18" s="7"/>
      <c r="UDF18" s="7"/>
      <c r="UDG18" s="7"/>
      <c r="UDH18" s="7"/>
      <c r="UDI18" s="7"/>
      <c r="UDJ18" s="7"/>
      <c r="UDK18" s="7"/>
      <c r="UDL18" s="7"/>
      <c r="UDM18" s="7"/>
      <c r="UDN18" s="7"/>
      <c r="UDO18" s="7"/>
      <c r="UDP18" s="7"/>
      <c r="UDQ18" s="7"/>
      <c r="UDR18" s="7"/>
      <c r="UDS18" s="7"/>
      <c r="UDT18" s="7"/>
      <c r="UDU18" s="7"/>
      <c r="UDV18" s="7"/>
      <c r="UDW18" s="7"/>
      <c r="UDX18" s="7"/>
      <c r="UDY18" s="7"/>
      <c r="UDZ18" s="7"/>
      <c r="UEA18" s="7"/>
      <c r="UEB18" s="7"/>
      <c r="UEC18" s="7"/>
      <c r="UED18" s="7"/>
      <c r="UEE18" s="7"/>
      <c r="UEF18" s="7"/>
      <c r="UEG18" s="7"/>
      <c r="UEH18" s="7"/>
      <c r="UEI18" s="7"/>
      <c r="UEJ18" s="7"/>
      <c r="UEK18" s="7"/>
      <c r="UEL18" s="7"/>
      <c r="UEM18" s="7"/>
      <c r="UEN18" s="7"/>
      <c r="UEO18" s="7"/>
      <c r="UEP18" s="7"/>
      <c r="UEQ18" s="7"/>
      <c r="UER18" s="7"/>
      <c r="UES18" s="7"/>
      <c r="UET18" s="7"/>
      <c r="UEU18" s="7"/>
      <c r="UEV18" s="7"/>
      <c r="UEW18" s="7"/>
      <c r="UEX18" s="7"/>
      <c r="UEY18" s="7"/>
      <c r="UEZ18" s="7"/>
      <c r="UFA18" s="7"/>
      <c r="UFB18" s="7"/>
      <c r="UFC18" s="7"/>
      <c r="UFD18" s="7"/>
      <c r="UFE18" s="7"/>
      <c r="UFF18" s="7"/>
      <c r="UFG18" s="7"/>
      <c r="UFH18" s="7"/>
      <c r="UFI18" s="7"/>
      <c r="UFJ18" s="7"/>
      <c r="UFK18" s="7"/>
      <c r="UFL18" s="7"/>
      <c r="UFM18" s="7"/>
      <c r="UFN18" s="7"/>
      <c r="UFO18" s="7"/>
      <c r="UFP18" s="7"/>
      <c r="UFQ18" s="7"/>
      <c r="UFR18" s="7"/>
      <c r="UFS18" s="7"/>
      <c r="UFT18" s="7"/>
      <c r="UFU18" s="7"/>
      <c r="UFV18" s="7"/>
      <c r="UFW18" s="7"/>
      <c r="UFX18" s="7"/>
      <c r="UFY18" s="7"/>
      <c r="UFZ18" s="7"/>
      <c r="UGA18" s="7"/>
      <c r="UGB18" s="7"/>
      <c r="UGC18" s="7"/>
      <c r="UGD18" s="7"/>
      <c r="UGE18" s="7"/>
      <c r="UGF18" s="7"/>
      <c r="UGG18" s="7"/>
      <c r="UGH18" s="7"/>
      <c r="UGI18" s="7"/>
      <c r="UGJ18" s="7"/>
      <c r="UGK18" s="7"/>
      <c r="UGL18" s="7"/>
      <c r="UGM18" s="7"/>
      <c r="UGN18" s="7"/>
      <c r="UGO18" s="7"/>
      <c r="UGP18" s="7"/>
      <c r="UGQ18" s="7"/>
      <c r="UGR18" s="7"/>
      <c r="UGS18" s="7"/>
      <c r="UGT18" s="7"/>
      <c r="UGU18" s="7"/>
      <c r="UGV18" s="7"/>
      <c r="UGW18" s="7"/>
      <c r="UGX18" s="7"/>
      <c r="UGY18" s="7"/>
      <c r="UGZ18" s="7"/>
      <c r="UHA18" s="7"/>
      <c r="UHB18" s="7"/>
      <c r="UHC18" s="7"/>
      <c r="UHD18" s="7"/>
      <c r="UHE18" s="7"/>
      <c r="UHF18" s="7"/>
      <c r="UHG18" s="7"/>
      <c r="UHH18" s="7"/>
      <c r="UHI18" s="7"/>
      <c r="UHJ18" s="7"/>
      <c r="UHK18" s="7"/>
      <c r="UHL18" s="7"/>
      <c r="UHM18" s="7"/>
      <c r="UHN18" s="7"/>
      <c r="UHO18" s="7"/>
      <c r="UHP18" s="7"/>
      <c r="UHQ18" s="7"/>
      <c r="UHR18" s="7"/>
      <c r="UHS18" s="7"/>
      <c r="UHT18" s="7"/>
      <c r="UHU18" s="7"/>
      <c r="UHV18" s="7"/>
      <c r="UHW18" s="7"/>
      <c r="UHX18" s="7"/>
      <c r="UHY18" s="7"/>
      <c r="UHZ18" s="7"/>
      <c r="UIA18" s="7"/>
      <c r="UIB18" s="7"/>
      <c r="UIC18" s="7"/>
      <c r="UID18" s="7"/>
      <c r="UIE18" s="7"/>
      <c r="UIF18" s="7"/>
      <c r="UIG18" s="7"/>
      <c r="UIH18" s="7"/>
      <c r="UII18" s="7"/>
      <c r="UIJ18" s="7"/>
      <c r="UIK18" s="7"/>
      <c r="UIL18" s="7"/>
      <c r="UIM18" s="7"/>
      <c r="UIN18" s="7"/>
      <c r="UIO18" s="7"/>
      <c r="UIP18" s="7"/>
      <c r="UIQ18" s="7"/>
      <c r="UIR18" s="7"/>
      <c r="UIS18" s="7"/>
      <c r="UIT18" s="7"/>
      <c r="UIU18" s="7"/>
      <c r="UIV18" s="7"/>
      <c r="UIW18" s="7"/>
      <c r="UIX18" s="7"/>
      <c r="UIY18" s="7"/>
      <c r="UIZ18" s="7"/>
      <c r="UJA18" s="7"/>
      <c r="UJB18" s="7"/>
      <c r="UJC18" s="7"/>
      <c r="UJD18" s="7"/>
      <c r="UJE18" s="7"/>
      <c r="UJF18" s="7"/>
      <c r="UJG18" s="7"/>
      <c r="UJH18" s="7"/>
      <c r="UJI18" s="7"/>
      <c r="UJJ18" s="7"/>
      <c r="UJK18" s="7"/>
      <c r="UJL18" s="7"/>
      <c r="UJM18" s="7"/>
      <c r="UJN18" s="7"/>
      <c r="UJO18" s="7"/>
      <c r="UJP18" s="7"/>
      <c r="UJQ18" s="7"/>
      <c r="UJR18" s="7"/>
      <c r="UJS18" s="7"/>
      <c r="UJT18" s="7"/>
      <c r="UJU18" s="7"/>
      <c r="UJV18" s="7"/>
      <c r="UJW18" s="7"/>
      <c r="UJX18" s="7"/>
      <c r="UJY18" s="7"/>
      <c r="UJZ18" s="7"/>
      <c r="UKA18" s="7"/>
      <c r="UKB18" s="7"/>
      <c r="UKC18" s="7"/>
      <c r="UKD18" s="7"/>
      <c r="UKE18" s="7"/>
      <c r="UKF18" s="7"/>
      <c r="UKG18" s="7"/>
      <c r="UKH18" s="7"/>
      <c r="UKI18" s="7"/>
      <c r="UKJ18" s="7"/>
      <c r="UKK18" s="7"/>
      <c r="UKL18" s="7"/>
      <c r="UKM18" s="7"/>
      <c r="UKN18" s="7"/>
      <c r="UKO18" s="7"/>
      <c r="UKP18" s="7"/>
      <c r="UKQ18" s="7"/>
      <c r="UKR18" s="7"/>
      <c r="UKS18" s="7"/>
      <c r="UKT18" s="7"/>
      <c r="UKU18" s="7"/>
      <c r="UKV18" s="7"/>
      <c r="UKW18" s="7"/>
      <c r="UKX18" s="7"/>
      <c r="UKY18" s="7"/>
      <c r="UKZ18" s="7"/>
      <c r="ULA18" s="7"/>
      <c r="ULB18" s="7"/>
      <c r="ULC18" s="7"/>
      <c r="ULD18" s="7"/>
      <c r="ULE18" s="7"/>
      <c r="ULF18" s="7"/>
      <c r="ULG18" s="7"/>
      <c r="ULH18" s="7"/>
      <c r="ULI18" s="7"/>
      <c r="ULJ18" s="7"/>
      <c r="ULK18" s="7"/>
      <c r="ULL18" s="7"/>
      <c r="ULM18" s="7"/>
      <c r="ULN18" s="7"/>
      <c r="ULO18" s="7"/>
      <c r="ULP18" s="7"/>
      <c r="ULQ18" s="7"/>
      <c r="ULR18" s="7"/>
      <c r="ULS18" s="7"/>
      <c r="ULT18" s="7"/>
      <c r="ULU18" s="7"/>
      <c r="ULV18" s="7"/>
      <c r="ULW18" s="7"/>
      <c r="ULX18" s="7"/>
      <c r="ULY18" s="7"/>
      <c r="ULZ18" s="7"/>
      <c r="UMA18" s="7"/>
      <c r="UMB18" s="7"/>
      <c r="UMC18" s="7"/>
      <c r="UMD18" s="7"/>
      <c r="UME18" s="7"/>
      <c r="UMF18" s="7"/>
      <c r="UMG18" s="7"/>
      <c r="UMH18" s="7"/>
      <c r="UMI18" s="7"/>
      <c r="UMJ18" s="7"/>
      <c r="UMK18" s="7"/>
      <c r="UML18" s="7"/>
      <c r="UMM18" s="7"/>
      <c r="UMN18" s="7"/>
      <c r="UMO18" s="7"/>
      <c r="UMP18" s="7"/>
      <c r="UMQ18" s="7"/>
      <c r="UMR18" s="7"/>
      <c r="UMS18" s="7"/>
      <c r="UMT18" s="7"/>
      <c r="UMU18" s="7"/>
      <c r="UMV18" s="7"/>
      <c r="UMW18" s="7"/>
      <c r="UMX18" s="7"/>
      <c r="UMY18" s="7"/>
      <c r="UMZ18" s="7"/>
      <c r="UNA18" s="7"/>
      <c r="UNB18" s="7"/>
      <c r="UNC18" s="7"/>
      <c r="UND18" s="7"/>
      <c r="UNE18" s="7"/>
      <c r="UNF18" s="7"/>
      <c r="UNG18" s="7"/>
      <c r="UNH18" s="7"/>
      <c r="UNI18" s="7"/>
      <c r="UNJ18" s="7"/>
      <c r="UNK18" s="7"/>
      <c r="UNL18" s="7"/>
      <c r="UNM18" s="7"/>
      <c r="UNN18" s="7"/>
      <c r="UNO18" s="7"/>
      <c r="UNP18" s="7"/>
      <c r="UNQ18" s="7"/>
      <c r="UNR18" s="7"/>
      <c r="UNS18" s="7"/>
      <c r="UNT18" s="7"/>
      <c r="UNU18" s="7"/>
      <c r="UNV18" s="7"/>
      <c r="UNW18" s="7"/>
      <c r="UNX18" s="7"/>
      <c r="UNY18" s="7"/>
      <c r="UNZ18" s="7"/>
      <c r="UOA18" s="7"/>
      <c r="UOB18" s="7"/>
      <c r="UOC18" s="7"/>
      <c r="UOD18" s="7"/>
      <c r="UOE18" s="7"/>
      <c r="UOF18" s="7"/>
      <c r="UOG18" s="7"/>
      <c r="UOH18" s="7"/>
      <c r="UOI18" s="7"/>
      <c r="UOJ18" s="7"/>
      <c r="UOK18" s="7"/>
      <c r="UOL18" s="7"/>
      <c r="UOM18" s="7"/>
      <c r="UON18" s="7"/>
      <c r="UOO18" s="7"/>
      <c r="UOP18" s="7"/>
      <c r="UOQ18" s="7"/>
      <c r="UOR18" s="7"/>
      <c r="UOS18" s="7"/>
      <c r="UOT18" s="7"/>
      <c r="UOU18" s="7"/>
      <c r="UOV18" s="7"/>
      <c r="UOW18" s="7"/>
      <c r="UOX18" s="7"/>
      <c r="UOY18" s="7"/>
      <c r="UOZ18" s="7"/>
      <c r="UPA18" s="7"/>
      <c r="UPB18" s="7"/>
      <c r="UPC18" s="7"/>
      <c r="UPD18" s="7"/>
      <c r="UPE18" s="7"/>
      <c r="UPF18" s="7"/>
      <c r="UPG18" s="7"/>
      <c r="UPH18" s="7"/>
      <c r="UPI18" s="7"/>
      <c r="UPJ18" s="7"/>
      <c r="UPK18" s="7"/>
      <c r="UPL18" s="7"/>
      <c r="UPM18" s="7"/>
      <c r="UPN18" s="7"/>
      <c r="UPO18" s="7"/>
      <c r="UPP18" s="7"/>
      <c r="UPQ18" s="7"/>
      <c r="UPR18" s="7"/>
      <c r="UPS18" s="7"/>
      <c r="UPT18" s="7"/>
      <c r="UPU18" s="7"/>
      <c r="UPV18" s="7"/>
      <c r="UPW18" s="7"/>
      <c r="UPX18" s="7"/>
      <c r="UPY18" s="7"/>
      <c r="UPZ18" s="7"/>
      <c r="UQA18" s="7"/>
      <c r="UQB18" s="7"/>
      <c r="UQC18" s="7"/>
      <c r="UQD18" s="7"/>
      <c r="UQE18" s="7"/>
      <c r="UQF18" s="7"/>
      <c r="UQG18" s="7"/>
      <c r="UQH18" s="7"/>
      <c r="UQI18" s="7"/>
      <c r="UQJ18" s="7"/>
      <c r="UQK18" s="7"/>
      <c r="UQL18" s="7"/>
      <c r="UQM18" s="7"/>
      <c r="UQN18" s="7"/>
      <c r="UQO18" s="7"/>
      <c r="UQP18" s="7"/>
      <c r="UQQ18" s="7"/>
      <c r="UQR18" s="7"/>
      <c r="UQS18" s="7"/>
      <c r="UQT18" s="7"/>
      <c r="UQU18" s="7"/>
      <c r="UQV18" s="7"/>
      <c r="UQW18" s="7"/>
      <c r="UQX18" s="7"/>
      <c r="UQY18" s="7"/>
      <c r="UQZ18" s="7"/>
      <c r="URA18" s="7"/>
      <c r="URB18" s="7"/>
      <c r="URC18" s="7"/>
      <c r="URD18" s="7"/>
      <c r="URE18" s="7"/>
      <c r="URF18" s="7"/>
      <c r="URG18" s="7"/>
      <c r="URH18" s="7"/>
      <c r="URI18" s="7"/>
      <c r="URJ18" s="7"/>
      <c r="URK18" s="7"/>
      <c r="URL18" s="7"/>
      <c r="URM18" s="7"/>
      <c r="URN18" s="7"/>
      <c r="URO18" s="7"/>
      <c r="URP18" s="7"/>
      <c r="URQ18" s="7"/>
      <c r="URR18" s="7"/>
      <c r="URS18" s="7"/>
      <c r="URT18" s="7"/>
      <c r="URU18" s="7"/>
      <c r="URV18" s="7"/>
      <c r="URW18" s="7"/>
      <c r="URX18" s="7"/>
      <c r="URY18" s="7"/>
      <c r="URZ18" s="7"/>
      <c r="USA18" s="7"/>
      <c r="USB18" s="7"/>
      <c r="USC18" s="7"/>
      <c r="USD18" s="7"/>
      <c r="USE18" s="7"/>
      <c r="USF18" s="7"/>
      <c r="USG18" s="7"/>
      <c r="USH18" s="7"/>
      <c r="USI18" s="7"/>
      <c r="USJ18" s="7"/>
      <c r="USK18" s="7"/>
      <c r="USL18" s="7"/>
      <c r="USM18" s="7"/>
      <c r="USN18" s="7"/>
      <c r="USO18" s="7"/>
      <c r="USP18" s="7"/>
      <c r="USQ18" s="7"/>
      <c r="USR18" s="7"/>
      <c r="USS18" s="7"/>
      <c r="UST18" s="7"/>
      <c r="USU18" s="7"/>
      <c r="USV18" s="7"/>
      <c r="USW18" s="7"/>
      <c r="USX18" s="7"/>
      <c r="USY18" s="7"/>
      <c r="USZ18" s="7"/>
      <c r="UTA18" s="7"/>
      <c r="UTB18" s="7"/>
      <c r="UTC18" s="7"/>
      <c r="UTD18" s="7"/>
      <c r="UTE18" s="7"/>
      <c r="UTF18" s="7"/>
      <c r="UTG18" s="7"/>
      <c r="UTH18" s="7"/>
      <c r="UTI18" s="7"/>
      <c r="UTJ18" s="7"/>
      <c r="UTK18" s="7"/>
      <c r="UTL18" s="7"/>
      <c r="UTM18" s="7"/>
      <c r="UTN18" s="7"/>
      <c r="UTO18" s="7"/>
      <c r="UTP18" s="7"/>
      <c r="UTQ18" s="7"/>
      <c r="UTR18" s="7"/>
      <c r="UTS18" s="7"/>
      <c r="UTT18" s="7"/>
      <c r="UTU18" s="7"/>
      <c r="UTV18" s="7"/>
      <c r="UTW18" s="7"/>
      <c r="UTX18" s="7"/>
      <c r="UTY18" s="7"/>
      <c r="UTZ18" s="7"/>
      <c r="UUA18" s="7"/>
      <c r="UUB18" s="7"/>
      <c r="UUC18" s="7"/>
      <c r="UUD18" s="7"/>
      <c r="UUE18" s="7"/>
      <c r="UUF18" s="7"/>
      <c r="UUG18" s="7"/>
      <c r="UUH18" s="7"/>
      <c r="UUI18" s="7"/>
      <c r="UUJ18" s="7"/>
      <c r="UUK18" s="7"/>
      <c r="UUL18" s="7"/>
      <c r="UUM18" s="7"/>
      <c r="UUN18" s="7"/>
      <c r="UUO18" s="7"/>
      <c r="UUP18" s="7"/>
      <c r="UUQ18" s="7"/>
      <c r="UUR18" s="7"/>
      <c r="UUS18" s="7"/>
      <c r="UUT18" s="7"/>
      <c r="UUU18" s="7"/>
      <c r="UUV18" s="7"/>
      <c r="UUW18" s="7"/>
      <c r="UUX18" s="7"/>
      <c r="UUY18" s="7"/>
      <c r="UUZ18" s="7"/>
      <c r="UVA18" s="7"/>
      <c r="UVB18" s="7"/>
      <c r="UVC18" s="7"/>
      <c r="UVD18" s="7"/>
      <c r="UVE18" s="7"/>
      <c r="UVF18" s="7"/>
      <c r="UVG18" s="7"/>
      <c r="UVH18" s="7"/>
      <c r="UVI18" s="7"/>
      <c r="UVJ18" s="7"/>
      <c r="UVK18" s="7"/>
      <c r="UVL18" s="7"/>
      <c r="UVM18" s="7"/>
      <c r="UVN18" s="7"/>
      <c r="UVO18" s="7"/>
      <c r="UVP18" s="7"/>
      <c r="UVQ18" s="7"/>
      <c r="UVR18" s="7"/>
      <c r="UVS18" s="7"/>
      <c r="UVT18" s="7"/>
      <c r="UVU18" s="7"/>
      <c r="UVV18" s="7"/>
      <c r="UVW18" s="7"/>
      <c r="UVX18" s="7"/>
      <c r="UVY18" s="7"/>
      <c r="UVZ18" s="7"/>
      <c r="UWA18" s="7"/>
      <c r="UWB18" s="7"/>
      <c r="UWC18" s="7"/>
      <c r="UWD18" s="7"/>
      <c r="UWE18" s="7"/>
      <c r="UWF18" s="7"/>
      <c r="UWG18" s="7"/>
      <c r="UWH18" s="7"/>
      <c r="UWI18" s="7"/>
      <c r="UWJ18" s="7"/>
      <c r="UWK18" s="7"/>
      <c r="UWL18" s="7"/>
      <c r="UWM18" s="7"/>
      <c r="UWN18" s="7"/>
      <c r="UWO18" s="7"/>
      <c r="UWP18" s="7"/>
      <c r="UWQ18" s="7"/>
      <c r="UWR18" s="7"/>
      <c r="UWS18" s="7"/>
      <c r="UWT18" s="7"/>
      <c r="UWU18" s="7"/>
      <c r="UWV18" s="7"/>
      <c r="UWW18" s="7"/>
      <c r="UWX18" s="7"/>
      <c r="UWY18" s="7"/>
      <c r="UWZ18" s="7"/>
      <c r="UXA18" s="7"/>
      <c r="UXB18" s="7"/>
      <c r="UXC18" s="7"/>
      <c r="UXD18" s="7"/>
      <c r="UXE18" s="7"/>
      <c r="UXF18" s="7"/>
      <c r="UXG18" s="7"/>
      <c r="UXH18" s="7"/>
      <c r="UXI18" s="7"/>
      <c r="UXJ18" s="7"/>
      <c r="UXK18" s="7"/>
      <c r="UXL18" s="7"/>
      <c r="UXM18" s="7"/>
      <c r="UXN18" s="7"/>
      <c r="UXO18" s="7"/>
      <c r="UXP18" s="7"/>
      <c r="UXQ18" s="7"/>
      <c r="UXR18" s="7"/>
      <c r="UXS18" s="7"/>
      <c r="UXT18" s="7"/>
      <c r="UXU18" s="7"/>
      <c r="UXV18" s="7"/>
      <c r="UXW18" s="7"/>
      <c r="UXX18" s="7"/>
      <c r="UXY18" s="7"/>
      <c r="UXZ18" s="7"/>
      <c r="UYA18" s="7"/>
      <c r="UYB18" s="7"/>
      <c r="UYC18" s="7"/>
      <c r="UYD18" s="7"/>
      <c r="UYE18" s="7"/>
      <c r="UYF18" s="7"/>
      <c r="UYG18" s="7"/>
      <c r="UYH18" s="7"/>
      <c r="UYI18" s="7"/>
      <c r="UYJ18" s="7"/>
      <c r="UYK18" s="7"/>
      <c r="UYL18" s="7"/>
      <c r="UYM18" s="7"/>
      <c r="UYN18" s="7"/>
      <c r="UYO18" s="7"/>
      <c r="UYP18" s="7"/>
      <c r="UYQ18" s="7"/>
      <c r="UYR18" s="7"/>
      <c r="UYS18" s="7"/>
      <c r="UYT18" s="7"/>
      <c r="UYU18" s="7"/>
      <c r="UYV18" s="7"/>
      <c r="UYW18" s="7"/>
      <c r="UYX18" s="7"/>
      <c r="UYY18" s="7"/>
      <c r="UYZ18" s="7"/>
      <c r="UZA18" s="7"/>
      <c r="UZB18" s="7"/>
      <c r="UZC18" s="7"/>
      <c r="UZD18" s="7"/>
      <c r="UZE18" s="7"/>
      <c r="UZF18" s="7"/>
      <c r="UZG18" s="7"/>
      <c r="UZH18" s="7"/>
      <c r="UZI18" s="7"/>
      <c r="UZJ18" s="7"/>
      <c r="UZK18" s="7"/>
      <c r="UZL18" s="7"/>
      <c r="UZM18" s="7"/>
      <c r="UZN18" s="7"/>
      <c r="UZO18" s="7"/>
      <c r="UZP18" s="7"/>
      <c r="UZQ18" s="7"/>
      <c r="UZR18" s="7"/>
      <c r="UZS18" s="7"/>
      <c r="UZT18" s="7"/>
      <c r="UZU18" s="7"/>
      <c r="UZV18" s="7"/>
      <c r="UZW18" s="7"/>
      <c r="UZX18" s="7"/>
      <c r="UZY18" s="7"/>
      <c r="UZZ18" s="7"/>
      <c r="VAA18" s="7"/>
      <c r="VAB18" s="7"/>
      <c r="VAC18" s="7"/>
      <c r="VAD18" s="7"/>
      <c r="VAE18" s="7"/>
      <c r="VAF18" s="7"/>
      <c r="VAG18" s="7"/>
      <c r="VAH18" s="7"/>
      <c r="VAI18" s="7"/>
      <c r="VAJ18" s="7"/>
      <c r="VAK18" s="7"/>
      <c r="VAL18" s="7"/>
      <c r="VAM18" s="7"/>
      <c r="VAN18" s="7"/>
      <c r="VAO18" s="7"/>
      <c r="VAP18" s="7"/>
      <c r="VAQ18" s="7"/>
      <c r="VAR18" s="7"/>
      <c r="VAS18" s="7"/>
      <c r="VAT18" s="7"/>
      <c r="VAU18" s="7"/>
      <c r="VAV18" s="7"/>
      <c r="VAW18" s="7"/>
      <c r="VAX18" s="7"/>
      <c r="VAY18" s="7"/>
      <c r="VAZ18" s="7"/>
      <c r="VBA18" s="7"/>
      <c r="VBB18" s="7"/>
      <c r="VBC18" s="7"/>
      <c r="VBD18" s="7"/>
      <c r="VBE18" s="7"/>
      <c r="VBF18" s="7"/>
      <c r="VBG18" s="7"/>
      <c r="VBH18" s="7"/>
      <c r="VBI18" s="7"/>
      <c r="VBJ18" s="7"/>
      <c r="VBK18" s="7"/>
      <c r="VBL18" s="7"/>
      <c r="VBM18" s="7"/>
      <c r="VBN18" s="7"/>
      <c r="VBO18" s="7"/>
      <c r="VBP18" s="7"/>
      <c r="VBQ18" s="7"/>
      <c r="VBR18" s="7"/>
      <c r="VBS18" s="7"/>
      <c r="VBT18" s="7"/>
      <c r="VBU18" s="7"/>
      <c r="VBV18" s="7"/>
      <c r="VBW18" s="7"/>
      <c r="VBX18" s="7"/>
      <c r="VBY18" s="7"/>
      <c r="VBZ18" s="7"/>
      <c r="VCA18" s="7"/>
      <c r="VCB18" s="7"/>
      <c r="VCC18" s="7"/>
      <c r="VCD18" s="7"/>
      <c r="VCE18" s="7"/>
      <c r="VCF18" s="7"/>
      <c r="VCG18" s="7"/>
      <c r="VCH18" s="7"/>
      <c r="VCI18" s="7"/>
      <c r="VCJ18" s="7"/>
      <c r="VCK18" s="7"/>
      <c r="VCL18" s="7"/>
      <c r="VCM18" s="7"/>
      <c r="VCN18" s="7"/>
      <c r="VCO18" s="7"/>
      <c r="VCP18" s="7"/>
      <c r="VCQ18" s="7"/>
      <c r="VCR18" s="7"/>
      <c r="VCS18" s="7"/>
      <c r="VCT18" s="7"/>
      <c r="VCU18" s="7"/>
      <c r="VCV18" s="7"/>
      <c r="VCW18" s="7"/>
      <c r="VCX18" s="7"/>
      <c r="VCY18" s="7"/>
      <c r="VCZ18" s="7"/>
      <c r="VDA18" s="7"/>
      <c r="VDB18" s="7"/>
      <c r="VDC18" s="7"/>
      <c r="VDD18" s="7"/>
      <c r="VDE18" s="7"/>
      <c r="VDF18" s="7"/>
      <c r="VDG18" s="7"/>
      <c r="VDH18" s="7"/>
      <c r="VDI18" s="7"/>
      <c r="VDJ18" s="7"/>
      <c r="VDK18" s="7"/>
      <c r="VDL18" s="7"/>
      <c r="VDM18" s="7"/>
      <c r="VDN18" s="7"/>
      <c r="VDO18" s="7"/>
      <c r="VDP18" s="7"/>
      <c r="VDQ18" s="7"/>
      <c r="VDR18" s="7"/>
      <c r="VDS18" s="7"/>
      <c r="VDT18" s="7"/>
      <c r="VDU18" s="7"/>
      <c r="VDV18" s="7"/>
      <c r="VDW18" s="7"/>
      <c r="VDX18" s="7"/>
      <c r="VDY18" s="7"/>
      <c r="VDZ18" s="7"/>
      <c r="VEA18" s="7"/>
      <c r="VEB18" s="7"/>
      <c r="VEC18" s="7"/>
      <c r="VED18" s="7"/>
      <c r="VEE18" s="7"/>
      <c r="VEF18" s="7"/>
      <c r="VEG18" s="7"/>
      <c r="VEH18" s="7"/>
      <c r="VEI18" s="7"/>
      <c r="VEJ18" s="7"/>
      <c r="VEK18" s="7"/>
      <c r="VEL18" s="7"/>
      <c r="VEM18" s="7"/>
      <c r="VEN18" s="7"/>
      <c r="VEO18" s="7"/>
      <c r="VEP18" s="7"/>
      <c r="VEQ18" s="7"/>
      <c r="VER18" s="7"/>
      <c r="VES18" s="7"/>
      <c r="VET18" s="7"/>
      <c r="VEU18" s="7"/>
      <c r="VEV18" s="7"/>
      <c r="VEW18" s="7"/>
      <c r="VEX18" s="7"/>
      <c r="VEY18" s="7"/>
      <c r="VEZ18" s="7"/>
      <c r="VFA18" s="7"/>
      <c r="VFB18" s="7"/>
      <c r="VFC18" s="7"/>
      <c r="VFD18" s="7"/>
      <c r="VFE18" s="7"/>
      <c r="VFF18" s="7"/>
      <c r="VFG18" s="7"/>
      <c r="VFH18" s="7"/>
      <c r="VFI18" s="7"/>
      <c r="VFJ18" s="7"/>
      <c r="VFK18" s="7"/>
      <c r="VFL18" s="7"/>
      <c r="VFM18" s="7"/>
      <c r="VFN18" s="7"/>
      <c r="VFO18" s="7"/>
      <c r="VFP18" s="7"/>
      <c r="VFQ18" s="7"/>
      <c r="VFR18" s="7"/>
      <c r="VFS18" s="7"/>
      <c r="VFT18" s="7"/>
      <c r="VFU18" s="7"/>
      <c r="VFV18" s="7"/>
      <c r="VFW18" s="7"/>
      <c r="VFX18" s="7"/>
      <c r="VFY18" s="7"/>
      <c r="VFZ18" s="7"/>
      <c r="VGA18" s="7"/>
      <c r="VGB18" s="7"/>
      <c r="VGC18" s="7"/>
      <c r="VGD18" s="7"/>
      <c r="VGE18" s="7"/>
      <c r="VGF18" s="7"/>
      <c r="VGG18" s="7"/>
      <c r="VGH18" s="7"/>
      <c r="VGI18" s="7"/>
      <c r="VGJ18" s="7"/>
      <c r="VGK18" s="7"/>
      <c r="VGL18" s="7"/>
      <c r="VGM18" s="7"/>
      <c r="VGN18" s="7"/>
      <c r="VGO18" s="7"/>
      <c r="VGP18" s="7"/>
      <c r="VGQ18" s="7"/>
      <c r="VGR18" s="7"/>
      <c r="VGS18" s="7"/>
      <c r="VGT18" s="7"/>
      <c r="VGU18" s="7"/>
      <c r="VGV18" s="7"/>
      <c r="VGW18" s="7"/>
      <c r="VGX18" s="7"/>
      <c r="VGY18" s="7"/>
      <c r="VGZ18" s="7"/>
      <c r="VHA18" s="7"/>
      <c r="VHB18" s="7"/>
      <c r="VHC18" s="7"/>
      <c r="VHD18" s="7"/>
      <c r="VHE18" s="7"/>
      <c r="VHF18" s="7"/>
      <c r="VHG18" s="7"/>
      <c r="VHH18" s="7"/>
      <c r="VHI18" s="7"/>
      <c r="VHJ18" s="7"/>
      <c r="VHK18" s="7"/>
      <c r="VHL18" s="7"/>
      <c r="VHM18" s="7"/>
      <c r="VHN18" s="7"/>
      <c r="VHO18" s="7"/>
      <c r="VHP18" s="7"/>
      <c r="VHQ18" s="7"/>
      <c r="VHR18" s="7"/>
      <c r="VHS18" s="7"/>
      <c r="VHT18" s="7"/>
      <c r="VHU18" s="7"/>
      <c r="VHV18" s="7"/>
      <c r="VHW18" s="7"/>
      <c r="VHX18" s="7"/>
      <c r="VHY18" s="7"/>
      <c r="VHZ18" s="7"/>
      <c r="VIA18" s="7"/>
      <c r="VIB18" s="7"/>
      <c r="VIC18" s="7"/>
      <c r="VID18" s="7"/>
      <c r="VIE18" s="7"/>
      <c r="VIF18" s="7"/>
      <c r="VIG18" s="7"/>
      <c r="VIH18" s="7"/>
      <c r="VII18" s="7"/>
      <c r="VIJ18" s="7"/>
      <c r="VIK18" s="7"/>
      <c r="VIL18" s="7"/>
      <c r="VIM18" s="7"/>
      <c r="VIN18" s="7"/>
      <c r="VIO18" s="7"/>
      <c r="VIP18" s="7"/>
      <c r="VIQ18" s="7"/>
      <c r="VIR18" s="7"/>
      <c r="VIS18" s="7"/>
      <c r="VIT18" s="7"/>
      <c r="VIU18" s="7"/>
      <c r="VIV18" s="7"/>
      <c r="VIW18" s="7"/>
      <c r="VIX18" s="7"/>
      <c r="VIY18" s="7"/>
      <c r="VIZ18" s="7"/>
      <c r="VJA18" s="7"/>
      <c r="VJB18" s="7"/>
      <c r="VJC18" s="7"/>
      <c r="VJD18" s="7"/>
      <c r="VJE18" s="7"/>
      <c r="VJF18" s="7"/>
      <c r="VJG18" s="7"/>
      <c r="VJH18" s="7"/>
      <c r="VJI18" s="7"/>
      <c r="VJJ18" s="7"/>
      <c r="VJK18" s="7"/>
      <c r="VJL18" s="7"/>
      <c r="VJM18" s="7"/>
      <c r="VJN18" s="7"/>
      <c r="VJO18" s="7"/>
      <c r="VJP18" s="7"/>
      <c r="VJQ18" s="7"/>
      <c r="VJR18" s="7"/>
      <c r="VJS18" s="7"/>
      <c r="VJT18" s="7"/>
      <c r="VJU18" s="7"/>
      <c r="VJV18" s="7"/>
      <c r="VJW18" s="7"/>
      <c r="VJX18" s="7"/>
      <c r="VJY18" s="7"/>
      <c r="VJZ18" s="7"/>
      <c r="VKA18" s="7"/>
      <c r="VKB18" s="7"/>
      <c r="VKC18" s="7"/>
      <c r="VKD18" s="7"/>
      <c r="VKE18" s="7"/>
      <c r="VKF18" s="7"/>
      <c r="VKG18" s="7"/>
      <c r="VKH18" s="7"/>
      <c r="VKI18" s="7"/>
      <c r="VKJ18" s="7"/>
      <c r="VKK18" s="7"/>
      <c r="VKL18" s="7"/>
      <c r="VKM18" s="7"/>
      <c r="VKN18" s="7"/>
      <c r="VKO18" s="7"/>
      <c r="VKP18" s="7"/>
      <c r="VKQ18" s="7"/>
      <c r="VKR18" s="7"/>
      <c r="VKS18" s="7"/>
      <c r="VKT18" s="7"/>
      <c r="VKU18" s="7"/>
      <c r="VKV18" s="7"/>
      <c r="VKW18" s="7"/>
      <c r="VKX18" s="7"/>
      <c r="VKY18" s="7"/>
      <c r="VKZ18" s="7"/>
      <c r="VLA18" s="7"/>
      <c r="VLB18" s="7"/>
      <c r="VLC18" s="7"/>
      <c r="VLD18" s="7"/>
      <c r="VLE18" s="7"/>
      <c r="VLF18" s="7"/>
      <c r="VLG18" s="7"/>
      <c r="VLH18" s="7"/>
      <c r="VLI18" s="7"/>
      <c r="VLJ18" s="7"/>
      <c r="VLK18" s="7"/>
      <c r="VLL18" s="7"/>
      <c r="VLM18" s="7"/>
      <c r="VLN18" s="7"/>
      <c r="VLO18" s="7"/>
      <c r="VLP18" s="7"/>
      <c r="VLQ18" s="7"/>
      <c r="VLR18" s="7"/>
      <c r="VLS18" s="7"/>
      <c r="VLT18" s="7"/>
      <c r="VLU18" s="7"/>
      <c r="VLV18" s="7"/>
      <c r="VLW18" s="7"/>
      <c r="VLX18" s="7"/>
      <c r="VLY18" s="7"/>
      <c r="VLZ18" s="7"/>
      <c r="VMA18" s="7"/>
      <c r="VMB18" s="7"/>
      <c r="VMC18" s="7"/>
      <c r="VMD18" s="7"/>
      <c r="VME18" s="7"/>
      <c r="VMF18" s="7"/>
      <c r="VMG18" s="7"/>
      <c r="VMH18" s="7"/>
      <c r="VMI18" s="7"/>
      <c r="VMJ18" s="7"/>
      <c r="VMK18" s="7"/>
      <c r="VML18" s="7"/>
      <c r="VMM18" s="7"/>
      <c r="VMN18" s="7"/>
      <c r="VMO18" s="7"/>
      <c r="VMP18" s="7"/>
      <c r="VMQ18" s="7"/>
      <c r="VMR18" s="7"/>
      <c r="VMS18" s="7"/>
      <c r="VMT18" s="7"/>
      <c r="VMU18" s="7"/>
      <c r="VMV18" s="7"/>
      <c r="VMW18" s="7"/>
      <c r="VMX18" s="7"/>
      <c r="VMY18" s="7"/>
      <c r="VMZ18" s="7"/>
      <c r="VNA18" s="7"/>
      <c r="VNB18" s="7"/>
      <c r="VNC18" s="7"/>
      <c r="VND18" s="7"/>
      <c r="VNE18" s="7"/>
      <c r="VNF18" s="7"/>
      <c r="VNG18" s="7"/>
      <c r="VNH18" s="7"/>
      <c r="VNI18" s="7"/>
      <c r="VNJ18" s="7"/>
      <c r="VNK18" s="7"/>
      <c r="VNL18" s="7"/>
      <c r="VNM18" s="7"/>
      <c r="VNN18" s="7"/>
      <c r="VNO18" s="7"/>
      <c r="VNP18" s="7"/>
      <c r="VNQ18" s="7"/>
      <c r="VNR18" s="7"/>
      <c r="VNS18" s="7"/>
      <c r="VNT18" s="7"/>
      <c r="VNU18" s="7"/>
      <c r="VNV18" s="7"/>
      <c r="VNW18" s="7"/>
      <c r="VNX18" s="7"/>
      <c r="VNY18" s="7"/>
      <c r="VNZ18" s="7"/>
      <c r="VOA18" s="7"/>
      <c r="VOB18" s="7"/>
      <c r="VOC18" s="7"/>
      <c r="VOD18" s="7"/>
      <c r="VOE18" s="7"/>
      <c r="VOF18" s="7"/>
      <c r="VOG18" s="7"/>
      <c r="VOH18" s="7"/>
      <c r="VOI18" s="7"/>
      <c r="VOJ18" s="7"/>
      <c r="VOK18" s="7"/>
      <c r="VOL18" s="7"/>
      <c r="VOM18" s="7"/>
      <c r="VON18" s="7"/>
      <c r="VOO18" s="7"/>
      <c r="VOP18" s="7"/>
      <c r="VOQ18" s="7"/>
      <c r="VOR18" s="7"/>
      <c r="VOS18" s="7"/>
      <c r="VOT18" s="7"/>
      <c r="VOU18" s="7"/>
      <c r="VOV18" s="7"/>
      <c r="VOW18" s="7"/>
      <c r="VOX18" s="7"/>
      <c r="VOY18" s="7"/>
      <c r="VOZ18" s="7"/>
      <c r="VPA18" s="7"/>
      <c r="VPB18" s="7"/>
      <c r="VPC18" s="7"/>
      <c r="VPD18" s="7"/>
      <c r="VPE18" s="7"/>
      <c r="VPF18" s="7"/>
      <c r="VPG18" s="7"/>
      <c r="VPH18" s="7"/>
      <c r="VPI18" s="7"/>
      <c r="VPJ18" s="7"/>
      <c r="VPK18" s="7"/>
      <c r="VPL18" s="7"/>
      <c r="VPM18" s="7"/>
      <c r="VPN18" s="7"/>
      <c r="VPO18" s="7"/>
      <c r="VPP18" s="7"/>
      <c r="VPQ18" s="7"/>
      <c r="VPR18" s="7"/>
      <c r="VPS18" s="7"/>
      <c r="VPT18" s="7"/>
      <c r="VPU18" s="7"/>
      <c r="VPV18" s="7"/>
      <c r="VPW18" s="7"/>
      <c r="VPX18" s="7"/>
      <c r="VPY18" s="7"/>
      <c r="VPZ18" s="7"/>
      <c r="VQA18" s="7"/>
      <c r="VQB18" s="7"/>
      <c r="VQC18" s="7"/>
      <c r="VQD18" s="7"/>
      <c r="VQE18" s="7"/>
      <c r="VQF18" s="7"/>
      <c r="VQG18" s="7"/>
      <c r="VQH18" s="7"/>
      <c r="VQI18" s="7"/>
      <c r="VQJ18" s="7"/>
      <c r="VQK18" s="7"/>
      <c r="VQL18" s="7"/>
      <c r="VQM18" s="7"/>
      <c r="VQN18" s="7"/>
      <c r="VQO18" s="7"/>
      <c r="VQP18" s="7"/>
      <c r="VQQ18" s="7"/>
      <c r="VQR18" s="7"/>
      <c r="VQS18" s="7"/>
      <c r="VQT18" s="7"/>
      <c r="VQU18" s="7"/>
      <c r="VQV18" s="7"/>
      <c r="VQW18" s="7"/>
      <c r="VQX18" s="7"/>
      <c r="VQY18" s="7"/>
      <c r="VQZ18" s="7"/>
      <c r="VRA18" s="7"/>
      <c r="VRB18" s="7"/>
      <c r="VRC18" s="7"/>
      <c r="VRD18" s="7"/>
      <c r="VRE18" s="7"/>
      <c r="VRF18" s="7"/>
      <c r="VRG18" s="7"/>
      <c r="VRH18" s="7"/>
      <c r="VRI18" s="7"/>
      <c r="VRJ18" s="7"/>
      <c r="VRK18" s="7"/>
      <c r="VRL18" s="7"/>
      <c r="VRM18" s="7"/>
      <c r="VRN18" s="7"/>
      <c r="VRO18" s="7"/>
      <c r="VRP18" s="7"/>
      <c r="VRQ18" s="7"/>
      <c r="VRR18" s="7"/>
      <c r="VRS18" s="7"/>
      <c r="VRT18" s="7"/>
      <c r="VRU18" s="7"/>
      <c r="VRV18" s="7"/>
      <c r="VRW18" s="7"/>
      <c r="VRX18" s="7"/>
      <c r="VRY18" s="7"/>
      <c r="VRZ18" s="7"/>
      <c r="VSA18" s="7"/>
      <c r="VSB18" s="7"/>
      <c r="VSC18" s="7"/>
      <c r="VSD18" s="7"/>
      <c r="VSE18" s="7"/>
      <c r="VSF18" s="7"/>
      <c r="VSG18" s="7"/>
      <c r="VSH18" s="7"/>
      <c r="VSI18" s="7"/>
      <c r="VSJ18" s="7"/>
      <c r="VSK18" s="7"/>
      <c r="VSL18" s="7"/>
      <c r="VSM18" s="7"/>
      <c r="VSN18" s="7"/>
      <c r="VSO18" s="7"/>
      <c r="VSP18" s="7"/>
      <c r="VSQ18" s="7"/>
      <c r="VSR18" s="7"/>
      <c r="VSS18" s="7"/>
      <c r="VST18" s="7"/>
      <c r="VSU18" s="7"/>
      <c r="VSV18" s="7"/>
      <c r="VSW18" s="7"/>
      <c r="VSX18" s="7"/>
      <c r="VSY18" s="7"/>
      <c r="VSZ18" s="7"/>
      <c r="VTA18" s="7"/>
      <c r="VTB18" s="7"/>
      <c r="VTC18" s="7"/>
      <c r="VTD18" s="7"/>
      <c r="VTE18" s="7"/>
      <c r="VTF18" s="7"/>
      <c r="VTG18" s="7"/>
      <c r="VTH18" s="7"/>
      <c r="VTI18" s="7"/>
      <c r="VTJ18" s="7"/>
      <c r="VTK18" s="7"/>
      <c r="VTL18" s="7"/>
      <c r="VTM18" s="7"/>
      <c r="VTN18" s="7"/>
      <c r="VTO18" s="7"/>
      <c r="VTP18" s="7"/>
      <c r="VTQ18" s="7"/>
      <c r="VTR18" s="7"/>
      <c r="VTS18" s="7"/>
      <c r="VTT18" s="7"/>
      <c r="VTU18" s="7"/>
      <c r="VTV18" s="7"/>
      <c r="VTW18" s="7"/>
      <c r="VTX18" s="7"/>
      <c r="VTY18" s="7"/>
      <c r="VTZ18" s="7"/>
      <c r="VUA18" s="7"/>
      <c r="VUB18" s="7"/>
      <c r="VUC18" s="7"/>
      <c r="VUD18" s="7"/>
      <c r="VUE18" s="7"/>
      <c r="VUF18" s="7"/>
      <c r="VUG18" s="7"/>
      <c r="VUH18" s="7"/>
      <c r="VUI18" s="7"/>
      <c r="VUJ18" s="7"/>
      <c r="VUK18" s="7"/>
      <c r="VUL18" s="7"/>
      <c r="VUM18" s="7"/>
      <c r="VUN18" s="7"/>
      <c r="VUO18" s="7"/>
      <c r="VUP18" s="7"/>
      <c r="VUQ18" s="7"/>
      <c r="VUR18" s="7"/>
      <c r="VUS18" s="7"/>
      <c r="VUT18" s="7"/>
      <c r="VUU18" s="7"/>
      <c r="VUV18" s="7"/>
      <c r="VUW18" s="7"/>
      <c r="VUX18" s="7"/>
      <c r="VUY18" s="7"/>
      <c r="VUZ18" s="7"/>
      <c r="VVA18" s="7"/>
      <c r="VVB18" s="7"/>
      <c r="VVC18" s="7"/>
      <c r="VVD18" s="7"/>
      <c r="VVE18" s="7"/>
      <c r="VVF18" s="7"/>
      <c r="VVG18" s="7"/>
      <c r="VVH18" s="7"/>
      <c r="VVI18" s="7"/>
      <c r="VVJ18" s="7"/>
      <c r="VVK18" s="7"/>
      <c r="VVL18" s="7"/>
      <c r="VVM18" s="7"/>
      <c r="VVN18" s="7"/>
      <c r="VVO18" s="7"/>
      <c r="VVP18" s="7"/>
      <c r="VVQ18" s="7"/>
      <c r="VVR18" s="7"/>
      <c r="VVS18" s="7"/>
      <c r="VVT18" s="7"/>
      <c r="VVU18" s="7"/>
      <c r="VVV18" s="7"/>
      <c r="VVW18" s="7"/>
      <c r="VVX18" s="7"/>
      <c r="VVY18" s="7"/>
      <c r="VVZ18" s="7"/>
      <c r="VWA18" s="7"/>
      <c r="VWB18" s="7"/>
      <c r="VWC18" s="7"/>
      <c r="VWD18" s="7"/>
      <c r="VWE18" s="7"/>
      <c r="VWF18" s="7"/>
      <c r="VWG18" s="7"/>
      <c r="VWH18" s="7"/>
      <c r="VWI18" s="7"/>
      <c r="VWJ18" s="7"/>
      <c r="VWK18" s="7"/>
      <c r="VWL18" s="7"/>
      <c r="VWM18" s="7"/>
      <c r="VWN18" s="7"/>
      <c r="VWO18" s="7"/>
      <c r="VWP18" s="7"/>
      <c r="VWQ18" s="7"/>
      <c r="VWR18" s="7"/>
      <c r="VWS18" s="7"/>
      <c r="VWT18" s="7"/>
      <c r="VWU18" s="7"/>
      <c r="VWV18" s="7"/>
      <c r="VWW18" s="7"/>
      <c r="VWX18" s="7"/>
      <c r="VWY18" s="7"/>
      <c r="VWZ18" s="7"/>
      <c r="VXA18" s="7"/>
      <c r="VXB18" s="7"/>
      <c r="VXC18" s="7"/>
      <c r="VXD18" s="7"/>
      <c r="VXE18" s="7"/>
      <c r="VXF18" s="7"/>
      <c r="VXG18" s="7"/>
      <c r="VXH18" s="7"/>
      <c r="VXI18" s="7"/>
      <c r="VXJ18" s="7"/>
      <c r="VXK18" s="7"/>
      <c r="VXL18" s="7"/>
      <c r="VXM18" s="7"/>
      <c r="VXN18" s="7"/>
      <c r="VXO18" s="7"/>
      <c r="VXP18" s="7"/>
      <c r="VXQ18" s="7"/>
      <c r="VXR18" s="7"/>
      <c r="VXS18" s="7"/>
      <c r="VXT18" s="7"/>
      <c r="VXU18" s="7"/>
      <c r="VXV18" s="7"/>
      <c r="VXW18" s="7"/>
      <c r="VXX18" s="7"/>
      <c r="VXY18" s="7"/>
      <c r="VXZ18" s="7"/>
      <c r="VYA18" s="7"/>
      <c r="VYB18" s="7"/>
      <c r="VYC18" s="7"/>
      <c r="VYD18" s="7"/>
      <c r="VYE18" s="7"/>
      <c r="VYF18" s="7"/>
      <c r="VYG18" s="7"/>
      <c r="VYH18" s="7"/>
      <c r="VYI18" s="7"/>
      <c r="VYJ18" s="7"/>
      <c r="VYK18" s="7"/>
      <c r="VYL18" s="7"/>
      <c r="VYM18" s="7"/>
      <c r="VYN18" s="7"/>
      <c r="VYO18" s="7"/>
      <c r="VYP18" s="7"/>
      <c r="VYQ18" s="7"/>
      <c r="VYR18" s="7"/>
      <c r="VYS18" s="7"/>
      <c r="VYT18" s="7"/>
      <c r="VYU18" s="7"/>
      <c r="VYV18" s="7"/>
      <c r="VYW18" s="7"/>
      <c r="VYX18" s="7"/>
      <c r="VYY18" s="7"/>
      <c r="VYZ18" s="7"/>
      <c r="VZA18" s="7"/>
      <c r="VZB18" s="7"/>
      <c r="VZC18" s="7"/>
      <c r="VZD18" s="7"/>
      <c r="VZE18" s="7"/>
      <c r="VZF18" s="7"/>
      <c r="VZG18" s="7"/>
      <c r="VZH18" s="7"/>
      <c r="VZI18" s="7"/>
      <c r="VZJ18" s="7"/>
      <c r="VZK18" s="7"/>
      <c r="VZL18" s="7"/>
      <c r="VZM18" s="7"/>
      <c r="VZN18" s="7"/>
      <c r="VZO18" s="7"/>
      <c r="VZP18" s="7"/>
      <c r="VZQ18" s="7"/>
      <c r="VZR18" s="7"/>
      <c r="VZS18" s="7"/>
      <c r="VZT18" s="7"/>
      <c r="VZU18" s="7"/>
      <c r="VZV18" s="7"/>
      <c r="VZW18" s="7"/>
      <c r="VZX18" s="7"/>
      <c r="VZY18" s="7"/>
      <c r="VZZ18" s="7"/>
      <c r="WAA18" s="7"/>
      <c r="WAB18" s="7"/>
      <c r="WAC18" s="7"/>
      <c r="WAD18" s="7"/>
      <c r="WAE18" s="7"/>
      <c r="WAF18" s="7"/>
      <c r="WAG18" s="7"/>
      <c r="WAH18" s="7"/>
      <c r="WAI18" s="7"/>
      <c r="WAJ18" s="7"/>
      <c r="WAK18" s="7"/>
      <c r="WAL18" s="7"/>
      <c r="WAM18" s="7"/>
      <c r="WAN18" s="7"/>
      <c r="WAO18" s="7"/>
      <c r="WAP18" s="7"/>
      <c r="WAQ18" s="7"/>
      <c r="WAR18" s="7"/>
      <c r="WAS18" s="7"/>
      <c r="WAT18" s="7"/>
      <c r="WAU18" s="7"/>
      <c r="WAV18" s="7"/>
      <c r="WAW18" s="7"/>
      <c r="WAX18" s="7"/>
      <c r="WAY18" s="7"/>
      <c r="WAZ18" s="7"/>
      <c r="WBA18" s="7"/>
      <c r="WBB18" s="7"/>
      <c r="WBC18" s="7"/>
      <c r="WBD18" s="7"/>
      <c r="WBE18" s="7"/>
      <c r="WBF18" s="7"/>
      <c r="WBG18" s="7"/>
      <c r="WBH18" s="7"/>
      <c r="WBI18" s="7"/>
      <c r="WBJ18" s="7"/>
      <c r="WBK18" s="7"/>
      <c r="WBL18" s="7"/>
      <c r="WBM18" s="7"/>
      <c r="WBN18" s="7"/>
      <c r="WBO18" s="7"/>
      <c r="WBP18" s="7"/>
      <c r="WBQ18" s="7"/>
      <c r="WBR18" s="7"/>
      <c r="WBS18" s="7"/>
      <c r="WBT18" s="7"/>
      <c r="WBU18" s="7"/>
      <c r="WBV18" s="7"/>
      <c r="WBW18" s="7"/>
      <c r="WBX18" s="7"/>
      <c r="WBY18" s="7"/>
      <c r="WBZ18" s="7"/>
      <c r="WCA18" s="7"/>
      <c r="WCB18" s="7"/>
      <c r="WCC18" s="7"/>
      <c r="WCD18" s="7"/>
      <c r="WCE18" s="7"/>
      <c r="WCF18" s="7"/>
      <c r="WCG18" s="7"/>
      <c r="WCH18" s="7"/>
      <c r="WCI18" s="7"/>
      <c r="WCJ18" s="7"/>
      <c r="WCK18" s="7"/>
      <c r="WCL18" s="7"/>
      <c r="WCM18" s="7"/>
      <c r="WCN18" s="7"/>
      <c r="WCO18" s="7"/>
      <c r="WCP18" s="7"/>
      <c r="WCQ18" s="7"/>
      <c r="WCR18" s="7"/>
      <c r="WCS18" s="7"/>
      <c r="WCT18" s="7"/>
      <c r="WCU18" s="7"/>
      <c r="WCV18" s="7"/>
      <c r="WCW18" s="7"/>
      <c r="WCX18" s="7"/>
      <c r="WCY18" s="7"/>
      <c r="WCZ18" s="7"/>
      <c r="WDA18" s="7"/>
      <c r="WDB18" s="7"/>
      <c r="WDC18" s="7"/>
      <c r="WDD18" s="7"/>
      <c r="WDE18" s="7"/>
      <c r="WDF18" s="7"/>
      <c r="WDG18" s="7"/>
      <c r="WDH18" s="7"/>
      <c r="WDI18" s="7"/>
      <c r="WDJ18" s="7"/>
      <c r="WDK18" s="7"/>
      <c r="WDL18" s="7"/>
      <c r="WDM18" s="7"/>
      <c r="WDN18" s="7"/>
      <c r="WDO18" s="7"/>
      <c r="WDP18" s="7"/>
      <c r="WDQ18" s="7"/>
      <c r="WDR18" s="7"/>
      <c r="WDS18" s="7"/>
      <c r="WDT18" s="7"/>
      <c r="WDU18" s="7"/>
      <c r="WDV18" s="7"/>
      <c r="WDW18" s="7"/>
      <c r="WDX18" s="7"/>
      <c r="WDY18" s="7"/>
      <c r="WDZ18" s="7"/>
      <c r="WEA18" s="7"/>
      <c r="WEB18" s="7"/>
      <c r="WEC18" s="7"/>
      <c r="WED18" s="7"/>
      <c r="WEE18" s="7"/>
      <c r="WEF18" s="7"/>
      <c r="WEG18" s="7"/>
      <c r="WEH18" s="7"/>
      <c r="WEI18" s="7"/>
      <c r="WEJ18" s="7"/>
      <c r="WEK18" s="7"/>
      <c r="WEL18" s="7"/>
      <c r="WEM18" s="7"/>
      <c r="WEN18" s="7"/>
      <c r="WEO18" s="7"/>
      <c r="WEP18" s="7"/>
      <c r="WEQ18" s="7"/>
      <c r="WER18" s="7"/>
      <c r="WES18" s="7"/>
      <c r="WET18" s="7"/>
      <c r="WEU18" s="7"/>
      <c r="WEV18" s="7"/>
      <c r="WEW18" s="7"/>
      <c r="WEX18" s="7"/>
      <c r="WEY18" s="7"/>
      <c r="WEZ18" s="7"/>
      <c r="WFA18" s="7"/>
      <c r="WFB18" s="7"/>
      <c r="WFC18" s="7"/>
      <c r="WFD18" s="7"/>
      <c r="WFE18" s="7"/>
      <c r="WFF18" s="7"/>
      <c r="WFG18" s="7"/>
      <c r="WFH18" s="7"/>
      <c r="WFI18" s="7"/>
      <c r="WFJ18" s="7"/>
      <c r="WFK18" s="7"/>
      <c r="WFL18" s="7"/>
      <c r="WFM18" s="7"/>
      <c r="WFN18" s="7"/>
      <c r="WFO18" s="7"/>
      <c r="WFP18" s="7"/>
      <c r="WFQ18" s="7"/>
      <c r="WFR18" s="7"/>
      <c r="WFS18" s="7"/>
      <c r="WFT18" s="7"/>
      <c r="WFU18" s="7"/>
      <c r="WFV18" s="7"/>
      <c r="WFW18" s="7"/>
      <c r="WFX18" s="7"/>
      <c r="WFY18" s="7"/>
      <c r="WFZ18" s="7"/>
      <c r="WGA18" s="7"/>
      <c r="WGB18" s="7"/>
      <c r="WGC18" s="7"/>
      <c r="WGD18" s="7"/>
      <c r="WGE18" s="7"/>
      <c r="WGF18" s="7"/>
      <c r="WGG18" s="7"/>
      <c r="WGH18" s="7"/>
      <c r="WGI18" s="7"/>
      <c r="WGJ18" s="7"/>
      <c r="WGK18" s="7"/>
      <c r="WGL18" s="7"/>
      <c r="WGM18" s="7"/>
      <c r="WGN18" s="7"/>
      <c r="WGO18" s="7"/>
      <c r="WGP18" s="7"/>
      <c r="WGQ18" s="7"/>
      <c r="WGR18" s="7"/>
      <c r="WGS18" s="7"/>
      <c r="WGT18" s="7"/>
      <c r="WGU18" s="7"/>
      <c r="WGV18" s="7"/>
      <c r="WGW18" s="7"/>
      <c r="WGX18" s="7"/>
      <c r="WGY18" s="7"/>
      <c r="WGZ18" s="7"/>
      <c r="WHA18" s="7"/>
      <c r="WHB18" s="7"/>
      <c r="WHC18" s="7"/>
      <c r="WHD18" s="7"/>
      <c r="WHE18" s="7"/>
      <c r="WHF18" s="7"/>
      <c r="WHG18" s="7"/>
      <c r="WHH18" s="7"/>
      <c r="WHI18" s="7"/>
      <c r="WHJ18" s="7"/>
      <c r="WHK18" s="7"/>
      <c r="WHL18" s="7"/>
      <c r="WHM18" s="7"/>
      <c r="WHN18" s="7"/>
      <c r="WHO18" s="7"/>
      <c r="WHP18" s="7"/>
      <c r="WHQ18" s="7"/>
      <c r="WHR18" s="7"/>
      <c r="WHS18" s="7"/>
      <c r="WHT18" s="7"/>
      <c r="WHU18" s="7"/>
      <c r="WHV18" s="7"/>
      <c r="WHW18" s="7"/>
      <c r="WHX18" s="7"/>
      <c r="WHY18" s="7"/>
      <c r="WHZ18" s="7"/>
      <c r="WIA18" s="7"/>
      <c r="WIB18" s="7"/>
      <c r="WIC18" s="7"/>
      <c r="WID18" s="7"/>
      <c r="WIE18" s="7"/>
      <c r="WIF18" s="7"/>
      <c r="WIG18" s="7"/>
      <c r="WIH18" s="7"/>
      <c r="WII18" s="7"/>
      <c r="WIJ18" s="7"/>
      <c r="WIK18" s="7"/>
      <c r="WIL18" s="7"/>
      <c r="WIM18" s="7"/>
      <c r="WIN18" s="7"/>
      <c r="WIO18" s="7"/>
      <c r="WIP18" s="7"/>
      <c r="WIQ18" s="7"/>
      <c r="WIR18" s="7"/>
      <c r="WIS18" s="7"/>
      <c r="WIT18" s="7"/>
      <c r="WIU18" s="7"/>
      <c r="WIV18" s="7"/>
      <c r="WIW18" s="7"/>
      <c r="WIX18" s="7"/>
      <c r="WIY18" s="7"/>
      <c r="WIZ18" s="7"/>
      <c r="WJA18" s="7"/>
      <c r="WJB18" s="7"/>
      <c r="WJC18" s="7"/>
      <c r="WJD18" s="7"/>
      <c r="WJE18" s="7"/>
      <c r="WJF18" s="7"/>
      <c r="WJG18" s="7"/>
      <c r="WJH18" s="7"/>
      <c r="WJI18" s="7"/>
      <c r="WJJ18" s="7"/>
      <c r="WJK18" s="7"/>
      <c r="WJL18" s="7"/>
      <c r="WJM18" s="7"/>
      <c r="WJN18" s="7"/>
      <c r="WJO18" s="7"/>
      <c r="WJP18" s="7"/>
      <c r="WJQ18" s="7"/>
      <c r="WJR18" s="7"/>
      <c r="WJS18" s="7"/>
      <c r="WJT18" s="7"/>
      <c r="WJU18" s="7"/>
      <c r="WJV18" s="7"/>
      <c r="WJW18" s="7"/>
      <c r="WJX18" s="7"/>
      <c r="WJY18" s="7"/>
      <c r="WJZ18" s="7"/>
      <c r="WKA18" s="7"/>
      <c r="WKB18" s="7"/>
      <c r="WKC18" s="7"/>
      <c r="WKD18" s="7"/>
      <c r="WKE18" s="7"/>
      <c r="WKF18" s="7"/>
      <c r="WKG18" s="7"/>
      <c r="WKH18" s="7"/>
      <c r="WKI18" s="7"/>
      <c r="WKJ18" s="7"/>
      <c r="WKK18" s="7"/>
      <c r="WKL18" s="7"/>
      <c r="WKM18" s="7"/>
      <c r="WKN18" s="7"/>
      <c r="WKO18" s="7"/>
      <c r="WKP18" s="7"/>
      <c r="WKQ18" s="7"/>
      <c r="WKR18" s="7"/>
      <c r="WKS18" s="7"/>
      <c r="WKT18" s="7"/>
      <c r="WKU18" s="7"/>
      <c r="WKV18" s="7"/>
      <c r="WKW18" s="7"/>
      <c r="WKX18" s="7"/>
      <c r="WKY18" s="7"/>
      <c r="WKZ18" s="7"/>
      <c r="WLA18" s="7"/>
      <c r="WLB18" s="7"/>
      <c r="WLC18" s="7"/>
      <c r="WLD18" s="7"/>
      <c r="WLE18" s="7"/>
      <c r="WLF18" s="7"/>
      <c r="WLG18" s="7"/>
      <c r="WLH18" s="7"/>
      <c r="WLI18" s="7"/>
      <c r="WLJ18" s="7"/>
      <c r="WLK18" s="7"/>
      <c r="WLL18" s="7"/>
      <c r="WLM18" s="7"/>
      <c r="WLN18" s="7"/>
      <c r="WLO18" s="7"/>
      <c r="WLP18" s="7"/>
      <c r="WLQ18" s="7"/>
      <c r="WLR18" s="7"/>
      <c r="WLS18" s="7"/>
      <c r="WLT18" s="7"/>
      <c r="WLU18" s="7"/>
      <c r="WLV18" s="7"/>
      <c r="WLW18" s="7"/>
      <c r="WLX18" s="7"/>
      <c r="WLY18" s="7"/>
      <c r="WLZ18" s="7"/>
      <c r="WMA18" s="7"/>
      <c r="WMB18" s="7"/>
      <c r="WMC18" s="7"/>
      <c r="WMD18" s="7"/>
      <c r="WME18" s="7"/>
      <c r="WMF18" s="7"/>
      <c r="WMG18" s="7"/>
      <c r="WMH18" s="7"/>
      <c r="WMI18" s="7"/>
      <c r="WMJ18" s="7"/>
      <c r="WMK18" s="7"/>
      <c r="WML18" s="7"/>
      <c r="WMM18" s="7"/>
      <c r="WMN18" s="7"/>
      <c r="WMO18" s="7"/>
      <c r="WMP18" s="7"/>
      <c r="WMQ18" s="7"/>
      <c r="WMR18" s="7"/>
      <c r="WMS18" s="7"/>
      <c r="WMT18" s="7"/>
      <c r="WMU18" s="7"/>
      <c r="WMV18" s="7"/>
      <c r="WMW18" s="7"/>
      <c r="WMX18" s="7"/>
      <c r="WMY18" s="7"/>
      <c r="WMZ18" s="7"/>
      <c r="WNA18" s="7"/>
      <c r="WNB18" s="7"/>
      <c r="WNC18" s="7"/>
      <c r="WND18" s="7"/>
      <c r="WNE18" s="7"/>
      <c r="WNF18" s="7"/>
      <c r="WNG18" s="7"/>
      <c r="WNH18" s="7"/>
      <c r="WNI18" s="7"/>
      <c r="WNJ18" s="7"/>
      <c r="WNK18" s="7"/>
      <c r="WNL18" s="7"/>
      <c r="WNM18" s="7"/>
      <c r="WNN18" s="7"/>
      <c r="WNO18" s="7"/>
      <c r="WNP18" s="7"/>
      <c r="WNQ18" s="7"/>
      <c r="WNR18" s="7"/>
      <c r="WNS18" s="7"/>
      <c r="WNT18" s="7"/>
      <c r="WNU18" s="7"/>
      <c r="WNV18" s="7"/>
      <c r="WNW18" s="7"/>
      <c r="WNX18" s="7"/>
      <c r="WNY18" s="7"/>
      <c r="WNZ18" s="7"/>
      <c r="WOA18" s="7"/>
      <c r="WOB18" s="7"/>
      <c r="WOC18" s="7"/>
      <c r="WOD18" s="7"/>
      <c r="WOE18" s="7"/>
      <c r="WOF18" s="7"/>
      <c r="WOG18" s="7"/>
      <c r="WOH18" s="7"/>
      <c r="WOI18" s="7"/>
      <c r="WOJ18" s="7"/>
      <c r="WOK18" s="7"/>
      <c r="WOL18" s="7"/>
      <c r="WOM18" s="7"/>
      <c r="WON18" s="7"/>
      <c r="WOO18" s="7"/>
      <c r="WOP18" s="7"/>
      <c r="WOQ18" s="7"/>
      <c r="WOR18" s="7"/>
      <c r="WOS18" s="7"/>
      <c r="WOT18" s="7"/>
      <c r="WOU18" s="7"/>
      <c r="WOV18" s="7"/>
      <c r="WOW18" s="7"/>
      <c r="WOX18" s="7"/>
      <c r="WOY18" s="7"/>
      <c r="WOZ18" s="7"/>
      <c r="WPA18" s="7"/>
      <c r="WPB18" s="7"/>
      <c r="WPC18" s="7"/>
      <c r="WPD18" s="7"/>
      <c r="WPE18" s="7"/>
      <c r="WPF18" s="7"/>
      <c r="WPG18" s="7"/>
      <c r="WPH18" s="7"/>
      <c r="WPI18" s="7"/>
      <c r="WPJ18" s="7"/>
      <c r="WPK18" s="7"/>
      <c r="WPL18" s="7"/>
      <c r="WPM18" s="7"/>
      <c r="WPN18" s="7"/>
      <c r="WPO18" s="7"/>
      <c r="WPP18" s="7"/>
      <c r="WPQ18" s="7"/>
      <c r="WPR18" s="7"/>
      <c r="WPS18" s="7"/>
      <c r="WPT18" s="7"/>
      <c r="WPU18" s="7"/>
      <c r="WPV18" s="7"/>
      <c r="WPW18" s="7"/>
      <c r="WPX18" s="7"/>
      <c r="WPY18" s="7"/>
      <c r="WPZ18" s="7"/>
      <c r="WQA18" s="7"/>
      <c r="WQB18" s="7"/>
      <c r="WQC18" s="7"/>
      <c r="WQD18" s="7"/>
      <c r="WQE18" s="7"/>
      <c r="WQF18" s="7"/>
      <c r="WQG18" s="7"/>
      <c r="WQH18" s="7"/>
      <c r="WQI18" s="7"/>
      <c r="WQJ18" s="7"/>
      <c r="WQK18" s="7"/>
      <c r="WQL18" s="7"/>
      <c r="WQM18" s="7"/>
      <c r="WQN18" s="7"/>
      <c r="WQO18" s="7"/>
      <c r="WQP18" s="7"/>
      <c r="WQQ18" s="7"/>
      <c r="WQR18" s="7"/>
      <c r="WQS18" s="7"/>
      <c r="WQT18" s="7"/>
      <c r="WQU18" s="7"/>
      <c r="WQV18" s="7"/>
      <c r="WQW18" s="7"/>
      <c r="WQX18" s="7"/>
      <c r="WQY18" s="7"/>
      <c r="WQZ18" s="7"/>
      <c r="WRA18" s="7"/>
      <c r="WRB18" s="7"/>
      <c r="WRC18" s="7"/>
      <c r="WRD18" s="7"/>
      <c r="WRE18" s="7"/>
      <c r="WRF18" s="7"/>
      <c r="WRG18" s="7"/>
      <c r="WRH18" s="7"/>
      <c r="WRI18" s="7"/>
      <c r="WRJ18" s="7"/>
      <c r="WRK18" s="7"/>
      <c r="WRL18" s="7"/>
      <c r="WRM18" s="7"/>
      <c r="WRN18" s="7"/>
      <c r="WRO18" s="7"/>
      <c r="WRP18" s="7"/>
      <c r="WRQ18" s="7"/>
      <c r="WRR18" s="7"/>
      <c r="WRS18" s="7"/>
      <c r="WRT18" s="7"/>
      <c r="WRU18" s="7"/>
      <c r="WRV18" s="7"/>
      <c r="WRW18" s="7"/>
      <c r="WRX18" s="7"/>
      <c r="WRY18" s="7"/>
      <c r="WRZ18" s="7"/>
      <c r="WSA18" s="7"/>
      <c r="WSB18" s="7"/>
      <c r="WSC18" s="7"/>
      <c r="WSD18" s="7"/>
      <c r="WSE18" s="7"/>
      <c r="WSF18" s="7"/>
      <c r="WSG18" s="7"/>
      <c r="WSH18" s="7"/>
      <c r="WSI18" s="7"/>
      <c r="WSJ18" s="7"/>
      <c r="WSK18" s="7"/>
      <c r="WSL18" s="7"/>
      <c r="WSM18" s="7"/>
      <c r="WSN18" s="7"/>
      <c r="WSO18" s="7"/>
      <c r="WSP18" s="7"/>
      <c r="WSQ18" s="7"/>
      <c r="WSR18" s="7"/>
      <c r="WSS18" s="7"/>
      <c r="WST18" s="7"/>
      <c r="WSU18" s="7"/>
      <c r="WSV18" s="7"/>
      <c r="WSW18" s="7"/>
      <c r="WSX18" s="7"/>
      <c r="WSY18" s="7"/>
      <c r="WSZ18" s="7"/>
      <c r="WTA18" s="7"/>
      <c r="WTB18" s="7"/>
      <c r="WTC18" s="7"/>
      <c r="WTD18" s="7"/>
      <c r="WTE18" s="7"/>
      <c r="WTF18" s="7"/>
      <c r="WTG18" s="7"/>
      <c r="WTH18" s="7"/>
      <c r="WTI18" s="7"/>
      <c r="WTJ18" s="7"/>
      <c r="WTK18" s="7"/>
      <c r="WTL18" s="7"/>
      <c r="WTM18" s="7"/>
      <c r="WTN18" s="7"/>
      <c r="WTO18" s="7"/>
      <c r="WTP18" s="7"/>
      <c r="WTQ18" s="7"/>
      <c r="WTR18" s="7"/>
      <c r="WTS18" s="7"/>
      <c r="WTT18" s="7"/>
      <c r="WTU18" s="7"/>
      <c r="WTV18" s="7"/>
      <c r="WTW18" s="7"/>
      <c r="WTX18" s="7"/>
      <c r="WTY18" s="7"/>
      <c r="WTZ18" s="7"/>
      <c r="WUA18" s="7"/>
      <c r="WUB18" s="7"/>
      <c r="WUC18" s="7"/>
      <c r="WUD18" s="7"/>
      <c r="WUE18" s="7"/>
      <c r="WUF18" s="7"/>
      <c r="WUG18" s="7"/>
      <c r="WUH18" s="7"/>
      <c r="WUI18" s="7"/>
      <c r="WUJ18" s="7"/>
      <c r="WUK18" s="7"/>
      <c r="WUL18" s="7"/>
      <c r="WUM18" s="7"/>
      <c r="WUN18" s="7"/>
      <c r="WUO18" s="7"/>
      <c r="WUP18" s="7"/>
      <c r="WUQ18" s="7"/>
      <c r="WUR18" s="7"/>
      <c r="WUS18" s="7"/>
      <c r="WUT18" s="7"/>
      <c r="WUU18" s="7"/>
      <c r="WUV18" s="7"/>
      <c r="WUW18" s="7"/>
      <c r="WUX18" s="7"/>
      <c r="WUY18" s="7"/>
      <c r="WUZ18" s="7"/>
      <c r="WVA18" s="7"/>
      <c r="WVB18" s="7"/>
      <c r="WVC18" s="7"/>
      <c r="WVD18" s="7"/>
      <c r="WVE18" s="7"/>
      <c r="WVF18" s="7"/>
      <c r="WVG18" s="7"/>
      <c r="WVH18" s="7"/>
      <c r="WVI18" s="7"/>
      <c r="WVJ18" s="7"/>
      <c r="WVK18" s="7"/>
      <c r="WVL18" s="7"/>
      <c r="WVM18" s="7"/>
      <c r="WVN18" s="7"/>
      <c r="WVO18" s="7"/>
      <c r="WVP18" s="7"/>
      <c r="WVQ18" s="7"/>
      <c r="WVR18" s="7"/>
      <c r="WVS18" s="7"/>
      <c r="WVT18" s="7"/>
      <c r="WVU18" s="7"/>
      <c r="WVV18" s="7"/>
      <c r="WVW18" s="7"/>
      <c r="WVX18" s="7"/>
      <c r="WVY18" s="7"/>
      <c r="WVZ18" s="7"/>
      <c r="WWA18" s="7"/>
      <c r="WWB18" s="7"/>
      <c r="WWC18" s="7"/>
      <c r="WWD18" s="7"/>
      <c r="WWE18" s="7"/>
      <c r="WWF18" s="7"/>
      <c r="WWG18" s="7"/>
      <c r="WWH18" s="7"/>
      <c r="WWI18" s="7"/>
      <c r="WWJ18" s="7"/>
      <c r="WWK18" s="7"/>
      <c r="WWL18" s="7"/>
      <c r="WWM18" s="7"/>
      <c r="WWN18" s="7"/>
      <c r="WWO18" s="7"/>
      <c r="WWP18" s="7"/>
      <c r="WWQ18" s="7"/>
      <c r="WWR18" s="7"/>
      <c r="WWS18" s="7"/>
      <c r="WWT18" s="7"/>
      <c r="WWU18" s="7"/>
      <c r="WWV18" s="7"/>
      <c r="WWW18" s="7"/>
      <c r="WWX18" s="7"/>
      <c r="WWY18" s="7"/>
      <c r="WWZ18" s="7"/>
      <c r="WXA18" s="7"/>
      <c r="WXB18" s="7"/>
      <c r="WXC18" s="7"/>
      <c r="WXD18" s="7"/>
      <c r="WXE18" s="7"/>
      <c r="WXF18" s="7"/>
      <c r="WXG18" s="7"/>
      <c r="WXH18" s="7"/>
      <c r="WXI18" s="7"/>
      <c r="WXJ18" s="7"/>
      <c r="WXK18" s="7"/>
      <c r="WXL18" s="7"/>
      <c r="WXM18" s="7"/>
      <c r="WXN18" s="7"/>
      <c r="WXO18" s="7"/>
      <c r="WXP18" s="7"/>
      <c r="WXQ18" s="7"/>
      <c r="WXR18" s="7"/>
      <c r="WXS18" s="7"/>
      <c r="WXT18" s="7"/>
      <c r="WXU18" s="7"/>
      <c r="WXV18" s="7"/>
      <c r="WXW18" s="7"/>
      <c r="WXX18" s="7"/>
      <c r="WXY18" s="7"/>
      <c r="WXZ18" s="7"/>
      <c r="WYA18" s="7"/>
      <c r="WYB18" s="7"/>
      <c r="WYC18" s="7"/>
      <c r="WYD18" s="7"/>
      <c r="WYE18" s="7"/>
      <c r="WYF18" s="7"/>
      <c r="WYG18" s="7"/>
      <c r="WYH18" s="7"/>
      <c r="WYI18" s="7"/>
      <c r="WYJ18" s="7"/>
      <c r="WYK18" s="7"/>
      <c r="WYL18" s="7"/>
      <c r="WYM18" s="7"/>
      <c r="WYN18" s="7"/>
      <c r="WYO18" s="7"/>
      <c r="WYP18" s="7"/>
      <c r="WYQ18" s="7"/>
      <c r="WYR18" s="7"/>
      <c r="WYS18" s="7"/>
      <c r="WYT18" s="7"/>
      <c r="WYU18" s="7"/>
      <c r="WYV18" s="7"/>
      <c r="WYW18" s="7"/>
      <c r="WYX18" s="7"/>
      <c r="WYY18" s="7"/>
      <c r="WYZ18" s="7"/>
      <c r="WZA18" s="7"/>
      <c r="WZB18" s="7"/>
      <c r="WZC18" s="7"/>
      <c r="WZD18" s="7"/>
      <c r="WZE18" s="7"/>
      <c r="WZF18" s="7"/>
      <c r="WZG18" s="7"/>
      <c r="WZH18" s="7"/>
      <c r="WZI18" s="7"/>
      <c r="WZJ18" s="7"/>
      <c r="WZK18" s="7"/>
      <c r="WZL18" s="7"/>
      <c r="WZM18" s="7"/>
      <c r="WZN18" s="7"/>
      <c r="WZO18" s="7"/>
      <c r="WZP18" s="7"/>
      <c r="WZQ18" s="7"/>
      <c r="WZR18" s="7"/>
      <c r="WZS18" s="7"/>
      <c r="WZT18" s="7"/>
      <c r="WZU18" s="7"/>
      <c r="WZV18" s="7"/>
      <c r="WZW18" s="7"/>
      <c r="WZX18" s="7"/>
      <c r="WZY18" s="7"/>
      <c r="WZZ18" s="7"/>
      <c r="XAA18" s="7"/>
      <c r="XAB18" s="7"/>
      <c r="XAC18" s="7"/>
      <c r="XAD18" s="7"/>
      <c r="XAE18" s="7"/>
      <c r="XAF18" s="7"/>
      <c r="XAG18" s="7"/>
      <c r="XAH18" s="7"/>
      <c r="XAI18" s="7"/>
      <c r="XAJ18" s="7"/>
      <c r="XAK18" s="7"/>
      <c r="XAL18" s="7"/>
      <c r="XAM18" s="7"/>
      <c r="XAN18" s="7"/>
      <c r="XAO18" s="7"/>
      <c r="XAP18" s="7"/>
      <c r="XAQ18" s="7"/>
      <c r="XAR18" s="7"/>
      <c r="XAS18" s="7"/>
      <c r="XAT18" s="7"/>
      <c r="XAU18" s="7"/>
      <c r="XAV18" s="7"/>
      <c r="XAW18" s="7"/>
      <c r="XAX18" s="7"/>
      <c r="XAY18" s="7"/>
      <c r="XAZ18" s="7"/>
      <c r="XBA18" s="7"/>
      <c r="XBB18" s="7"/>
      <c r="XBC18" s="7"/>
      <c r="XBD18" s="7"/>
      <c r="XBE18" s="7"/>
      <c r="XBF18" s="7"/>
      <c r="XBG18" s="7"/>
      <c r="XBH18" s="7"/>
      <c r="XBI18" s="7"/>
      <c r="XBJ18" s="7"/>
      <c r="XBK18" s="7"/>
      <c r="XBL18" s="7"/>
      <c r="XBM18" s="7"/>
      <c r="XBN18" s="7"/>
      <c r="XBO18" s="7"/>
      <c r="XBP18" s="7"/>
      <c r="XBQ18" s="7"/>
      <c r="XBR18" s="7"/>
      <c r="XBS18" s="7"/>
      <c r="XBT18" s="7"/>
      <c r="XBU18" s="7"/>
      <c r="XBV18" s="7"/>
      <c r="XBW18" s="7"/>
      <c r="XBX18" s="7"/>
      <c r="XBY18" s="7"/>
      <c r="XBZ18" s="7"/>
      <c r="XCA18" s="7"/>
      <c r="XCB18" s="7"/>
      <c r="XCC18" s="7"/>
      <c r="XCD18" s="7"/>
      <c r="XCE18" s="7"/>
      <c r="XCF18" s="7"/>
      <c r="XCG18" s="7"/>
      <c r="XCH18" s="7"/>
      <c r="XCI18" s="7"/>
      <c r="XCJ18" s="7"/>
      <c r="XCK18" s="7"/>
      <c r="XCL18" s="7"/>
      <c r="XCM18" s="7"/>
      <c r="XCN18" s="7"/>
      <c r="XCO18" s="7"/>
      <c r="XCP18" s="7"/>
      <c r="XCQ18" s="7"/>
      <c r="XCR18" s="7"/>
      <c r="XCS18" s="7"/>
      <c r="XCT18" s="7"/>
      <c r="XCU18" s="7"/>
      <c r="XCV18" s="7"/>
      <c r="XCW18" s="7"/>
      <c r="XCX18" s="7"/>
      <c r="XCY18" s="7"/>
      <c r="XCZ18" s="7"/>
      <c r="XDA18" s="7"/>
      <c r="XDB18" s="7"/>
      <c r="XDC18" s="7"/>
      <c r="XDD18" s="7"/>
      <c r="XDE18" s="7"/>
      <c r="XDF18" s="7"/>
      <c r="XDG18" s="7"/>
      <c r="XDH18" s="7"/>
      <c r="XDI18" s="7"/>
      <c r="XDJ18" s="7"/>
      <c r="XDK18" s="7"/>
      <c r="XDL18" s="7"/>
      <c r="XDM18" s="7"/>
      <c r="XDN18" s="7"/>
      <c r="XDO18" s="7"/>
      <c r="XDP18" s="7"/>
      <c r="XDQ18" s="7"/>
      <c r="XDR18" s="7"/>
      <c r="XDS18" s="7"/>
      <c r="XDT18" s="7"/>
      <c r="XDU18" s="7"/>
      <c r="XDV18" s="7"/>
      <c r="XDW18" s="7"/>
      <c r="XDX18" s="7"/>
      <c r="XDY18" s="7"/>
      <c r="XDZ18" s="7"/>
      <c r="XEA18" s="7"/>
      <c r="XEB18" s="7"/>
      <c r="XEC18" s="7"/>
      <c r="XED18" s="7"/>
      <c r="XEE18" s="7"/>
      <c r="XEF18" s="7"/>
      <c r="XEG18" s="7"/>
      <c r="XEH18" s="7"/>
      <c r="XEI18" s="7"/>
      <c r="XEJ18" s="7"/>
      <c r="XEK18" s="7"/>
      <c r="XEL18" s="7"/>
      <c r="XEM18" s="7"/>
      <c r="XEN18" s="7"/>
      <c r="XEO18" s="7"/>
      <c r="XEP18" s="7"/>
      <c r="XEQ18" s="7"/>
      <c r="XER18" s="7"/>
      <c r="XES18" s="7"/>
      <c r="XET18" s="7"/>
      <c r="XEU18" s="7"/>
      <c r="XEV18" s="7"/>
      <c r="XEW18" s="7"/>
      <c r="XEX18" s="7"/>
      <c r="XEY18" s="7"/>
      <c r="XEZ18" s="7"/>
      <c r="XFA18" s="7"/>
      <c r="XFB18" s="7"/>
      <c r="XFC18" s="7"/>
    </row>
    <row r="19" spans="1:16383" s="76" customFormat="1" ht="15" x14ac:dyDescent="0.25">
      <c r="A19" s="6" t="s">
        <v>66</v>
      </c>
      <c r="B19" s="41" t="s">
        <v>49</v>
      </c>
      <c r="C19" s="85">
        <v>5</v>
      </c>
      <c r="D19" s="86">
        <v>203.1</v>
      </c>
      <c r="E19" s="86">
        <v>399.4</v>
      </c>
      <c r="F19" s="86">
        <v>590.70000000000005</v>
      </c>
      <c r="G19" s="86">
        <v>737.1</v>
      </c>
      <c r="H19" s="86">
        <v>942</v>
      </c>
      <c r="I19" s="86">
        <v>1145.3</v>
      </c>
      <c r="J19" s="86">
        <v>1258.3</v>
      </c>
      <c r="K19" s="86">
        <v>1363.7</v>
      </c>
      <c r="L19" s="85">
        <v>4</v>
      </c>
      <c r="M19" s="86">
        <v>1465.3</v>
      </c>
      <c r="N19" s="86">
        <v>1567</v>
      </c>
      <c r="O19" s="86">
        <v>1668.6</v>
      </c>
      <c r="P19" s="86">
        <v>1770.2</v>
      </c>
      <c r="Q19" s="86">
        <v>1871.9</v>
      </c>
      <c r="R19" s="86">
        <v>1973.5</v>
      </c>
      <c r="S19" s="86">
        <v>2075.1</v>
      </c>
      <c r="T19" s="86">
        <v>2176.6999999999998</v>
      </c>
      <c r="U19" s="86">
        <v>2265.9</v>
      </c>
      <c r="V19" s="86">
        <v>2366.6</v>
      </c>
      <c r="W19" s="86">
        <v>2438.6</v>
      </c>
      <c r="X19" s="86">
        <v>2510.5</v>
      </c>
      <c r="Y19" s="86">
        <v>2582.5</v>
      </c>
      <c r="Z19" s="86">
        <v>2654.4</v>
      </c>
      <c r="AA19" s="86">
        <v>2726.4</v>
      </c>
      <c r="AB19" s="86">
        <v>2798.2999999999997</v>
      </c>
      <c r="AC19" s="86">
        <v>2870.3</v>
      </c>
      <c r="AD19" s="86">
        <v>2942.3</v>
      </c>
      <c r="AE19" s="86">
        <v>3014.2</v>
      </c>
      <c r="AF19" s="86">
        <v>3086.2</v>
      </c>
      <c r="AG19" s="86">
        <v>3158.1</v>
      </c>
      <c r="AH19" s="86">
        <v>3230.1000000000004</v>
      </c>
      <c r="AI19" s="86">
        <v>3375</v>
      </c>
      <c r="AJ19" s="86">
        <v>3375</v>
      </c>
      <c r="AK19" s="86">
        <v>3375</v>
      </c>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7"/>
      <c r="IN19" s="7"/>
      <c r="IO19" s="7"/>
      <c r="IP19" s="7"/>
      <c r="IQ19" s="7"/>
      <c r="IR19" s="7"/>
      <c r="IS19" s="7"/>
      <c r="IT19" s="7"/>
      <c r="IU19" s="7"/>
      <c r="IV19" s="7"/>
      <c r="IW19" s="7"/>
      <c r="IX19" s="7"/>
      <c r="IY19" s="7"/>
      <c r="IZ19" s="7"/>
      <c r="JA19" s="7"/>
      <c r="JB19" s="7"/>
      <c r="JC19" s="7"/>
      <c r="JD19" s="7"/>
      <c r="JE19" s="7"/>
      <c r="JF19" s="7"/>
      <c r="JG19" s="7"/>
      <c r="JH19" s="7"/>
      <c r="JI19" s="7"/>
      <c r="JJ19" s="7"/>
      <c r="JK19" s="7"/>
      <c r="JL19" s="7"/>
      <c r="JM19" s="7"/>
      <c r="JN19" s="7"/>
      <c r="JO19" s="7"/>
      <c r="JP19" s="7"/>
      <c r="JQ19" s="7"/>
      <c r="JR19" s="7"/>
      <c r="JS19" s="7"/>
      <c r="JT19" s="7"/>
      <c r="JU19" s="7"/>
      <c r="JV19" s="7"/>
      <c r="JW19" s="7"/>
      <c r="JX19" s="7"/>
      <c r="JY19" s="7"/>
      <c r="JZ19" s="7"/>
      <c r="KA19" s="7"/>
      <c r="KB19" s="7"/>
      <c r="KC19" s="7"/>
      <c r="KD19" s="7"/>
      <c r="KE19" s="7"/>
      <c r="KF19" s="7"/>
      <c r="KG19" s="7"/>
      <c r="KH19" s="7"/>
      <c r="KI19" s="7"/>
      <c r="KJ19" s="7"/>
      <c r="KK19" s="7"/>
      <c r="KL19" s="7"/>
      <c r="KM19" s="7"/>
      <c r="KN19" s="7"/>
      <c r="KO19" s="7"/>
      <c r="KP19" s="7"/>
      <c r="KQ19" s="7"/>
      <c r="KR19" s="7"/>
      <c r="KS19" s="7"/>
      <c r="KT19" s="7"/>
      <c r="KU19" s="7"/>
      <c r="KV19" s="7"/>
      <c r="KW19" s="7"/>
      <c r="KX19" s="7"/>
      <c r="KY19" s="7"/>
      <c r="KZ19" s="7"/>
      <c r="LA19" s="7"/>
      <c r="LB19" s="7"/>
      <c r="LC19" s="7"/>
      <c r="LD19" s="7"/>
      <c r="LE19" s="7"/>
      <c r="LF19" s="7"/>
      <c r="LG19" s="7"/>
      <c r="LH19" s="7"/>
      <c r="LI19" s="7"/>
      <c r="LJ19" s="7"/>
      <c r="LK19" s="7"/>
      <c r="LL19" s="7"/>
      <c r="LM19" s="7"/>
      <c r="LN19" s="7"/>
      <c r="LO19" s="7"/>
      <c r="LP19" s="7"/>
      <c r="LQ19" s="7"/>
      <c r="LR19" s="7"/>
      <c r="LS19" s="7"/>
      <c r="LT19" s="7"/>
      <c r="LU19" s="7"/>
      <c r="LV19" s="7"/>
      <c r="LW19" s="7"/>
      <c r="LX19" s="7"/>
      <c r="LY19" s="7"/>
      <c r="LZ19" s="7"/>
      <c r="MA19" s="7"/>
      <c r="MB19" s="7"/>
      <c r="MC19" s="7"/>
      <c r="MD19" s="7"/>
      <c r="ME19" s="7"/>
      <c r="MF19" s="7"/>
      <c r="MG19" s="7"/>
      <c r="MH19" s="7"/>
      <c r="MI19" s="7"/>
      <c r="MJ19" s="7"/>
      <c r="MK19" s="7"/>
      <c r="ML19" s="7"/>
      <c r="MM19" s="7"/>
      <c r="MN19" s="7"/>
      <c r="MO19" s="7"/>
      <c r="MP19" s="7"/>
      <c r="MQ19" s="7"/>
      <c r="MR19" s="7"/>
      <c r="MS19" s="7"/>
      <c r="MT19" s="7"/>
      <c r="MU19" s="7"/>
      <c r="MV19" s="7"/>
      <c r="MW19" s="7"/>
      <c r="MX19" s="7"/>
      <c r="MY19" s="7"/>
      <c r="MZ19" s="7"/>
      <c r="NA19" s="7"/>
      <c r="NB19" s="7"/>
      <c r="NC19" s="7"/>
      <c r="ND19" s="7"/>
      <c r="NE19" s="7"/>
      <c r="NF19" s="7"/>
      <c r="NG19" s="7"/>
      <c r="NH19" s="7"/>
      <c r="NI19" s="7"/>
      <c r="NJ19" s="7"/>
      <c r="NK19" s="7"/>
      <c r="NL19" s="7"/>
      <c r="NM19" s="7"/>
      <c r="NN19" s="7"/>
      <c r="NO19" s="7"/>
      <c r="NP19" s="7"/>
      <c r="NQ19" s="7"/>
      <c r="NR19" s="7"/>
      <c r="NS19" s="7"/>
      <c r="NT19" s="7"/>
      <c r="NU19" s="7"/>
      <c r="NV19" s="7"/>
      <c r="NW19" s="7"/>
      <c r="NX19" s="7"/>
      <c r="NY19" s="7"/>
      <c r="NZ19" s="7"/>
      <c r="OA19" s="7"/>
      <c r="OB19" s="7"/>
      <c r="OC19" s="7"/>
      <c r="OD19" s="7"/>
      <c r="OE19" s="7"/>
      <c r="OF19" s="7"/>
      <c r="OG19" s="7"/>
      <c r="OH19" s="7"/>
      <c r="OI19" s="7"/>
      <c r="OJ19" s="7"/>
      <c r="OK19" s="7"/>
      <c r="OL19" s="7"/>
      <c r="OM19" s="7"/>
      <c r="ON19" s="7"/>
      <c r="OO19" s="7"/>
      <c r="OP19" s="7"/>
      <c r="OQ19" s="7"/>
      <c r="OR19" s="7"/>
      <c r="OS19" s="7"/>
      <c r="OT19" s="7"/>
      <c r="OU19" s="7"/>
      <c r="OV19" s="7"/>
      <c r="OW19" s="7"/>
      <c r="OX19" s="7"/>
      <c r="OY19" s="7"/>
      <c r="OZ19" s="7"/>
      <c r="PA19" s="7"/>
      <c r="PB19" s="7"/>
      <c r="PC19" s="7"/>
      <c r="PD19" s="7"/>
      <c r="PE19" s="7"/>
      <c r="PF19" s="7"/>
      <c r="PG19" s="7"/>
      <c r="PH19" s="7"/>
      <c r="PI19" s="7"/>
      <c r="PJ19" s="7"/>
      <c r="PK19" s="7"/>
      <c r="PL19" s="7"/>
      <c r="PM19" s="7"/>
      <c r="PN19" s="7"/>
      <c r="PO19" s="7"/>
      <c r="PP19" s="7"/>
      <c r="PQ19" s="7"/>
      <c r="PR19" s="7"/>
      <c r="PS19" s="7"/>
      <c r="PT19" s="7"/>
      <c r="PU19" s="7"/>
      <c r="PV19" s="7"/>
      <c r="PW19" s="7"/>
      <c r="PX19" s="7"/>
      <c r="PY19" s="7"/>
      <c r="PZ19" s="7"/>
      <c r="QA19" s="7"/>
      <c r="QB19" s="7"/>
      <c r="QC19" s="7"/>
      <c r="QD19" s="7"/>
      <c r="QE19" s="7"/>
      <c r="QF19" s="7"/>
      <c r="QG19" s="7"/>
      <c r="QH19" s="7"/>
      <c r="QI19" s="7"/>
      <c r="QJ19" s="7"/>
      <c r="QK19" s="7"/>
      <c r="QL19" s="7"/>
      <c r="QM19" s="7"/>
      <c r="QN19" s="7"/>
      <c r="QO19" s="7"/>
      <c r="QP19" s="7"/>
      <c r="QQ19" s="7"/>
      <c r="QR19" s="7"/>
      <c r="QS19" s="7"/>
      <c r="QT19" s="7"/>
      <c r="QU19" s="7"/>
      <c r="QV19" s="7"/>
      <c r="QW19" s="7"/>
      <c r="QX19" s="7"/>
      <c r="QY19" s="7"/>
      <c r="QZ19" s="7"/>
      <c r="RA19" s="7"/>
      <c r="RB19" s="7"/>
      <c r="RC19" s="7"/>
      <c r="RD19" s="7"/>
      <c r="RE19" s="7"/>
      <c r="RF19" s="7"/>
      <c r="RG19" s="7"/>
      <c r="RH19" s="7"/>
      <c r="RI19" s="7"/>
      <c r="RJ19" s="7"/>
      <c r="RK19" s="7"/>
      <c r="RL19" s="7"/>
      <c r="RM19" s="7"/>
      <c r="RN19" s="7"/>
      <c r="RO19" s="7"/>
      <c r="RP19" s="7"/>
      <c r="RQ19" s="7"/>
      <c r="RR19" s="7"/>
      <c r="RS19" s="7"/>
      <c r="RT19" s="7"/>
      <c r="RU19" s="7"/>
      <c r="RV19" s="7"/>
      <c r="RW19" s="7"/>
      <c r="RX19" s="7"/>
      <c r="RY19" s="7"/>
      <c r="RZ19" s="7"/>
      <c r="SA19" s="7"/>
      <c r="SB19" s="7"/>
      <c r="SC19" s="7"/>
      <c r="SD19" s="7"/>
      <c r="SE19" s="7"/>
      <c r="SF19" s="7"/>
      <c r="SG19" s="7"/>
      <c r="SH19" s="7"/>
      <c r="SI19" s="7"/>
      <c r="SJ19" s="7"/>
      <c r="SK19" s="7"/>
      <c r="SL19" s="7"/>
      <c r="SM19" s="7"/>
      <c r="SN19" s="7"/>
      <c r="SO19" s="7"/>
      <c r="SP19" s="7"/>
      <c r="SQ19" s="7"/>
      <c r="SR19" s="7"/>
      <c r="SS19" s="7"/>
      <c r="ST19" s="7"/>
      <c r="SU19" s="7"/>
      <c r="SV19" s="7"/>
      <c r="SW19" s="7"/>
      <c r="SX19" s="7"/>
      <c r="SY19" s="7"/>
      <c r="SZ19" s="7"/>
      <c r="TA19" s="7"/>
      <c r="TB19" s="7"/>
      <c r="TC19" s="7"/>
      <c r="TD19" s="7"/>
      <c r="TE19" s="7"/>
      <c r="TF19" s="7"/>
      <c r="TG19" s="7"/>
      <c r="TH19" s="7"/>
      <c r="TI19" s="7"/>
      <c r="TJ19" s="7"/>
      <c r="TK19" s="7"/>
      <c r="TL19" s="7"/>
      <c r="TM19" s="7"/>
      <c r="TN19" s="7"/>
      <c r="TO19" s="7"/>
      <c r="TP19" s="7"/>
      <c r="TQ19" s="7"/>
      <c r="TR19" s="7"/>
      <c r="TS19" s="7"/>
      <c r="TT19" s="7"/>
      <c r="TU19" s="7"/>
      <c r="TV19" s="7"/>
      <c r="TW19" s="7"/>
      <c r="TX19" s="7"/>
      <c r="TY19" s="7"/>
      <c r="TZ19" s="7"/>
      <c r="UA19" s="7"/>
      <c r="UB19" s="7"/>
      <c r="UC19" s="7"/>
      <c r="UD19" s="7"/>
      <c r="UE19" s="7"/>
      <c r="UF19" s="7"/>
      <c r="UG19" s="7"/>
      <c r="UH19" s="7"/>
      <c r="UI19" s="7"/>
      <c r="UJ19" s="7"/>
      <c r="UK19" s="7"/>
      <c r="UL19" s="7"/>
      <c r="UM19" s="7"/>
      <c r="UN19" s="7"/>
      <c r="UO19" s="7"/>
      <c r="UP19" s="7"/>
      <c r="UQ19" s="7"/>
      <c r="UR19" s="7"/>
      <c r="US19" s="7"/>
      <c r="UT19" s="7"/>
      <c r="UU19" s="7"/>
      <c r="UV19" s="7"/>
      <c r="UW19" s="7"/>
      <c r="UX19" s="7"/>
      <c r="UY19" s="7"/>
      <c r="UZ19" s="7"/>
      <c r="VA19" s="7"/>
      <c r="VB19" s="7"/>
      <c r="VC19" s="7"/>
      <c r="VD19" s="7"/>
      <c r="VE19" s="7"/>
      <c r="VF19" s="7"/>
      <c r="VG19" s="7"/>
      <c r="VH19" s="7"/>
      <c r="VI19" s="7"/>
      <c r="VJ19" s="7"/>
      <c r="VK19" s="7"/>
      <c r="VL19" s="7"/>
      <c r="VM19" s="7"/>
      <c r="VN19" s="7"/>
      <c r="VO19" s="7"/>
      <c r="VP19" s="7"/>
      <c r="VQ19" s="7"/>
      <c r="VR19" s="7"/>
      <c r="VS19" s="7"/>
      <c r="VT19" s="7"/>
      <c r="VU19" s="7"/>
      <c r="VV19" s="7"/>
      <c r="VW19" s="7"/>
      <c r="VX19" s="7"/>
      <c r="VY19" s="7"/>
      <c r="VZ19" s="7"/>
      <c r="WA19" s="7"/>
      <c r="WB19" s="7"/>
      <c r="WC19" s="7"/>
      <c r="WD19" s="7"/>
      <c r="WE19" s="7"/>
      <c r="WF19" s="7"/>
      <c r="WG19" s="7"/>
      <c r="WH19" s="7"/>
      <c r="WI19" s="7"/>
      <c r="WJ19" s="7"/>
      <c r="WK19" s="7"/>
      <c r="WL19" s="7"/>
      <c r="WM19" s="7"/>
      <c r="WN19" s="7"/>
      <c r="WO19" s="7"/>
      <c r="WP19" s="7"/>
      <c r="WQ19" s="7"/>
      <c r="WR19" s="7"/>
      <c r="WS19" s="7"/>
      <c r="WT19" s="7"/>
      <c r="WU19" s="7"/>
      <c r="WV19" s="7"/>
      <c r="WW19" s="7"/>
      <c r="WX19" s="7"/>
      <c r="WY19" s="7"/>
      <c r="WZ19" s="7"/>
      <c r="XA19" s="7"/>
      <c r="XB19" s="7"/>
      <c r="XC19" s="7"/>
      <c r="XD19" s="7"/>
      <c r="XE19" s="7"/>
      <c r="XF19" s="7"/>
      <c r="XG19" s="7"/>
      <c r="XH19" s="7"/>
      <c r="XI19" s="7"/>
      <c r="XJ19" s="7"/>
      <c r="XK19" s="7"/>
      <c r="XL19" s="7"/>
      <c r="XM19" s="7"/>
      <c r="XN19" s="7"/>
      <c r="XO19" s="7"/>
      <c r="XP19" s="7"/>
      <c r="XQ19" s="7"/>
      <c r="XR19" s="7"/>
      <c r="XS19" s="7"/>
      <c r="XT19" s="7"/>
      <c r="XU19" s="7"/>
      <c r="XV19" s="7"/>
      <c r="XW19" s="7"/>
      <c r="XX19" s="7"/>
      <c r="XY19" s="7"/>
      <c r="XZ19" s="7"/>
      <c r="YA19" s="7"/>
      <c r="YB19" s="7"/>
      <c r="YC19" s="7"/>
      <c r="YD19" s="7"/>
      <c r="YE19" s="7"/>
      <c r="YF19" s="7"/>
      <c r="YG19" s="7"/>
      <c r="YH19" s="7"/>
      <c r="YI19" s="7"/>
      <c r="YJ19" s="7"/>
      <c r="YK19" s="7"/>
      <c r="YL19" s="7"/>
      <c r="YM19" s="7"/>
      <c r="YN19" s="7"/>
      <c r="YO19" s="7"/>
      <c r="YP19" s="7"/>
      <c r="YQ19" s="7"/>
      <c r="YR19" s="7"/>
      <c r="YS19" s="7"/>
      <c r="YT19" s="7"/>
      <c r="YU19" s="7"/>
      <c r="YV19" s="7"/>
      <c r="YW19" s="7"/>
      <c r="YX19" s="7"/>
      <c r="YY19" s="7"/>
      <c r="YZ19" s="7"/>
      <c r="ZA19" s="7"/>
      <c r="ZB19" s="7"/>
      <c r="ZC19" s="7"/>
      <c r="ZD19" s="7"/>
      <c r="ZE19" s="7"/>
      <c r="ZF19" s="7"/>
      <c r="ZG19" s="7"/>
      <c r="ZH19" s="7"/>
      <c r="ZI19" s="7"/>
      <c r="ZJ19" s="7"/>
      <c r="ZK19" s="7"/>
      <c r="ZL19" s="7"/>
      <c r="ZM19" s="7"/>
      <c r="ZN19" s="7"/>
      <c r="ZO19" s="7"/>
      <c r="ZP19" s="7"/>
      <c r="ZQ19" s="7"/>
      <c r="ZR19" s="7"/>
      <c r="ZS19" s="7"/>
      <c r="ZT19" s="7"/>
      <c r="ZU19" s="7"/>
      <c r="ZV19" s="7"/>
      <c r="ZW19" s="7"/>
      <c r="ZX19" s="7"/>
      <c r="ZY19" s="7"/>
      <c r="ZZ19" s="7"/>
      <c r="AAA19" s="7"/>
      <c r="AAB19" s="7"/>
      <c r="AAC19" s="7"/>
      <c r="AAD19" s="7"/>
      <c r="AAE19" s="7"/>
      <c r="AAF19" s="7"/>
      <c r="AAG19" s="7"/>
      <c r="AAH19" s="7"/>
      <c r="AAI19" s="7"/>
      <c r="AAJ19" s="7"/>
      <c r="AAK19" s="7"/>
      <c r="AAL19" s="7"/>
      <c r="AAM19" s="7"/>
      <c r="AAN19" s="7"/>
      <c r="AAO19" s="7"/>
      <c r="AAP19" s="7"/>
      <c r="AAQ19" s="7"/>
      <c r="AAR19" s="7"/>
      <c r="AAS19" s="7"/>
      <c r="AAT19" s="7"/>
      <c r="AAU19" s="7"/>
      <c r="AAV19" s="7"/>
      <c r="AAW19" s="7"/>
      <c r="AAX19" s="7"/>
      <c r="AAY19" s="7"/>
      <c r="AAZ19" s="7"/>
      <c r="ABA19" s="7"/>
      <c r="ABB19" s="7"/>
      <c r="ABC19" s="7"/>
      <c r="ABD19" s="7"/>
      <c r="ABE19" s="7"/>
      <c r="ABF19" s="7"/>
      <c r="ABG19" s="7"/>
      <c r="ABH19" s="7"/>
      <c r="ABI19" s="7"/>
      <c r="ABJ19" s="7"/>
      <c r="ABK19" s="7"/>
      <c r="ABL19" s="7"/>
      <c r="ABM19" s="7"/>
      <c r="ABN19" s="7"/>
      <c r="ABO19" s="7"/>
      <c r="ABP19" s="7"/>
      <c r="ABQ19" s="7"/>
      <c r="ABR19" s="7"/>
      <c r="ABS19" s="7"/>
      <c r="ABT19" s="7"/>
      <c r="ABU19" s="7"/>
      <c r="ABV19" s="7"/>
      <c r="ABW19" s="7"/>
      <c r="ABX19" s="7"/>
      <c r="ABY19" s="7"/>
      <c r="ABZ19" s="7"/>
      <c r="ACA19" s="7"/>
      <c r="ACB19" s="7"/>
      <c r="ACC19" s="7"/>
      <c r="ACD19" s="7"/>
      <c r="ACE19" s="7"/>
      <c r="ACF19" s="7"/>
      <c r="ACG19" s="7"/>
      <c r="ACH19" s="7"/>
      <c r="ACI19" s="7"/>
      <c r="ACJ19" s="7"/>
      <c r="ACK19" s="7"/>
      <c r="ACL19" s="7"/>
      <c r="ACM19" s="7"/>
      <c r="ACN19" s="7"/>
      <c r="ACO19" s="7"/>
      <c r="ACP19" s="7"/>
      <c r="ACQ19" s="7"/>
      <c r="ACR19" s="7"/>
      <c r="ACS19" s="7"/>
      <c r="ACT19" s="7"/>
      <c r="ACU19" s="7"/>
      <c r="ACV19" s="7"/>
      <c r="ACW19" s="7"/>
      <c r="ACX19" s="7"/>
      <c r="ACY19" s="7"/>
      <c r="ACZ19" s="7"/>
      <c r="ADA19" s="7"/>
      <c r="ADB19" s="7"/>
      <c r="ADC19" s="7"/>
      <c r="ADD19" s="7"/>
      <c r="ADE19" s="7"/>
      <c r="ADF19" s="7"/>
      <c r="ADG19" s="7"/>
      <c r="ADH19" s="7"/>
      <c r="ADI19" s="7"/>
      <c r="ADJ19" s="7"/>
      <c r="ADK19" s="7"/>
      <c r="ADL19" s="7"/>
      <c r="ADM19" s="7"/>
      <c r="ADN19" s="7"/>
      <c r="ADO19" s="7"/>
      <c r="ADP19" s="7"/>
      <c r="ADQ19" s="7"/>
      <c r="ADR19" s="7"/>
      <c r="ADS19" s="7"/>
      <c r="ADT19" s="7"/>
      <c r="ADU19" s="7"/>
      <c r="ADV19" s="7"/>
      <c r="ADW19" s="7"/>
      <c r="ADX19" s="7"/>
      <c r="ADY19" s="7"/>
      <c r="ADZ19" s="7"/>
      <c r="AEA19" s="7"/>
      <c r="AEB19" s="7"/>
      <c r="AEC19" s="7"/>
      <c r="AED19" s="7"/>
      <c r="AEE19" s="7"/>
      <c r="AEF19" s="7"/>
      <c r="AEG19" s="7"/>
      <c r="AEH19" s="7"/>
      <c r="AEI19" s="7"/>
      <c r="AEJ19" s="7"/>
      <c r="AEK19" s="7"/>
      <c r="AEL19" s="7"/>
      <c r="AEM19" s="7"/>
      <c r="AEN19" s="7"/>
      <c r="AEO19" s="7"/>
      <c r="AEP19" s="7"/>
      <c r="AEQ19" s="7"/>
      <c r="AER19" s="7"/>
      <c r="AES19" s="7"/>
      <c r="AET19" s="7"/>
      <c r="AEU19" s="7"/>
      <c r="AEV19" s="7"/>
      <c r="AEW19" s="7"/>
      <c r="AEX19" s="7"/>
      <c r="AEY19" s="7"/>
      <c r="AEZ19" s="7"/>
      <c r="AFA19" s="7"/>
      <c r="AFB19" s="7"/>
      <c r="AFC19" s="7"/>
      <c r="AFD19" s="7"/>
      <c r="AFE19" s="7"/>
      <c r="AFF19" s="7"/>
      <c r="AFG19" s="7"/>
      <c r="AFH19" s="7"/>
      <c r="AFI19" s="7"/>
      <c r="AFJ19" s="7"/>
      <c r="AFK19" s="7"/>
      <c r="AFL19" s="7"/>
      <c r="AFM19" s="7"/>
      <c r="AFN19" s="7"/>
      <c r="AFO19" s="7"/>
      <c r="AFP19" s="7"/>
      <c r="AFQ19" s="7"/>
      <c r="AFR19" s="7"/>
      <c r="AFS19" s="7"/>
      <c r="AFT19" s="7"/>
      <c r="AFU19" s="7"/>
      <c r="AFV19" s="7"/>
      <c r="AFW19" s="7"/>
      <c r="AFX19" s="7"/>
      <c r="AFY19" s="7"/>
      <c r="AFZ19" s="7"/>
      <c r="AGA19" s="7"/>
      <c r="AGB19" s="7"/>
      <c r="AGC19" s="7"/>
      <c r="AGD19" s="7"/>
      <c r="AGE19" s="7"/>
      <c r="AGF19" s="7"/>
      <c r="AGG19" s="7"/>
      <c r="AGH19" s="7"/>
      <c r="AGI19" s="7"/>
      <c r="AGJ19" s="7"/>
      <c r="AGK19" s="7"/>
      <c r="AGL19" s="7"/>
      <c r="AGM19" s="7"/>
      <c r="AGN19" s="7"/>
      <c r="AGO19" s="7"/>
      <c r="AGP19" s="7"/>
      <c r="AGQ19" s="7"/>
      <c r="AGR19" s="7"/>
      <c r="AGS19" s="7"/>
      <c r="AGT19" s="7"/>
      <c r="AGU19" s="7"/>
      <c r="AGV19" s="7"/>
      <c r="AGW19" s="7"/>
      <c r="AGX19" s="7"/>
      <c r="AGY19" s="7"/>
      <c r="AGZ19" s="7"/>
      <c r="AHA19" s="7"/>
      <c r="AHB19" s="7"/>
      <c r="AHC19" s="7"/>
      <c r="AHD19" s="7"/>
      <c r="AHE19" s="7"/>
      <c r="AHF19" s="7"/>
      <c r="AHG19" s="7"/>
      <c r="AHH19" s="7"/>
      <c r="AHI19" s="7"/>
      <c r="AHJ19" s="7"/>
      <c r="AHK19" s="7"/>
      <c r="AHL19" s="7"/>
      <c r="AHM19" s="7"/>
      <c r="AHN19" s="7"/>
      <c r="AHO19" s="7"/>
      <c r="AHP19" s="7"/>
      <c r="AHQ19" s="7"/>
      <c r="AHR19" s="7"/>
      <c r="AHS19" s="7"/>
      <c r="AHT19" s="7"/>
      <c r="AHU19" s="7"/>
      <c r="AHV19" s="7"/>
      <c r="AHW19" s="7"/>
      <c r="AHX19" s="7"/>
      <c r="AHY19" s="7"/>
      <c r="AHZ19" s="7"/>
      <c r="AIA19" s="7"/>
      <c r="AIB19" s="7"/>
      <c r="AIC19" s="7"/>
      <c r="AID19" s="7"/>
      <c r="AIE19" s="7"/>
      <c r="AIF19" s="7"/>
      <c r="AIG19" s="7"/>
      <c r="AIH19" s="7"/>
      <c r="AII19" s="7"/>
      <c r="AIJ19" s="7"/>
      <c r="AIK19" s="7"/>
      <c r="AIL19" s="7"/>
      <c r="AIM19" s="7"/>
      <c r="AIN19" s="7"/>
      <c r="AIO19" s="7"/>
      <c r="AIP19" s="7"/>
      <c r="AIQ19" s="7"/>
      <c r="AIR19" s="7"/>
      <c r="AIS19" s="7"/>
      <c r="AIT19" s="7"/>
      <c r="AIU19" s="7"/>
      <c r="AIV19" s="7"/>
      <c r="AIW19" s="7"/>
      <c r="AIX19" s="7"/>
      <c r="AIY19" s="7"/>
      <c r="AIZ19" s="7"/>
      <c r="AJA19" s="7"/>
      <c r="AJB19" s="7"/>
      <c r="AJC19" s="7"/>
      <c r="AJD19" s="7"/>
      <c r="AJE19" s="7"/>
      <c r="AJF19" s="7"/>
      <c r="AJG19" s="7"/>
      <c r="AJH19" s="7"/>
      <c r="AJI19" s="7"/>
      <c r="AJJ19" s="7"/>
      <c r="AJK19" s="7"/>
      <c r="AJL19" s="7"/>
      <c r="AJM19" s="7"/>
      <c r="AJN19" s="7"/>
      <c r="AJO19" s="7"/>
      <c r="AJP19" s="7"/>
      <c r="AJQ19" s="7"/>
      <c r="AJR19" s="7"/>
      <c r="AJS19" s="7"/>
      <c r="AJT19" s="7"/>
      <c r="AJU19" s="7"/>
      <c r="AJV19" s="7"/>
      <c r="AJW19" s="7"/>
      <c r="AJX19" s="7"/>
      <c r="AJY19" s="7"/>
      <c r="AJZ19" s="7"/>
      <c r="AKA19" s="7"/>
      <c r="AKB19" s="7"/>
      <c r="AKC19" s="7"/>
      <c r="AKD19" s="7"/>
      <c r="AKE19" s="7"/>
      <c r="AKF19" s="7"/>
      <c r="AKG19" s="7"/>
      <c r="AKH19" s="7"/>
      <c r="AKI19" s="7"/>
      <c r="AKJ19" s="7"/>
      <c r="AKK19" s="7"/>
      <c r="AKL19" s="7"/>
      <c r="AKM19" s="7"/>
      <c r="AKN19" s="7"/>
      <c r="AKO19" s="7"/>
      <c r="AKP19" s="7"/>
      <c r="AKQ19" s="7"/>
      <c r="AKR19" s="7"/>
      <c r="AKS19" s="7"/>
      <c r="AKT19" s="7"/>
      <c r="AKU19" s="7"/>
      <c r="AKV19" s="7"/>
      <c r="AKW19" s="7"/>
      <c r="AKX19" s="7"/>
      <c r="AKY19" s="7"/>
      <c r="AKZ19" s="7"/>
      <c r="ALA19" s="7"/>
      <c r="ALB19" s="7"/>
      <c r="ALC19" s="7"/>
      <c r="ALD19" s="7"/>
      <c r="ALE19" s="7"/>
      <c r="ALF19" s="7"/>
      <c r="ALG19" s="7"/>
      <c r="ALH19" s="7"/>
      <c r="ALI19" s="7"/>
      <c r="ALJ19" s="7"/>
      <c r="ALK19" s="7"/>
      <c r="ALL19" s="7"/>
      <c r="ALM19" s="7"/>
      <c r="ALN19" s="7"/>
      <c r="ALO19" s="7"/>
      <c r="ALP19" s="7"/>
      <c r="ALQ19" s="7"/>
      <c r="ALR19" s="7"/>
      <c r="ALS19" s="7"/>
      <c r="ALT19" s="7"/>
      <c r="ALU19" s="7"/>
      <c r="ALV19" s="7"/>
      <c r="ALW19" s="7"/>
      <c r="ALX19" s="7"/>
      <c r="ALY19" s="7"/>
      <c r="ALZ19" s="7"/>
      <c r="AMA19" s="7"/>
      <c r="AMB19" s="7"/>
      <c r="AMC19" s="7"/>
      <c r="AMD19" s="7"/>
      <c r="AME19" s="7"/>
      <c r="AMF19" s="7"/>
      <c r="AMG19" s="7"/>
      <c r="AMH19" s="7"/>
      <c r="AMI19" s="7"/>
      <c r="AMJ19" s="7"/>
      <c r="AMK19" s="7"/>
      <c r="AML19" s="7"/>
      <c r="AMM19" s="7"/>
      <c r="AMN19" s="7"/>
      <c r="AMO19" s="7"/>
      <c r="AMP19" s="7"/>
      <c r="AMQ19" s="7"/>
      <c r="AMR19" s="7"/>
      <c r="AMS19" s="7"/>
      <c r="AMT19" s="7"/>
      <c r="AMU19" s="7"/>
      <c r="AMV19" s="7"/>
      <c r="AMW19" s="7"/>
      <c r="AMX19" s="7"/>
      <c r="AMY19" s="7"/>
      <c r="AMZ19" s="7"/>
      <c r="ANA19" s="7"/>
      <c r="ANB19" s="7"/>
      <c r="ANC19" s="7"/>
      <c r="AND19" s="7"/>
      <c r="ANE19" s="7"/>
      <c r="ANF19" s="7"/>
      <c r="ANG19" s="7"/>
      <c r="ANH19" s="7"/>
      <c r="ANI19" s="7"/>
      <c r="ANJ19" s="7"/>
      <c r="ANK19" s="7"/>
      <c r="ANL19" s="7"/>
      <c r="ANM19" s="7"/>
      <c r="ANN19" s="7"/>
      <c r="ANO19" s="7"/>
      <c r="ANP19" s="7"/>
      <c r="ANQ19" s="7"/>
      <c r="ANR19" s="7"/>
      <c r="ANS19" s="7"/>
      <c r="ANT19" s="7"/>
      <c r="ANU19" s="7"/>
      <c r="ANV19" s="7"/>
      <c r="ANW19" s="7"/>
      <c r="ANX19" s="7"/>
      <c r="ANY19" s="7"/>
      <c r="ANZ19" s="7"/>
      <c r="AOA19" s="7"/>
      <c r="AOB19" s="7"/>
      <c r="AOC19" s="7"/>
      <c r="AOD19" s="7"/>
      <c r="AOE19" s="7"/>
      <c r="AOF19" s="7"/>
      <c r="AOG19" s="7"/>
      <c r="AOH19" s="7"/>
      <c r="AOI19" s="7"/>
      <c r="AOJ19" s="7"/>
      <c r="AOK19" s="7"/>
      <c r="AOL19" s="7"/>
      <c r="AOM19" s="7"/>
      <c r="AON19" s="7"/>
      <c r="AOO19" s="7"/>
      <c r="AOP19" s="7"/>
      <c r="AOQ19" s="7"/>
      <c r="AOR19" s="7"/>
      <c r="AOS19" s="7"/>
      <c r="AOT19" s="7"/>
      <c r="AOU19" s="7"/>
      <c r="AOV19" s="7"/>
      <c r="AOW19" s="7"/>
      <c r="AOX19" s="7"/>
      <c r="AOY19" s="7"/>
      <c r="AOZ19" s="7"/>
      <c r="APA19" s="7"/>
      <c r="APB19" s="7"/>
      <c r="APC19" s="7"/>
      <c r="APD19" s="7"/>
      <c r="APE19" s="7"/>
      <c r="APF19" s="7"/>
      <c r="APG19" s="7"/>
      <c r="APH19" s="7"/>
      <c r="API19" s="7"/>
      <c r="APJ19" s="7"/>
      <c r="APK19" s="7"/>
      <c r="APL19" s="7"/>
      <c r="APM19" s="7"/>
      <c r="APN19" s="7"/>
      <c r="APO19" s="7"/>
      <c r="APP19" s="7"/>
      <c r="APQ19" s="7"/>
      <c r="APR19" s="7"/>
      <c r="APS19" s="7"/>
      <c r="APT19" s="7"/>
      <c r="APU19" s="7"/>
      <c r="APV19" s="7"/>
      <c r="APW19" s="7"/>
      <c r="APX19" s="7"/>
      <c r="APY19" s="7"/>
      <c r="APZ19" s="7"/>
      <c r="AQA19" s="7"/>
      <c r="AQB19" s="7"/>
      <c r="AQC19" s="7"/>
      <c r="AQD19" s="7"/>
      <c r="AQE19" s="7"/>
      <c r="AQF19" s="7"/>
      <c r="AQG19" s="7"/>
      <c r="AQH19" s="7"/>
      <c r="AQI19" s="7"/>
      <c r="AQJ19" s="7"/>
      <c r="AQK19" s="7"/>
      <c r="AQL19" s="7"/>
      <c r="AQM19" s="7"/>
      <c r="AQN19" s="7"/>
      <c r="AQO19" s="7"/>
      <c r="AQP19" s="7"/>
      <c r="AQQ19" s="7"/>
      <c r="AQR19" s="7"/>
      <c r="AQS19" s="7"/>
      <c r="AQT19" s="7"/>
      <c r="AQU19" s="7"/>
      <c r="AQV19" s="7"/>
      <c r="AQW19" s="7"/>
      <c r="AQX19" s="7"/>
      <c r="AQY19" s="7"/>
      <c r="AQZ19" s="7"/>
      <c r="ARA19" s="7"/>
      <c r="ARB19" s="7"/>
      <c r="ARC19" s="7"/>
      <c r="ARD19" s="7"/>
      <c r="ARE19" s="7"/>
      <c r="ARF19" s="7"/>
      <c r="ARG19" s="7"/>
      <c r="ARH19" s="7"/>
      <c r="ARI19" s="7"/>
      <c r="ARJ19" s="7"/>
      <c r="ARK19" s="7"/>
      <c r="ARL19" s="7"/>
      <c r="ARM19" s="7"/>
      <c r="ARN19" s="7"/>
      <c r="ARO19" s="7"/>
      <c r="ARP19" s="7"/>
      <c r="ARQ19" s="7"/>
      <c r="ARR19" s="7"/>
      <c r="ARS19" s="7"/>
      <c r="ART19" s="7"/>
      <c r="ARU19" s="7"/>
      <c r="ARV19" s="7"/>
      <c r="ARW19" s="7"/>
      <c r="ARX19" s="7"/>
      <c r="ARY19" s="7"/>
      <c r="ARZ19" s="7"/>
      <c r="ASA19" s="7"/>
      <c r="ASB19" s="7"/>
      <c r="ASC19" s="7"/>
      <c r="ASD19" s="7"/>
      <c r="ASE19" s="7"/>
      <c r="ASF19" s="7"/>
      <c r="ASG19" s="7"/>
      <c r="ASH19" s="7"/>
      <c r="ASI19" s="7"/>
      <c r="ASJ19" s="7"/>
      <c r="ASK19" s="7"/>
      <c r="ASL19" s="7"/>
      <c r="ASM19" s="7"/>
      <c r="ASN19" s="7"/>
      <c r="ASO19" s="7"/>
      <c r="ASP19" s="7"/>
      <c r="ASQ19" s="7"/>
      <c r="ASR19" s="7"/>
      <c r="ASS19" s="7"/>
      <c r="AST19" s="7"/>
      <c r="ASU19" s="7"/>
      <c r="ASV19" s="7"/>
      <c r="ASW19" s="7"/>
      <c r="ASX19" s="7"/>
      <c r="ASY19" s="7"/>
      <c r="ASZ19" s="7"/>
      <c r="ATA19" s="7"/>
      <c r="ATB19" s="7"/>
      <c r="ATC19" s="7"/>
      <c r="ATD19" s="7"/>
      <c r="ATE19" s="7"/>
      <c r="ATF19" s="7"/>
      <c r="ATG19" s="7"/>
      <c r="ATH19" s="7"/>
      <c r="ATI19" s="7"/>
      <c r="ATJ19" s="7"/>
      <c r="ATK19" s="7"/>
      <c r="ATL19" s="7"/>
      <c r="ATM19" s="7"/>
      <c r="ATN19" s="7"/>
      <c r="ATO19" s="7"/>
      <c r="ATP19" s="7"/>
      <c r="ATQ19" s="7"/>
      <c r="ATR19" s="7"/>
      <c r="ATS19" s="7"/>
      <c r="ATT19" s="7"/>
      <c r="ATU19" s="7"/>
      <c r="ATV19" s="7"/>
      <c r="ATW19" s="7"/>
      <c r="ATX19" s="7"/>
      <c r="ATY19" s="7"/>
      <c r="ATZ19" s="7"/>
      <c r="AUA19" s="7"/>
      <c r="AUB19" s="7"/>
      <c r="AUC19" s="7"/>
      <c r="AUD19" s="7"/>
      <c r="AUE19" s="7"/>
      <c r="AUF19" s="7"/>
      <c r="AUG19" s="7"/>
      <c r="AUH19" s="7"/>
      <c r="AUI19" s="7"/>
      <c r="AUJ19" s="7"/>
      <c r="AUK19" s="7"/>
      <c r="AUL19" s="7"/>
      <c r="AUM19" s="7"/>
      <c r="AUN19" s="7"/>
      <c r="AUO19" s="7"/>
      <c r="AUP19" s="7"/>
      <c r="AUQ19" s="7"/>
      <c r="AUR19" s="7"/>
      <c r="AUS19" s="7"/>
      <c r="AUT19" s="7"/>
      <c r="AUU19" s="7"/>
      <c r="AUV19" s="7"/>
      <c r="AUW19" s="7"/>
      <c r="AUX19" s="7"/>
      <c r="AUY19" s="7"/>
      <c r="AUZ19" s="7"/>
      <c r="AVA19" s="7"/>
      <c r="AVB19" s="7"/>
      <c r="AVC19" s="7"/>
      <c r="AVD19" s="7"/>
      <c r="AVE19" s="7"/>
      <c r="AVF19" s="7"/>
      <c r="AVG19" s="7"/>
      <c r="AVH19" s="7"/>
      <c r="AVI19" s="7"/>
      <c r="AVJ19" s="7"/>
      <c r="AVK19" s="7"/>
      <c r="AVL19" s="7"/>
      <c r="AVM19" s="7"/>
      <c r="AVN19" s="7"/>
      <c r="AVO19" s="7"/>
      <c r="AVP19" s="7"/>
      <c r="AVQ19" s="7"/>
      <c r="AVR19" s="7"/>
      <c r="AVS19" s="7"/>
      <c r="AVT19" s="7"/>
      <c r="AVU19" s="7"/>
      <c r="AVV19" s="7"/>
      <c r="AVW19" s="7"/>
      <c r="AVX19" s="7"/>
      <c r="AVY19" s="7"/>
      <c r="AVZ19" s="7"/>
      <c r="AWA19" s="7"/>
      <c r="AWB19" s="7"/>
      <c r="AWC19" s="7"/>
      <c r="AWD19" s="7"/>
      <c r="AWE19" s="7"/>
      <c r="AWF19" s="7"/>
      <c r="AWG19" s="7"/>
      <c r="AWH19" s="7"/>
      <c r="AWI19" s="7"/>
      <c r="AWJ19" s="7"/>
      <c r="AWK19" s="7"/>
      <c r="AWL19" s="7"/>
      <c r="AWM19" s="7"/>
      <c r="AWN19" s="7"/>
      <c r="AWO19" s="7"/>
      <c r="AWP19" s="7"/>
      <c r="AWQ19" s="7"/>
      <c r="AWR19" s="7"/>
      <c r="AWS19" s="7"/>
      <c r="AWT19" s="7"/>
      <c r="AWU19" s="7"/>
      <c r="AWV19" s="7"/>
      <c r="AWW19" s="7"/>
      <c r="AWX19" s="7"/>
      <c r="AWY19" s="7"/>
      <c r="AWZ19" s="7"/>
      <c r="AXA19" s="7"/>
      <c r="AXB19" s="7"/>
      <c r="AXC19" s="7"/>
      <c r="AXD19" s="7"/>
      <c r="AXE19" s="7"/>
      <c r="AXF19" s="7"/>
      <c r="AXG19" s="7"/>
      <c r="AXH19" s="7"/>
      <c r="AXI19" s="7"/>
      <c r="AXJ19" s="7"/>
      <c r="AXK19" s="7"/>
      <c r="AXL19" s="7"/>
      <c r="AXM19" s="7"/>
      <c r="AXN19" s="7"/>
      <c r="AXO19" s="7"/>
      <c r="AXP19" s="7"/>
      <c r="AXQ19" s="7"/>
      <c r="AXR19" s="7"/>
      <c r="AXS19" s="7"/>
      <c r="AXT19" s="7"/>
      <c r="AXU19" s="7"/>
      <c r="AXV19" s="7"/>
      <c r="AXW19" s="7"/>
      <c r="AXX19" s="7"/>
      <c r="AXY19" s="7"/>
      <c r="AXZ19" s="7"/>
      <c r="AYA19" s="7"/>
      <c r="AYB19" s="7"/>
      <c r="AYC19" s="7"/>
      <c r="AYD19" s="7"/>
      <c r="AYE19" s="7"/>
      <c r="AYF19" s="7"/>
      <c r="AYG19" s="7"/>
      <c r="AYH19" s="7"/>
      <c r="AYI19" s="7"/>
      <c r="AYJ19" s="7"/>
      <c r="AYK19" s="7"/>
      <c r="AYL19" s="7"/>
      <c r="AYM19" s="7"/>
      <c r="AYN19" s="7"/>
      <c r="AYO19" s="7"/>
      <c r="AYP19" s="7"/>
      <c r="AYQ19" s="7"/>
      <c r="AYR19" s="7"/>
      <c r="AYS19" s="7"/>
      <c r="AYT19" s="7"/>
      <c r="AYU19" s="7"/>
      <c r="AYV19" s="7"/>
      <c r="AYW19" s="7"/>
      <c r="AYX19" s="7"/>
      <c r="AYY19" s="7"/>
      <c r="AYZ19" s="7"/>
      <c r="AZA19" s="7"/>
      <c r="AZB19" s="7"/>
      <c r="AZC19" s="7"/>
      <c r="AZD19" s="7"/>
      <c r="AZE19" s="7"/>
      <c r="AZF19" s="7"/>
      <c r="AZG19" s="7"/>
      <c r="AZH19" s="7"/>
      <c r="AZI19" s="7"/>
      <c r="AZJ19" s="7"/>
      <c r="AZK19" s="7"/>
      <c r="AZL19" s="7"/>
      <c r="AZM19" s="7"/>
      <c r="AZN19" s="7"/>
      <c r="AZO19" s="7"/>
      <c r="AZP19" s="7"/>
      <c r="AZQ19" s="7"/>
      <c r="AZR19" s="7"/>
      <c r="AZS19" s="7"/>
      <c r="AZT19" s="7"/>
      <c r="AZU19" s="7"/>
      <c r="AZV19" s="7"/>
      <c r="AZW19" s="7"/>
      <c r="AZX19" s="7"/>
      <c r="AZY19" s="7"/>
      <c r="AZZ19" s="7"/>
      <c r="BAA19" s="7"/>
      <c r="BAB19" s="7"/>
      <c r="BAC19" s="7"/>
      <c r="BAD19" s="7"/>
      <c r="BAE19" s="7"/>
      <c r="BAF19" s="7"/>
      <c r="BAG19" s="7"/>
      <c r="BAH19" s="7"/>
      <c r="BAI19" s="7"/>
      <c r="BAJ19" s="7"/>
      <c r="BAK19" s="7"/>
      <c r="BAL19" s="7"/>
      <c r="BAM19" s="7"/>
      <c r="BAN19" s="7"/>
      <c r="BAO19" s="7"/>
      <c r="BAP19" s="7"/>
      <c r="BAQ19" s="7"/>
      <c r="BAR19" s="7"/>
      <c r="BAS19" s="7"/>
      <c r="BAT19" s="7"/>
      <c r="BAU19" s="7"/>
      <c r="BAV19" s="7"/>
      <c r="BAW19" s="7"/>
      <c r="BAX19" s="7"/>
      <c r="BAY19" s="7"/>
      <c r="BAZ19" s="7"/>
      <c r="BBA19" s="7"/>
      <c r="BBB19" s="7"/>
      <c r="BBC19" s="7"/>
      <c r="BBD19" s="7"/>
      <c r="BBE19" s="7"/>
      <c r="BBF19" s="7"/>
      <c r="BBG19" s="7"/>
      <c r="BBH19" s="7"/>
      <c r="BBI19" s="7"/>
      <c r="BBJ19" s="7"/>
      <c r="BBK19" s="7"/>
      <c r="BBL19" s="7"/>
      <c r="BBM19" s="7"/>
      <c r="BBN19" s="7"/>
      <c r="BBO19" s="7"/>
      <c r="BBP19" s="7"/>
      <c r="BBQ19" s="7"/>
      <c r="BBR19" s="7"/>
      <c r="BBS19" s="7"/>
      <c r="BBT19" s="7"/>
      <c r="BBU19" s="7"/>
      <c r="BBV19" s="7"/>
      <c r="BBW19" s="7"/>
      <c r="BBX19" s="7"/>
      <c r="BBY19" s="7"/>
      <c r="BBZ19" s="7"/>
      <c r="BCA19" s="7"/>
      <c r="BCB19" s="7"/>
      <c r="BCC19" s="7"/>
      <c r="BCD19" s="7"/>
      <c r="BCE19" s="7"/>
      <c r="BCF19" s="7"/>
      <c r="BCG19" s="7"/>
      <c r="BCH19" s="7"/>
      <c r="BCI19" s="7"/>
      <c r="BCJ19" s="7"/>
      <c r="BCK19" s="7"/>
      <c r="BCL19" s="7"/>
      <c r="BCM19" s="7"/>
      <c r="BCN19" s="7"/>
      <c r="BCO19" s="7"/>
      <c r="BCP19" s="7"/>
      <c r="BCQ19" s="7"/>
      <c r="BCR19" s="7"/>
      <c r="BCS19" s="7"/>
      <c r="BCT19" s="7"/>
      <c r="BCU19" s="7"/>
      <c r="BCV19" s="7"/>
      <c r="BCW19" s="7"/>
      <c r="BCX19" s="7"/>
      <c r="BCY19" s="7"/>
      <c r="BCZ19" s="7"/>
      <c r="BDA19" s="7"/>
      <c r="BDB19" s="7"/>
      <c r="BDC19" s="7"/>
      <c r="BDD19" s="7"/>
      <c r="BDE19" s="7"/>
      <c r="BDF19" s="7"/>
      <c r="BDG19" s="7"/>
      <c r="BDH19" s="7"/>
      <c r="BDI19" s="7"/>
      <c r="BDJ19" s="7"/>
      <c r="BDK19" s="7"/>
      <c r="BDL19" s="7"/>
      <c r="BDM19" s="7"/>
      <c r="BDN19" s="7"/>
      <c r="BDO19" s="7"/>
      <c r="BDP19" s="7"/>
      <c r="BDQ19" s="7"/>
      <c r="BDR19" s="7"/>
      <c r="BDS19" s="7"/>
      <c r="BDT19" s="7"/>
      <c r="BDU19" s="7"/>
      <c r="BDV19" s="7"/>
      <c r="BDW19" s="7"/>
      <c r="BDX19" s="7"/>
      <c r="BDY19" s="7"/>
      <c r="BDZ19" s="7"/>
      <c r="BEA19" s="7"/>
      <c r="BEB19" s="7"/>
      <c r="BEC19" s="7"/>
      <c r="BED19" s="7"/>
      <c r="BEE19" s="7"/>
      <c r="BEF19" s="7"/>
      <c r="BEG19" s="7"/>
      <c r="BEH19" s="7"/>
      <c r="BEI19" s="7"/>
      <c r="BEJ19" s="7"/>
      <c r="BEK19" s="7"/>
      <c r="BEL19" s="7"/>
      <c r="BEM19" s="7"/>
      <c r="BEN19" s="7"/>
      <c r="BEO19" s="7"/>
      <c r="BEP19" s="7"/>
      <c r="BEQ19" s="7"/>
      <c r="BER19" s="7"/>
      <c r="BES19" s="7"/>
      <c r="BET19" s="7"/>
      <c r="BEU19" s="7"/>
      <c r="BEV19" s="7"/>
      <c r="BEW19" s="7"/>
      <c r="BEX19" s="7"/>
      <c r="BEY19" s="7"/>
      <c r="BEZ19" s="7"/>
      <c r="BFA19" s="7"/>
      <c r="BFB19" s="7"/>
      <c r="BFC19" s="7"/>
      <c r="BFD19" s="7"/>
      <c r="BFE19" s="7"/>
      <c r="BFF19" s="7"/>
      <c r="BFG19" s="7"/>
      <c r="BFH19" s="7"/>
      <c r="BFI19" s="7"/>
      <c r="BFJ19" s="7"/>
      <c r="BFK19" s="7"/>
      <c r="BFL19" s="7"/>
      <c r="BFM19" s="7"/>
      <c r="BFN19" s="7"/>
      <c r="BFO19" s="7"/>
      <c r="BFP19" s="7"/>
      <c r="BFQ19" s="7"/>
      <c r="BFR19" s="7"/>
      <c r="BFS19" s="7"/>
      <c r="BFT19" s="7"/>
      <c r="BFU19" s="7"/>
      <c r="BFV19" s="7"/>
      <c r="BFW19" s="7"/>
      <c r="BFX19" s="7"/>
      <c r="BFY19" s="7"/>
      <c r="BFZ19" s="7"/>
      <c r="BGA19" s="7"/>
      <c r="BGB19" s="7"/>
      <c r="BGC19" s="7"/>
      <c r="BGD19" s="7"/>
      <c r="BGE19" s="7"/>
      <c r="BGF19" s="7"/>
      <c r="BGG19" s="7"/>
      <c r="BGH19" s="7"/>
      <c r="BGI19" s="7"/>
      <c r="BGJ19" s="7"/>
      <c r="BGK19" s="7"/>
      <c r="BGL19" s="7"/>
      <c r="BGM19" s="7"/>
      <c r="BGN19" s="7"/>
      <c r="BGO19" s="7"/>
      <c r="BGP19" s="7"/>
      <c r="BGQ19" s="7"/>
      <c r="BGR19" s="7"/>
      <c r="BGS19" s="7"/>
      <c r="BGT19" s="7"/>
      <c r="BGU19" s="7"/>
      <c r="BGV19" s="7"/>
      <c r="BGW19" s="7"/>
      <c r="BGX19" s="7"/>
      <c r="BGY19" s="7"/>
      <c r="BGZ19" s="7"/>
      <c r="BHA19" s="7"/>
      <c r="BHB19" s="7"/>
      <c r="BHC19" s="7"/>
      <c r="BHD19" s="7"/>
      <c r="BHE19" s="7"/>
      <c r="BHF19" s="7"/>
      <c r="BHG19" s="7"/>
      <c r="BHH19" s="7"/>
      <c r="BHI19" s="7"/>
      <c r="BHJ19" s="7"/>
      <c r="BHK19" s="7"/>
      <c r="BHL19" s="7"/>
      <c r="BHM19" s="7"/>
      <c r="BHN19" s="7"/>
      <c r="BHO19" s="7"/>
      <c r="BHP19" s="7"/>
      <c r="BHQ19" s="7"/>
      <c r="BHR19" s="7"/>
      <c r="BHS19" s="7"/>
      <c r="BHT19" s="7"/>
      <c r="BHU19" s="7"/>
      <c r="BHV19" s="7"/>
      <c r="BHW19" s="7"/>
      <c r="BHX19" s="7"/>
      <c r="BHY19" s="7"/>
      <c r="BHZ19" s="7"/>
      <c r="BIA19" s="7"/>
      <c r="BIB19" s="7"/>
      <c r="BIC19" s="7"/>
      <c r="BID19" s="7"/>
      <c r="BIE19" s="7"/>
      <c r="BIF19" s="7"/>
      <c r="BIG19" s="7"/>
      <c r="BIH19" s="7"/>
      <c r="BII19" s="7"/>
      <c r="BIJ19" s="7"/>
      <c r="BIK19" s="7"/>
      <c r="BIL19" s="7"/>
      <c r="BIM19" s="7"/>
      <c r="BIN19" s="7"/>
      <c r="BIO19" s="7"/>
      <c r="BIP19" s="7"/>
      <c r="BIQ19" s="7"/>
      <c r="BIR19" s="7"/>
      <c r="BIS19" s="7"/>
      <c r="BIT19" s="7"/>
      <c r="BIU19" s="7"/>
      <c r="BIV19" s="7"/>
      <c r="BIW19" s="7"/>
      <c r="BIX19" s="7"/>
      <c r="BIY19" s="7"/>
      <c r="BIZ19" s="7"/>
      <c r="BJA19" s="7"/>
      <c r="BJB19" s="7"/>
      <c r="BJC19" s="7"/>
      <c r="BJD19" s="7"/>
      <c r="BJE19" s="7"/>
      <c r="BJF19" s="7"/>
      <c r="BJG19" s="7"/>
      <c r="BJH19" s="7"/>
      <c r="BJI19" s="7"/>
      <c r="BJJ19" s="7"/>
      <c r="BJK19" s="7"/>
      <c r="BJL19" s="7"/>
      <c r="BJM19" s="7"/>
      <c r="BJN19" s="7"/>
      <c r="BJO19" s="7"/>
      <c r="BJP19" s="7"/>
      <c r="BJQ19" s="7"/>
      <c r="BJR19" s="7"/>
      <c r="BJS19" s="7"/>
      <c r="BJT19" s="7"/>
      <c r="BJU19" s="7"/>
      <c r="BJV19" s="7"/>
      <c r="BJW19" s="7"/>
      <c r="BJX19" s="7"/>
      <c r="BJY19" s="7"/>
      <c r="BJZ19" s="7"/>
      <c r="BKA19" s="7"/>
      <c r="BKB19" s="7"/>
      <c r="BKC19" s="7"/>
      <c r="BKD19" s="7"/>
      <c r="BKE19" s="7"/>
      <c r="BKF19" s="7"/>
      <c r="BKG19" s="7"/>
      <c r="BKH19" s="7"/>
      <c r="BKI19" s="7"/>
      <c r="BKJ19" s="7"/>
      <c r="BKK19" s="7"/>
      <c r="BKL19" s="7"/>
      <c r="BKM19" s="7"/>
      <c r="BKN19" s="7"/>
      <c r="BKO19" s="7"/>
      <c r="BKP19" s="7"/>
      <c r="BKQ19" s="7"/>
      <c r="BKR19" s="7"/>
      <c r="BKS19" s="7"/>
      <c r="BKT19" s="7"/>
      <c r="BKU19" s="7"/>
      <c r="BKV19" s="7"/>
      <c r="BKW19" s="7"/>
      <c r="BKX19" s="7"/>
      <c r="BKY19" s="7"/>
      <c r="BKZ19" s="7"/>
      <c r="BLA19" s="7"/>
      <c r="BLB19" s="7"/>
      <c r="BLC19" s="7"/>
      <c r="BLD19" s="7"/>
      <c r="BLE19" s="7"/>
      <c r="BLF19" s="7"/>
      <c r="BLG19" s="7"/>
      <c r="BLH19" s="7"/>
      <c r="BLI19" s="7"/>
      <c r="BLJ19" s="7"/>
      <c r="BLK19" s="7"/>
      <c r="BLL19" s="7"/>
      <c r="BLM19" s="7"/>
      <c r="BLN19" s="7"/>
      <c r="BLO19" s="7"/>
      <c r="BLP19" s="7"/>
      <c r="BLQ19" s="7"/>
      <c r="BLR19" s="7"/>
      <c r="BLS19" s="7"/>
      <c r="BLT19" s="7"/>
      <c r="BLU19" s="7"/>
      <c r="BLV19" s="7"/>
      <c r="BLW19" s="7"/>
      <c r="BLX19" s="7"/>
      <c r="BLY19" s="7"/>
      <c r="BLZ19" s="7"/>
      <c r="BMA19" s="7"/>
      <c r="BMB19" s="7"/>
      <c r="BMC19" s="7"/>
      <c r="BMD19" s="7"/>
      <c r="BME19" s="7"/>
      <c r="BMF19" s="7"/>
      <c r="BMG19" s="7"/>
      <c r="BMH19" s="7"/>
      <c r="BMI19" s="7"/>
      <c r="BMJ19" s="7"/>
      <c r="BMK19" s="7"/>
      <c r="BML19" s="7"/>
      <c r="BMM19" s="7"/>
      <c r="BMN19" s="7"/>
      <c r="BMO19" s="7"/>
      <c r="BMP19" s="7"/>
      <c r="BMQ19" s="7"/>
      <c r="BMR19" s="7"/>
      <c r="BMS19" s="7"/>
      <c r="BMT19" s="7"/>
      <c r="BMU19" s="7"/>
      <c r="BMV19" s="7"/>
      <c r="BMW19" s="7"/>
      <c r="BMX19" s="7"/>
      <c r="BMY19" s="7"/>
      <c r="BMZ19" s="7"/>
      <c r="BNA19" s="7"/>
      <c r="BNB19" s="7"/>
      <c r="BNC19" s="7"/>
      <c r="BND19" s="7"/>
      <c r="BNE19" s="7"/>
      <c r="BNF19" s="7"/>
      <c r="BNG19" s="7"/>
      <c r="BNH19" s="7"/>
      <c r="BNI19" s="7"/>
      <c r="BNJ19" s="7"/>
      <c r="BNK19" s="7"/>
      <c r="BNL19" s="7"/>
      <c r="BNM19" s="7"/>
      <c r="BNN19" s="7"/>
      <c r="BNO19" s="7"/>
      <c r="BNP19" s="7"/>
      <c r="BNQ19" s="7"/>
      <c r="BNR19" s="7"/>
      <c r="BNS19" s="7"/>
      <c r="BNT19" s="7"/>
      <c r="BNU19" s="7"/>
      <c r="BNV19" s="7"/>
      <c r="BNW19" s="7"/>
      <c r="BNX19" s="7"/>
      <c r="BNY19" s="7"/>
      <c r="BNZ19" s="7"/>
      <c r="BOA19" s="7"/>
      <c r="BOB19" s="7"/>
      <c r="BOC19" s="7"/>
      <c r="BOD19" s="7"/>
      <c r="BOE19" s="7"/>
      <c r="BOF19" s="7"/>
      <c r="BOG19" s="7"/>
      <c r="BOH19" s="7"/>
      <c r="BOI19" s="7"/>
      <c r="BOJ19" s="7"/>
      <c r="BOK19" s="7"/>
      <c r="BOL19" s="7"/>
      <c r="BOM19" s="7"/>
      <c r="BON19" s="7"/>
      <c r="BOO19" s="7"/>
      <c r="BOP19" s="7"/>
      <c r="BOQ19" s="7"/>
      <c r="BOR19" s="7"/>
      <c r="BOS19" s="7"/>
      <c r="BOT19" s="7"/>
      <c r="BOU19" s="7"/>
      <c r="BOV19" s="7"/>
      <c r="BOW19" s="7"/>
      <c r="BOX19" s="7"/>
      <c r="BOY19" s="7"/>
      <c r="BOZ19" s="7"/>
      <c r="BPA19" s="7"/>
      <c r="BPB19" s="7"/>
      <c r="BPC19" s="7"/>
      <c r="BPD19" s="7"/>
      <c r="BPE19" s="7"/>
      <c r="BPF19" s="7"/>
      <c r="BPG19" s="7"/>
      <c r="BPH19" s="7"/>
      <c r="BPI19" s="7"/>
      <c r="BPJ19" s="7"/>
      <c r="BPK19" s="7"/>
      <c r="BPL19" s="7"/>
      <c r="BPM19" s="7"/>
      <c r="BPN19" s="7"/>
      <c r="BPO19" s="7"/>
      <c r="BPP19" s="7"/>
      <c r="BPQ19" s="7"/>
      <c r="BPR19" s="7"/>
      <c r="BPS19" s="7"/>
      <c r="BPT19" s="7"/>
      <c r="BPU19" s="7"/>
      <c r="BPV19" s="7"/>
      <c r="BPW19" s="7"/>
      <c r="BPX19" s="7"/>
      <c r="BPY19" s="7"/>
      <c r="BPZ19" s="7"/>
      <c r="BQA19" s="7"/>
      <c r="BQB19" s="7"/>
      <c r="BQC19" s="7"/>
      <c r="BQD19" s="7"/>
      <c r="BQE19" s="7"/>
      <c r="BQF19" s="7"/>
      <c r="BQG19" s="7"/>
      <c r="BQH19" s="7"/>
      <c r="BQI19" s="7"/>
      <c r="BQJ19" s="7"/>
      <c r="BQK19" s="7"/>
      <c r="BQL19" s="7"/>
      <c r="BQM19" s="7"/>
      <c r="BQN19" s="7"/>
      <c r="BQO19" s="7"/>
      <c r="BQP19" s="7"/>
      <c r="BQQ19" s="7"/>
      <c r="BQR19" s="7"/>
      <c r="BQS19" s="7"/>
      <c r="BQT19" s="7"/>
      <c r="BQU19" s="7"/>
      <c r="BQV19" s="7"/>
      <c r="BQW19" s="7"/>
      <c r="BQX19" s="7"/>
      <c r="BQY19" s="7"/>
      <c r="BQZ19" s="7"/>
      <c r="BRA19" s="7"/>
      <c r="BRB19" s="7"/>
      <c r="BRC19" s="7"/>
      <c r="BRD19" s="7"/>
      <c r="BRE19" s="7"/>
      <c r="BRF19" s="7"/>
      <c r="BRG19" s="7"/>
      <c r="BRH19" s="7"/>
      <c r="BRI19" s="7"/>
      <c r="BRJ19" s="7"/>
      <c r="BRK19" s="7"/>
      <c r="BRL19" s="7"/>
      <c r="BRM19" s="7"/>
      <c r="BRN19" s="7"/>
      <c r="BRO19" s="7"/>
      <c r="BRP19" s="7"/>
      <c r="BRQ19" s="7"/>
      <c r="BRR19" s="7"/>
      <c r="BRS19" s="7"/>
      <c r="BRT19" s="7"/>
      <c r="BRU19" s="7"/>
      <c r="BRV19" s="7"/>
      <c r="BRW19" s="7"/>
      <c r="BRX19" s="7"/>
      <c r="BRY19" s="7"/>
      <c r="BRZ19" s="7"/>
      <c r="BSA19" s="7"/>
      <c r="BSB19" s="7"/>
      <c r="BSC19" s="7"/>
      <c r="BSD19" s="7"/>
      <c r="BSE19" s="7"/>
      <c r="BSF19" s="7"/>
      <c r="BSG19" s="7"/>
      <c r="BSH19" s="7"/>
      <c r="BSI19" s="7"/>
      <c r="BSJ19" s="7"/>
      <c r="BSK19" s="7"/>
      <c r="BSL19" s="7"/>
      <c r="BSM19" s="7"/>
      <c r="BSN19" s="7"/>
      <c r="BSO19" s="7"/>
      <c r="BSP19" s="7"/>
      <c r="BSQ19" s="7"/>
      <c r="BSR19" s="7"/>
      <c r="BSS19" s="7"/>
      <c r="BST19" s="7"/>
      <c r="BSU19" s="7"/>
      <c r="BSV19" s="7"/>
      <c r="BSW19" s="7"/>
      <c r="BSX19" s="7"/>
      <c r="BSY19" s="7"/>
      <c r="BSZ19" s="7"/>
      <c r="BTA19" s="7"/>
      <c r="BTB19" s="7"/>
      <c r="BTC19" s="7"/>
      <c r="BTD19" s="7"/>
      <c r="BTE19" s="7"/>
      <c r="BTF19" s="7"/>
      <c r="BTG19" s="7"/>
      <c r="BTH19" s="7"/>
      <c r="BTI19" s="7"/>
      <c r="BTJ19" s="7"/>
      <c r="BTK19" s="7"/>
      <c r="BTL19" s="7"/>
      <c r="BTM19" s="7"/>
      <c r="BTN19" s="7"/>
      <c r="BTO19" s="7"/>
      <c r="BTP19" s="7"/>
      <c r="BTQ19" s="7"/>
      <c r="BTR19" s="7"/>
      <c r="BTS19" s="7"/>
      <c r="BTT19" s="7"/>
      <c r="BTU19" s="7"/>
      <c r="BTV19" s="7"/>
      <c r="BTW19" s="7"/>
      <c r="BTX19" s="7"/>
      <c r="BTY19" s="7"/>
      <c r="BTZ19" s="7"/>
      <c r="BUA19" s="7"/>
      <c r="BUB19" s="7"/>
      <c r="BUC19" s="7"/>
      <c r="BUD19" s="7"/>
      <c r="BUE19" s="7"/>
      <c r="BUF19" s="7"/>
      <c r="BUG19" s="7"/>
      <c r="BUH19" s="7"/>
      <c r="BUI19" s="7"/>
      <c r="BUJ19" s="7"/>
      <c r="BUK19" s="7"/>
      <c r="BUL19" s="7"/>
      <c r="BUM19" s="7"/>
      <c r="BUN19" s="7"/>
      <c r="BUO19" s="7"/>
      <c r="BUP19" s="7"/>
      <c r="BUQ19" s="7"/>
      <c r="BUR19" s="7"/>
      <c r="BUS19" s="7"/>
      <c r="BUT19" s="7"/>
      <c r="BUU19" s="7"/>
      <c r="BUV19" s="7"/>
      <c r="BUW19" s="7"/>
      <c r="BUX19" s="7"/>
      <c r="BUY19" s="7"/>
      <c r="BUZ19" s="7"/>
      <c r="BVA19" s="7"/>
      <c r="BVB19" s="7"/>
      <c r="BVC19" s="7"/>
      <c r="BVD19" s="7"/>
      <c r="BVE19" s="7"/>
      <c r="BVF19" s="7"/>
      <c r="BVG19" s="7"/>
      <c r="BVH19" s="7"/>
      <c r="BVI19" s="7"/>
      <c r="BVJ19" s="7"/>
      <c r="BVK19" s="7"/>
      <c r="BVL19" s="7"/>
      <c r="BVM19" s="7"/>
      <c r="BVN19" s="7"/>
      <c r="BVO19" s="7"/>
      <c r="BVP19" s="7"/>
      <c r="BVQ19" s="7"/>
      <c r="BVR19" s="7"/>
      <c r="BVS19" s="7"/>
      <c r="BVT19" s="7"/>
      <c r="BVU19" s="7"/>
      <c r="BVV19" s="7"/>
      <c r="BVW19" s="7"/>
      <c r="BVX19" s="7"/>
      <c r="BVY19" s="7"/>
      <c r="BVZ19" s="7"/>
      <c r="BWA19" s="7"/>
      <c r="BWB19" s="7"/>
      <c r="BWC19" s="7"/>
      <c r="BWD19" s="7"/>
      <c r="BWE19" s="7"/>
      <c r="BWF19" s="7"/>
      <c r="BWG19" s="7"/>
      <c r="BWH19" s="7"/>
      <c r="BWI19" s="7"/>
      <c r="BWJ19" s="7"/>
      <c r="BWK19" s="7"/>
      <c r="BWL19" s="7"/>
      <c r="BWM19" s="7"/>
      <c r="BWN19" s="7"/>
      <c r="BWO19" s="7"/>
      <c r="BWP19" s="7"/>
      <c r="BWQ19" s="7"/>
      <c r="BWR19" s="7"/>
      <c r="BWS19" s="7"/>
      <c r="BWT19" s="7"/>
      <c r="BWU19" s="7"/>
      <c r="BWV19" s="7"/>
      <c r="BWW19" s="7"/>
      <c r="BWX19" s="7"/>
      <c r="BWY19" s="7"/>
      <c r="BWZ19" s="7"/>
      <c r="BXA19" s="7"/>
      <c r="BXB19" s="7"/>
      <c r="BXC19" s="7"/>
      <c r="BXD19" s="7"/>
      <c r="BXE19" s="7"/>
      <c r="BXF19" s="7"/>
      <c r="BXG19" s="7"/>
      <c r="BXH19" s="7"/>
      <c r="BXI19" s="7"/>
      <c r="BXJ19" s="7"/>
      <c r="BXK19" s="7"/>
      <c r="BXL19" s="7"/>
      <c r="BXM19" s="7"/>
      <c r="BXN19" s="7"/>
      <c r="BXO19" s="7"/>
      <c r="BXP19" s="7"/>
      <c r="BXQ19" s="7"/>
      <c r="BXR19" s="7"/>
      <c r="BXS19" s="7"/>
      <c r="BXT19" s="7"/>
      <c r="BXU19" s="7"/>
      <c r="BXV19" s="7"/>
      <c r="BXW19" s="7"/>
      <c r="BXX19" s="7"/>
      <c r="BXY19" s="7"/>
      <c r="BXZ19" s="7"/>
      <c r="BYA19" s="7"/>
      <c r="BYB19" s="7"/>
      <c r="BYC19" s="7"/>
      <c r="BYD19" s="7"/>
      <c r="BYE19" s="7"/>
      <c r="BYF19" s="7"/>
      <c r="BYG19" s="7"/>
      <c r="BYH19" s="7"/>
      <c r="BYI19" s="7"/>
      <c r="BYJ19" s="7"/>
      <c r="BYK19" s="7"/>
      <c r="BYL19" s="7"/>
      <c r="BYM19" s="7"/>
      <c r="BYN19" s="7"/>
      <c r="BYO19" s="7"/>
      <c r="BYP19" s="7"/>
      <c r="BYQ19" s="7"/>
      <c r="BYR19" s="7"/>
      <c r="BYS19" s="7"/>
      <c r="BYT19" s="7"/>
      <c r="BYU19" s="7"/>
      <c r="BYV19" s="7"/>
      <c r="BYW19" s="7"/>
      <c r="BYX19" s="7"/>
      <c r="BYY19" s="7"/>
      <c r="BYZ19" s="7"/>
      <c r="BZA19" s="7"/>
      <c r="BZB19" s="7"/>
      <c r="BZC19" s="7"/>
      <c r="BZD19" s="7"/>
      <c r="BZE19" s="7"/>
      <c r="BZF19" s="7"/>
      <c r="BZG19" s="7"/>
      <c r="BZH19" s="7"/>
      <c r="BZI19" s="7"/>
      <c r="BZJ19" s="7"/>
      <c r="BZK19" s="7"/>
      <c r="BZL19" s="7"/>
      <c r="BZM19" s="7"/>
      <c r="BZN19" s="7"/>
      <c r="BZO19" s="7"/>
      <c r="BZP19" s="7"/>
      <c r="BZQ19" s="7"/>
      <c r="BZR19" s="7"/>
      <c r="BZS19" s="7"/>
      <c r="BZT19" s="7"/>
      <c r="BZU19" s="7"/>
      <c r="BZV19" s="7"/>
      <c r="BZW19" s="7"/>
      <c r="BZX19" s="7"/>
      <c r="BZY19" s="7"/>
      <c r="BZZ19" s="7"/>
      <c r="CAA19" s="7"/>
      <c r="CAB19" s="7"/>
      <c r="CAC19" s="7"/>
      <c r="CAD19" s="7"/>
      <c r="CAE19" s="7"/>
      <c r="CAF19" s="7"/>
      <c r="CAG19" s="7"/>
      <c r="CAH19" s="7"/>
      <c r="CAI19" s="7"/>
      <c r="CAJ19" s="7"/>
      <c r="CAK19" s="7"/>
      <c r="CAL19" s="7"/>
      <c r="CAM19" s="7"/>
      <c r="CAN19" s="7"/>
      <c r="CAO19" s="7"/>
      <c r="CAP19" s="7"/>
      <c r="CAQ19" s="7"/>
      <c r="CAR19" s="7"/>
      <c r="CAS19" s="7"/>
      <c r="CAT19" s="7"/>
      <c r="CAU19" s="7"/>
      <c r="CAV19" s="7"/>
      <c r="CAW19" s="7"/>
      <c r="CAX19" s="7"/>
      <c r="CAY19" s="7"/>
      <c r="CAZ19" s="7"/>
      <c r="CBA19" s="7"/>
      <c r="CBB19" s="7"/>
      <c r="CBC19" s="7"/>
      <c r="CBD19" s="7"/>
      <c r="CBE19" s="7"/>
      <c r="CBF19" s="7"/>
      <c r="CBG19" s="7"/>
      <c r="CBH19" s="7"/>
      <c r="CBI19" s="7"/>
      <c r="CBJ19" s="7"/>
      <c r="CBK19" s="7"/>
      <c r="CBL19" s="7"/>
      <c r="CBM19" s="7"/>
      <c r="CBN19" s="7"/>
      <c r="CBO19" s="7"/>
      <c r="CBP19" s="7"/>
      <c r="CBQ19" s="7"/>
      <c r="CBR19" s="7"/>
      <c r="CBS19" s="7"/>
      <c r="CBT19" s="7"/>
      <c r="CBU19" s="7"/>
      <c r="CBV19" s="7"/>
      <c r="CBW19" s="7"/>
      <c r="CBX19" s="7"/>
      <c r="CBY19" s="7"/>
      <c r="CBZ19" s="7"/>
      <c r="CCA19" s="7"/>
      <c r="CCB19" s="7"/>
      <c r="CCC19" s="7"/>
      <c r="CCD19" s="7"/>
      <c r="CCE19" s="7"/>
      <c r="CCF19" s="7"/>
      <c r="CCG19" s="7"/>
      <c r="CCH19" s="7"/>
      <c r="CCI19" s="7"/>
      <c r="CCJ19" s="7"/>
      <c r="CCK19" s="7"/>
      <c r="CCL19" s="7"/>
      <c r="CCM19" s="7"/>
      <c r="CCN19" s="7"/>
      <c r="CCO19" s="7"/>
      <c r="CCP19" s="7"/>
      <c r="CCQ19" s="7"/>
      <c r="CCR19" s="7"/>
      <c r="CCS19" s="7"/>
      <c r="CCT19" s="7"/>
      <c r="CCU19" s="7"/>
      <c r="CCV19" s="7"/>
      <c r="CCW19" s="7"/>
      <c r="CCX19" s="7"/>
      <c r="CCY19" s="7"/>
      <c r="CCZ19" s="7"/>
      <c r="CDA19" s="7"/>
      <c r="CDB19" s="7"/>
      <c r="CDC19" s="7"/>
      <c r="CDD19" s="7"/>
      <c r="CDE19" s="7"/>
      <c r="CDF19" s="7"/>
      <c r="CDG19" s="7"/>
      <c r="CDH19" s="7"/>
      <c r="CDI19" s="7"/>
      <c r="CDJ19" s="7"/>
      <c r="CDK19" s="7"/>
      <c r="CDL19" s="7"/>
      <c r="CDM19" s="7"/>
      <c r="CDN19" s="7"/>
      <c r="CDO19" s="7"/>
      <c r="CDP19" s="7"/>
      <c r="CDQ19" s="7"/>
      <c r="CDR19" s="7"/>
      <c r="CDS19" s="7"/>
      <c r="CDT19" s="7"/>
      <c r="CDU19" s="7"/>
      <c r="CDV19" s="7"/>
      <c r="CDW19" s="7"/>
      <c r="CDX19" s="7"/>
      <c r="CDY19" s="7"/>
      <c r="CDZ19" s="7"/>
      <c r="CEA19" s="7"/>
      <c r="CEB19" s="7"/>
      <c r="CEC19" s="7"/>
      <c r="CED19" s="7"/>
      <c r="CEE19" s="7"/>
      <c r="CEF19" s="7"/>
      <c r="CEG19" s="7"/>
      <c r="CEH19" s="7"/>
      <c r="CEI19" s="7"/>
      <c r="CEJ19" s="7"/>
      <c r="CEK19" s="7"/>
      <c r="CEL19" s="7"/>
      <c r="CEM19" s="7"/>
      <c r="CEN19" s="7"/>
      <c r="CEO19" s="7"/>
      <c r="CEP19" s="7"/>
      <c r="CEQ19" s="7"/>
      <c r="CER19" s="7"/>
      <c r="CES19" s="7"/>
      <c r="CET19" s="7"/>
      <c r="CEU19" s="7"/>
      <c r="CEV19" s="7"/>
      <c r="CEW19" s="7"/>
      <c r="CEX19" s="7"/>
      <c r="CEY19" s="7"/>
      <c r="CEZ19" s="7"/>
      <c r="CFA19" s="7"/>
      <c r="CFB19" s="7"/>
      <c r="CFC19" s="7"/>
      <c r="CFD19" s="7"/>
      <c r="CFE19" s="7"/>
      <c r="CFF19" s="7"/>
      <c r="CFG19" s="7"/>
      <c r="CFH19" s="7"/>
      <c r="CFI19" s="7"/>
      <c r="CFJ19" s="7"/>
      <c r="CFK19" s="7"/>
      <c r="CFL19" s="7"/>
      <c r="CFM19" s="7"/>
      <c r="CFN19" s="7"/>
      <c r="CFO19" s="7"/>
      <c r="CFP19" s="7"/>
      <c r="CFQ19" s="7"/>
      <c r="CFR19" s="7"/>
      <c r="CFS19" s="7"/>
      <c r="CFT19" s="7"/>
      <c r="CFU19" s="7"/>
      <c r="CFV19" s="7"/>
      <c r="CFW19" s="7"/>
      <c r="CFX19" s="7"/>
      <c r="CFY19" s="7"/>
      <c r="CFZ19" s="7"/>
      <c r="CGA19" s="7"/>
      <c r="CGB19" s="7"/>
      <c r="CGC19" s="7"/>
      <c r="CGD19" s="7"/>
      <c r="CGE19" s="7"/>
      <c r="CGF19" s="7"/>
      <c r="CGG19" s="7"/>
      <c r="CGH19" s="7"/>
      <c r="CGI19" s="7"/>
      <c r="CGJ19" s="7"/>
      <c r="CGK19" s="7"/>
      <c r="CGL19" s="7"/>
      <c r="CGM19" s="7"/>
      <c r="CGN19" s="7"/>
      <c r="CGO19" s="7"/>
      <c r="CGP19" s="7"/>
      <c r="CGQ19" s="7"/>
      <c r="CGR19" s="7"/>
      <c r="CGS19" s="7"/>
      <c r="CGT19" s="7"/>
      <c r="CGU19" s="7"/>
      <c r="CGV19" s="7"/>
      <c r="CGW19" s="7"/>
      <c r="CGX19" s="7"/>
      <c r="CGY19" s="7"/>
      <c r="CGZ19" s="7"/>
      <c r="CHA19" s="7"/>
      <c r="CHB19" s="7"/>
      <c r="CHC19" s="7"/>
      <c r="CHD19" s="7"/>
      <c r="CHE19" s="7"/>
      <c r="CHF19" s="7"/>
      <c r="CHG19" s="7"/>
      <c r="CHH19" s="7"/>
      <c r="CHI19" s="7"/>
      <c r="CHJ19" s="7"/>
      <c r="CHK19" s="7"/>
      <c r="CHL19" s="7"/>
      <c r="CHM19" s="7"/>
      <c r="CHN19" s="7"/>
      <c r="CHO19" s="7"/>
      <c r="CHP19" s="7"/>
      <c r="CHQ19" s="7"/>
      <c r="CHR19" s="7"/>
      <c r="CHS19" s="7"/>
      <c r="CHT19" s="7"/>
      <c r="CHU19" s="7"/>
      <c r="CHV19" s="7"/>
      <c r="CHW19" s="7"/>
      <c r="CHX19" s="7"/>
      <c r="CHY19" s="7"/>
      <c r="CHZ19" s="7"/>
      <c r="CIA19" s="7"/>
      <c r="CIB19" s="7"/>
      <c r="CIC19" s="7"/>
      <c r="CID19" s="7"/>
      <c r="CIE19" s="7"/>
      <c r="CIF19" s="7"/>
      <c r="CIG19" s="7"/>
      <c r="CIH19" s="7"/>
      <c r="CII19" s="7"/>
      <c r="CIJ19" s="7"/>
      <c r="CIK19" s="7"/>
      <c r="CIL19" s="7"/>
      <c r="CIM19" s="7"/>
      <c r="CIN19" s="7"/>
      <c r="CIO19" s="7"/>
      <c r="CIP19" s="7"/>
      <c r="CIQ19" s="7"/>
      <c r="CIR19" s="7"/>
      <c r="CIS19" s="7"/>
      <c r="CIT19" s="7"/>
      <c r="CIU19" s="7"/>
      <c r="CIV19" s="7"/>
      <c r="CIW19" s="7"/>
      <c r="CIX19" s="7"/>
      <c r="CIY19" s="7"/>
      <c r="CIZ19" s="7"/>
      <c r="CJA19" s="7"/>
      <c r="CJB19" s="7"/>
      <c r="CJC19" s="7"/>
      <c r="CJD19" s="7"/>
      <c r="CJE19" s="7"/>
      <c r="CJF19" s="7"/>
      <c r="CJG19" s="7"/>
      <c r="CJH19" s="7"/>
      <c r="CJI19" s="7"/>
      <c r="CJJ19" s="7"/>
      <c r="CJK19" s="7"/>
      <c r="CJL19" s="7"/>
      <c r="CJM19" s="7"/>
      <c r="CJN19" s="7"/>
      <c r="CJO19" s="7"/>
      <c r="CJP19" s="7"/>
      <c r="CJQ19" s="7"/>
      <c r="CJR19" s="7"/>
      <c r="CJS19" s="7"/>
      <c r="CJT19" s="7"/>
      <c r="CJU19" s="7"/>
      <c r="CJV19" s="7"/>
      <c r="CJW19" s="7"/>
      <c r="CJX19" s="7"/>
      <c r="CJY19" s="7"/>
      <c r="CJZ19" s="7"/>
      <c r="CKA19" s="7"/>
      <c r="CKB19" s="7"/>
      <c r="CKC19" s="7"/>
      <c r="CKD19" s="7"/>
      <c r="CKE19" s="7"/>
      <c r="CKF19" s="7"/>
      <c r="CKG19" s="7"/>
      <c r="CKH19" s="7"/>
      <c r="CKI19" s="7"/>
      <c r="CKJ19" s="7"/>
      <c r="CKK19" s="7"/>
      <c r="CKL19" s="7"/>
      <c r="CKM19" s="7"/>
      <c r="CKN19" s="7"/>
      <c r="CKO19" s="7"/>
      <c r="CKP19" s="7"/>
      <c r="CKQ19" s="7"/>
      <c r="CKR19" s="7"/>
      <c r="CKS19" s="7"/>
      <c r="CKT19" s="7"/>
      <c r="CKU19" s="7"/>
      <c r="CKV19" s="7"/>
      <c r="CKW19" s="7"/>
      <c r="CKX19" s="7"/>
      <c r="CKY19" s="7"/>
      <c r="CKZ19" s="7"/>
      <c r="CLA19" s="7"/>
      <c r="CLB19" s="7"/>
      <c r="CLC19" s="7"/>
      <c r="CLD19" s="7"/>
      <c r="CLE19" s="7"/>
      <c r="CLF19" s="7"/>
      <c r="CLG19" s="7"/>
      <c r="CLH19" s="7"/>
      <c r="CLI19" s="7"/>
      <c r="CLJ19" s="7"/>
      <c r="CLK19" s="7"/>
      <c r="CLL19" s="7"/>
      <c r="CLM19" s="7"/>
      <c r="CLN19" s="7"/>
      <c r="CLO19" s="7"/>
      <c r="CLP19" s="7"/>
      <c r="CLQ19" s="7"/>
      <c r="CLR19" s="7"/>
      <c r="CLS19" s="7"/>
      <c r="CLT19" s="7"/>
      <c r="CLU19" s="7"/>
      <c r="CLV19" s="7"/>
      <c r="CLW19" s="7"/>
      <c r="CLX19" s="7"/>
      <c r="CLY19" s="7"/>
      <c r="CLZ19" s="7"/>
      <c r="CMA19" s="7"/>
      <c r="CMB19" s="7"/>
      <c r="CMC19" s="7"/>
      <c r="CMD19" s="7"/>
      <c r="CME19" s="7"/>
      <c r="CMF19" s="7"/>
      <c r="CMG19" s="7"/>
      <c r="CMH19" s="7"/>
      <c r="CMI19" s="7"/>
      <c r="CMJ19" s="7"/>
      <c r="CMK19" s="7"/>
      <c r="CML19" s="7"/>
      <c r="CMM19" s="7"/>
      <c r="CMN19" s="7"/>
      <c r="CMO19" s="7"/>
      <c r="CMP19" s="7"/>
      <c r="CMQ19" s="7"/>
      <c r="CMR19" s="7"/>
      <c r="CMS19" s="7"/>
      <c r="CMT19" s="7"/>
      <c r="CMU19" s="7"/>
      <c r="CMV19" s="7"/>
      <c r="CMW19" s="7"/>
      <c r="CMX19" s="7"/>
      <c r="CMY19" s="7"/>
      <c r="CMZ19" s="7"/>
      <c r="CNA19" s="7"/>
      <c r="CNB19" s="7"/>
      <c r="CNC19" s="7"/>
      <c r="CND19" s="7"/>
      <c r="CNE19" s="7"/>
      <c r="CNF19" s="7"/>
      <c r="CNG19" s="7"/>
      <c r="CNH19" s="7"/>
      <c r="CNI19" s="7"/>
      <c r="CNJ19" s="7"/>
      <c r="CNK19" s="7"/>
      <c r="CNL19" s="7"/>
      <c r="CNM19" s="7"/>
      <c r="CNN19" s="7"/>
      <c r="CNO19" s="7"/>
      <c r="CNP19" s="7"/>
      <c r="CNQ19" s="7"/>
      <c r="CNR19" s="7"/>
      <c r="CNS19" s="7"/>
      <c r="CNT19" s="7"/>
      <c r="CNU19" s="7"/>
      <c r="CNV19" s="7"/>
      <c r="CNW19" s="7"/>
      <c r="CNX19" s="7"/>
      <c r="CNY19" s="7"/>
      <c r="CNZ19" s="7"/>
      <c r="COA19" s="7"/>
      <c r="COB19" s="7"/>
      <c r="COC19" s="7"/>
      <c r="COD19" s="7"/>
      <c r="COE19" s="7"/>
      <c r="COF19" s="7"/>
      <c r="COG19" s="7"/>
      <c r="COH19" s="7"/>
      <c r="COI19" s="7"/>
      <c r="COJ19" s="7"/>
      <c r="COK19" s="7"/>
      <c r="COL19" s="7"/>
      <c r="COM19" s="7"/>
      <c r="CON19" s="7"/>
      <c r="COO19" s="7"/>
      <c r="COP19" s="7"/>
      <c r="COQ19" s="7"/>
      <c r="COR19" s="7"/>
      <c r="COS19" s="7"/>
      <c r="COT19" s="7"/>
      <c r="COU19" s="7"/>
      <c r="COV19" s="7"/>
      <c r="COW19" s="7"/>
      <c r="COX19" s="7"/>
      <c r="COY19" s="7"/>
      <c r="COZ19" s="7"/>
      <c r="CPA19" s="7"/>
      <c r="CPB19" s="7"/>
      <c r="CPC19" s="7"/>
      <c r="CPD19" s="7"/>
      <c r="CPE19" s="7"/>
      <c r="CPF19" s="7"/>
      <c r="CPG19" s="7"/>
      <c r="CPH19" s="7"/>
      <c r="CPI19" s="7"/>
      <c r="CPJ19" s="7"/>
      <c r="CPK19" s="7"/>
      <c r="CPL19" s="7"/>
      <c r="CPM19" s="7"/>
      <c r="CPN19" s="7"/>
      <c r="CPO19" s="7"/>
      <c r="CPP19" s="7"/>
      <c r="CPQ19" s="7"/>
      <c r="CPR19" s="7"/>
      <c r="CPS19" s="7"/>
      <c r="CPT19" s="7"/>
      <c r="CPU19" s="7"/>
      <c r="CPV19" s="7"/>
      <c r="CPW19" s="7"/>
      <c r="CPX19" s="7"/>
      <c r="CPY19" s="7"/>
      <c r="CPZ19" s="7"/>
      <c r="CQA19" s="7"/>
      <c r="CQB19" s="7"/>
      <c r="CQC19" s="7"/>
      <c r="CQD19" s="7"/>
      <c r="CQE19" s="7"/>
      <c r="CQF19" s="7"/>
      <c r="CQG19" s="7"/>
      <c r="CQH19" s="7"/>
      <c r="CQI19" s="7"/>
      <c r="CQJ19" s="7"/>
      <c r="CQK19" s="7"/>
      <c r="CQL19" s="7"/>
      <c r="CQM19" s="7"/>
      <c r="CQN19" s="7"/>
      <c r="CQO19" s="7"/>
      <c r="CQP19" s="7"/>
      <c r="CQQ19" s="7"/>
      <c r="CQR19" s="7"/>
      <c r="CQS19" s="7"/>
      <c r="CQT19" s="7"/>
      <c r="CQU19" s="7"/>
      <c r="CQV19" s="7"/>
      <c r="CQW19" s="7"/>
      <c r="CQX19" s="7"/>
      <c r="CQY19" s="7"/>
      <c r="CQZ19" s="7"/>
      <c r="CRA19" s="7"/>
      <c r="CRB19" s="7"/>
      <c r="CRC19" s="7"/>
      <c r="CRD19" s="7"/>
      <c r="CRE19" s="7"/>
      <c r="CRF19" s="7"/>
      <c r="CRG19" s="7"/>
      <c r="CRH19" s="7"/>
      <c r="CRI19" s="7"/>
      <c r="CRJ19" s="7"/>
      <c r="CRK19" s="7"/>
      <c r="CRL19" s="7"/>
      <c r="CRM19" s="7"/>
      <c r="CRN19" s="7"/>
      <c r="CRO19" s="7"/>
      <c r="CRP19" s="7"/>
      <c r="CRQ19" s="7"/>
      <c r="CRR19" s="7"/>
      <c r="CRS19" s="7"/>
      <c r="CRT19" s="7"/>
      <c r="CRU19" s="7"/>
      <c r="CRV19" s="7"/>
      <c r="CRW19" s="7"/>
      <c r="CRX19" s="7"/>
      <c r="CRY19" s="7"/>
      <c r="CRZ19" s="7"/>
      <c r="CSA19" s="7"/>
      <c r="CSB19" s="7"/>
      <c r="CSC19" s="7"/>
      <c r="CSD19" s="7"/>
      <c r="CSE19" s="7"/>
      <c r="CSF19" s="7"/>
      <c r="CSG19" s="7"/>
      <c r="CSH19" s="7"/>
      <c r="CSI19" s="7"/>
      <c r="CSJ19" s="7"/>
      <c r="CSK19" s="7"/>
      <c r="CSL19" s="7"/>
      <c r="CSM19" s="7"/>
      <c r="CSN19" s="7"/>
      <c r="CSO19" s="7"/>
      <c r="CSP19" s="7"/>
      <c r="CSQ19" s="7"/>
      <c r="CSR19" s="7"/>
      <c r="CSS19" s="7"/>
      <c r="CST19" s="7"/>
      <c r="CSU19" s="7"/>
      <c r="CSV19" s="7"/>
      <c r="CSW19" s="7"/>
      <c r="CSX19" s="7"/>
      <c r="CSY19" s="7"/>
      <c r="CSZ19" s="7"/>
      <c r="CTA19" s="7"/>
      <c r="CTB19" s="7"/>
      <c r="CTC19" s="7"/>
      <c r="CTD19" s="7"/>
      <c r="CTE19" s="7"/>
      <c r="CTF19" s="7"/>
      <c r="CTG19" s="7"/>
      <c r="CTH19" s="7"/>
      <c r="CTI19" s="7"/>
      <c r="CTJ19" s="7"/>
      <c r="CTK19" s="7"/>
      <c r="CTL19" s="7"/>
      <c r="CTM19" s="7"/>
      <c r="CTN19" s="7"/>
      <c r="CTO19" s="7"/>
      <c r="CTP19" s="7"/>
      <c r="CTQ19" s="7"/>
      <c r="CTR19" s="7"/>
      <c r="CTS19" s="7"/>
      <c r="CTT19" s="7"/>
      <c r="CTU19" s="7"/>
      <c r="CTV19" s="7"/>
      <c r="CTW19" s="7"/>
      <c r="CTX19" s="7"/>
      <c r="CTY19" s="7"/>
      <c r="CTZ19" s="7"/>
      <c r="CUA19" s="7"/>
      <c r="CUB19" s="7"/>
      <c r="CUC19" s="7"/>
      <c r="CUD19" s="7"/>
      <c r="CUE19" s="7"/>
      <c r="CUF19" s="7"/>
      <c r="CUG19" s="7"/>
      <c r="CUH19" s="7"/>
      <c r="CUI19" s="7"/>
      <c r="CUJ19" s="7"/>
      <c r="CUK19" s="7"/>
      <c r="CUL19" s="7"/>
      <c r="CUM19" s="7"/>
      <c r="CUN19" s="7"/>
      <c r="CUO19" s="7"/>
      <c r="CUP19" s="7"/>
      <c r="CUQ19" s="7"/>
      <c r="CUR19" s="7"/>
      <c r="CUS19" s="7"/>
      <c r="CUT19" s="7"/>
      <c r="CUU19" s="7"/>
      <c r="CUV19" s="7"/>
      <c r="CUW19" s="7"/>
      <c r="CUX19" s="7"/>
      <c r="CUY19" s="7"/>
      <c r="CUZ19" s="7"/>
      <c r="CVA19" s="7"/>
      <c r="CVB19" s="7"/>
      <c r="CVC19" s="7"/>
      <c r="CVD19" s="7"/>
      <c r="CVE19" s="7"/>
      <c r="CVF19" s="7"/>
      <c r="CVG19" s="7"/>
      <c r="CVH19" s="7"/>
      <c r="CVI19" s="7"/>
      <c r="CVJ19" s="7"/>
      <c r="CVK19" s="7"/>
      <c r="CVL19" s="7"/>
      <c r="CVM19" s="7"/>
      <c r="CVN19" s="7"/>
      <c r="CVO19" s="7"/>
      <c r="CVP19" s="7"/>
      <c r="CVQ19" s="7"/>
      <c r="CVR19" s="7"/>
      <c r="CVS19" s="7"/>
      <c r="CVT19" s="7"/>
      <c r="CVU19" s="7"/>
      <c r="CVV19" s="7"/>
      <c r="CVW19" s="7"/>
      <c r="CVX19" s="7"/>
      <c r="CVY19" s="7"/>
      <c r="CVZ19" s="7"/>
      <c r="CWA19" s="7"/>
      <c r="CWB19" s="7"/>
      <c r="CWC19" s="7"/>
      <c r="CWD19" s="7"/>
      <c r="CWE19" s="7"/>
      <c r="CWF19" s="7"/>
      <c r="CWG19" s="7"/>
      <c r="CWH19" s="7"/>
      <c r="CWI19" s="7"/>
      <c r="CWJ19" s="7"/>
      <c r="CWK19" s="7"/>
      <c r="CWL19" s="7"/>
      <c r="CWM19" s="7"/>
      <c r="CWN19" s="7"/>
      <c r="CWO19" s="7"/>
      <c r="CWP19" s="7"/>
      <c r="CWQ19" s="7"/>
      <c r="CWR19" s="7"/>
      <c r="CWS19" s="7"/>
      <c r="CWT19" s="7"/>
      <c r="CWU19" s="7"/>
      <c r="CWV19" s="7"/>
      <c r="CWW19" s="7"/>
      <c r="CWX19" s="7"/>
      <c r="CWY19" s="7"/>
      <c r="CWZ19" s="7"/>
      <c r="CXA19" s="7"/>
      <c r="CXB19" s="7"/>
      <c r="CXC19" s="7"/>
      <c r="CXD19" s="7"/>
      <c r="CXE19" s="7"/>
      <c r="CXF19" s="7"/>
      <c r="CXG19" s="7"/>
      <c r="CXH19" s="7"/>
      <c r="CXI19" s="7"/>
      <c r="CXJ19" s="7"/>
      <c r="CXK19" s="7"/>
      <c r="CXL19" s="7"/>
      <c r="CXM19" s="7"/>
      <c r="CXN19" s="7"/>
      <c r="CXO19" s="7"/>
      <c r="CXP19" s="7"/>
      <c r="CXQ19" s="7"/>
      <c r="CXR19" s="7"/>
      <c r="CXS19" s="7"/>
      <c r="CXT19" s="7"/>
      <c r="CXU19" s="7"/>
      <c r="CXV19" s="7"/>
      <c r="CXW19" s="7"/>
      <c r="CXX19" s="7"/>
      <c r="CXY19" s="7"/>
      <c r="CXZ19" s="7"/>
      <c r="CYA19" s="7"/>
      <c r="CYB19" s="7"/>
      <c r="CYC19" s="7"/>
      <c r="CYD19" s="7"/>
      <c r="CYE19" s="7"/>
      <c r="CYF19" s="7"/>
      <c r="CYG19" s="7"/>
      <c r="CYH19" s="7"/>
      <c r="CYI19" s="7"/>
      <c r="CYJ19" s="7"/>
      <c r="CYK19" s="7"/>
      <c r="CYL19" s="7"/>
      <c r="CYM19" s="7"/>
      <c r="CYN19" s="7"/>
      <c r="CYO19" s="7"/>
      <c r="CYP19" s="7"/>
      <c r="CYQ19" s="7"/>
      <c r="CYR19" s="7"/>
      <c r="CYS19" s="7"/>
      <c r="CYT19" s="7"/>
      <c r="CYU19" s="7"/>
      <c r="CYV19" s="7"/>
      <c r="CYW19" s="7"/>
      <c r="CYX19" s="7"/>
      <c r="CYY19" s="7"/>
      <c r="CYZ19" s="7"/>
      <c r="CZA19" s="7"/>
      <c r="CZB19" s="7"/>
      <c r="CZC19" s="7"/>
      <c r="CZD19" s="7"/>
      <c r="CZE19" s="7"/>
      <c r="CZF19" s="7"/>
      <c r="CZG19" s="7"/>
      <c r="CZH19" s="7"/>
      <c r="CZI19" s="7"/>
      <c r="CZJ19" s="7"/>
      <c r="CZK19" s="7"/>
      <c r="CZL19" s="7"/>
      <c r="CZM19" s="7"/>
      <c r="CZN19" s="7"/>
      <c r="CZO19" s="7"/>
      <c r="CZP19" s="7"/>
      <c r="CZQ19" s="7"/>
      <c r="CZR19" s="7"/>
      <c r="CZS19" s="7"/>
      <c r="CZT19" s="7"/>
      <c r="CZU19" s="7"/>
      <c r="CZV19" s="7"/>
      <c r="CZW19" s="7"/>
      <c r="CZX19" s="7"/>
      <c r="CZY19" s="7"/>
      <c r="CZZ19" s="7"/>
      <c r="DAA19" s="7"/>
      <c r="DAB19" s="7"/>
      <c r="DAC19" s="7"/>
      <c r="DAD19" s="7"/>
      <c r="DAE19" s="7"/>
      <c r="DAF19" s="7"/>
      <c r="DAG19" s="7"/>
      <c r="DAH19" s="7"/>
      <c r="DAI19" s="7"/>
      <c r="DAJ19" s="7"/>
      <c r="DAK19" s="7"/>
      <c r="DAL19" s="7"/>
      <c r="DAM19" s="7"/>
      <c r="DAN19" s="7"/>
      <c r="DAO19" s="7"/>
      <c r="DAP19" s="7"/>
      <c r="DAQ19" s="7"/>
      <c r="DAR19" s="7"/>
      <c r="DAS19" s="7"/>
      <c r="DAT19" s="7"/>
      <c r="DAU19" s="7"/>
      <c r="DAV19" s="7"/>
      <c r="DAW19" s="7"/>
      <c r="DAX19" s="7"/>
      <c r="DAY19" s="7"/>
      <c r="DAZ19" s="7"/>
      <c r="DBA19" s="7"/>
      <c r="DBB19" s="7"/>
      <c r="DBC19" s="7"/>
      <c r="DBD19" s="7"/>
      <c r="DBE19" s="7"/>
      <c r="DBF19" s="7"/>
      <c r="DBG19" s="7"/>
      <c r="DBH19" s="7"/>
      <c r="DBI19" s="7"/>
      <c r="DBJ19" s="7"/>
      <c r="DBK19" s="7"/>
      <c r="DBL19" s="7"/>
      <c r="DBM19" s="7"/>
      <c r="DBN19" s="7"/>
      <c r="DBO19" s="7"/>
      <c r="DBP19" s="7"/>
      <c r="DBQ19" s="7"/>
      <c r="DBR19" s="7"/>
      <c r="DBS19" s="7"/>
      <c r="DBT19" s="7"/>
      <c r="DBU19" s="7"/>
      <c r="DBV19" s="7"/>
      <c r="DBW19" s="7"/>
      <c r="DBX19" s="7"/>
      <c r="DBY19" s="7"/>
      <c r="DBZ19" s="7"/>
      <c r="DCA19" s="7"/>
      <c r="DCB19" s="7"/>
      <c r="DCC19" s="7"/>
      <c r="DCD19" s="7"/>
      <c r="DCE19" s="7"/>
      <c r="DCF19" s="7"/>
      <c r="DCG19" s="7"/>
      <c r="DCH19" s="7"/>
      <c r="DCI19" s="7"/>
      <c r="DCJ19" s="7"/>
      <c r="DCK19" s="7"/>
      <c r="DCL19" s="7"/>
      <c r="DCM19" s="7"/>
      <c r="DCN19" s="7"/>
      <c r="DCO19" s="7"/>
      <c r="DCP19" s="7"/>
      <c r="DCQ19" s="7"/>
      <c r="DCR19" s="7"/>
      <c r="DCS19" s="7"/>
      <c r="DCT19" s="7"/>
      <c r="DCU19" s="7"/>
      <c r="DCV19" s="7"/>
      <c r="DCW19" s="7"/>
      <c r="DCX19" s="7"/>
      <c r="DCY19" s="7"/>
      <c r="DCZ19" s="7"/>
      <c r="DDA19" s="7"/>
      <c r="DDB19" s="7"/>
      <c r="DDC19" s="7"/>
      <c r="DDD19" s="7"/>
      <c r="DDE19" s="7"/>
      <c r="DDF19" s="7"/>
      <c r="DDG19" s="7"/>
      <c r="DDH19" s="7"/>
      <c r="DDI19" s="7"/>
      <c r="DDJ19" s="7"/>
      <c r="DDK19" s="7"/>
      <c r="DDL19" s="7"/>
      <c r="DDM19" s="7"/>
      <c r="DDN19" s="7"/>
      <c r="DDO19" s="7"/>
      <c r="DDP19" s="7"/>
      <c r="DDQ19" s="7"/>
      <c r="DDR19" s="7"/>
      <c r="DDS19" s="7"/>
      <c r="DDT19" s="7"/>
      <c r="DDU19" s="7"/>
      <c r="DDV19" s="7"/>
      <c r="DDW19" s="7"/>
      <c r="DDX19" s="7"/>
      <c r="DDY19" s="7"/>
      <c r="DDZ19" s="7"/>
      <c r="DEA19" s="7"/>
      <c r="DEB19" s="7"/>
      <c r="DEC19" s="7"/>
      <c r="DED19" s="7"/>
      <c r="DEE19" s="7"/>
      <c r="DEF19" s="7"/>
      <c r="DEG19" s="7"/>
      <c r="DEH19" s="7"/>
      <c r="DEI19" s="7"/>
      <c r="DEJ19" s="7"/>
      <c r="DEK19" s="7"/>
      <c r="DEL19" s="7"/>
      <c r="DEM19" s="7"/>
      <c r="DEN19" s="7"/>
      <c r="DEO19" s="7"/>
      <c r="DEP19" s="7"/>
      <c r="DEQ19" s="7"/>
      <c r="DER19" s="7"/>
      <c r="DES19" s="7"/>
      <c r="DET19" s="7"/>
      <c r="DEU19" s="7"/>
      <c r="DEV19" s="7"/>
      <c r="DEW19" s="7"/>
      <c r="DEX19" s="7"/>
      <c r="DEY19" s="7"/>
      <c r="DEZ19" s="7"/>
      <c r="DFA19" s="7"/>
      <c r="DFB19" s="7"/>
      <c r="DFC19" s="7"/>
      <c r="DFD19" s="7"/>
      <c r="DFE19" s="7"/>
      <c r="DFF19" s="7"/>
      <c r="DFG19" s="7"/>
      <c r="DFH19" s="7"/>
      <c r="DFI19" s="7"/>
      <c r="DFJ19" s="7"/>
      <c r="DFK19" s="7"/>
      <c r="DFL19" s="7"/>
      <c r="DFM19" s="7"/>
      <c r="DFN19" s="7"/>
      <c r="DFO19" s="7"/>
      <c r="DFP19" s="7"/>
      <c r="DFQ19" s="7"/>
      <c r="DFR19" s="7"/>
      <c r="DFS19" s="7"/>
      <c r="DFT19" s="7"/>
      <c r="DFU19" s="7"/>
      <c r="DFV19" s="7"/>
      <c r="DFW19" s="7"/>
      <c r="DFX19" s="7"/>
      <c r="DFY19" s="7"/>
      <c r="DFZ19" s="7"/>
      <c r="DGA19" s="7"/>
      <c r="DGB19" s="7"/>
      <c r="DGC19" s="7"/>
      <c r="DGD19" s="7"/>
      <c r="DGE19" s="7"/>
      <c r="DGF19" s="7"/>
      <c r="DGG19" s="7"/>
      <c r="DGH19" s="7"/>
      <c r="DGI19" s="7"/>
      <c r="DGJ19" s="7"/>
      <c r="DGK19" s="7"/>
      <c r="DGL19" s="7"/>
      <c r="DGM19" s="7"/>
      <c r="DGN19" s="7"/>
      <c r="DGO19" s="7"/>
      <c r="DGP19" s="7"/>
      <c r="DGQ19" s="7"/>
      <c r="DGR19" s="7"/>
      <c r="DGS19" s="7"/>
      <c r="DGT19" s="7"/>
      <c r="DGU19" s="7"/>
      <c r="DGV19" s="7"/>
      <c r="DGW19" s="7"/>
      <c r="DGX19" s="7"/>
      <c r="DGY19" s="7"/>
      <c r="DGZ19" s="7"/>
      <c r="DHA19" s="7"/>
      <c r="DHB19" s="7"/>
      <c r="DHC19" s="7"/>
      <c r="DHD19" s="7"/>
      <c r="DHE19" s="7"/>
      <c r="DHF19" s="7"/>
      <c r="DHG19" s="7"/>
      <c r="DHH19" s="7"/>
      <c r="DHI19" s="7"/>
      <c r="DHJ19" s="7"/>
      <c r="DHK19" s="7"/>
      <c r="DHL19" s="7"/>
      <c r="DHM19" s="7"/>
      <c r="DHN19" s="7"/>
      <c r="DHO19" s="7"/>
      <c r="DHP19" s="7"/>
      <c r="DHQ19" s="7"/>
      <c r="DHR19" s="7"/>
      <c r="DHS19" s="7"/>
      <c r="DHT19" s="7"/>
      <c r="DHU19" s="7"/>
      <c r="DHV19" s="7"/>
      <c r="DHW19" s="7"/>
      <c r="DHX19" s="7"/>
      <c r="DHY19" s="7"/>
      <c r="DHZ19" s="7"/>
      <c r="DIA19" s="7"/>
      <c r="DIB19" s="7"/>
      <c r="DIC19" s="7"/>
      <c r="DID19" s="7"/>
      <c r="DIE19" s="7"/>
      <c r="DIF19" s="7"/>
      <c r="DIG19" s="7"/>
      <c r="DIH19" s="7"/>
      <c r="DII19" s="7"/>
      <c r="DIJ19" s="7"/>
      <c r="DIK19" s="7"/>
      <c r="DIL19" s="7"/>
      <c r="DIM19" s="7"/>
      <c r="DIN19" s="7"/>
      <c r="DIO19" s="7"/>
      <c r="DIP19" s="7"/>
      <c r="DIQ19" s="7"/>
      <c r="DIR19" s="7"/>
      <c r="DIS19" s="7"/>
      <c r="DIT19" s="7"/>
      <c r="DIU19" s="7"/>
      <c r="DIV19" s="7"/>
      <c r="DIW19" s="7"/>
      <c r="DIX19" s="7"/>
      <c r="DIY19" s="7"/>
      <c r="DIZ19" s="7"/>
      <c r="DJA19" s="7"/>
      <c r="DJB19" s="7"/>
      <c r="DJC19" s="7"/>
      <c r="DJD19" s="7"/>
      <c r="DJE19" s="7"/>
      <c r="DJF19" s="7"/>
      <c r="DJG19" s="7"/>
      <c r="DJH19" s="7"/>
      <c r="DJI19" s="7"/>
      <c r="DJJ19" s="7"/>
      <c r="DJK19" s="7"/>
      <c r="DJL19" s="7"/>
      <c r="DJM19" s="7"/>
      <c r="DJN19" s="7"/>
      <c r="DJO19" s="7"/>
      <c r="DJP19" s="7"/>
      <c r="DJQ19" s="7"/>
      <c r="DJR19" s="7"/>
      <c r="DJS19" s="7"/>
      <c r="DJT19" s="7"/>
      <c r="DJU19" s="7"/>
      <c r="DJV19" s="7"/>
      <c r="DJW19" s="7"/>
      <c r="DJX19" s="7"/>
      <c r="DJY19" s="7"/>
      <c r="DJZ19" s="7"/>
      <c r="DKA19" s="7"/>
      <c r="DKB19" s="7"/>
      <c r="DKC19" s="7"/>
      <c r="DKD19" s="7"/>
      <c r="DKE19" s="7"/>
      <c r="DKF19" s="7"/>
      <c r="DKG19" s="7"/>
      <c r="DKH19" s="7"/>
      <c r="DKI19" s="7"/>
      <c r="DKJ19" s="7"/>
      <c r="DKK19" s="7"/>
      <c r="DKL19" s="7"/>
      <c r="DKM19" s="7"/>
      <c r="DKN19" s="7"/>
      <c r="DKO19" s="7"/>
      <c r="DKP19" s="7"/>
      <c r="DKQ19" s="7"/>
      <c r="DKR19" s="7"/>
      <c r="DKS19" s="7"/>
      <c r="DKT19" s="7"/>
      <c r="DKU19" s="7"/>
      <c r="DKV19" s="7"/>
      <c r="DKW19" s="7"/>
      <c r="DKX19" s="7"/>
      <c r="DKY19" s="7"/>
      <c r="DKZ19" s="7"/>
      <c r="DLA19" s="7"/>
      <c r="DLB19" s="7"/>
      <c r="DLC19" s="7"/>
      <c r="DLD19" s="7"/>
      <c r="DLE19" s="7"/>
      <c r="DLF19" s="7"/>
      <c r="DLG19" s="7"/>
      <c r="DLH19" s="7"/>
      <c r="DLI19" s="7"/>
      <c r="DLJ19" s="7"/>
      <c r="DLK19" s="7"/>
      <c r="DLL19" s="7"/>
      <c r="DLM19" s="7"/>
      <c r="DLN19" s="7"/>
      <c r="DLO19" s="7"/>
      <c r="DLP19" s="7"/>
      <c r="DLQ19" s="7"/>
      <c r="DLR19" s="7"/>
      <c r="DLS19" s="7"/>
      <c r="DLT19" s="7"/>
      <c r="DLU19" s="7"/>
      <c r="DLV19" s="7"/>
      <c r="DLW19" s="7"/>
      <c r="DLX19" s="7"/>
      <c r="DLY19" s="7"/>
      <c r="DLZ19" s="7"/>
      <c r="DMA19" s="7"/>
      <c r="DMB19" s="7"/>
      <c r="DMC19" s="7"/>
      <c r="DMD19" s="7"/>
      <c r="DME19" s="7"/>
      <c r="DMF19" s="7"/>
      <c r="DMG19" s="7"/>
      <c r="DMH19" s="7"/>
      <c r="DMI19" s="7"/>
      <c r="DMJ19" s="7"/>
      <c r="DMK19" s="7"/>
      <c r="DML19" s="7"/>
      <c r="DMM19" s="7"/>
      <c r="DMN19" s="7"/>
      <c r="DMO19" s="7"/>
      <c r="DMP19" s="7"/>
      <c r="DMQ19" s="7"/>
      <c r="DMR19" s="7"/>
      <c r="DMS19" s="7"/>
      <c r="DMT19" s="7"/>
      <c r="DMU19" s="7"/>
      <c r="DMV19" s="7"/>
      <c r="DMW19" s="7"/>
      <c r="DMX19" s="7"/>
      <c r="DMY19" s="7"/>
      <c r="DMZ19" s="7"/>
      <c r="DNA19" s="7"/>
      <c r="DNB19" s="7"/>
      <c r="DNC19" s="7"/>
      <c r="DND19" s="7"/>
      <c r="DNE19" s="7"/>
      <c r="DNF19" s="7"/>
      <c r="DNG19" s="7"/>
      <c r="DNH19" s="7"/>
      <c r="DNI19" s="7"/>
      <c r="DNJ19" s="7"/>
      <c r="DNK19" s="7"/>
      <c r="DNL19" s="7"/>
      <c r="DNM19" s="7"/>
      <c r="DNN19" s="7"/>
      <c r="DNO19" s="7"/>
      <c r="DNP19" s="7"/>
      <c r="DNQ19" s="7"/>
      <c r="DNR19" s="7"/>
      <c r="DNS19" s="7"/>
      <c r="DNT19" s="7"/>
      <c r="DNU19" s="7"/>
      <c r="DNV19" s="7"/>
      <c r="DNW19" s="7"/>
      <c r="DNX19" s="7"/>
      <c r="DNY19" s="7"/>
      <c r="DNZ19" s="7"/>
      <c r="DOA19" s="7"/>
      <c r="DOB19" s="7"/>
      <c r="DOC19" s="7"/>
      <c r="DOD19" s="7"/>
      <c r="DOE19" s="7"/>
      <c r="DOF19" s="7"/>
      <c r="DOG19" s="7"/>
      <c r="DOH19" s="7"/>
      <c r="DOI19" s="7"/>
      <c r="DOJ19" s="7"/>
      <c r="DOK19" s="7"/>
      <c r="DOL19" s="7"/>
      <c r="DOM19" s="7"/>
      <c r="DON19" s="7"/>
      <c r="DOO19" s="7"/>
      <c r="DOP19" s="7"/>
      <c r="DOQ19" s="7"/>
      <c r="DOR19" s="7"/>
      <c r="DOS19" s="7"/>
      <c r="DOT19" s="7"/>
      <c r="DOU19" s="7"/>
      <c r="DOV19" s="7"/>
      <c r="DOW19" s="7"/>
      <c r="DOX19" s="7"/>
      <c r="DOY19" s="7"/>
      <c r="DOZ19" s="7"/>
      <c r="DPA19" s="7"/>
      <c r="DPB19" s="7"/>
      <c r="DPC19" s="7"/>
      <c r="DPD19" s="7"/>
      <c r="DPE19" s="7"/>
      <c r="DPF19" s="7"/>
      <c r="DPG19" s="7"/>
      <c r="DPH19" s="7"/>
      <c r="DPI19" s="7"/>
      <c r="DPJ19" s="7"/>
      <c r="DPK19" s="7"/>
      <c r="DPL19" s="7"/>
      <c r="DPM19" s="7"/>
      <c r="DPN19" s="7"/>
      <c r="DPO19" s="7"/>
      <c r="DPP19" s="7"/>
      <c r="DPQ19" s="7"/>
      <c r="DPR19" s="7"/>
      <c r="DPS19" s="7"/>
      <c r="DPT19" s="7"/>
      <c r="DPU19" s="7"/>
      <c r="DPV19" s="7"/>
      <c r="DPW19" s="7"/>
      <c r="DPX19" s="7"/>
      <c r="DPY19" s="7"/>
      <c r="DPZ19" s="7"/>
      <c r="DQA19" s="7"/>
      <c r="DQB19" s="7"/>
      <c r="DQC19" s="7"/>
      <c r="DQD19" s="7"/>
      <c r="DQE19" s="7"/>
      <c r="DQF19" s="7"/>
      <c r="DQG19" s="7"/>
      <c r="DQH19" s="7"/>
      <c r="DQI19" s="7"/>
      <c r="DQJ19" s="7"/>
      <c r="DQK19" s="7"/>
      <c r="DQL19" s="7"/>
      <c r="DQM19" s="7"/>
      <c r="DQN19" s="7"/>
      <c r="DQO19" s="7"/>
      <c r="DQP19" s="7"/>
      <c r="DQQ19" s="7"/>
      <c r="DQR19" s="7"/>
      <c r="DQS19" s="7"/>
      <c r="DQT19" s="7"/>
      <c r="DQU19" s="7"/>
      <c r="DQV19" s="7"/>
      <c r="DQW19" s="7"/>
      <c r="DQX19" s="7"/>
      <c r="DQY19" s="7"/>
      <c r="DQZ19" s="7"/>
      <c r="DRA19" s="7"/>
      <c r="DRB19" s="7"/>
      <c r="DRC19" s="7"/>
      <c r="DRD19" s="7"/>
      <c r="DRE19" s="7"/>
      <c r="DRF19" s="7"/>
      <c r="DRG19" s="7"/>
      <c r="DRH19" s="7"/>
      <c r="DRI19" s="7"/>
      <c r="DRJ19" s="7"/>
      <c r="DRK19" s="7"/>
      <c r="DRL19" s="7"/>
      <c r="DRM19" s="7"/>
      <c r="DRN19" s="7"/>
      <c r="DRO19" s="7"/>
      <c r="DRP19" s="7"/>
      <c r="DRQ19" s="7"/>
      <c r="DRR19" s="7"/>
      <c r="DRS19" s="7"/>
      <c r="DRT19" s="7"/>
      <c r="DRU19" s="7"/>
      <c r="DRV19" s="7"/>
      <c r="DRW19" s="7"/>
      <c r="DRX19" s="7"/>
      <c r="DRY19" s="7"/>
      <c r="DRZ19" s="7"/>
      <c r="DSA19" s="7"/>
      <c r="DSB19" s="7"/>
      <c r="DSC19" s="7"/>
      <c r="DSD19" s="7"/>
      <c r="DSE19" s="7"/>
      <c r="DSF19" s="7"/>
      <c r="DSG19" s="7"/>
      <c r="DSH19" s="7"/>
      <c r="DSI19" s="7"/>
      <c r="DSJ19" s="7"/>
      <c r="DSK19" s="7"/>
      <c r="DSL19" s="7"/>
      <c r="DSM19" s="7"/>
      <c r="DSN19" s="7"/>
      <c r="DSO19" s="7"/>
      <c r="DSP19" s="7"/>
      <c r="DSQ19" s="7"/>
      <c r="DSR19" s="7"/>
      <c r="DSS19" s="7"/>
      <c r="DST19" s="7"/>
      <c r="DSU19" s="7"/>
      <c r="DSV19" s="7"/>
      <c r="DSW19" s="7"/>
      <c r="DSX19" s="7"/>
      <c r="DSY19" s="7"/>
      <c r="DSZ19" s="7"/>
      <c r="DTA19" s="7"/>
      <c r="DTB19" s="7"/>
      <c r="DTC19" s="7"/>
      <c r="DTD19" s="7"/>
      <c r="DTE19" s="7"/>
      <c r="DTF19" s="7"/>
      <c r="DTG19" s="7"/>
      <c r="DTH19" s="7"/>
      <c r="DTI19" s="7"/>
      <c r="DTJ19" s="7"/>
      <c r="DTK19" s="7"/>
      <c r="DTL19" s="7"/>
      <c r="DTM19" s="7"/>
      <c r="DTN19" s="7"/>
      <c r="DTO19" s="7"/>
      <c r="DTP19" s="7"/>
      <c r="DTQ19" s="7"/>
      <c r="DTR19" s="7"/>
      <c r="DTS19" s="7"/>
      <c r="DTT19" s="7"/>
      <c r="DTU19" s="7"/>
      <c r="DTV19" s="7"/>
      <c r="DTW19" s="7"/>
      <c r="DTX19" s="7"/>
      <c r="DTY19" s="7"/>
      <c r="DTZ19" s="7"/>
      <c r="DUA19" s="7"/>
      <c r="DUB19" s="7"/>
      <c r="DUC19" s="7"/>
      <c r="DUD19" s="7"/>
      <c r="DUE19" s="7"/>
      <c r="DUF19" s="7"/>
      <c r="DUG19" s="7"/>
      <c r="DUH19" s="7"/>
      <c r="DUI19" s="7"/>
      <c r="DUJ19" s="7"/>
      <c r="DUK19" s="7"/>
      <c r="DUL19" s="7"/>
      <c r="DUM19" s="7"/>
      <c r="DUN19" s="7"/>
      <c r="DUO19" s="7"/>
      <c r="DUP19" s="7"/>
      <c r="DUQ19" s="7"/>
      <c r="DUR19" s="7"/>
      <c r="DUS19" s="7"/>
      <c r="DUT19" s="7"/>
      <c r="DUU19" s="7"/>
      <c r="DUV19" s="7"/>
      <c r="DUW19" s="7"/>
      <c r="DUX19" s="7"/>
      <c r="DUY19" s="7"/>
      <c r="DUZ19" s="7"/>
      <c r="DVA19" s="7"/>
      <c r="DVB19" s="7"/>
      <c r="DVC19" s="7"/>
      <c r="DVD19" s="7"/>
      <c r="DVE19" s="7"/>
      <c r="DVF19" s="7"/>
      <c r="DVG19" s="7"/>
      <c r="DVH19" s="7"/>
      <c r="DVI19" s="7"/>
      <c r="DVJ19" s="7"/>
      <c r="DVK19" s="7"/>
      <c r="DVL19" s="7"/>
      <c r="DVM19" s="7"/>
      <c r="DVN19" s="7"/>
      <c r="DVO19" s="7"/>
      <c r="DVP19" s="7"/>
      <c r="DVQ19" s="7"/>
      <c r="DVR19" s="7"/>
      <c r="DVS19" s="7"/>
      <c r="DVT19" s="7"/>
      <c r="DVU19" s="7"/>
      <c r="DVV19" s="7"/>
      <c r="DVW19" s="7"/>
      <c r="DVX19" s="7"/>
      <c r="DVY19" s="7"/>
      <c r="DVZ19" s="7"/>
      <c r="DWA19" s="7"/>
      <c r="DWB19" s="7"/>
      <c r="DWC19" s="7"/>
      <c r="DWD19" s="7"/>
      <c r="DWE19" s="7"/>
      <c r="DWF19" s="7"/>
      <c r="DWG19" s="7"/>
      <c r="DWH19" s="7"/>
      <c r="DWI19" s="7"/>
      <c r="DWJ19" s="7"/>
      <c r="DWK19" s="7"/>
      <c r="DWL19" s="7"/>
      <c r="DWM19" s="7"/>
      <c r="DWN19" s="7"/>
      <c r="DWO19" s="7"/>
      <c r="DWP19" s="7"/>
      <c r="DWQ19" s="7"/>
      <c r="DWR19" s="7"/>
      <c r="DWS19" s="7"/>
      <c r="DWT19" s="7"/>
      <c r="DWU19" s="7"/>
      <c r="DWV19" s="7"/>
      <c r="DWW19" s="7"/>
      <c r="DWX19" s="7"/>
      <c r="DWY19" s="7"/>
      <c r="DWZ19" s="7"/>
      <c r="DXA19" s="7"/>
      <c r="DXB19" s="7"/>
      <c r="DXC19" s="7"/>
      <c r="DXD19" s="7"/>
      <c r="DXE19" s="7"/>
      <c r="DXF19" s="7"/>
      <c r="DXG19" s="7"/>
      <c r="DXH19" s="7"/>
      <c r="DXI19" s="7"/>
      <c r="DXJ19" s="7"/>
      <c r="DXK19" s="7"/>
      <c r="DXL19" s="7"/>
      <c r="DXM19" s="7"/>
      <c r="DXN19" s="7"/>
      <c r="DXO19" s="7"/>
      <c r="DXP19" s="7"/>
      <c r="DXQ19" s="7"/>
      <c r="DXR19" s="7"/>
      <c r="DXS19" s="7"/>
      <c r="DXT19" s="7"/>
      <c r="DXU19" s="7"/>
      <c r="DXV19" s="7"/>
      <c r="DXW19" s="7"/>
      <c r="DXX19" s="7"/>
      <c r="DXY19" s="7"/>
      <c r="DXZ19" s="7"/>
      <c r="DYA19" s="7"/>
      <c r="DYB19" s="7"/>
      <c r="DYC19" s="7"/>
      <c r="DYD19" s="7"/>
      <c r="DYE19" s="7"/>
      <c r="DYF19" s="7"/>
      <c r="DYG19" s="7"/>
      <c r="DYH19" s="7"/>
      <c r="DYI19" s="7"/>
      <c r="DYJ19" s="7"/>
      <c r="DYK19" s="7"/>
      <c r="DYL19" s="7"/>
      <c r="DYM19" s="7"/>
      <c r="DYN19" s="7"/>
      <c r="DYO19" s="7"/>
      <c r="DYP19" s="7"/>
      <c r="DYQ19" s="7"/>
      <c r="DYR19" s="7"/>
      <c r="DYS19" s="7"/>
      <c r="DYT19" s="7"/>
      <c r="DYU19" s="7"/>
      <c r="DYV19" s="7"/>
      <c r="DYW19" s="7"/>
      <c r="DYX19" s="7"/>
      <c r="DYY19" s="7"/>
      <c r="DYZ19" s="7"/>
      <c r="DZA19" s="7"/>
      <c r="DZB19" s="7"/>
      <c r="DZC19" s="7"/>
      <c r="DZD19" s="7"/>
      <c r="DZE19" s="7"/>
      <c r="DZF19" s="7"/>
      <c r="DZG19" s="7"/>
      <c r="DZH19" s="7"/>
      <c r="DZI19" s="7"/>
      <c r="DZJ19" s="7"/>
      <c r="DZK19" s="7"/>
      <c r="DZL19" s="7"/>
      <c r="DZM19" s="7"/>
      <c r="DZN19" s="7"/>
      <c r="DZO19" s="7"/>
      <c r="DZP19" s="7"/>
      <c r="DZQ19" s="7"/>
      <c r="DZR19" s="7"/>
      <c r="DZS19" s="7"/>
      <c r="DZT19" s="7"/>
      <c r="DZU19" s="7"/>
      <c r="DZV19" s="7"/>
      <c r="DZW19" s="7"/>
      <c r="DZX19" s="7"/>
      <c r="DZY19" s="7"/>
      <c r="DZZ19" s="7"/>
      <c r="EAA19" s="7"/>
      <c r="EAB19" s="7"/>
      <c r="EAC19" s="7"/>
      <c r="EAD19" s="7"/>
      <c r="EAE19" s="7"/>
      <c r="EAF19" s="7"/>
      <c r="EAG19" s="7"/>
      <c r="EAH19" s="7"/>
      <c r="EAI19" s="7"/>
      <c r="EAJ19" s="7"/>
      <c r="EAK19" s="7"/>
      <c r="EAL19" s="7"/>
      <c r="EAM19" s="7"/>
      <c r="EAN19" s="7"/>
      <c r="EAO19" s="7"/>
      <c r="EAP19" s="7"/>
      <c r="EAQ19" s="7"/>
      <c r="EAR19" s="7"/>
      <c r="EAS19" s="7"/>
      <c r="EAT19" s="7"/>
      <c r="EAU19" s="7"/>
      <c r="EAV19" s="7"/>
      <c r="EAW19" s="7"/>
      <c r="EAX19" s="7"/>
      <c r="EAY19" s="7"/>
      <c r="EAZ19" s="7"/>
      <c r="EBA19" s="7"/>
      <c r="EBB19" s="7"/>
      <c r="EBC19" s="7"/>
      <c r="EBD19" s="7"/>
      <c r="EBE19" s="7"/>
      <c r="EBF19" s="7"/>
      <c r="EBG19" s="7"/>
      <c r="EBH19" s="7"/>
      <c r="EBI19" s="7"/>
      <c r="EBJ19" s="7"/>
      <c r="EBK19" s="7"/>
      <c r="EBL19" s="7"/>
      <c r="EBM19" s="7"/>
      <c r="EBN19" s="7"/>
      <c r="EBO19" s="7"/>
      <c r="EBP19" s="7"/>
      <c r="EBQ19" s="7"/>
      <c r="EBR19" s="7"/>
      <c r="EBS19" s="7"/>
      <c r="EBT19" s="7"/>
      <c r="EBU19" s="7"/>
      <c r="EBV19" s="7"/>
      <c r="EBW19" s="7"/>
      <c r="EBX19" s="7"/>
      <c r="EBY19" s="7"/>
      <c r="EBZ19" s="7"/>
      <c r="ECA19" s="7"/>
      <c r="ECB19" s="7"/>
      <c r="ECC19" s="7"/>
      <c r="ECD19" s="7"/>
      <c r="ECE19" s="7"/>
      <c r="ECF19" s="7"/>
      <c r="ECG19" s="7"/>
      <c r="ECH19" s="7"/>
      <c r="ECI19" s="7"/>
      <c r="ECJ19" s="7"/>
      <c r="ECK19" s="7"/>
      <c r="ECL19" s="7"/>
      <c r="ECM19" s="7"/>
      <c r="ECN19" s="7"/>
      <c r="ECO19" s="7"/>
      <c r="ECP19" s="7"/>
      <c r="ECQ19" s="7"/>
      <c r="ECR19" s="7"/>
      <c r="ECS19" s="7"/>
      <c r="ECT19" s="7"/>
      <c r="ECU19" s="7"/>
      <c r="ECV19" s="7"/>
      <c r="ECW19" s="7"/>
      <c r="ECX19" s="7"/>
      <c r="ECY19" s="7"/>
      <c r="ECZ19" s="7"/>
      <c r="EDA19" s="7"/>
      <c r="EDB19" s="7"/>
      <c r="EDC19" s="7"/>
      <c r="EDD19" s="7"/>
      <c r="EDE19" s="7"/>
      <c r="EDF19" s="7"/>
      <c r="EDG19" s="7"/>
      <c r="EDH19" s="7"/>
      <c r="EDI19" s="7"/>
      <c r="EDJ19" s="7"/>
      <c r="EDK19" s="7"/>
      <c r="EDL19" s="7"/>
      <c r="EDM19" s="7"/>
      <c r="EDN19" s="7"/>
      <c r="EDO19" s="7"/>
      <c r="EDP19" s="7"/>
      <c r="EDQ19" s="7"/>
      <c r="EDR19" s="7"/>
      <c r="EDS19" s="7"/>
      <c r="EDT19" s="7"/>
      <c r="EDU19" s="7"/>
      <c r="EDV19" s="7"/>
      <c r="EDW19" s="7"/>
      <c r="EDX19" s="7"/>
      <c r="EDY19" s="7"/>
      <c r="EDZ19" s="7"/>
      <c r="EEA19" s="7"/>
      <c r="EEB19" s="7"/>
      <c r="EEC19" s="7"/>
      <c r="EED19" s="7"/>
      <c r="EEE19" s="7"/>
      <c r="EEF19" s="7"/>
      <c r="EEG19" s="7"/>
      <c r="EEH19" s="7"/>
      <c r="EEI19" s="7"/>
      <c r="EEJ19" s="7"/>
      <c r="EEK19" s="7"/>
      <c r="EEL19" s="7"/>
      <c r="EEM19" s="7"/>
      <c r="EEN19" s="7"/>
      <c r="EEO19" s="7"/>
      <c r="EEP19" s="7"/>
      <c r="EEQ19" s="7"/>
      <c r="EER19" s="7"/>
      <c r="EES19" s="7"/>
      <c r="EET19" s="7"/>
      <c r="EEU19" s="7"/>
      <c r="EEV19" s="7"/>
      <c r="EEW19" s="7"/>
      <c r="EEX19" s="7"/>
      <c r="EEY19" s="7"/>
      <c r="EEZ19" s="7"/>
      <c r="EFA19" s="7"/>
      <c r="EFB19" s="7"/>
      <c r="EFC19" s="7"/>
      <c r="EFD19" s="7"/>
      <c r="EFE19" s="7"/>
      <c r="EFF19" s="7"/>
      <c r="EFG19" s="7"/>
      <c r="EFH19" s="7"/>
      <c r="EFI19" s="7"/>
      <c r="EFJ19" s="7"/>
      <c r="EFK19" s="7"/>
      <c r="EFL19" s="7"/>
      <c r="EFM19" s="7"/>
      <c r="EFN19" s="7"/>
      <c r="EFO19" s="7"/>
      <c r="EFP19" s="7"/>
      <c r="EFQ19" s="7"/>
      <c r="EFR19" s="7"/>
      <c r="EFS19" s="7"/>
      <c r="EFT19" s="7"/>
      <c r="EFU19" s="7"/>
      <c r="EFV19" s="7"/>
      <c r="EFW19" s="7"/>
      <c r="EFX19" s="7"/>
      <c r="EFY19" s="7"/>
      <c r="EFZ19" s="7"/>
      <c r="EGA19" s="7"/>
      <c r="EGB19" s="7"/>
      <c r="EGC19" s="7"/>
      <c r="EGD19" s="7"/>
      <c r="EGE19" s="7"/>
      <c r="EGF19" s="7"/>
      <c r="EGG19" s="7"/>
      <c r="EGH19" s="7"/>
      <c r="EGI19" s="7"/>
      <c r="EGJ19" s="7"/>
      <c r="EGK19" s="7"/>
      <c r="EGL19" s="7"/>
      <c r="EGM19" s="7"/>
      <c r="EGN19" s="7"/>
      <c r="EGO19" s="7"/>
      <c r="EGP19" s="7"/>
      <c r="EGQ19" s="7"/>
      <c r="EGR19" s="7"/>
      <c r="EGS19" s="7"/>
      <c r="EGT19" s="7"/>
      <c r="EGU19" s="7"/>
      <c r="EGV19" s="7"/>
      <c r="EGW19" s="7"/>
      <c r="EGX19" s="7"/>
      <c r="EGY19" s="7"/>
      <c r="EGZ19" s="7"/>
      <c r="EHA19" s="7"/>
      <c r="EHB19" s="7"/>
      <c r="EHC19" s="7"/>
      <c r="EHD19" s="7"/>
      <c r="EHE19" s="7"/>
      <c r="EHF19" s="7"/>
      <c r="EHG19" s="7"/>
      <c r="EHH19" s="7"/>
      <c r="EHI19" s="7"/>
      <c r="EHJ19" s="7"/>
      <c r="EHK19" s="7"/>
      <c r="EHL19" s="7"/>
      <c r="EHM19" s="7"/>
      <c r="EHN19" s="7"/>
      <c r="EHO19" s="7"/>
      <c r="EHP19" s="7"/>
      <c r="EHQ19" s="7"/>
      <c r="EHR19" s="7"/>
      <c r="EHS19" s="7"/>
      <c r="EHT19" s="7"/>
      <c r="EHU19" s="7"/>
      <c r="EHV19" s="7"/>
      <c r="EHW19" s="7"/>
      <c r="EHX19" s="7"/>
      <c r="EHY19" s="7"/>
      <c r="EHZ19" s="7"/>
      <c r="EIA19" s="7"/>
      <c r="EIB19" s="7"/>
      <c r="EIC19" s="7"/>
      <c r="EID19" s="7"/>
      <c r="EIE19" s="7"/>
      <c r="EIF19" s="7"/>
      <c r="EIG19" s="7"/>
      <c r="EIH19" s="7"/>
      <c r="EII19" s="7"/>
      <c r="EIJ19" s="7"/>
      <c r="EIK19" s="7"/>
      <c r="EIL19" s="7"/>
      <c r="EIM19" s="7"/>
      <c r="EIN19" s="7"/>
      <c r="EIO19" s="7"/>
      <c r="EIP19" s="7"/>
      <c r="EIQ19" s="7"/>
      <c r="EIR19" s="7"/>
      <c r="EIS19" s="7"/>
      <c r="EIT19" s="7"/>
      <c r="EIU19" s="7"/>
      <c r="EIV19" s="7"/>
      <c r="EIW19" s="7"/>
      <c r="EIX19" s="7"/>
      <c r="EIY19" s="7"/>
      <c r="EIZ19" s="7"/>
      <c r="EJA19" s="7"/>
      <c r="EJB19" s="7"/>
      <c r="EJC19" s="7"/>
      <c r="EJD19" s="7"/>
      <c r="EJE19" s="7"/>
      <c r="EJF19" s="7"/>
      <c r="EJG19" s="7"/>
      <c r="EJH19" s="7"/>
      <c r="EJI19" s="7"/>
      <c r="EJJ19" s="7"/>
      <c r="EJK19" s="7"/>
      <c r="EJL19" s="7"/>
      <c r="EJM19" s="7"/>
      <c r="EJN19" s="7"/>
      <c r="EJO19" s="7"/>
      <c r="EJP19" s="7"/>
      <c r="EJQ19" s="7"/>
      <c r="EJR19" s="7"/>
      <c r="EJS19" s="7"/>
      <c r="EJT19" s="7"/>
      <c r="EJU19" s="7"/>
      <c r="EJV19" s="7"/>
      <c r="EJW19" s="7"/>
      <c r="EJX19" s="7"/>
      <c r="EJY19" s="7"/>
      <c r="EJZ19" s="7"/>
      <c r="EKA19" s="7"/>
      <c r="EKB19" s="7"/>
      <c r="EKC19" s="7"/>
      <c r="EKD19" s="7"/>
      <c r="EKE19" s="7"/>
      <c r="EKF19" s="7"/>
      <c r="EKG19" s="7"/>
      <c r="EKH19" s="7"/>
      <c r="EKI19" s="7"/>
      <c r="EKJ19" s="7"/>
      <c r="EKK19" s="7"/>
      <c r="EKL19" s="7"/>
      <c r="EKM19" s="7"/>
      <c r="EKN19" s="7"/>
      <c r="EKO19" s="7"/>
      <c r="EKP19" s="7"/>
      <c r="EKQ19" s="7"/>
      <c r="EKR19" s="7"/>
      <c r="EKS19" s="7"/>
      <c r="EKT19" s="7"/>
      <c r="EKU19" s="7"/>
      <c r="EKV19" s="7"/>
      <c r="EKW19" s="7"/>
      <c r="EKX19" s="7"/>
      <c r="EKY19" s="7"/>
      <c r="EKZ19" s="7"/>
      <c r="ELA19" s="7"/>
      <c r="ELB19" s="7"/>
      <c r="ELC19" s="7"/>
      <c r="ELD19" s="7"/>
      <c r="ELE19" s="7"/>
      <c r="ELF19" s="7"/>
      <c r="ELG19" s="7"/>
      <c r="ELH19" s="7"/>
      <c r="ELI19" s="7"/>
      <c r="ELJ19" s="7"/>
      <c r="ELK19" s="7"/>
      <c r="ELL19" s="7"/>
      <c r="ELM19" s="7"/>
      <c r="ELN19" s="7"/>
      <c r="ELO19" s="7"/>
      <c r="ELP19" s="7"/>
      <c r="ELQ19" s="7"/>
      <c r="ELR19" s="7"/>
      <c r="ELS19" s="7"/>
      <c r="ELT19" s="7"/>
      <c r="ELU19" s="7"/>
      <c r="ELV19" s="7"/>
      <c r="ELW19" s="7"/>
      <c r="ELX19" s="7"/>
      <c r="ELY19" s="7"/>
      <c r="ELZ19" s="7"/>
      <c r="EMA19" s="7"/>
      <c r="EMB19" s="7"/>
      <c r="EMC19" s="7"/>
      <c r="EMD19" s="7"/>
      <c r="EME19" s="7"/>
      <c r="EMF19" s="7"/>
      <c r="EMG19" s="7"/>
      <c r="EMH19" s="7"/>
      <c r="EMI19" s="7"/>
      <c r="EMJ19" s="7"/>
      <c r="EMK19" s="7"/>
      <c r="EML19" s="7"/>
      <c r="EMM19" s="7"/>
      <c r="EMN19" s="7"/>
      <c r="EMO19" s="7"/>
      <c r="EMP19" s="7"/>
      <c r="EMQ19" s="7"/>
      <c r="EMR19" s="7"/>
      <c r="EMS19" s="7"/>
      <c r="EMT19" s="7"/>
      <c r="EMU19" s="7"/>
      <c r="EMV19" s="7"/>
      <c r="EMW19" s="7"/>
      <c r="EMX19" s="7"/>
      <c r="EMY19" s="7"/>
      <c r="EMZ19" s="7"/>
      <c r="ENA19" s="7"/>
      <c r="ENB19" s="7"/>
      <c r="ENC19" s="7"/>
      <c r="END19" s="7"/>
      <c r="ENE19" s="7"/>
      <c r="ENF19" s="7"/>
      <c r="ENG19" s="7"/>
      <c r="ENH19" s="7"/>
      <c r="ENI19" s="7"/>
      <c r="ENJ19" s="7"/>
      <c r="ENK19" s="7"/>
      <c r="ENL19" s="7"/>
      <c r="ENM19" s="7"/>
      <c r="ENN19" s="7"/>
      <c r="ENO19" s="7"/>
      <c r="ENP19" s="7"/>
      <c r="ENQ19" s="7"/>
      <c r="ENR19" s="7"/>
      <c r="ENS19" s="7"/>
      <c r="ENT19" s="7"/>
      <c r="ENU19" s="7"/>
      <c r="ENV19" s="7"/>
      <c r="ENW19" s="7"/>
      <c r="ENX19" s="7"/>
      <c r="ENY19" s="7"/>
      <c r="ENZ19" s="7"/>
      <c r="EOA19" s="7"/>
      <c r="EOB19" s="7"/>
      <c r="EOC19" s="7"/>
      <c r="EOD19" s="7"/>
      <c r="EOE19" s="7"/>
      <c r="EOF19" s="7"/>
      <c r="EOG19" s="7"/>
      <c r="EOH19" s="7"/>
      <c r="EOI19" s="7"/>
      <c r="EOJ19" s="7"/>
      <c r="EOK19" s="7"/>
      <c r="EOL19" s="7"/>
      <c r="EOM19" s="7"/>
      <c r="EON19" s="7"/>
      <c r="EOO19" s="7"/>
      <c r="EOP19" s="7"/>
      <c r="EOQ19" s="7"/>
      <c r="EOR19" s="7"/>
      <c r="EOS19" s="7"/>
      <c r="EOT19" s="7"/>
      <c r="EOU19" s="7"/>
      <c r="EOV19" s="7"/>
      <c r="EOW19" s="7"/>
      <c r="EOX19" s="7"/>
      <c r="EOY19" s="7"/>
      <c r="EOZ19" s="7"/>
      <c r="EPA19" s="7"/>
      <c r="EPB19" s="7"/>
      <c r="EPC19" s="7"/>
      <c r="EPD19" s="7"/>
      <c r="EPE19" s="7"/>
      <c r="EPF19" s="7"/>
      <c r="EPG19" s="7"/>
      <c r="EPH19" s="7"/>
      <c r="EPI19" s="7"/>
      <c r="EPJ19" s="7"/>
      <c r="EPK19" s="7"/>
      <c r="EPL19" s="7"/>
      <c r="EPM19" s="7"/>
      <c r="EPN19" s="7"/>
      <c r="EPO19" s="7"/>
      <c r="EPP19" s="7"/>
      <c r="EPQ19" s="7"/>
      <c r="EPR19" s="7"/>
      <c r="EPS19" s="7"/>
      <c r="EPT19" s="7"/>
      <c r="EPU19" s="7"/>
      <c r="EPV19" s="7"/>
      <c r="EPW19" s="7"/>
      <c r="EPX19" s="7"/>
      <c r="EPY19" s="7"/>
      <c r="EPZ19" s="7"/>
      <c r="EQA19" s="7"/>
      <c r="EQB19" s="7"/>
      <c r="EQC19" s="7"/>
      <c r="EQD19" s="7"/>
      <c r="EQE19" s="7"/>
      <c r="EQF19" s="7"/>
      <c r="EQG19" s="7"/>
      <c r="EQH19" s="7"/>
      <c r="EQI19" s="7"/>
      <c r="EQJ19" s="7"/>
      <c r="EQK19" s="7"/>
      <c r="EQL19" s="7"/>
      <c r="EQM19" s="7"/>
      <c r="EQN19" s="7"/>
      <c r="EQO19" s="7"/>
      <c r="EQP19" s="7"/>
      <c r="EQQ19" s="7"/>
      <c r="EQR19" s="7"/>
      <c r="EQS19" s="7"/>
      <c r="EQT19" s="7"/>
      <c r="EQU19" s="7"/>
      <c r="EQV19" s="7"/>
      <c r="EQW19" s="7"/>
      <c r="EQX19" s="7"/>
      <c r="EQY19" s="7"/>
      <c r="EQZ19" s="7"/>
      <c r="ERA19" s="7"/>
      <c r="ERB19" s="7"/>
      <c r="ERC19" s="7"/>
      <c r="ERD19" s="7"/>
      <c r="ERE19" s="7"/>
      <c r="ERF19" s="7"/>
      <c r="ERG19" s="7"/>
      <c r="ERH19" s="7"/>
      <c r="ERI19" s="7"/>
      <c r="ERJ19" s="7"/>
      <c r="ERK19" s="7"/>
      <c r="ERL19" s="7"/>
      <c r="ERM19" s="7"/>
      <c r="ERN19" s="7"/>
      <c r="ERO19" s="7"/>
      <c r="ERP19" s="7"/>
      <c r="ERQ19" s="7"/>
      <c r="ERR19" s="7"/>
      <c r="ERS19" s="7"/>
      <c r="ERT19" s="7"/>
      <c r="ERU19" s="7"/>
      <c r="ERV19" s="7"/>
      <c r="ERW19" s="7"/>
      <c r="ERX19" s="7"/>
      <c r="ERY19" s="7"/>
      <c r="ERZ19" s="7"/>
      <c r="ESA19" s="7"/>
      <c r="ESB19" s="7"/>
      <c r="ESC19" s="7"/>
      <c r="ESD19" s="7"/>
      <c r="ESE19" s="7"/>
      <c r="ESF19" s="7"/>
      <c r="ESG19" s="7"/>
      <c r="ESH19" s="7"/>
      <c r="ESI19" s="7"/>
      <c r="ESJ19" s="7"/>
      <c r="ESK19" s="7"/>
      <c r="ESL19" s="7"/>
      <c r="ESM19" s="7"/>
      <c r="ESN19" s="7"/>
      <c r="ESO19" s="7"/>
      <c r="ESP19" s="7"/>
      <c r="ESQ19" s="7"/>
      <c r="ESR19" s="7"/>
      <c r="ESS19" s="7"/>
      <c r="EST19" s="7"/>
      <c r="ESU19" s="7"/>
      <c r="ESV19" s="7"/>
      <c r="ESW19" s="7"/>
      <c r="ESX19" s="7"/>
      <c r="ESY19" s="7"/>
      <c r="ESZ19" s="7"/>
      <c r="ETA19" s="7"/>
      <c r="ETB19" s="7"/>
      <c r="ETC19" s="7"/>
      <c r="ETD19" s="7"/>
      <c r="ETE19" s="7"/>
      <c r="ETF19" s="7"/>
      <c r="ETG19" s="7"/>
      <c r="ETH19" s="7"/>
      <c r="ETI19" s="7"/>
      <c r="ETJ19" s="7"/>
      <c r="ETK19" s="7"/>
      <c r="ETL19" s="7"/>
      <c r="ETM19" s="7"/>
      <c r="ETN19" s="7"/>
      <c r="ETO19" s="7"/>
      <c r="ETP19" s="7"/>
      <c r="ETQ19" s="7"/>
      <c r="ETR19" s="7"/>
      <c r="ETS19" s="7"/>
      <c r="ETT19" s="7"/>
      <c r="ETU19" s="7"/>
      <c r="ETV19" s="7"/>
      <c r="ETW19" s="7"/>
      <c r="ETX19" s="7"/>
      <c r="ETY19" s="7"/>
      <c r="ETZ19" s="7"/>
      <c r="EUA19" s="7"/>
      <c r="EUB19" s="7"/>
      <c r="EUC19" s="7"/>
      <c r="EUD19" s="7"/>
      <c r="EUE19" s="7"/>
      <c r="EUF19" s="7"/>
      <c r="EUG19" s="7"/>
      <c r="EUH19" s="7"/>
      <c r="EUI19" s="7"/>
      <c r="EUJ19" s="7"/>
      <c r="EUK19" s="7"/>
      <c r="EUL19" s="7"/>
      <c r="EUM19" s="7"/>
      <c r="EUN19" s="7"/>
      <c r="EUO19" s="7"/>
      <c r="EUP19" s="7"/>
      <c r="EUQ19" s="7"/>
      <c r="EUR19" s="7"/>
      <c r="EUS19" s="7"/>
      <c r="EUT19" s="7"/>
      <c r="EUU19" s="7"/>
      <c r="EUV19" s="7"/>
      <c r="EUW19" s="7"/>
      <c r="EUX19" s="7"/>
      <c r="EUY19" s="7"/>
      <c r="EUZ19" s="7"/>
      <c r="EVA19" s="7"/>
      <c r="EVB19" s="7"/>
      <c r="EVC19" s="7"/>
      <c r="EVD19" s="7"/>
      <c r="EVE19" s="7"/>
      <c r="EVF19" s="7"/>
      <c r="EVG19" s="7"/>
      <c r="EVH19" s="7"/>
      <c r="EVI19" s="7"/>
      <c r="EVJ19" s="7"/>
      <c r="EVK19" s="7"/>
      <c r="EVL19" s="7"/>
      <c r="EVM19" s="7"/>
      <c r="EVN19" s="7"/>
      <c r="EVO19" s="7"/>
      <c r="EVP19" s="7"/>
      <c r="EVQ19" s="7"/>
      <c r="EVR19" s="7"/>
      <c r="EVS19" s="7"/>
      <c r="EVT19" s="7"/>
      <c r="EVU19" s="7"/>
      <c r="EVV19" s="7"/>
      <c r="EVW19" s="7"/>
      <c r="EVX19" s="7"/>
      <c r="EVY19" s="7"/>
      <c r="EVZ19" s="7"/>
      <c r="EWA19" s="7"/>
      <c r="EWB19" s="7"/>
      <c r="EWC19" s="7"/>
      <c r="EWD19" s="7"/>
      <c r="EWE19" s="7"/>
      <c r="EWF19" s="7"/>
      <c r="EWG19" s="7"/>
      <c r="EWH19" s="7"/>
      <c r="EWI19" s="7"/>
      <c r="EWJ19" s="7"/>
      <c r="EWK19" s="7"/>
      <c r="EWL19" s="7"/>
      <c r="EWM19" s="7"/>
      <c r="EWN19" s="7"/>
      <c r="EWO19" s="7"/>
      <c r="EWP19" s="7"/>
      <c r="EWQ19" s="7"/>
      <c r="EWR19" s="7"/>
      <c r="EWS19" s="7"/>
      <c r="EWT19" s="7"/>
      <c r="EWU19" s="7"/>
      <c r="EWV19" s="7"/>
      <c r="EWW19" s="7"/>
      <c r="EWX19" s="7"/>
      <c r="EWY19" s="7"/>
      <c r="EWZ19" s="7"/>
      <c r="EXA19" s="7"/>
      <c r="EXB19" s="7"/>
      <c r="EXC19" s="7"/>
      <c r="EXD19" s="7"/>
      <c r="EXE19" s="7"/>
      <c r="EXF19" s="7"/>
      <c r="EXG19" s="7"/>
      <c r="EXH19" s="7"/>
      <c r="EXI19" s="7"/>
      <c r="EXJ19" s="7"/>
      <c r="EXK19" s="7"/>
      <c r="EXL19" s="7"/>
      <c r="EXM19" s="7"/>
      <c r="EXN19" s="7"/>
      <c r="EXO19" s="7"/>
      <c r="EXP19" s="7"/>
      <c r="EXQ19" s="7"/>
      <c r="EXR19" s="7"/>
      <c r="EXS19" s="7"/>
      <c r="EXT19" s="7"/>
      <c r="EXU19" s="7"/>
      <c r="EXV19" s="7"/>
      <c r="EXW19" s="7"/>
      <c r="EXX19" s="7"/>
      <c r="EXY19" s="7"/>
      <c r="EXZ19" s="7"/>
      <c r="EYA19" s="7"/>
      <c r="EYB19" s="7"/>
      <c r="EYC19" s="7"/>
      <c r="EYD19" s="7"/>
      <c r="EYE19" s="7"/>
      <c r="EYF19" s="7"/>
      <c r="EYG19" s="7"/>
      <c r="EYH19" s="7"/>
      <c r="EYI19" s="7"/>
      <c r="EYJ19" s="7"/>
      <c r="EYK19" s="7"/>
      <c r="EYL19" s="7"/>
      <c r="EYM19" s="7"/>
      <c r="EYN19" s="7"/>
      <c r="EYO19" s="7"/>
      <c r="EYP19" s="7"/>
      <c r="EYQ19" s="7"/>
      <c r="EYR19" s="7"/>
      <c r="EYS19" s="7"/>
      <c r="EYT19" s="7"/>
      <c r="EYU19" s="7"/>
      <c r="EYV19" s="7"/>
      <c r="EYW19" s="7"/>
      <c r="EYX19" s="7"/>
      <c r="EYY19" s="7"/>
      <c r="EYZ19" s="7"/>
      <c r="EZA19" s="7"/>
      <c r="EZB19" s="7"/>
      <c r="EZC19" s="7"/>
      <c r="EZD19" s="7"/>
      <c r="EZE19" s="7"/>
      <c r="EZF19" s="7"/>
      <c r="EZG19" s="7"/>
      <c r="EZH19" s="7"/>
      <c r="EZI19" s="7"/>
      <c r="EZJ19" s="7"/>
      <c r="EZK19" s="7"/>
      <c r="EZL19" s="7"/>
      <c r="EZM19" s="7"/>
      <c r="EZN19" s="7"/>
      <c r="EZO19" s="7"/>
      <c r="EZP19" s="7"/>
      <c r="EZQ19" s="7"/>
      <c r="EZR19" s="7"/>
      <c r="EZS19" s="7"/>
      <c r="EZT19" s="7"/>
      <c r="EZU19" s="7"/>
      <c r="EZV19" s="7"/>
      <c r="EZW19" s="7"/>
      <c r="EZX19" s="7"/>
      <c r="EZY19" s="7"/>
      <c r="EZZ19" s="7"/>
      <c r="FAA19" s="7"/>
      <c r="FAB19" s="7"/>
      <c r="FAC19" s="7"/>
      <c r="FAD19" s="7"/>
      <c r="FAE19" s="7"/>
      <c r="FAF19" s="7"/>
      <c r="FAG19" s="7"/>
      <c r="FAH19" s="7"/>
      <c r="FAI19" s="7"/>
      <c r="FAJ19" s="7"/>
      <c r="FAK19" s="7"/>
      <c r="FAL19" s="7"/>
      <c r="FAM19" s="7"/>
      <c r="FAN19" s="7"/>
      <c r="FAO19" s="7"/>
      <c r="FAP19" s="7"/>
      <c r="FAQ19" s="7"/>
      <c r="FAR19" s="7"/>
      <c r="FAS19" s="7"/>
      <c r="FAT19" s="7"/>
      <c r="FAU19" s="7"/>
      <c r="FAV19" s="7"/>
      <c r="FAW19" s="7"/>
      <c r="FAX19" s="7"/>
      <c r="FAY19" s="7"/>
      <c r="FAZ19" s="7"/>
      <c r="FBA19" s="7"/>
      <c r="FBB19" s="7"/>
      <c r="FBC19" s="7"/>
      <c r="FBD19" s="7"/>
      <c r="FBE19" s="7"/>
      <c r="FBF19" s="7"/>
      <c r="FBG19" s="7"/>
      <c r="FBH19" s="7"/>
      <c r="FBI19" s="7"/>
      <c r="FBJ19" s="7"/>
      <c r="FBK19" s="7"/>
      <c r="FBL19" s="7"/>
      <c r="FBM19" s="7"/>
      <c r="FBN19" s="7"/>
      <c r="FBO19" s="7"/>
      <c r="FBP19" s="7"/>
      <c r="FBQ19" s="7"/>
      <c r="FBR19" s="7"/>
      <c r="FBS19" s="7"/>
      <c r="FBT19" s="7"/>
      <c r="FBU19" s="7"/>
      <c r="FBV19" s="7"/>
      <c r="FBW19" s="7"/>
      <c r="FBX19" s="7"/>
      <c r="FBY19" s="7"/>
      <c r="FBZ19" s="7"/>
      <c r="FCA19" s="7"/>
      <c r="FCB19" s="7"/>
      <c r="FCC19" s="7"/>
      <c r="FCD19" s="7"/>
      <c r="FCE19" s="7"/>
      <c r="FCF19" s="7"/>
      <c r="FCG19" s="7"/>
      <c r="FCH19" s="7"/>
      <c r="FCI19" s="7"/>
      <c r="FCJ19" s="7"/>
      <c r="FCK19" s="7"/>
      <c r="FCL19" s="7"/>
      <c r="FCM19" s="7"/>
      <c r="FCN19" s="7"/>
      <c r="FCO19" s="7"/>
      <c r="FCP19" s="7"/>
      <c r="FCQ19" s="7"/>
      <c r="FCR19" s="7"/>
      <c r="FCS19" s="7"/>
      <c r="FCT19" s="7"/>
      <c r="FCU19" s="7"/>
      <c r="FCV19" s="7"/>
      <c r="FCW19" s="7"/>
      <c r="FCX19" s="7"/>
      <c r="FCY19" s="7"/>
      <c r="FCZ19" s="7"/>
      <c r="FDA19" s="7"/>
      <c r="FDB19" s="7"/>
      <c r="FDC19" s="7"/>
      <c r="FDD19" s="7"/>
      <c r="FDE19" s="7"/>
      <c r="FDF19" s="7"/>
      <c r="FDG19" s="7"/>
      <c r="FDH19" s="7"/>
      <c r="FDI19" s="7"/>
      <c r="FDJ19" s="7"/>
      <c r="FDK19" s="7"/>
      <c r="FDL19" s="7"/>
      <c r="FDM19" s="7"/>
      <c r="FDN19" s="7"/>
      <c r="FDO19" s="7"/>
      <c r="FDP19" s="7"/>
      <c r="FDQ19" s="7"/>
      <c r="FDR19" s="7"/>
      <c r="FDS19" s="7"/>
      <c r="FDT19" s="7"/>
      <c r="FDU19" s="7"/>
      <c r="FDV19" s="7"/>
      <c r="FDW19" s="7"/>
      <c r="FDX19" s="7"/>
      <c r="FDY19" s="7"/>
      <c r="FDZ19" s="7"/>
      <c r="FEA19" s="7"/>
      <c r="FEB19" s="7"/>
      <c r="FEC19" s="7"/>
      <c r="FED19" s="7"/>
      <c r="FEE19" s="7"/>
      <c r="FEF19" s="7"/>
      <c r="FEG19" s="7"/>
      <c r="FEH19" s="7"/>
      <c r="FEI19" s="7"/>
      <c r="FEJ19" s="7"/>
      <c r="FEK19" s="7"/>
      <c r="FEL19" s="7"/>
      <c r="FEM19" s="7"/>
      <c r="FEN19" s="7"/>
      <c r="FEO19" s="7"/>
      <c r="FEP19" s="7"/>
      <c r="FEQ19" s="7"/>
      <c r="FER19" s="7"/>
      <c r="FES19" s="7"/>
      <c r="FET19" s="7"/>
      <c r="FEU19" s="7"/>
      <c r="FEV19" s="7"/>
      <c r="FEW19" s="7"/>
      <c r="FEX19" s="7"/>
      <c r="FEY19" s="7"/>
      <c r="FEZ19" s="7"/>
      <c r="FFA19" s="7"/>
      <c r="FFB19" s="7"/>
      <c r="FFC19" s="7"/>
      <c r="FFD19" s="7"/>
      <c r="FFE19" s="7"/>
      <c r="FFF19" s="7"/>
      <c r="FFG19" s="7"/>
      <c r="FFH19" s="7"/>
      <c r="FFI19" s="7"/>
      <c r="FFJ19" s="7"/>
      <c r="FFK19" s="7"/>
      <c r="FFL19" s="7"/>
      <c r="FFM19" s="7"/>
      <c r="FFN19" s="7"/>
      <c r="FFO19" s="7"/>
      <c r="FFP19" s="7"/>
      <c r="FFQ19" s="7"/>
      <c r="FFR19" s="7"/>
      <c r="FFS19" s="7"/>
      <c r="FFT19" s="7"/>
      <c r="FFU19" s="7"/>
      <c r="FFV19" s="7"/>
      <c r="FFW19" s="7"/>
      <c r="FFX19" s="7"/>
      <c r="FFY19" s="7"/>
      <c r="FFZ19" s="7"/>
      <c r="FGA19" s="7"/>
      <c r="FGB19" s="7"/>
      <c r="FGC19" s="7"/>
      <c r="FGD19" s="7"/>
      <c r="FGE19" s="7"/>
      <c r="FGF19" s="7"/>
      <c r="FGG19" s="7"/>
      <c r="FGH19" s="7"/>
      <c r="FGI19" s="7"/>
      <c r="FGJ19" s="7"/>
      <c r="FGK19" s="7"/>
      <c r="FGL19" s="7"/>
      <c r="FGM19" s="7"/>
      <c r="FGN19" s="7"/>
      <c r="FGO19" s="7"/>
      <c r="FGP19" s="7"/>
      <c r="FGQ19" s="7"/>
      <c r="FGR19" s="7"/>
      <c r="FGS19" s="7"/>
      <c r="FGT19" s="7"/>
      <c r="FGU19" s="7"/>
      <c r="FGV19" s="7"/>
      <c r="FGW19" s="7"/>
      <c r="FGX19" s="7"/>
      <c r="FGY19" s="7"/>
      <c r="FGZ19" s="7"/>
      <c r="FHA19" s="7"/>
      <c r="FHB19" s="7"/>
      <c r="FHC19" s="7"/>
      <c r="FHD19" s="7"/>
      <c r="FHE19" s="7"/>
      <c r="FHF19" s="7"/>
      <c r="FHG19" s="7"/>
      <c r="FHH19" s="7"/>
      <c r="FHI19" s="7"/>
      <c r="FHJ19" s="7"/>
      <c r="FHK19" s="7"/>
      <c r="FHL19" s="7"/>
      <c r="FHM19" s="7"/>
      <c r="FHN19" s="7"/>
      <c r="FHO19" s="7"/>
      <c r="FHP19" s="7"/>
      <c r="FHQ19" s="7"/>
      <c r="FHR19" s="7"/>
      <c r="FHS19" s="7"/>
      <c r="FHT19" s="7"/>
      <c r="FHU19" s="7"/>
      <c r="FHV19" s="7"/>
      <c r="FHW19" s="7"/>
      <c r="FHX19" s="7"/>
      <c r="FHY19" s="7"/>
      <c r="FHZ19" s="7"/>
      <c r="FIA19" s="7"/>
      <c r="FIB19" s="7"/>
      <c r="FIC19" s="7"/>
      <c r="FID19" s="7"/>
      <c r="FIE19" s="7"/>
      <c r="FIF19" s="7"/>
      <c r="FIG19" s="7"/>
      <c r="FIH19" s="7"/>
      <c r="FII19" s="7"/>
      <c r="FIJ19" s="7"/>
      <c r="FIK19" s="7"/>
      <c r="FIL19" s="7"/>
      <c r="FIM19" s="7"/>
      <c r="FIN19" s="7"/>
      <c r="FIO19" s="7"/>
      <c r="FIP19" s="7"/>
      <c r="FIQ19" s="7"/>
      <c r="FIR19" s="7"/>
      <c r="FIS19" s="7"/>
      <c r="FIT19" s="7"/>
      <c r="FIU19" s="7"/>
      <c r="FIV19" s="7"/>
      <c r="FIW19" s="7"/>
      <c r="FIX19" s="7"/>
      <c r="FIY19" s="7"/>
      <c r="FIZ19" s="7"/>
      <c r="FJA19" s="7"/>
      <c r="FJB19" s="7"/>
      <c r="FJC19" s="7"/>
      <c r="FJD19" s="7"/>
      <c r="FJE19" s="7"/>
      <c r="FJF19" s="7"/>
      <c r="FJG19" s="7"/>
      <c r="FJH19" s="7"/>
      <c r="FJI19" s="7"/>
      <c r="FJJ19" s="7"/>
      <c r="FJK19" s="7"/>
      <c r="FJL19" s="7"/>
      <c r="FJM19" s="7"/>
      <c r="FJN19" s="7"/>
      <c r="FJO19" s="7"/>
      <c r="FJP19" s="7"/>
      <c r="FJQ19" s="7"/>
      <c r="FJR19" s="7"/>
      <c r="FJS19" s="7"/>
      <c r="FJT19" s="7"/>
      <c r="FJU19" s="7"/>
      <c r="FJV19" s="7"/>
      <c r="FJW19" s="7"/>
      <c r="FJX19" s="7"/>
      <c r="FJY19" s="7"/>
      <c r="FJZ19" s="7"/>
      <c r="FKA19" s="7"/>
      <c r="FKB19" s="7"/>
      <c r="FKC19" s="7"/>
      <c r="FKD19" s="7"/>
      <c r="FKE19" s="7"/>
      <c r="FKF19" s="7"/>
      <c r="FKG19" s="7"/>
      <c r="FKH19" s="7"/>
      <c r="FKI19" s="7"/>
      <c r="FKJ19" s="7"/>
      <c r="FKK19" s="7"/>
      <c r="FKL19" s="7"/>
      <c r="FKM19" s="7"/>
      <c r="FKN19" s="7"/>
      <c r="FKO19" s="7"/>
      <c r="FKP19" s="7"/>
      <c r="FKQ19" s="7"/>
      <c r="FKR19" s="7"/>
      <c r="FKS19" s="7"/>
      <c r="FKT19" s="7"/>
      <c r="FKU19" s="7"/>
      <c r="FKV19" s="7"/>
      <c r="FKW19" s="7"/>
      <c r="FKX19" s="7"/>
      <c r="FKY19" s="7"/>
      <c r="FKZ19" s="7"/>
      <c r="FLA19" s="7"/>
      <c r="FLB19" s="7"/>
      <c r="FLC19" s="7"/>
      <c r="FLD19" s="7"/>
      <c r="FLE19" s="7"/>
      <c r="FLF19" s="7"/>
      <c r="FLG19" s="7"/>
      <c r="FLH19" s="7"/>
      <c r="FLI19" s="7"/>
      <c r="FLJ19" s="7"/>
      <c r="FLK19" s="7"/>
      <c r="FLL19" s="7"/>
      <c r="FLM19" s="7"/>
      <c r="FLN19" s="7"/>
      <c r="FLO19" s="7"/>
      <c r="FLP19" s="7"/>
      <c r="FLQ19" s="7"/>
      <c r="FLR19" s="7"/>
      <c r="FLS19" s="7"/>
      <c r="FLT19" s="7"/>
      <c r="FLU19" s="7"/>
      <c r="FLV19" s="7"/>
      <c r="FLW19" s="7"/>
      <c r="FLX19" s="7"/>
      <c r="FLY19" s="7"/>
      <c r="FLZ19" s="7"/>
      <c r="FMA19" s="7"/>
      <c r="FMB19" s="7"/>
      <c r="FMC19" s="7"/>
      <c r="FMD19" s="7"/>
      <c r="FME19" s="7"/>
      <c r="FMF19" s="7"/>
      <c r="FMG19" s="7"/>
      <c r="FMH19" s="7"/>
      <c r="FMI19" s="7"/>
      <c r="FMJ19" s="7"/>
      <c r="FMK19" s="7"/>
      <c r="FML19" s="7"/>
      <c r="FMM19" s="7"/>
      <c r="FMN19" s="7"/>
      <c r="FMO19" s="7"/>
      <c r="FMP19" s="7"/>
      <c r="FMQ19" s="7"/>
      <c r="FMR19" s="7"/>
      <c r="FMS19" s="7"/>
      <c r="FMT19" s="7"/>
      <c r="FMU19" s="7"/>
      <c r="FMV19" s="7"/>
      <c r="FMW19" s="7"/>
      <c r="FMX19" s="7"/>
      <c r="FMY19" s="7"/>
      <c r="FMZ19" s="7"/>
      <c r="FNA19" s="7"/>
      <c r="FNB19" s="7"/>
      <c r="FNC19" s="7"/>
      <c r="FND19" s="7"/>
      <c r="FNE19" s="7"/>
      <c r="FNF19" s="7"/>
      <c r="FNG19" s="7"/>
      <c r="FNH19" s="7"/>
      <c r="FNI19" s="7"/>
      <c r="FNJ19" s="7"/>
      <c r="FNK19" s="7"/>
      <c r="FNL19" s="7"/>
      <c r="FNM19" s="7"/>
      <c r="FNN19" s="7"/>
      <c r="FNO19" s="7"/>
      <c r="FNP19" s="7"/>
      <c r="FNQ19" s="7"/>
      <c r="FNR19" s="7"/>
      <c r="FNS19" s="7"/>
      <c r="FNT19" s="7"/>
      <c r="FNU19" s="7"/>
      <c r="FNV19" s="7"/>
      <c r="FNW19" s="7"/>
      <c r="FNX19" s="7"/>
      <c r="FNY19" s="7"/>
      <c r="FNZ19" s="7"/>
      <c r="FOA19" s="7"/>
      <c r="FOB19" s="7"/>
      <c r="FOC19" s="7"/>
      <c r="FOD19" s="7"/>
      <c r="FOE19" s="7"/>
      <c r="FOF19" s="7"/>
      <c r="FOG19" s="7"/>
      <c r="FOH19" s="7"/>
      <c r="FOI19" s="7"/>
      <c r="FOJ19" s="7"/>
      <c r="FOK19" s="7"/>
      <c r="FOL19" s="7"/>
      <c r="FOM19" s="7"/>
      <c r="FON19" s="7"/>
      <c r="FOO19" s="7"/>
      <c r="FOP19" s="7"/>
      <c r="FOQ19" s="7"/>
      <c r="FOR19" s="7"/>
      <c r="FOS19" s="7"/>
      <c r="FOT19" s="7"/>
      <c r="FOU19" s="7"/>
      <c r="FOV19" s="7"/>
      <c r="FOW19" s="7"/>
      <c r="FOX19" s="7"/>
      <c r="FOY19" s="7"/>
      <c r="FOZ19" s="7"/>
      <c r="FPA19" s="7"/>
      <c r="FPB19" s="7"/>
      <c r="FPC19" s="7"/>
      <c r="FPD19" s="7"/>
      <c r="FPE19" s="7"/>
      <c r="FPF19" s="7"/>
      <c r="FPG19" s="7"/>
      <c r="FPH19" s="7"/>
      <c r="FPI19" s="7"/>
      <c r="FPJ19" s="7"/>
      <c r="FPK19" s="7"/>
      <c r="FPL19" s="7"/>
      <c r="FPM19" s="7"/>
      <c r="FPN19" s="7"/>
      <c r="FPO19" s="7"/>
      <c r="FPP19" s="7"/>
      <c r="FPQ19" s="7"/>
      <c r="FPR19" s="7"/>
      <c r="FPS19" s="7"/>
      <c r="FPT19" s="7"/>
      <c r="FPU19" s="7"/>
      <c r="FPV19" s="7"/>
      <c r="FPW19" s="7"/>
      <c r="FPX19" s="7"/>
      <c r="FPY19" s="7"/>
      <c r="FPZ19" s="7"/>
      <c r="FQA19" s="7"/>
      <c r="FQB19" s="7"/>
      <c r="FQC19" s="7"/>
      <c r="FQD19" s="7"/>
      <c r="FQE19" s="7"/>
      <c r="FQF19" s="7"/>
      <c r="FQG19" s="7"/>
      <c r="FQH19" s="7"/>
      <c r="FQI19" s="7"/>
      <c r="FQJ19" s="7"/>
      <c r="FQK19" s="7"/>
      <c r="FQL19" s="7"/>
      <c r="FQM19" s="7"/>
      <c r="FQN19" s="7"/>
      <c r="FQO19" s="7"/>
      <c r="FQP19" s="7"/>
      <c r="FQQ19" s="7"/>
      <c r="FQR19" s="7"/>
      <c r="FQS19" s="7"/>
      <c r="FQT19" s="7"/>
      <c r="FQU19" s="7"/>
      <c r="FQV19" s="7"/>
      <c r="FQW19" s="7"/>
      <c r="FQX19" s="7"/>
      <c r="FQY19" s="7"/>
      <c r="FQZ19" s="7"/>
      <c r="FRA19" s="7"/>
      <c r="FRB19" s="7"/>
      <c r="FRC19" s="7"/>
      <c r="FRD19" s="7"/>
      <c r="FRE19" s="7"/>
      <c r="FRF19" s="7"/>
      <c r="FRG19" s="7"/>
      <c r="FRH19" s="7"/>
      <c r="FRI19" s="7"/>
      <c r="FRJ19" s="7"/>
      <c r="FRK19" s="7"/>
      <c r="FRL19" s="7"/>
      <c r="FRM19" s="7"/>
      <c r="FRN19" s="7"/>
      <c r="FRO19" s="7"/>
      <c r="FRP19" s="7"/>
      <c r="FRQ19" s="7"/>
      <c r="FRR19" s="7"/>
      <c r="FRS19" s="7"/>
      <c r="FRT19" s="7"/>
      <c r="FRU19" s="7"/>
      <c r="FRV19" s="7"/>
      <c r="FRW19" s="7"/>
      <c r="FRX19" s="7"/>
      <c r="FRY19" s="7"/>
      <c r="FRZ19" s="7"/>
      <c r="FSA19" s="7"/>
      <c r="FSB19" s="7"/>
      <c r="FSC19" s="7"/>
      <c r="FSD19" s="7"/>
      <c r="FSE19" s="7"/>
      <c r="FSF19" s="7"/>
      <c r="FSG19" s="7"/>
      <c r="FSH19" s="7"/>
      <c r="FSI19" s="7"/>
      <c r="FSJ19" s="7"/>
      <c r="FSK19" s="7"/>
      <c r="FSL19" s="7"/>
      <c r="FSM19" s="7"/>
      <c r="FSN19" s="7"/>
      <c r="FSO19" s="7"/>
      <c r="FSP19" s="7"/>
      <c r="FSQ19" s="7"/>
      <c r="FSR19" s="7"/>
      <c r="FSS19" s="7"/>
      <c r="FST19" s="7"/>
      <c r="FSU19" s="7"/>
      <c r="FSV19" s="7"/>
      <c r="FSW19" s="7"/>
      <c r="FSX19" s="7"/>
      <c r="FSY19" s="7"/>
      <c r="FSZ19" s="7"/>
      <c r="FTA19" s="7"/>
      <c r="FTB19" s="7"/>
      <c r="FTC19" s="7"/>
      <c r="FTD19" s="7"/>
      <c r="FTE19" s="7"/>
      <c r="FTF19" s="7"/>
      <c r="FTG19" s="7"/>
      <c r="FTH19" s="7"/>
      <c r="FTI19" s="7"/>
      <c r="FTJ19" s="7"/>
      <c r="FTK19" s="7"/>
      <c r="FTL19" s="7"/>
      <c r="FTM19" s="7"/>
      <c r="FTN19" s="7"/>
      <c r="FTO19" s="7"/>
      <c r="FTP19" s="7"/>
      <c r="FTQ19" s="7"/>
      <c r="FTR19" s="7"/>
      <c r="FTS19" s="7"/>
      <c r="FTT19" s="7"/>
      <c r="FTU19" s="7"/>
      <c r="FTV19" s="7"/>
      <c r="FTW19" s="7"/>
      <c r="FTX19" s="7"/>
      <c r="FTY19" s="7"/>
      <c r="FTZ19" s="7"/>
      <c r="FUA19" s="7"/>
      <c r="FUB19" s="7"/>
      <c r="FUC19" s="7"/>
      <c r="FUD19" s="7"/>
      <c r="FUE19" s="7"/>
      <c r="FUF19" s="7"/>
      <c r="FUG19" s="7"/>
      <c r="FUH19" s="7"/>
      <c r="FUI19" s="7"/>
      <c r="FUJ19" s="7"/>
      <c r="FUK19" s="7"/>
      <c r="FUL19" s="7"/>
      <c r="FUM19" s="7"/>
      <c r="FUN19" s="7"/>
      <c r="FUO19" s="7"/>
      <c r="FUP19" s="7"/>
      <c r="FUQ19" s="7"/>
      <c r="FUR19" s="7"/>
      <c r="FUS19" s="7"/>
      <c r="FUT19" s="7"/>
      <c r="FUU19" s="7"/>
      <c r="FUV19" s="7"/>
      <c r="FUW19" s="7"/>
      <c r="FUX19" s="7"/>
      <c r="FUY19" s="7"/>
      <c r="FUZ19" s="7"/>
      <c r="FVA19" s="7"/>
      <c r="FVB19" s="7"/>
      <c r="FVC19" s="7"/>
      <c r="FVD19" s="7"/>
      <c r="FVE19" s="7"/>
      <c r="FVF19" s="7"/>
      <c r="FVG19" s="7"/>
      <c r="FVH19" s="7"/>
      <c r="FVI19" s="7"/>
      <c r="FVJ19" s="7"/>
      <c r="FVK19" s="7"/>
      <c r="FVL19" s="7"/>
      <c r="FVM19" s="7"/>
      <c r="FVN19" s="7"/>
      <c r="FVO19" s="7"/>
      <c r="FVP19" s="7"/>
      <c r="FVQ19" s="7"/>
      <c r="FVR19" s="7"/>
      <c r="FVS19" s="7"/>
      <c r="FVT19" s="7"/>
      <c r="FVU19" s="7"/>
      <c r="FVV19" s="7"/>
      <c r="FVW19" s="7"/>
      <c r="FVX19" s="7"/>
      <c r="FVY19" s="7"/>
      <c r="FVZ19" s="7"/>
      <c r="FWA19" s="7"/>
      <c r="FWB19" s="7"/>
      <c r="FWC19" s="7"/>
      <c r="FWD19" s="7"/>
      <c r="FWE19" s="7"/>
      <c r="FWF19" s="7"/>
      <c r="FWG19" s="7"/>
      <c r="FWH19" s="7"/>
      <c r="FWI19" s="7"/>
      <c r="FWJ19" s="7"/>
      <c r="FWK19" s="7"/>
      <c r="FWL19" s="7"/>
      <c r="FWM19" s="7"/>
      <c r="FWN19" s="7"/>
      <c r="FWO19" s="7"/>
      <c r="FWP19" s="7"/>
      <c r="FWQ19" s="7"/>
      <c r="FWR19" s="7"/>
      <c r="FWS19" s="7"/>
      <c r="FWT19" s="7"/>
      <c r="FWU19" s="7"/>
      <c r="FWV19" s="7"/>
      <c r="FWW19" s="7"/>
      <c r="FWX19" s="7"/>
      <c r="FWY19" s="7"/>
      <c r="FWZ19" s="7"/>
      <c r="FXA19" s="7"/>
      <c r="FXB19" s="7"/>
      <c r="FXC19" s="7"/>
      <c r="FXD19" s="7"/>
      <c r="FXE19" s="7"/>
      <c r="FXF19" s="7"/>
      <c r="FXG19" s="7"/>
      <c r="FXH19" s="7"/>
      <c r="FXI19" s="7"/>
      <c r="FXJ19" s="7"/>
      <c r="FXK19" s="7"/>
      <c r="FXL19" s="7"/>
      <c r="FXM19" s="7"/>
      <c r="FXN19" s="7"/>
      <c r="FXO19" s="7"/>
      <c r="FXP19" s="7"/>
      <c r="FXQ19" s="7"/>
      <c r="FXR19" s="7"/>
      <c r="FXS19" s="7"/>
      <c r="FXT19" s="7"/>
      <c r="FXU19" s="7"/>
      <c r="FXV19" s="7"/>
      <c r="FXW19" s="7"/>
      <c r="FXX19" s="7"/>
      <c r="FXY19" s="7"/>
      <c r="FXZ19" s="7"/>
      <c r="FYA19" s="7"/>
      <c r="FYB19" s="7"/>
      <c r="FYC19" s="7"/>
      <c r="FYD19" s="7"/>
      <c r="FYE19" s="7"/>
      <c r="FYF19" s="7"/>
      <c r="FYG19" s="7"/>
      <c r="FYH19" s="7"/>
      <c r="FYI19" s="7"/>
      <c r="FYJ19" s="7"/>
      <c r="FYK19" s="7"/>
      <c r="FYL19" s="7"/>
      <c r="FYM19" s="7"/>
      <c r="FYN19" s="7"/>
      <c r="FYO19" s="7"/>
      <c r="FYP19" s="7"/>
      <c r="FYQ19" s="7"/>
      <c r="FYR19" s="7"/>
      <c r="FYS19" s="7"/>
      <c r="FYT19" s="7"/>
      <c r="FYU19" s="7"/>
      <c r="FYV19" s="7"/>
      <c r="FYW19" s="7"/>
      <c r="FYX19" s="7"/>
      <c r="FYY19" s="7"/>
      <c r="FYZ19" s="7"/>
      <c r="FZA19" s="7"/>
      <c r="FZB19" s="7"/>
      <c r="FZC19" s="7"/>
      <c r="FZD19" s="7"/>
      <c r="FZE19" s="7"/>
      <c r="FZF19" s="7"/>
      <c r="FZG19" s="7"/>
      <c r="FZH19" s="7"/>
      <c r="FZI19" s="7"/>
      <c r="FZJ19" s="7"/>
      <c r="FZK19" s="7"/>
      <c r="FZL19" s="7"/>
      <c r="FZM19" s="7"/>
      <c r="FZN19" s="7"/>
      <c r="FZO19" s="7"/>
      <c r="FZP19" s="7"/>
      <c r="FZQ19" s="7"/>
      <c r="FZR19" s="7"/>
      <c r="FZS19" s="7"/>
      <c r="FZT19" s="7"/>
      <c r="FZU19" s="7"/>
      <c r="FZV19" s="7"/>
      <c r="FZW19" s="7"/>
      <c r="FZX19" s="7"/>
      <c r="FZY19" s="7"/>
      <c r="FZZ19" s="7"/>
      <c r="GAA19" s="7"/>
      <c r="GAB19" s="7"/>
      <c r="GAC19" s="7"/>
      <c r="GAD19" s="7"/>
      <c r="GAE19" s="7"/>
      <c r="GAF19" s="7"/>
      <c r="GAG19" s="7"/>
      <c r="GAH19" s="7"/>
      <c r="GAI19" s="7"/>
      <c r="GAJ19" s="7"/>
      <c r="GAK19" s="7"/>
      <c r="GAL19" s="7"/>
      <c r="GAM19" s="7"/>
      <c r="GAN19" s="7"/>
      <c r="GAO19" s="7"/>
      <c r="GAP19" s="7"/>
      <c r="GAQ19" s="7"/>
      <c r="GAR19" s="7"/>
      <c r="GAS19" s="7"/>
      <c r="GAT19" s="7"/>
      <c r="GAU19" s="7"/>
      <c r="GAV19" s="7"/>
      <c r="GAW19" s="7"/>
      <c r="GAX19" s="7"/>
      <c r="GAY19" s="7"/>
      <c r="GAZ19" s="7"/>
      <c r="GBA19" s="7"/>
      <c r="GBB19" s="7"/>
      <c r="GBC19" s="7"/>
      <c r="GBD19" s="7"/>
      <c r="GBE19" s="7"/>
      <c r="GBF19" s="7"/>
      <c r="GBG19" s="7"/>
      <c r="GBH19" s="7"/>
      <c r="GBI19" s="7"/>
      <c r="GBJ19" s="7"/>
      <c r="GBK19" s="7"/>
      <c r="GBL19" s="7"/>
      <c r="GBM19" s="7"/>
      <c r="GBN19" s="7"/>
      <c r="GBO19" s="7"/>
      <c r="GBP19" s="7"/>
      <c r="GBQ19" s="7"/>
      <c r="GBR19" s="7"/>
      <c r="GBS19" s="7"/>
      <c r="GBT19" s="7"/>
      <c r="GBU19" s="7"/>
      <c r="GBV19" s="7"/>
      <c r="GBW19" s="7"/>
      <c r="GBX19" s="7"/>
      <c r="GBY19" s="7"/>
      <c r="GBZ19" s="7"/>
      <c r="GCA19" s="7"/>
      <c r="GCB19" s="7"/>
      <c r="GCC19" s="7"/>
      <c r="GCD19" s="7"/>
      <c r="GCE19" s="7"/>
      <c r="GCF19" s="7"/>
      <c r="GCG19" s="7"/>
      <c r="GCH19" s="7"/>
      <c r="GCI19" s="7"/>
      <c r="GCJ19" s="7"/>
      <c r="GCK19" s="7"/>
      <c r="GCL19" s="7"/>
      <c r="GCM19" s="7"/>
      <c r="GCN19" s="7"/>
      <c r="GCO19" s="7"/>
      <c r="GCP19" s="7"/>
      <c r="GCQ19" s="7"/>
      <c r="GCR19" s="7"/>
      <c r="GCS19" s="7"/>
      <c r="GCT19" s="7"/>
      <c r="GCU19" s="7"/>
      <c r="GCV19" s="7"/>
      <c r="GCW19" s="7"/>
      <c r="GCX19" s="7"/>
      <c r="GCY19" s="7"/>
      <c r="GCZ19" s="7"/>
      <c r="GDA19" s="7"/>
      <c r="GDB19" s="7"/>
      <c r="GDC19" s="7"/>
      <c r="GDD19" s="7"/>
      <c r="GDE19" s="7"/>
      <c r="GDF19" s="7"/>
      <c r="GDG19" s="7"/>
      <c r="GDH19" s="7"/>
      <c r="GDI19" s="7"/>
      <c r="GDJ19" s="7"/>
      <c r="GDK19" s="7"/>
      <c r="GDL19" s="7"/>
      <c r="GDM19" s="7"/>
      <c r="GDN19" s="7"/>
      <c r="GDO19" s="7"/>
      <c r="GDP19" s="7"/>
      <c r="GDQ19" s="7"/>
      <c r="GDR19" s="7"/>
      <c r="GDS19" s="7"/>
      <c r="GDT19" s="7"/>
      <c r="GDU19" s="7"/>
      <c r="GDV19" s="7"/>
      <c r="GDW19" s="7"/>
      <c r="GDX19" s="7"/>
      <c r="GDY19" s="7"/>
      <c r="GDZ19" s="7"/>
      <c r="GEA19" s="7"/>
      <c r="GEB19" s="7"/>
      <c r="GEC19" s="7"/>
      <c r="GED19" s="7"/>
      <c r="GEE19" s="7"/>
      <c r="GEF19" s="7"/>
      <c r="GEG19" s="7"/>
      <c r="GEH19" s="7"/>
      <c r="GEI19" s="7"/>
      <c r="GEJ19" s="7"/>
      <c r="GEK19" s="7"/>
      <c r="GEL19" s="7"/>
      <c r="GEM19" s="7"/>
      <c r="GEN19" s="7"/>
      <c r="GEO19" s="7"/>
      <c r="GEP19" s="7"/>
      <c r="GEQ19" s="7"/>
      <c r="GER19" s="7"/>
      <c r="GES19" s="7"/>
      <c r="GET19" s="7"/>
      <c r="GEU19" s="7"/>
      <c r="GEV19" s="7"/>
      <c r="GEW19" s="7"/>
      <c r="GEX19" s="7"/>
      <c r="GEY19" s="7"/>
      <c r="GEZ19" s="7"/>
      <c r="GFA19" s="7"/>
      <c r="GFB19" s="7"/>
      <c r="GFC19" s="7"/>
      <c r="GFD19" s="7"/>
      <c r="GFE19" s="7"/>
      <c r="GFF19" s="7"/>
      <c r="GFG19" s="7"/>
      <c r="GFH19" s="7"/>
      <c r="GFI19" s="7"/>
      <c r="GFJ19" s="7"/>
      <c r="GFK19" s="7"/>
      <c r="GFL19" s="7"/>
      <c r="GFM19" s="7"/>
      <c r="GFN19" s="7"/>
      <c r="GFO19" s="7"/>
      <c r="GFP19" s="7"/>
      <c r="GFQ19" s="7"/>
      <c r="GFR19" s="7"/>
      <c r="GFS19" s="7"/>
      <c r="GFT19" s="7"/>
      <c r="GFU19" s="7"/>
      <c r="GFV19" s="7"/>
      <c r="GFW19" s="7"/>
      <c r="GFX19" s="7"/>
      <c r="GFY19" s="7"/>
      <c r="GFZ19" s="7"/>
      <c r="GGA19" s="7"/>
      <c r="GGB19" s="7"/>
      <c r="GGC19" s="7"/>
      <c r="GGD19" s="7"/>
      <c r="GGE19" s="7"/>
      <c r="GGF19" s="7"/>
      <c r="GGG19" s="7"/>
      <c r="GGH19" s="7"/>
      <c r="GGI19" s="7"/>
      <c r="GGJ19" s="7"/>
      <c r="GGK19" s="7"/>
      <c r="GGL19" s="7"/>
      <c r="GGM19" s="7"/>
      <c r="GGN19" s="7"/>
      <c r="GGO19" s="7"/>
      <c r="GGP19" s="7"/>
      <c r="GGQ19" s="7"/>
      <c r="GGR19" s="7"/>
      <c r="GGS19" s="7"/>
      <c r="GGT19" s="7"/>
      <c r="GGU19" s="7"/>
      <c r="GGV19" s="7"/>
      <c r="GGW19" s="7"/>
      <c r="GGX19" s="7"/>
      <c r="GGY19" s="7"/>
      <c r="GGZ19" s="7"/>
      <c r="GHA19" s="7"/>
      <c r="GHB19" s="7"/>
      <c r="GHC19" s="7"/>
      <c r="GHD19" s="7"/>
      <c r="GHE19" s="7"/>
      <c r="GHF19" s="7"/>
      <c r="GHG19" s="7"/>
      <c r="GHH19" s="7"/>
      <c r="GHI19" s="7"/>
      <c r="GHJ19" s="7"/>
      <c r="GHK19" s="7"/>
      <c r="GHL19" s="7"/>
      <c r="GHM19" s="7"/>
      <c r="GHN19" s="7"/>
      <c r="GHO19" s="7"/>
      <c r="GHP19" s="7"/>
      <c r="GHQ19" s="7"/>
      <c r="GHR19" s="7"/>
      <c r="GHS19" s="7"/>
      <c r="GHT19" s="7"/>
      <c r="GHU19" s="7"/>
      <c r="GHV19" s="7"/>
      <c r="GHW19" s="7"/>
      <c r="GHX19" s="7"/>
      <c r="GHY19" s="7"/>
      <c r="GHZ19" s="7"/>
      <c r="GIA19" s="7"/>
      <c r="GIB19" s="7"/>
      <c r="GIC19" s="7"/>
      <c r="GID19" s="7"/>
      <c r="GIE19" s="7"/>
      <c r="GIF19" s="7"/>
      <c r="GIG19" s="7"/>
      <c r="GIH19" s="7"/>
      <c r="GII19" s="7"/>
      <c r="GIJ19" s="7"/>
      <c r="GIK19" s="7"/>
      <c r="GIL19" s="7"/>
      <c r="GIM19" s="7"/>
      <c r="GIN19" s="7"/>
      <c r="GIO19" s="7"/>
      <c r="GIP19" s="7"/>
      <c r="GIQ19" s="7"/>
      <c r="GIR19" s="7"/>
      <c r="GIS19" s="7"/>
      <c r="GIT19" s="7"/>
      <c r="GIU19" s="7"/>
      <c r="GIV19" s="7"/>
      <c r="GIW19" s="7"/>
      <c r="GIX19" s="7"/>
      <c r="GIY19" s="7"/>
      <c r="GIZ19" s="7"/>
      <c r="GJA19" s="7"/>
      <c r="GJB19" s="7"/>
      <c r="GJC19" s="7"/>
      <c r="GJD19" s="7"/>
      <c r="GJE19" s="7"/>
      <c r="GJF19" s="7"/>
      <c r="GJG19" s="7"/>
      <c r="GJH19" s="7"/>
      <c r="GJI19" s="7"/>
      <c r="GJJ19" s="7"/>
      <c r="GJK19" s="7"/>
      <c r="GJL19" s="7"/>
      <c r="GJM19" s="7"/>
      <c r="GJN19" s="7"/>
      <c r="GJO19" s="7"/>
      <c r="GJP19" s="7"/>
      <c r="GJQ19" s="7"/>
      <c r="GJR19" s="7"/>
      <c r="GJS19" s="7"/>
      <c r="GJT19" s="7"/>
      <c r="GJU19" s="7"/>
      <c r="GJV19" s="7"/>
      <c r="GJW19" s="7"/>
      <c r="GJX19" s="7"/>
      <c r="GJY19" s="7"/>
      <c r="GJZ19" s="7"/>
      <c r="GKA19" s="7"/>
      <c r="GKB19" s="7"/>
      <c r="GKC19" s="7"/>
      <c r="GKD19" s="7"/>
      <c r="GKE19" s="7"/>
      <c r="GKF19" s="7"/>
      <c r="GKG19" s="7"/>
      <c r="GKH19" s="7"/>
      <c r="GKI19" s="7"/>
      <c r="GKJ19" s="7"/>
      <c r="GKK19" s="7"/>
      <c r="GKL19" s="7"/>
      <c r="GKM19" s="7"/>
      <c r="GKN19" s="7"/>
      <c r="GKO19" s="7"/>
      <c r="GKP19" s="7"/>
      <c r="GKQ19" s="7"/>
      <c r="GKR19" s="7"/>
      <c r="GKS19" s="7"/>
      <c r="GKT19" s="7"/>
      <c r="GKU19" s="7"/>
      <c r="GKV19" s="7"/>
      <c r="GKW19" s="7"/>
      <c r="GKX19" s="7"/>
      <c r="GKY19" s="7"/>
      <c r="GKZ19" s="7"/>
      <c r="GLA19" s="7"/>
      <c r="GLB19" s="7"/>
      <c r="GLC19" s="7"/>
      <c r="GLD19" s="7"/>
      <c r="GLE19" s="7"/>
      <c r="GLF19" s="7"/>
      <c r="GLG19" s="7"/>
      <c r="GLH19" s="7"/>
      <c r="GLI19" s="7"/>
      <c r="GLJ19" s="7"/>
      <c r="GLK19" s="7"/>
      <c r="GLL19" s="7"/>
      <c r="GLM19" s="7"/>
      <c r="GLN19" s="7"/>
      <c r="GLO19" s="7"/>
      <c r="GLP19" s="7"/>
      <c r="GLQ19" s="7"/>
      <c r="GLR19" s="7"/>
      <c r="GLS19" s="7"/>
      <c r="GLT19" s="7"/>
      <c r="GLU19" s="7"/>
      <c r="GLV19" s="7"/>
      <c r="GLW19" s="7"/>
      <c r="GLX19" s="7"/>
      <c r="GLY19" s="7"/>
      <c r="GLZ19" s="7"/>
      <c r="GMA19" s="7"/>
      <c r="GMB19" s="7"/>
      <c r="GMC19" s="7"/>
      <c r="GMD19" s="7"/>
      <c r="GME19" s="7"/>
      <c r="GMF19" s="7"/>
      <c r="GMG19" s="7"/>
      <c r="GMH19" s="7"/>
      <c r="GMI19" s="7"/>
      <c r="GMJ19" s="7"/>
      <c r="GMK19" s="7"/>
      <c r="GML19" s="7"/>
      <c r="GMM19" s="7"/>
      <c r="GMN19" s="7"/>
      <c r="GMO19" s="7"/>
      <c r="GMP19" s="7"/>
      <c r="GMQ19" s="7"/>
      <c r="GMR19" s="7"/>
      <c r="GMS19" s="7"/>
      <c r="GMT19" s="7"/>
      <c r="GMU19" s="7"/>
      <c r="GMV19" s="7"/>
      <c r="GMW19" s="7"/>
      <c r="GMX19" s="7"/>
      <c r="GMY19" s="7"/>
      <c r="GMZ19" s="7"/>
      <c r="GNA19" s="7"/>
      <c r="GNB19" s="7"/>
      <c r="GNC19" s="7"/>
      <c r="GND19" s="7"/>
      <c r="GNE19" s="7"/>
      <c r="GNF19" s="7"/>
      <c r="GNG19" s="7"/>
      <c r="GNH19" s="7"/>
      <c r="GNI19" s="7"/>
      <c r="GNJ19" s="7"/>
      <c r="GNK19" s="7"/>
      <c r="GNL19" s="7"/>
      <c r="GNM19" s="7"/>
      <c r="GNN19" s="7"/>
      <c r="GNO19" s="7"/>
      <c r="GNP19" s="7"/>
      <c r="GNQ19" s="7"/>
      <c r="GNR19" s="7"/>
      <c r="GNS19" s="7"/>
      <c r="GNT19" s="7"/>
      <c r="GNU19" s="7"/>
      <c r="GNV19" s="7"/>
      <c r="GNW19" s="7"/>
      <c r="GNX19" s="7"/>
      <c r="GNY19" s="7"/>
      <c r="GNZ19" s="7"/>
      <c r="GOA19" s="7"/>
      <c r="GOB19" s="7"/>
      <c r="GOC19" s="7"/>
      <c r="GOD19" s="7"/>
      <c r="GOE19" s="7"/>
      <c r="GOF19" s="7"/>
      <c r="GOG19" s="7"/>
      <c r="GOH19" s="7"/>
      <c r="GOI19" s="7"/>
      <c r="GOJ19" s="7"/>
      <c r="GOK19" s="7"/>
      <c r="GOL19" s="7"/>
      <c r="GOM19" s="7"/>
      <c r="GON19" s="7"/>
      <c r="GOO19" s="7"/>
      <c r="GOP19" s="7"/>
      <c r="GOQ19" s="7"/>
      <c r="GOR19" s="7"/>
      <c r="GOS19" s="7"/>
      <c r="GOT19" s="7"/>
      <c r="GOU19" s="7"/>
      <c r="GOV19" s="7"/>
      <c r="GOW19" s="7"/>
      <c r="GOX19" s="7"/>
      <c r="GOY19" s="7"/>
      <c r="GOZ19" s="7"/>
      <c r="GPA19" s="7"/>
      <c r="GPB19" s="7"/>
      <c r="GPC19" s="7"/>
      <c r="GPD19" s="7"/>
      <c r="GPE19" s="7"/>
      <c r="GPF19" s="7"/>
      <c r="GPG19" s="7"/>
      <c r="GPH19" s="7"/>
      <c r="GPI19" s="7"/>
      <c r="GPJ19" s="7"/>
      <c r="GPK19" s="7"/>
      <c r="GPL19" s="7"/>
      <c r="GPM19" s="7"/>
      <c r="GPN19" s="7"/>
      <c r="GPO19" s="7"/>
      <c r="GPP19" s="7"/>
      <c r="GPQ19" s="7"/>
      <c r="GPR19" s="7"/>
      <c r="GPS19" s="7"/>
      <c r="GPT19" s="7"/>
      <c r="GPU19" s="7"/>
      <c r="GPV19" s="7"/>
      <c r="GPW19" s="7"/>
      <c r="GPX19" s="7"/>
      <c r="GPY19" s="7"/>
      <c r="GPZ19" s="7"/>
      <c r="GQA19" s="7"/>
      <c r="GQB19" s="7"/>
      <c r="GQC19" s="7"/>
      <c r="GQD19" s="7"/>
      <c r="GQE19" s="7"/>
      <c r="GQF19" s="7"/>
      <c r="GQG19" s="7"/>
      <c r="GQH19" s="7"/>
      <c r="GQI19" s="7"/>
      <c r="GQJ19" s="7"/>
      <c r="GQK19" s="7"/>
      <c r="GQL19" s="7"/>
      <c r="GQM19" s="7"/>
      <c r="GQN19" s="7"/>
      <c r="GQO19" s="7"/>
      <c r="GQP19" s="7"/>
      <c r="GQQ19" s="7"/>
      <c r="GQR19" s="7"/>
      <c r="GQS19" s="7"/>
      <c r="GQT19" s="7"/>
      <c r="GQU19" s="7"/>
      <c r="GQV19" s="7"/>
      <c r="GQW19" s="7"/>
      <c r="GQX19" s="7"/>
      <c r="GQY19" s="7"/>
      <c r="GQZ19" s="7"/>
      <c r="GRA19" s="7"/>
      <c r="GRB19" s="7"/>
      <c r="GRC19" s="7"/>
      <c r="GRD19" s="7"/>
      <c r="GRE19" s="7"/>
      <c r="GRF19" s="7"/>
      <c r="GRG19" s="7"/>
      <c r="GRH19" s="7"/>
      <c r="GRI19" s="7"/>
      <c r="GRJ19" s="7"/>
      <c r="GRK19" s="7"/>
      <c r="GRL19" s="7"/>
      <c r="GRM19" s="7"/>
      <c r="GRN19" s="7"/>
      <c r="GRO19" s="7"/>
      <c r="GRP19" s="7"/>
      <c r="GRQ19" s="7"/>
      <c r="GRR19" s="7"/>
      <c r="GRS19" s="7"/>
      <c r="GRT19" s="7"/>
      <c r="GRU19" s="7"/>
      <c r="GRV19" s="7"/>
      <c r="GRW19" s="7"/>
      <c r="GRX19" s="7"/>
      <c r="GRY19" s="7"/>
      <c r="GRZ19" s="7"/>
      <c r="GSA19" s="7"/>
      <c r="GSB19" s="7"/>
      <c r="GSC19" s="7"/>
      <c r="GSD19" s="7"/>
      <c r="GSE19" s="7"/>
      <c r="GSF19" s="7"/>
      <c r="GSG19" s="7"/>
      <c r="GSH19" s="7"/>
      <c r="GSI19" s="7"/>
      <c r="GSJ19" s="7"/>
      <c r="GSK19" s="7"/>
      <c r="GSL19" s="7"/>
      <c r="GSM19" s="7"/>
      <c r="GSN19" s="7"/>
      <c r="GSO19" s="7"/>
      <c r="GSP19" s="7"/>
      <c r="GSQ19" s="7"/>
      <c r="GSR19" s="7"/>
      <c r="GSS19" s="7"/>
      <c r="GST19" s="7"/>
      <c r="GSU19" s="7"/>
      <c r="GSV19" s="7"/>
      <c r="GSW19" s="7"/>
      <c r="GSX19" s="7"/>
      <c r="GSY19" s="7"/>
      <c r="GSZ19" s="7"/>
      <c r="GTA19" s="7"/>
      <c r="GTB19" s="7"/>
      <c r="GTC19" s="7"/>
      <c r="GTD19" s="7"/>
      <c r="GTE19" s="7"/>
      <c r="GTF19" s="7"/>
      <c r="GTG19" s="7"/>
      <c r="GTH19" s="7"/>
      <c r="GTI19" s="7"/>
      <c r="GTJ19" s="7"/>
      <c r="GTK19" s="7"/>
      <c r="GTL19" s="7"/>
      <c r="GTM19" s="7"/>
      <c r="GTN19" s="7"/>
      <c r="GTO19" s="7"/>
      <c r="GTP19" s="7"/>
      <c r="GTQ19" s="7"/>
      <c r="GTR19" s="7"/>
      <c r="GTS19" s="7"/>
      <c r="GTT19" s="7"/>
      <c r="GTU19" s="7"/>
      <c r="GTV19" s="7"/>
      <c r="GTW19" s="7"/>
      <c r="GTX19" s="7"/>
      <c r="GTY19" s="7"/>
      <c r="GTZ19" s="7"/>
      <c r="GUA19" s="7"/>
      <c r="GUB19" s="7"/>
      <c r="GUC19" s="7"/>
      <c r="GUD19" s="7"/>
      <c r="GUE19" s="7"/>
      <c r="GUF19" s="7"/>
      <c r="GUG19" s="7"/>
      <c r="GUH19" s="7"/>
      <c r="GUI19" s="7"/>
      <c r="GUJ19" s="7"/>
      <c r="GUK19" s="7"/>
      <c r="GUL19" s="7"/>
      <c r="GUM19" s="7"/>
      <c r="GUN19" s="7"/>
      <c r="GUO19" s="7"/>
      <c r="GUP19" s="7"/>
      <c r="GUQ19" s="7"/>
      <c r="GUR19" s="7"/>
      <c r="GUS19" s="7"/>
      <c r="GUT19" s="7"/>
      <c r="GUU19" s="7"/>
      <c r="GUV19" s="7"/>
      <c r="GUW19" s="7"/>
      <c r="GUX19" s="7"/>
      <c r="GUY19" s="7"/>
      <c r="GUZ19" s="7"/>
      <c r="GVA19" s="7"/>
      <c r="GVB19" s="7"/>
      <c r="GVC19" s="7"/>
      <c r="GVD19" s="7"/>
      <c r="GVE19" s="7"/>
      <c r="GVF19" s="7"/>
      <c r="GVG19" s="7"/>
      <c r="GVH19" s="7"/>
      <c r="GVI19" s="7"/>
      <c r="GVJ19" s="7"/>
      <c r="GVK19" s="7"/>
      <c r="GVL19" s="7"/>
      <c r="GVM19" s="7"/>
      <c r="GVN19" s="7"/>
      <c r="GVO19" s="7"/>
      <c r="GVP19" s="7"/>
      <c r="GVQ19" s="7"/>
      <c r="GVR19" s="7"/>
      <c r="GVS19" s="7"/>
      <c r="GVT19" s="7"/>
      <c r="GVU19" s="7"/>
      <c r="GVV19" s="7"/>
      <c r="GVW19" s="7"/>
      <c r="GVX19" s="7"/>
      <c r="GVY19" s="7"/>
      <c r="GVZ19" s="7"/>
      <c r="GWA19" s="7"/>
      <c r="GWB19" s="7"/>
      <c r="GWC19" s="7"/>
      <c r="GWD19" s="7"/>
      <c r="GWE19" s="7"/>
      <c r="GWF19" s="7"/>
      <c r="GWG19" s="7"/>
      <c r="GWH19" s="7"/>
      <c r="GWI19" s="7"/>
      <c r="GWJ19" s="7"/>
      <c r="GWK19" s="7"/>
      <c r="GWL19" s="7"/>
      <c r="GWM19" s="7"/>
      <c r="GWN19" s="7"/>
      <c r="GWO19" s="7"/>
      <c r="GWP19" s="7"/>
      <c r="GWQ19" s="7"/>
      <c r="GWR19" s="7"/>
      <c r="GWS19" s="7"/>
      <c r="GWT19" s="7"/>
      <c r="GWU19" s="7"/>
      <c r="GWV19" s="7"/>
      <c r="GWW19" s="7"/>
      <c r="GWX19" s="7"/>
      <c r="GWY19" s="7"/>
      <c r="GWZ19" s="7"/>
      <c r="GXA19" s="7"/>
      <c r="GXB19" s="7"/>
      <c r="GXC19" s="7"/>
      <c r="GXD19" s="7"/>
      <c r="GXE19" s="7"/>
      <c r="GXF19" s="7"/>
      <c r="GXG19" s="7"/>
      <c r="GXH19" s="7"/>
      <c r="GXI19" s="7"/>
      <c r="GXJ19" s="7"/>
      <c r="GXK19" s="7"/>
      <c r="GXL19" s="7"/>
      <c r="GXM19" s="7"/>
      <c r="GXN19" s="7"/>
      <c r="GXO19" s="7"/>
      <c r="GXP19" s="7"/>
      <c r="GXQ19" s="7"/>
      <c r="GXR19" s="7"/>
      <c r="GXS19" s="7"/>
      <c r="GXT19" s="7"/>
      <c r="GXU19" s="7"/>
      <c r="GXV19" s="7"/>
      <c r="GXW19" s="7"/>
      <c r="GXX19" s="7"/>
      <c r="GXY19" s="7"/>
      <c r="GXZ19" s="7"/>
      <c r="GYA19" s="7"/>
      <c r="GYB19" s="7"/>
      <c r="GYC19" s="7"/>
      <c r="GYD19" s="7"/>
      <c r="GYE19" s="7"/>
      <c r="GYF19" s="7"/>
      <c r="GYG19" s="7"/>
      <c r="GYH19" s="7"/>
      <c r="GYI19" s="7"/>
      <c r="GYJ19" s="7"/>
      <c r="GYK19" s="7"/>
      <c r="GYL19" s="7"/>
      <c r="GYM19" s="7"/>
      <c r="GYN19" s="7"/>
      <c r="GYO19" s="7"/>
      <c r="GYP19" s="7"/>
      <c r="GYQ19" s="7"/>
      <c r="GYR19" s="7"/>
      <c r="GYS19" s="7"/>
      <c r="GYT19" s="7"/>
      <c r="GYU19" s="7"/>
      <c r="GYV19" s="7"/>
      <c r="GYW19" s="7"/>
      <c r="GYX19" s="7"/>
      <c r="GYY19" s="7"/>
      <c r="GYZ19" s="7"/>
      <c r="GZA19" s="7"/>
      <c r="GZB19" s="7"/>
      <c r="GZC19" s="7"/>
      <c r="GZD19" s="7"/>
      <c r="GZE19" s="7"/>
      <c r="GZF19" s="7"/>
      <c r="GZG19" s="7"/>
      <c r="GZH19" s="7"/>
      <c r="GZI19" s="7"/>
      <c r="GZJ19" s="7"/>
      <c r="GZK19" s="7"/>
      <c r="GZL19" s="7"/>
      <c r="GZM19" s="7"/>
      <c r="GZN19" s="7"/>
      <c r="GZO19" s="7"/>
      <c r="GZP19" s="7"/>
      <c r="GZQ19" s="7"/>
      <c r="GZR19" s="7"/>
      <c r="GZS19" s="7"/>
      <c r="GZT19" s="7"/>
      <c r="GZU19" s="7"/>
      <c r="GZV19" s="7"/>
      <c r="GZW19" s="7"/>
      <c r="GZX19" s="7"/>
      <c r="GZY19" s="7"/>
      <c r="GZZ19" s="7"/>
      <c r="HAA19" s="7"/>
      <c r="HAB19" s="7"/>
      <c r="HAC19" s="7"/>
      <c r="HAD19" s="7"/>
      <c r="HAE19" s="7"/>
      <c r="HAF19" s="7"/>
      <c r="HAG19" s="7"/>
      <c r="HAH19" s="7"/>
      <c r="HAI19" s="7"/>
      <c r="HAJ19" s="7"/>
      <c r="HAK19" s="7"/>
      <c r="HAL19" s="7"/>
      <c r="HAM19" s="7"/>
      <c r="HAN19" s="7"/>
      <c r="HAO19" s="7"/>
      <c r="HAP19" s="7"/>
      <c r="HAQ19" s="7"/>
      <c r="HAR19" s="7"/>
      <c r="HAS19" s="7"/>
      <c r="HAT19" s="7"/>
      <c r="HAU19" s="7"/>
      <c r="HAV19" s="7"/>
      <c r="HAW19" s="7"/>
      <c r="HAX19" s="7"/>
      <c r="HAY19" s="7"/>
      <c r="HAZ19" s="7"/>
      <c r="HBA19" s="7"/>
      <c r="HBB19" s="7"/>
      <c r="HBC19" s="7"/>
      <c r="HBD19" s="7"/>
      <c r="HBE19" s="7"/>
      <c r="HBF19" s="7"/>
      <c r="HBG19" s="7"/>
      <c r="HBH19" s="7"/>
      <c r="HBI19" s="7"/>
      <c r="HBJ19" s="7"/>
      <c r="HBK19" s="7"/>
      <c r="HBL19" s="7"/>
      <c r="HBM19" s="7"/>
      <c r="HBN19" s="7"/>
      <c r="HBO19" s="7"/>
      <c r="HBP19" s="7"/>
      <c r="HBQ19" s="7"/>
      <c r="HBR19" s="7"/>
      <c r="HBS19" s="7"/>
      <c r="HBT19" s="7"/>
      <c r="HBU19" s="7"/>
      <c r="HBV19" s="7"/>
      <c r="HBW19" s="7"/>
      <c r="HBX19" s="7"/>
      <c r="HBY19" s="7"/>
      <c r="HBZ19" s="7"/>
      <c r="HCA19" s="7"/>
      <c r="HCB19" s="7"/>
      <c r="HCC19" s="7"/>
      <c r="HCD19" s="7"/>
      <c r="HCE19" s="7"/>
      <c r="HCF19" s="7"/>
      <c r="HCG19" s="7"/>
      <c r="HCH19" s="7"/>
      <c r="HCI19" s="7"/>
      <c r="HCJ19" s="7"/>
      <c r="HCK19" s="7"/>
      <c r="HCL19" s="7"/>
      <c r="HCM19" s="7"/>
      <c r="HCN19" s="7"/>
      <c r="HCO19" s="7"/>
      <c r="HCP19" s="7"/>
      <c r="HCQ19" s="7"/>
      <c r="HCR19" s="7"/>
      <c r="HCS19" s="7"/>
      <c r="HCT19" s="7"/>
      <c r="HCU19" s="7"/>
      <c r="HCV19" s="7"/>
      <c r="HCW19" s="7"/>
      <c r="HCX19" s="7"/>
      <c r="HCY19" s="7"/>
      <c r="HCZ19" s="7"/>
      <c r="HDA19" s="7"/>
      <c r="HDB19" s="7"/>
      <c r="HDC19" s="7"/>
      <c r="HDD19" s="7"/>
      <c r="HDE19" s="7"/>
      <c r="HDF19" s="7"/>
      <c r="HDG19" s="7"/>
      <c r="HDH19" s="7"/>
      <c r="HDI19" s="7"/>
      <c r="HDJ19" s="7"/>
      <c r="HDK19" s="7"/>
      <c r="HDL19" s="7"/>
      <c r="HDM19" s="7"/>
      <c r="HDN19" s="7"/>
      <c r="HDO19" s="7"/>
      <c r="HDP19" s="7"/>
      <c r="HDQ19" s="7"/>
      <c r="HDR19" s="7"/>
      <c r="HDS19" s="7"/>
      <c r="HDT19" s="7"/>
      <c r="HDU19" s="7"/>
      <c r="HDV19" s="7"/>
      <c r="HDW19" s="7"/>
      <c r="HDX19" s="7"/>
      <c r="HDY19" s="7"/>
      <c r="HDZ19" s="7"/>
      <c r="HEA19" s="7"/>
      <c r="HEB19" s="7"/>
      <c r="HEC19" s="7"/>
      <c r="HED19" s="7"/>
      <c r="HEE19" s="7"/>
      <c r="HEF19" s="7"/>
      <c r="HEG19" s="7"/>
      <c r="HEH19" s="7"/>
      <c r="HEI19" s="7"/>
      <c r="HEJ19" s="7"/>
      <c r="HEK19" s="7"/>
      <c r="HEL19" s="7"/>
      <c r="HEM19" s="7"/>
      <c r="HEN19" s="7"/>
      <c r="HEO19" s="7"/>
      <c r="HEP19" s="7"/>
      <c r="HEQ19" s="7"/>
      <c r="HER19" s="7"/>
      <c r="HES19" s="7"/>
      <c r="HET19" s="7"/>
      <c r="HEU19" s="7"/>
      <c r="HEV19" s="7"/>
      <c r="HEW19" s="7"/>
      <c r="HEX19" s="7"/>
      <c r="HEY19" s="7"/>
      <c r="HEZ19" s="7"/>
      <c r="HFA19" s="7"/>
      <c r="HFB19" s="7"/>
      <c r="HFC19" s="7"/>
      <c r="HFD19" s="7"/>
      <c r="HFE19" s="7"/>
      <c r="HFF19" s="7"/>
      <c r="HFG19" s="7"/>
      <c r="HFH19" s="7"/>
      <c r="HFI19" s="7"/>
      <c r="HFJ19" s="7"/>
      <c r="HFK19" s="7"/>
      <c r="HFL19" s="7"/>
      <c r="HFM19" s="7"/>
      <c r="HFN19" s="7"/>
      <c r="HFO19" s="7"/>
      <c r="HFP19" s="7"/>
      <c r="HFQ19" s="7"/>
      <c r="HFR19" s="7"/>
      <c r="HFS19" s="7"/>
      <c r="HFT19" s="7"/>
      <c r="HFU19" s="7"/>
      <c r="HFV19" s="7"/>
      <c r="HFW19" s="7"/>
      <c r="HFX19" s="7"/>
      <c r="HFY19" s="7"/>
      <c r="HFZ19" s="7"/>
      <c r="HGA19" s="7"/>
      <c r="HGB19" s="7"/>
      <c r="HGC19" s="7"/>
      <c r="HGD19" s="7"/>
      <c r="HGE19" s="7"/>
      <c r="HGF19" s="7"/>
      <c r="HGG19" s="7"/>
      <c r="HGH19" s="7"/>
      <c r="HGI19" s="7"/>
      <c r="HGJ19" s="7"/>
      <c r="HGK19" s="7"/>
      <c r="HGL19" s="7"/>
      <c r="HGM19" s="7"/>
      <c r="HGN19" s="7"/>
      <c r="HGO19" s="7"/>
      <c r="HGP19" s="7"/>
      <c r="HGQ19" s="7"/>
      <c r="HGR19" s="7"/>
      <c r="HGS19" s="7"/>
      <c r="HGT19" s="7"/>
      <c r="HGU19" s="7"/>
      <c r="HGV19" s="7"/>
      <c r="HGW19" s="7"/>
      <c r="HGX19" s="7"/>
      <c r="HGY19" s="7"/>
      <c r="HGZ19" s="7"/>
      <c r="HHA19" s="7"/>
      <c r="HHB19" s="7"/>
      <c r="HHC19" s="7"/>
      <c r="HHD19" s="7"/>
      <c r="HHE19" s="7"/>
      <c r="HHF19" s="7"/>
      <c r="HHG19" s="7"/>
      <c r="HHH19" s="7"/>
      <c r="HHI19" s="7"/>
      <c r="HHJ19" s="7"/>
      <c r="HHK19" s="7"/>
      <c r="HHL19" s="7"/>
      <c r="HHM19" s="7"/>
      <c r="HHN19" s="7"/>
      <c r="HHO19" s="7"/>
      <c r="HHP19" s="7"/>
      <c r="HHQ19" s="7"/>
      <c r="HHR19" s="7"/>
      <c r="HHS19" s="7"/>
      <c r="HHT19" s="7"/>
      <c r="HHU19" s="7"/>
      <c r="HHV19" s="7"/>
      <c r="HHW19" s="7"/>
      <c r="HHX19" s="7"/>
      <c r="HHY19" s="7"/>
      <c r="HHZ19" s="7"/>
      <c r="HIA19" s="7"/>
      <c r="HIB19" s="7"/>
      <c r="HIC19" s="7"/>
      <c r="HID19" s="7"/>
      <c r="HIE19" s="7"/>
      <c r="HIF19" s="7"/>
      <c r="HIG19" s="7"/>
      <c r="HIH19" s="7"/>
      <c r="HII19" s="7"/>
      <c r="HIJ19" s="7"/>
      <c r="HIK19" s="7"/>
      <c r="HIL19" s="7"/>
      <c r="HIM19" s="7"/>
      <c r="HIN19" s="7"/>
      <c r="HIO19" s="7"/>
      <c r="HIP19" s="7"/>
      <c r="HIQ19" s="7"/>
      <c r="HIR19" s="7"/>
      <c r="HIS19" s="7"/>
      <c r="HIT19" s="7"/>
      <c r="HIU19" s="7"/>
      <c r="HIV19" s="7"/>
      <c r="HIW19" s="7"/>
      <c r="HIX19" s="7"/>
      <c r="HIY19" s="7"/>
      <c r="HIZ19" s="7"/>
      <c r="HJA19" s="7"/>
      <c r="HJB19" s="7"/>
      <c r="HJC19" s="7"/>
      <c r="HJD19" s="7"/>
      <c r="HJE19" s="7"/>
      <c r="HJF19" s="7"/>
      <c r="HJG19" s="7"/>
      <c r="HJH19" s="7"/>
      <c r="HJI19" s="7"/>
      <c r="HJJ19" s="7"/>
      <c r="HJK19" s="7"/>
      <c r="HJL19" s="7"/>
      <c r="HJM19" s="7"/>
      <c r="HJN19" s="7"/>
      <c r="HJO19" s="7"/>
      <c r="HJP19" s="7"/>
      <c r="HJQ19" s="7"/>
      <c r="HJR19" s="7"/>
      <c r="HJS19" s="7"/>
      <c r="HJT19" s="7"/>
      <c r="HJU19" s="7"/>
      <c r="HJV19" s="7"/>
      <c r="HJW19" s="7"/>
      <c r="HJX19" s="7"/>
      <c r="HJY19" s="7"/>
      <c r="HJZ19" s="7"/>
      <c r="HKA19" s="7"/>
      <c r="HKB19" s="7"/>
      <c r="HKC19" s="7"/>
      <c r="HKD19" s="7"/>
      <c r="HKE19" s="7"/>
      <c r="HKF19" s="7"/>
      <c r="HKG19" s="7"/>
      <c r="HKH19" s="7"/>
      <c r="HKI19" s="7"/>
      <c r="HKJ19" s="7"/>
      <c r="HKK19" s="7"/>
      <c r="HKL19" s="7"/>
      <c r="HKM19" s="7"/>
      <c r="HKN19" s="7"/>
      <c r="HKO19" s="7"/>
      <c r="HKP19" s="7"/>
      <c r="HKQ19" s="7"/>
      <c r="HKR19" s="7"/>
      <c r="HKS19" s="7"/>
      <c r="HKT19" s="7"/>
      <c r="HKU19" s="7"/>
      <c r="HKV19" s="7"/>
      <c r="HKW19" s="7"/>
      <c r="HKX19" s="7"/>
      <c r="HKY19" s="7"/>
      <c r="HKZ19" s="7"/>
      <c r="HLA19" s="7"/>
      <c r="HLB19" s="7"/>
      <c r="HLC19" s="7"/>
      <c r="HLD19" s="7"/>
      <c r="HLE19" s="7"/>
      <c r="HLF19" s="7"/>
      <c r="HLG19" s="7"/>
      <c r="HLH19" s="7"/>
      <c r="HLI19" s="7"/>
      <c r="HLJ19" s="7"/>
      <c r="HLK19" s="7"/>
      <c r="HLL19" s="7"/>
      <c r="HLM19" s="7"/>
      <c r="HLN19" s="7"/>
      <c r="HLO19" s="7"/>
      <c r="HLP19" s="7"/>
      <c r="HLQ19" s="7"/>
      <c r="HLR19" s="7"/>
      <c r="HLS19" s="7"/>
      <c r="HLT19" s="7"/>
      <c r="HLU19" s="7"/>
      <c r="HLV19" s="7"/>
      <c r="HLW19" s="7"/>
      <c r="HLX19" s="7"/>
      <c r="HLY19" s="7"/>
      <c r="HLZ19" s="7"/>
      <c r="HMA19" s="7"/>
      <c r="HMB19" s="7"/>
      <c r="HMC19" s="7"/>
      <c r="HMD19" s="7"/>
      <c r="HME19" s="7"/>
      <c r="HMF19" s="7"/>
      <c r="HMG19" s="7"/>
      <c r="HMH19" s="7"/>
      <c r="HMI19" s="7"/>
      <c r="HMJ19" s="7"/>
      <c r="HMK19" s="7"/>
      <c r="HML19" s="7"/>
      <c r="HMM19" s="7"/>
      <c r="HMN19" s="7"/>
      <c r="HMO19" s="7"/>
      <c r="HMP19" s="7"/>
      <c r="HMQ19" s="7"/>
      <c r="HMR19" s="7"/>
      <c r="HMS19" s="7"/>
      <c r="HMT19" s="7"/>
      <c r="HMU19" s="7"/>
      <c r="HMV19" s="7"/>
      <c r="HMW19" s="7"/>
      <c r="HMX19" s="7"/>
      <c r="HMY19" s="7"/>
      <c r="HMZ19" s="7"/>
      <c r="HNA19" s="7"/>
      <c r="HNB19" s="7"/>
      <c r="HNC19" s="7"/>
      <c r="HND19" s="7"/>
      <c r="HNE19" s="7"/>
      <c r="HNF19" s="7"/>
      <c r="HNG19" s="7"/>
      <c r="HNH19" s="7"/>
      <c r="HNI19" s="7"/>
      <c r="HNJ19" s="7"/>
      <c r="HNK19" s="7"/>
      <c r="HNL19" s="7"/>
      <c r="HNM19" s="7"/>
      <c r="HNN19" s="7"/>
      <c r="HNO19" s="7"/>
      <c r="HNP19" s="7"/>
      <c r="HNQ19" s="7"/>
      <c r="HNR19" s="7"/>
      <c r="HNS19" s="7"/>
      <c r="HNT19" s="7"/>
      <c r="HNU19" s="7"/>
      <c r="HNV19" s="7"/>
      <c r="HNW19" s="7"/>
      <c r="HNX19" s="7"/>
      <c r="HNY19" s="7"/>
      <c r="HNZ19" s="7"/>
      <c r="HOA19" s="7"/>
      <c r="HOB19" s="7"/>
      <c r="HOC19" s="7"/>
      <c r="HOD19" s="7"/>
      <c r="HOE19" s="7"/>
      <c r="HOF19" s="7"/>
      <c r="HOG19" s="7"/>
      <c r="HOH19" s="7"/>
      <c r="HOI19" s="7"/>
      <c r="HOJ19" s="7"/>
      <c r="HOK19" s="7"/>
      <c r="HOL19" s="7"/>
      <c r="HOM19" s="7"/>
      <c r="HON19" s="7"/>
      <c r="HOO19" s="7"/>
      <c r="HOP19" s="7"/>
      <c r="HOQ19" s="7"/>
      <c r="HOR19" s="7"/>
      <c r="HOS19" s="7"/>
      <c r="HOT19" s="7"/>
      <c r="HOU19" s="7"/>
      <c r="HOV19" s="7"/>
      <c r="HOW19" s="7"/>
      <c r="HOX19" s="7"/>
      <c r="HOY19" s="7"/>
      <c r="HOZ19" s="7"/>
      <c r="HPA19" s="7"/>
      <c r="HPB19" s="7"/>
      <c r="HPC19" s="7"/>
      <c r="HPD19" s="7"/>
      <c r="HPE19" s="7"/>
      <c r="HPF19" s="7"/>
      <c r="HPG19" s="7"/>
      <c r="HPH19" s="7"/>
      <c r="HPI19" s="7"/>
      <c r="HPJ19" s="7"/>
      <c r="HPK19" s="7"/>
      <c r="HPL19" s="7"/>
      <c r="HPM19" s="7"/>
      <c r="HPN19" s="7"/>
      <c r="HPO19" s="7"/>
      <c r="HPP19" s="7"/>
      <c r="HPQ19" s="7"/>
      <c r="HPR19" s="7"/>
      <c r="HPS19" s="7"/>
      <c r="HPT19" s="7"/>
      <c r="HPU19" s="7"/>
      <c r="HPV19" s="7"/>
      <c r="HPW19" s="7"/>
      <c r="HPX19" s="7"/>
      <c r="HPY19" s="7"/>
      <c r="HPZ19" s="7"/>
      <c r="HQA19" s="7"/>
      <c r="HQB19" s="7"/>
      <c r="HQC19" s="7"/>
      <c r="HQD19" s="7"/>
      <c r="HQE19" s="7"/>
      <c r="HQF19" s="7"/>
      <c r="HQG19" s="7"/>
      <c r="HQH19" s="7"/>
      <c r="HQI19" s="7"/>
      <c r="HQJ19" s="7"/>
      <c r="HQK19" s="7"/>
      <c r="HQL19" s="7"/>
      <c r="HQM19" s="7"/>
      <c r="HQN19" s="7"/>
      <c r="HQO19" s="7"/>
      <c r="HQP19" s="7"/>
      <c r="HQQ19" s="7"/>
      <c r="HQR19" s="7"/>
      <c r="HQS19" s="7"/>
      <c r="HQT19" s="7"/>
      <c r="HQU19" s="7"/>
      <c r="HQV19" s="7"/>
      <c r="HQW19" s="7"/>
      <c r="HQX19" s="7"/>
      <c r="HQY19" s="7"/>
      <c r="HQZ19" s="7"/>
      <c r="HRA19" s="7"/>
      <c r="HRB19" s="7"/>
      <c r="HRC19" s="7"/>
      <c r="HRD19" s="7"/>
      <c r="HRE19" s="7"/>
      <c r="HRF19" s="7"/>
      <c r="HRG19" s="7"/>
      <c r="HRH19" s="7"/>
      <c r="HRI19" s="7"/>
      <c r="HRJ19" s="7"/>
      <c r="HRK19" s="7"/>
      <c r="HRL19" s="7"/>
      <c r="HRM19" s="7"/>
      <c r="HRN19" s="7"/>
      <c r="HRO19" s="7"/>
      <c r="HRP19" s="7"/>
      <c r="HRQ19" s="7"/>
      <c r="HRR19" s="7"/>
      <c r="HRS19" s="7"/>
      <c r="HRT19" s="7"/>
      <c r="HRU19" s="7"/>
      <c r="HRV19" s="7"/>
      <c r="HRW19" s="7"/>
      <c r="HRX19" s="7"/>
      <c r="HRY19" s="7"/>
      <c r="HRZ19" s="7"/>
      <c r="HSA19" s="7"/>
      <c r="HSB19" s="7"/>
      <c r="HSC19" s="7"/>
      <c r="HSD19" s="7"/>
      <c r="HSE19" s="7"/>
      <c r="HSF19" s="7"/>
      <c r="HSG19" s="7"/>
      <c r="HSH19" s="7"/>
      <c r="HSI19" s="7"/>
      <c r="HSJ19" s="7"/>
      <c r="HSK19" s="7"/>
      <c r="HSL19" s="7"/>
      <c r="HSM19" s="7"/>
      <c r="HSN19" s="7"/>
      <c r="HSO19" s="7"/>
      <c r="HSP19" s="7"/>
      <c r="HSQ19" s="7"/>
      <c r="HSR19" s="7"/>
      <c r="HSS19" s="7"/>
      <c r="HST19" s="7"/>
      <c r="HSU19" s="7"/>
      <c r="HSV19" s="7"/>
      <c r="HSW19" s="7"/>
      <c r="HSX19" s="7"/>
      <c r="HSY19" s="7"/>
      <c r="HSZ19" s="7"/>
      <c r="HTA19" s="7"/>
      <c r="HTB19" s="7"/>
      <c r="HTC19" s="7"/>
      <c r="HTD19" s="7"/>
      <c r="HTE19" s="7"/>
      <c r="HTF19" s="7"/>
      <c r="HTG19" s="7"/>
      <c r="HTH19" s="7"/>
      <c r="HTI19" s="7"/>
      <c r="HTJ19" s="7"/>
      <c r="HTK19" s="7"/>
      <c r="HTL19" s="7"/>
      <c r="HTM19" s="7"/>
      <c r="HTN19" s="7"/>
      <c r="HTO19" s="7"/>
      <c r="HTP19" s="7"/>
      <c r="HTQ19" s="7"/>
      <c r="HTR19" s="7"/>
      <c r="HTS19" s="7"/>
      <c r="HTT19" s="7"/>
      <c r="HTU19" s="7"/>
      <c r="HTV19" s="7"/>
      <c r="HTW19" s="7"/>
      <c r="HTX19" s="7"/>
      <c r="HTY19" s="7"/>
      <c r="HTZ19" s="7"/>
      <c r="HUA19" s="7"/>
      <c r="HUB19" s="7"/>
      <c r="HUC19" s="7"/>
      <c r="HUD19" s="7"/>
      <c r="HUE19" s="7"/>
      <c r="HUF19" s="7"/>
      <c r="HUG19" s="7"/>
      <c r="HUH19" s="7"/>
      <c r="HUI19" s="7"/>
      <c r="HUJ19" s="7"/>
      <c r="HUK19" s="7"/>
      <c r="HUL19" s="7"/>
      <c r="HUM19" s="7"/>
      <c r="HUN19" s="7"/>
      <c r="HUO19" s="7"/>
      <c r="HUP19" s="7"/>
      <c r="HUQ19" s="7"/>
      <c r="HUR19" s="7"/>
      <c r="HUS19" s="7"/>
      <c r="HUT19" s="7"/>
      <c r="HUU19" s="7"/>
      <c r="HUV19" s="7"/>
      <c r="HUW19" s="7"/>
      <c r="HUX19" s="7"/>
      <c r="HUY19" s="7"/>
      <c r="HUZ19" s="7"/>
      <c r="HVA19" s="7"/>
      <c r="HVB19" s="7"/>
      <c r="HVC19" s="7"/>
      <c r="HVD19" s="7"/>
      <c r="HVE19" s="7"/>
      <c r="HVF19" s="7"/>
      <c r="HVG19" s="7"/>
      <c r="HVH19" s="7"/>
      <c r="HVI19" s="7"/>
      <c r="HVJ19" s="7"/>
      <c r="HVK19" s="7"/>
      <c r="HVL19" s="7"/>
      <c r="HVM19" s="7"/>
      <c r="HVN19" s="7"/>
      <c r="HVO19" s="7"/>
      <c r="HVP19" s="7"/>
      <c r="HVQ19" s="7"/>
      <c r="HVR19" s="7"/>
      <c r="HVS19" s="7"/>
      <c r="HVT19" s="7"/>
      <c r="HVU19" s="7"/>
      <c r="HVV19" s="7"/>
      <c r="HVW19" s="7"/>
      <c r="HVX19" s="7"/>
      <c r="HVY19" s="7"/>
      <c r="HVZ19" s="7"/>
      <c r="HWA19" s="7"/>
      <c r="HWB19" s="7"/>
      <c r="HWC19" s="7"/>
      <c r="HWD19" s="7"/>
      <c r="HWE19" s="7"/>
      <c r="HWF19" s="7"/>
      <c r="HWG19" s="7"/>
      <c r="HWH19" s="7"/>
      <c r="HWI19" s="7"/>
      <c r="HWJ19" s="7"/>
      <c r="HWK19" s="7"/>
      <c r="HWL19" s="7"/>
      <c r="HWM19" s="7"/>
      <c r="HWN19" s="7"/>
      <c r="HWO19" s="7"/>
      <c r="HWP19" s="7"/>
      <c r="HWQ19" s="7"/>
      <c r="HWR19" s="7"/>
      <c r="HWS19" s="7"/>
      <c r="HWT19" s="7"/>
      <c r="HWU19" s="7"/>
      <c r="HWV19" s="7"/>
      <c r="HWW19" s="7"/>
      <c r="HWX19" s="7"/>
      <c r="HWY19" s="7"/>
      <c r="HWZ19" s="7"/>
      <c r="HXA19" s="7"/>
      <c r="HXB19" s="7"/>
      <c r="HXC19" s="7"/>
      <c r="HXD19" s="7"/>
      <c r="HXE19" s="7"/>
      <c r="HXF19" s="7"/>
      <c r="HXG19" s="7"/>
      <c r="HXH19" s="7"/>
      <c r="HXI19" s="7"/>
      <c r="HXJ19" s="7"/>
      <c r="HXK19" s="7"/>
      <c r="HXL19" s="7"/>
      <c r="HXM19" s="7"/>
      <c r="HXN19" s="7"/>
      <c r="HXO19" s="7"/>
      <c r="HXP19" s="7"/>
      <c r="HXQ19" s="7"/>
      <c r="HXR19" s="7"/>
      <c r="HXS19" s="7"/>
      <c r="HXT19" s="7"/>
      <c r="HXU19" s="7"/>
      <c r="HXV19" s="7"/>
      <c r="HXW19" s="7"/>
      <c r="HXX19" s="7"/>
      <c r="HXY19" s="7"/>
      <c r="HXZ19" s="7"/>
      <c r="HYA19" s="7"/>
      <c r="HYB19" s="7"/>
      <c r="HYC19" s="7"/>
      <c r="HYD19" s="7"/>
      <c r="HYE19" s="7"/>
      <c r="HYF19" s="7"/>
      <c r="HYG19" s="7"/>
      <c r="HYH19" s="7"/>
      <c r="HYI19" s="7"/>
      <c r="HYJ19" s="7"/>
      <c r="HYK19" s="7"/>
      <c r="HYL19" s="7"/>
      <c r="HYM19" s="7"/>
      <c r="HYN19" s="7"/>
      <c r="HYO19" s="7"/>
      <c r="HYP19" s="7"/>
      <c r="HYQ19" s="7"/>
      <c r="HYR19" s="7"/>
      <c r="HYS19" s="7"/>
      <c r="HYT19" s="7"/>
      <c r="HYU19" s="7"/>
      <c r="HYV19" s="7"/>
      <c r="HYW19" s="7"/>
      <c r="HYX19" s="7"/>
      <c r="HYY19" s="7"/>
      <c r="HYZ19" s="7"/>
      <c r="HZA19" s="7"/>
      <c r="HZB19" s="7"/>
      <c r="HZC19" s="7"/>
      <c r="HZD19" s="7"/>
      <c r="HZE19" s="7"/>
      <c r="HZF19" s="7"/>
      <c r="HZG19" s="7"/>
      <c r="HZH19" s="7"/>
      <c r="HZI19" s="7"/>
      <c r="HZJ19" s="7"/>
      <c r="HZK19" s="7"/>
      <c r="HZL19" s="7"/>
      <c r="HZM19" s="7"/>
      <c r="HZN19" s="7"/>
      <c r="HZO19" s="7"/>
      <c r="HZP19" s="7"/>
      <c r="HZQ19" s="7"/>
      <c r="HZR19" s="7"/>
      <c r="HZS19" s="7"/>
      <c r="HZT19" s="7"/>
      <c r="HZU19" s="7"/>
      <c r="HZV19" s="7"/>
      <c r="HZW19" s="7"/>
      <c r="HZX19" s="7"/>
      <c r="HZY19" s="7"/>
      <c r="HZZ19" s="7"/>
      <c r="IAA19" s="7"/>
      <c r="IAB19" s="7"/>
      <c r="IAC19" s="7"/>
      <c r="IAD19" s="7"/>
      <c r="IAE19" s="7"/>
      <c r="IAF19" s="7"/>
      <c r="IAG19" s="7"/>
      <c r="IAH19" s="7"/>
      <c r="IAI19" s="7"/>
      <c r="IAJ19" s="7"/>
      <c r="IAK19" s="7"/>
      <c r="IAL19" s="7"/>
      <c r="IAM19" s="7"/>
      <c r="IAN19" s="7"/>
      <c r="IAO19" s="7"/>
      <c r="IAP19" s="7"/>
      <c r="IAQ19" s="7"/>
      <c r="IAR19" s="7"/>
      <c r="IAS19" s="7"/>
      <c r="IAT19" s="7"/>
      <c r="IAU19" s="7"/>
      <c r="IAV19" s="7"/>
      <c r="IAW19" s="7"/>
      <c r="IAX19" s="7"/>
      <c r="IAY19" s="7"/>
      <c r="IAZ19" s="7"/>
      <c r="IBA19" s="7"/>
      <c r="IBB19" s="7"/>
      <c r="IBC19" s="7"/>
      <c r="IBD19" s="7"/>
      <c r="IBE19" s="7"/>
      <c r="IBF19" s="7"/>
      <c r="IBG19" s="7"/>
      <c r="IBH19" s="7"/>
      <c r="IBI19" s="7"/>
      <c r="IBJ19" s="7"/>
      <c r="IBK19" s="7"/>
      <c r="IBL19" s="7"/>
      <c r="IBM19" s="7"/>
      <c r="IBN19" s="7"/>
      <c r="IBO19" s="7"/>
      <c r="IBP19" s="7"/>
      <c r="IBQ19" s="7"/>
      <c r="IBR19" s="7"/>
      <c r="IBS19" s="7"/>
      <c r="IBT19" s="7"/>
      <c r="IBU19" s="7"/>
      <c r="IBV19" s="7"/>
      <c r="IBW19" s="7"/>
      <c r="IBX19" s="7"/>
      <c r="IBY19" s="7"/>
      <c r="IBZ19" s="7"/>
      <c r="ICA19" s="7"/>
      <c r="ICB19" s="7"/>
      <c r="ICC19" s="7"/>
      <c r="ICD19" s="7"/>
      <c r="ICE19" s="7"/>
      <c r="ICF19" s="7"/>
      <c r="ICG19" s="7"/>
      <c r="ICH19" s="7"/>
      <c r="ICI19" s="7"/>
      <c r="ICJ19" s="7"/>
      <c r="ICK19" s="7"/>
      <c r="ICL19" s="7"/>
      <c r="ICM19" s="7"/>
      <c r="ICN19" s="7"/>
      <c r="ICO19" s="7"/>
      <c r="ICP19" s="7"/>
      <c r="ICQ19" s="7"/>
      <c r="ICR19" s="7"/>
      <c r="ICS19" s="7"/>
      <c r="ICT19" s="7"/>
      <c r="ICU19" s="7"/>
      <c r="ICV19" s="7"/>
      <c r="ICW19" s="7"/>
      <c r="ICX19" s="7"/>
      <c r="ICY19" s="7"/>
      <c r="ICZ19" s="7"/>
      <c r="IDA19" s="7"/>
      <c r="IDB19" s="7"/>
      <c r="IDC19" s="7"/>
      <c r="IDD19" s="7"/>
      <c r="IDE19" s="7"/>
      <c r="IDF19" s="7"/>
      <c r="IDG19" s="7"/>
      <c r="IDH19" s="7"/>
      <c r="IDI19" s="7"/>
      <c r="IDJ19" s="7"/>
      <c r="IDK19" s="7"/>
      <c r="IDL19" s="7"/>
      <c r="IDM19" s="7"/>
      <c r="IDN19" s="7"/>
      <c r="IDO19" s="7"/>
      <c r="IDP19" s="7"/>
      <c r="IDQ19" s="7"/>
      <c r="IDR19" s="7"/>
      <c r="IDS19" s="7"/>
      <c r="IDT19" s="7"/>
      <c r="IDU19" s="7"/>
      <c r="IDV19" s="7"/>
      <c r="IDW19" s="7"/>
      <c r="IDX19" s="7"/>
      <c r="IDY19" s="7"/>
      <c r="IDZ19" s="7"/>
      <c r="IEA19" s="7"/>
      <c r="IEB19" s="7"/>
      <c r="IEC19" s="7"/>
      <c r="IED19" s="7"/>
      <c r="IEE19" s="7"/>
      <c r="IEF19" s="7"/>
      <c r="IEG19" s="7"/>
      <c r="IEH19" s="7"/>
      <c r="IEI19" s="7"/>
      <c r="IEJ19" s="7"/>
      <c r="IEK19" s="7"/>
      <c r="IEL19" s="7"/>
      <c r="IEM19" s="7"/>
      <c r="IEN19" s="7"/>
      <c r="IEO19" s="7"/>
      <c r="IEP19" s="7"/>
      <c r="IEQ19" s="7"/>
      <c r="IER19" s="7"/>
      <c r="IES19" s="7"/>
      <c r="IET19" s="7"/>
      <c r="IEU19" s="7"/>
      <c r="IEV19" s="7"/>
      <c r="IEW19" s="7"/>
      <c r="IEX19" s="7"/>
      <c r="IEY19" s="7"/>
      <c r="IEZ19" s="7"/>
      <c r="IFA19" s="7"/>
      <c r="IFB19" s="7"/>
      <c r="IFC19" s="7"/>
      <c r="IFD19" s="7"/>
      <c r="IFE19" s="7"/>
      <c r="IFF19" s="7"/>
      <c r="IFG19" s="7"/>
      <c r="IFH19" s="7"/>
      <c r="IFI19" s="7"/>
      <c r="IFJ19" s="7"/>
      <c r="IFK19" s="7"/>
      <c r="IFL19" s="7"/>
      <c r="IFM19" s="7"/>
      <c r="IFN19" s="7"/>
      <c r="IFO19" s="7"/>
      <c r="IFP19" s="7"/>
      <c r="IFQ19" s="7"/>
      <c r="IFR19" s="7"/>
      <c r="IFS19" s="7"/>
      <c r="IFT19" s="7"/>
      <c r="IFU19" s="7"/>
      <c r="IFV19" s="7"/>
      <c r="IFW19" s="7"/>
      <c r="IFX19" s="7"/>
      <c r="IFY19" s="7"/>
      <c r="IFZ19" s="7"/>
      <c r="IGA19" s="7"/>
      <c r="IGB19" s="7"/>
      <c r="IGC19" s="7"/>
      <c r="IGD19" s="7"/>
      <c r="IGE19" s="7"/>
      <c r="IGF19" s="7"/>
      <c r="IGG19" s="7"/>
      <c r="IGH19" s="7"/>
      <c r="IGI19" s="7"/>
      <c r="IGJ19" s="7"/>
      <c r="IGK19" s="7"/>
      <c r="IGL19" s="7"/>
      <c r="IGM19" s="7"/>
      <c r="IGN19" s="7"/>
      <c r="IGO19" s="7"/>
      <c r="IGP19" s="7"/>
      <c r="IGQ19" s="7"/>
      <c r="IGR19" s="7"/>
      <c r="IGS19" s="7"/>
      <c r="IGT19" s="7"/>
      <c r="IGU19" s="7"/>
      <c r="IGV19" s="7"/>
      <c r="IGW19" s="7"/>
      <c r="IGX19" s="7"/>
      <c r="IGY19" s="7"/>
      <c r="IGZ19" s="7"/>
      <c r="IHA19" s="7"/>
      <c r="IHB19" s="7"/>
      <c r="IHC19" s="7"/>
      <c r="IHD19" s="7"/>
      <c r="IHE19" s="7"/>
      <c r="IHF19" s="7"/>
      <c r="IHG19" s="7"/>
      <c r="IHH19" s="7"/>
      <c r="IHI19" s="7"/>
      <c r="IHJ19" s="7"/>
      <c r="IHK19" s="7"/>
      <c r="IHL19" s="7"/>
      <c r="IHM19" s="7"/>
      <c r="IHN19" s="7"/>
      <c r="IHO19" s="7"/>
      <c r="IHP19" s="7"/>
      <c r="IHQ19" s="7"/>
      <c r="IHR19" s="7"/>
      <c r="IHS19" s="7"/>
      <c r="IHT19" s="7"/>
      <c r="IHU19" s="7"/>
      <c r="IHV19" s="7"/>
      <c r="IHW19" s="7"/>
      <c r="IHX19" s="7"/>
      <c r="IHY19" s="7"/>
      <c r="IHZ19" s="7"/>
      <c r="IIA19" s="7"/>
      <c r="IIB19" s="7"/>
      <c r="IIC19" s="7"/>
      <c r="IID19" s="7"/>
      <c r="IIE19" s="7"/>
      <c r="IIF19" s="7"/>
      <c r="IIG19" s="7"/>
      <c r="IIH19" s="7"/>
      <c r="III19" s="7"/>
      <c r="IIJ19" s="7"/>
      <c r="IIK19" s="7"/>
      <c r="IIL19" s="7"/>
      <c r="IIM19" s="7"/>
      <c r="IIN19" s="7"/>
      <c r="IIO19" s="7"/>
      <c r="IIP19" s="7"/>
      <c r="IIQ19" s="7"/>
      <c r="IIR19" s="7"/>
      <c r="IIS19" s="7"/>
      <c r="IIT19" s="7"/>
      <c r="IIU19" s="7"/>
      <c r="IIV19" s="7"/>
      <c r="IIW19" s="7"/>
      <c r="IIX19" s="7"/>
      <c r="IIY19" s="7"/>
      <c r="IIZ19" s="7"/>
      <c r="IJA19" s="7"/>
      <c r="IJB19" s="7"/>
      <c r="IJC19" s="7"/>
      <c r="IJD19" s="7"/>
      <c r="IJE19" s="7"/>
      <c r="IJF19" s="7"/>
      <c r="IJG19" s="7"/>
      <c r="IJH19" s="7"/>
      <c r="IJI19" s="7"/>
      <c r="IJJ19" s="7"/>
      <c r="IJK19" s="7"/>
      <c r="IJL19" s="7"/>
      <c r="IJM19" s="7"/>
      <c r="IJN19" s="7"/>
      <c r="IJO19" s="7"/>
      <c r="IJP19" s="7"/>
      <c r="IJQ19" s="7"/>
      <c r="IJR19" s="7"/>
      <c r="IJS19" s="7"/>
      <c r="IJT19" s="7"/>
      <c r="IJU19" s="7"/>
      <c r="IJV19" s="7"/>
      <c r="IJW19" s="7"/>
      <c r="IJX19" s="7"/>
      <c r="IJY19" s="7"/>
      <c r="IJZ19" s="7"/>
      <c r="IKA19" s="7"/>
      <c r="IKB19" s="7"/>
      <c r="IKC19" s="7"/>
      <c r="IKD19" s="7"/>
      <c r="IKE19" s="7"/>
      <c r="IKF19" s="7"/>
      <c r="IKG19" s="7"/>
      <c r="IKH19" s="7"/>
      <c r="IKI19" s="7"/>
      <c r="IKJ19" s="7"/>
      <c r="IKK19" s="7"/>
      <c r="IKL19" s="7"/>
      <c r="IKM19" s="7"/>
      <c r="IKN19" s="7"/>
      <c r="IKO19" s="7"/>
      <c r="IKP19" s="7"/>
      <c r="IKQ19" s="7"/>
      <c r="IKR19" s="7"/>
      <c r="IKS19" s="7"/>
      <c r="IKT19" s="7"/>
      <c r="IKU19" s="7"/>
      <c r="IKV19" s="7"/>
      <c r="IKW19" s="7"/>
      <c r="IKX19" s="7"/>
      <c r="IKY19" s="7"/>
      <c r="IKZ19" s="7"/>
      <c r="ILA19" s="7"/>
      <c r="ILB19" s="7"/>
      <c r="ILC19" s="7"/>
      <c r="ILD19" s="7"/>
      <c r="ILE19" s="7"/>
      <c r="ILF19" s="7"/>
      <c r="ILG19" s="7"/>
      <c r="ILH19" s="7"/>
      <c r="ILI19" s="7"/>
      <c r="ILJ19" s="7"/>
      <c r="ILK19" s="7"/>
      <c r="ILL19" s="7"/>
      <c r="ILM19" s="7"/>
      <c r="ILN19" s="7"/>
      <c r="ILO19" s="7"/>
      <c r="ILP19" s="7"/>
      <c r="ILQ19" s="7"/>
      <c r="ILR19" s="7"/>
      <c r="ILS19" s="7"/>
      <c r="ILT19" s="7"/>
      <c r="ILU19" s="7"/>
      <c r="ILV19" s="7"/>
      <c r="ILW19" s="7"/>
      <c r="ILX19" s="7"/>
      <c r="ILY19" s="7"/>
      <c r="ILZ19" s="7"/>
      <c r="IMA19" s="7"/>
      <c r="IMB19" s="7"/>
      <c r="IMC19" s="7"/>
      <c r="IMD19" s="7"/>
      <c r="IME19" s="7"/>
      <c r="IMF19" s="7"/>
      <c r="IMG19" s="7"/>
      <c r="IMH19" s="7"/>
      <c r="IMI19" s="7"/>
      <c r="IMJ19" s="7"/>
      <c r="IMK19" s="7"/>
      <c r="IML19" s="7"/>
      <c r="IMM19" s="7"/>
      <c r="IMN19" s="7"/>
      <c r="IMO19" s="7"/>
      <c r="IMP19" s="7"/>
      <c r="IMQ19" s="7"/>
      <c r="IMR19" s="7"/>
      <c r="IMS19" s="7"/>
      <c r="IMT19" s="7"/>
      <c r="IMU19" s="7"/>
      <c r="IMV19" s="7"/>
      <c r="IMW19" s="7"/>
      <c r="IMX19" s="7"/>
      <c r="IMY19" s="7"/>
      <c r="IMZ19" s="7"/>
      <c r="INA19" s="7"/>
      <c r="INB19" s="7"/>
      <c r="INC19" s="7"/>
      <c r="IND19" s="7"/>
      <c r="INE19" s="7"/>
      <c r="INF19" s="7"/>
      <c r="ING19" s="7"/>
      <c r="INH19" s="7"/>
      <c r="INI19" s="7"/>
      <c r="INJ19" s="7"/>
      <c r="INK19" s="7"/>
      <c r="INL19" s="7"/>
      <c r="INM19" s="7"/>
      <c r="INN19" s="7"/>
      <c r="INO19" s="7"/>
      <c r="INP19" s="7"/>
      <c r="INQ19" s="7"/>
      <c r="INR19" s="7"/>
      <c r="INS19" s="7"/>
      <c r="INT19" s="7"/>
      <c r="INU19" s="7"/>
      <c r="INV19" s="7"/>
      <c r="INW19" s="7"/>
      <c r="INX19" s="7"/>
      <c r="INY19" s="7"/>
      <c r="INZ19" s="7"/>
      <c r="IOA19" s="7"/>
      <c r="IOB19" s="7"/>
      <c r="IOC19" s="7"/>
      <c r="IOD19" s="7"/>
      <c r="IOE19" s="7"/>
      <c r="IOF19" s="7"/>
      <c r="IOG19" s="7"/>
      <c r="IOH19" s="7"/>
      <c r="IOI19" s="7"/>
      <c r="IOJ19" s="7"/>
      <c r="IOK19" s="7"/>
      <c r="IOL19" s="7"/>
      <c r="IOM19" s="7"/>
      <c r="ION19" s="7"/>
      <c r="IOO19" s="7"/>
      <c r="IOP19" s="7"/>
      <c r="IOQ19" s="7"/>
      <c r="IOR19" s="7"/>
      <c r="IOS19" s="7"/>
      <c r="IOT19" s="7"/>
      <c r="IOU19" s="7"/>
      <c r="IOV19" s="7"/>
      <c r="IOW19" s="7"/>
      <c r="IOX19" s="7"/>
      <c r="IOY19" s="7"/>
      <c r="IOZ19" s="7"/>
      <c r="IPA19" s="7"/>
      <c r="IPB19" s="7"/>
      <c r="IPC19" s="7"/>
      <c r="IPD19" s="7"/>
      <c r="IPE19" s="7"/>
      <c r="IPF19" s="7"/>
      <c r="IPG19" s="7"/>
      <c r="IPH19" s="7"/>
      <c r="IPI19" s="7"/>
      <c r="IPJ19" s="7"/>
      <c r="IPK19" s="7"/>
      <c r="IPL19" s="7"/>
      <c r="IPM19" s="7"/>
      <c r="IPN19" s="7"/>
      <c r="IPO19" s="7"/>
      <c r="IPP19" s="7"/>
      <c r="IPQ19" s="7"/>
      <c r="IPR19" s="7"/>
      <c r="IPS19" s="7"/>
      <c r="IPT19" s="7"/>
      <c r="IPU19" s="7"/>
      <c r="IPV19" s="7"/>
      <c r="IPW19" s="7"/>
      <c r="IPX19" s="7"/>
      <c r="IPY19" s="7"/>
      <c r="IPZ19" s="7"/>
      <c r="IQA19" s="7"/>
      <c r="IQB19" s="7"/>
      <c r="IQC19" s="7"/>
      <c r="IQD19" s="7"/>
      <c r="IQE19" s="7"/>
      <c r="IQF19" s="7"/>
      <c r="IQG19" s="7"/>
      <c r="IQH19" s="7"/>
      <c r="IQI19" s="7"/>
      <c r="IQJ19" s="7"/>
      <c r="IQK19" s="7"/>
      <c r="IQL19" s="7"/>
      <c r="IQM19" s="7"/>
      <c r="IQN19" s="7"/>
      <c r="IQO19" s="7"/>
      <c r="IQP19" s="7"/>
      <c r="IQQ19" s="7"/>
      <c r="IQR19" s="7"/>
      <c r="IQS19" s="7"/>
      <c r="IQT19" s="7"/>
      <c r="IQU19" s="7"/>
      <c r="IQV19" s="7"/>
      <c r="IQW19" s="7"/>
      <c r="IQX19" s="7"/>
      <c r="IQY19" s="7"/>
      <c r="IQZ19" s="7"/>
      <c r="IRA19" s="7"/>
      <c r="IRB19" s="7"/>
      <c r="IRC19" s="7"/>
      <c r="IRD19" s="7"/>
      <c r="IRE19" s="7"/>
      <c r="IRF19" s="7"/>
      <c r="IRG19" s="7"/>
      <c r="IRH19" s="7"/>
      <c r="IRI19" s="7"/>
      <c r="IRJ19" s="7"/>
      <c r="IRK19" s="7"/>
      <c r="IRL19" s="7"/>
      <c r="IRM19" s="7"/>
      <c r="IRN19" s="7"/>
      <c r="IRO19" s="7"/>
      <c r="IRP19" s="7"/>
      <c r="IRQ19" s="7"/>
      <c r="IRR19" s="7"/>
      <c r="IRS19" s="7"/>
      <c r="IRT19" s="7"/>
      <c r="IRU19" s="7"/>
      <c r="IRV19" s="7"/>
      <c r="IRW19" s="7"/>
      <c r="IRX19" s="7"/>
      <c r="IRY19" s="7"/>
      <c r="IRZ19" s="7"/>
      <c r="ISA19" s="7"/>
      <c r="ISB19" s="7"/>
      <c r="ISC19" s="7"/>
      <c r="ISD19" s="7"/>
      <c r="ISE19" s="7"/>
      <c r="ISF19" s="7"/>
      <c r="ISG19" s="7"/>
      <c r="ISH19" s="7"/>
      <c r="ISI19" s="7"/>
      <c r="ISJ19" s="7"/>
      <c r="ISK19" s="7"/>
      <c r="ISL19" s="7"/>
      <c r="ISM19" s="7"/>
      <c r="ISN19" s="7"/>
      <c r="ISO19" s="7"/>
      <c r="ISP19" s="7"/>
      <c r="ISQ19" s="7"/>
      <c r="ISR19" s="7"/>
      <c r="ISS19" s="7"/>
      <c r="IST19" s="7"/>
      <c r="ISU19" s="7"/>
      <c r="ISV19" s="7"/>
      <c r="ISW19" s="7"/>
      <c r="ISX19" s="7"/>
      <c r="ISY19" s="7"/>
      <c r="ISZ19" s="7"/>
      <c r="ITA19" s="7"/>
      <c r="ITB19" s="7"/>
      <c r="ITC19" s="7"/>
      <c r="ITD19" s="7"/>
      <c r="ITE19" s="7"/>
      <c r="ITF19" s="7"/>
      <c r="ITG19" s="7"/>
      <c r="ITH19" s="7"/>
      <c r="ITI19" s="7"/>
      <c r="ITJ19" s="7"/>
      <c r="ITK19" s="7"/>
      <c r="ITL19" s="7"/>
      <c r="ITM19" s="7"/>
      <c r="ITN19" s="7"/>
      <c r="ITO19" s="7"/>
      <c r="ITP19" s="7"/>
      <c r="ITQ19" s="7"/>
      <c r="ITR19" s="7"/>
      <c r="ITS19" s="7"/>
      <c r="ITT19" s="7"/>
      <c r="ITU19" s="7"/>
      <c r="ITV19" s="7"/>
      <c r="ITW19" s="7"/>
      <c r="ITX19" s="7"/>
      <c r="ITY19" s="7"/>
      <c r="ITZ19" s="7"/>
      <c r="IUA19" s="7"/>
      <c r="IUB19" s="7"/>
      <c r="IUC19" s="7"/>
      <c r="IUD19" s="7"/>
      <c r="IUE19" s="7"/>
      <c r="IUF19" s="7"/>
      <c r="IUG19" s="7"/>
      <c r="IUH19" s="7"/>
      <c r="IUI19" s="7"/>
      <c r="IUJ19" s="7"/>
      <c r="IUK19" s="7"/>
      <c r="IUL19" s="7"/>
      <c r="IUM19" s="7"/>
      <c r="IUN19" s="7"/>
      <c r="IUO19" s="7"/>
      <c r="IUP19" s="7"/>
      <c r="IUQ19" s="7"/>
      <c r="IUR19" s="7"/>
      <c r="IUS19" s="7"/>
      <c r="IUT19" s="7"/>
      <c r="IUU19" s="7"/>
      <c r="IUV19" s="7"/>
      <c r="IUW19" s="7"/>
      <c r="IUX19" s="7"/>
      <c r="IUY19" s="7"/>
      <c r="IUZ19" s="7"/>
      <c r="IVA19" s="7"/>
      <c r="IVB19" s="7"/>
      <c r="IVC19" s="7"/>
      <c r="IVD19" s="7"/>
      <c r="IVE19" s="7"/>
      <c r="IVF19" s="7"/>
      <c r="IVG19" s="7"/>
      <c r="IVH19" s="7"/>
      <c r="IVI19" s="7"/>
      <c r="IVJ19" s="7"/>
      <c r="IVK19" s="7"/>
      <c r="IVL19" s="7"/>
      <c r="IVM19" s="7"/>
      <c r="IVN19" s="7"/>
      <c r="IVO19" s="7"/>
      <c r="IVP19" s="7"/>
      <c r="IVQ19" s="7"/>
      <c r="IVR19" s="7"/>
      <c r="IVS19" s="7"/>
      <c r="IVT19" s="7"/>
      <c r="IVU19" s="7"/>
      <c r="IVV19" s="7"/>
      <c r="IVW19" s="7"/>
      <c r="IVX19" s="7"/>
      <c r="IVY19" s="7"/>
      <c r="IVZ19" s="7"/>
      <c r="IWA19" s="7"/>
      <c r="IWB19" s="7"/>
      <c r="IWC19" s="7"/>
      <c r="IWD19" s="7"/>
      <c r="IWE19" s="7"/>
      <c r="IWF19" s="7"/>
      <c r="IWG19" s="7"/>
      <c r="IWH19" s="7"/>
      <c r="IWI19" s="7"/>
      <c r="IWJ19" s="7"/>
      <c r="IWK19" s="7"/>
      <c r="IWL19" s="7"/>
      <c r="IWM19" s="7"/>
      <c r="IWN19" s="7"/>
      <c r="IWO19" s="7"/>
      <c r="IWP19" s="7"/>
      <c r="IWQ19" s="7"/>
      <c r="IWR19" s="7"/>
      <c r="IWS19" s="7"/>
      <c r="IWT19" s="7"/>
      <c r="IWU19" s="7"/>
      <c r="IWV19" s="7"/>
      <c r="IWW19" s="7"/>
      <c r="IWX19" s="7"/>
      <c r="IWY19" s="7"/>
      <c r="IWZ19" s="7"/>
      <c r="IXA19" s="7"/>
      <c r="IXB19" s="7"/>
      <c r="IXC19" s="7"/>
      <c r="IXD19" s="7"/>
      <c r="IXE19" s="7"/>
      <c r="IXF19" s="7"/>
      <c r="IXG19" s="7"/>
      <c r="IXH19" s="7"/>
      <c r="IXI19" s="7"/>
      <c r="IXJ19" s="7"/>
      <c r="IXK19" s="7"/>
      <c r="IXL19" s="7"/>
      <c r="IXM19" s="7"/>
      <c r="IXN19" s="7"/>
      <c r="IXO19" s="7"/>
      <c r="IXP19" s="7"/>
      <c r="IXQ19" s="7"/>
      <c r="IXR19" s="7"/>
      <c r="IXS19" s="7"/>
      <c r="IXT19" s="7"/>
      <c r="IXU19" s="7"/>
      <c r="IXV19" s="7"/>
      <c r="IXW19" s="7"/>
      <c r="IXX19" s="7"/>
      <c r="IXY19" s="7"/>
      <c r="IXZ19" s="7"/>
      <c r="IYA19" s="7"/>
      <c r="IYB19" s="7"/>
      <c r="IYC19" s="7"/>
      <c r="IYD19" s="7"/>
      <c r="IYE19" s="7"/>
      <c r="IYF19" s="7"/>
      <c r="IYG19" s="7"/>
      <c r="IYH19" s="7"/>
      <c r="IYI19" s="7"/>
      <c r="IYJ19" s="7"/>
      <c r="IYK19" s="7"/>
      <c r="IYL19" s="7"/>
      <c r="IYM19" s="7"/>
      <c r="IYN19" s="7"/>
      <c r="IYO19" s="7"/>
      <c r="IYP19" s="7"/>
      <c r="IYQ19" s="7"/>
      <c r="IYR19" s="7"/>
      <c r="IYS19" s="7"/>
      <c r="IYT19" s="7"/>
      <c r="IYU19" s="7"/>
      <c r="IYV19" s="7"/>
      <c r="IYW19" s="7"/>
      <c r="IYX19" s="7"/>
      <c r="IYY19" s="7"/>
      <c r="IYZ19" s="7"/>
      <c r="IZA19" s="7"/>
      <c r="IZB19" s="7"/>
      <c r="IZC19" s="7"/>
      <c r="IZD19" s="7"/>
      <c r="IZE19" s="7"/>
      <c r="IZF19" s="7"/>
      <c r="IZG19" s="7"/>
      <c r="IZH19" s="7"/>
      <c r="IZI19" s="7"/>
      <c r="IZJ19" s="7"/>
      <c r="IZK19" s="7"/>
      <c r="IZL19" s="7"/>
      <c r="IZM19" s="7"/>
      <c r="IZN19" s="7"/>
      <c r="IZO19" s="7"/>
      <c r="IZP19" s="7"/>
      <c r="IZQ19" s="7"/>
      <c r="IZR19" s="7"/>
      <c r="IZS19" s="7"/>
      <c r="IZT19" s="7"/>
      <c r="IZU19" s="7"/>
      <c r="IZV19" s="7"/>
      <c r="IZW19" s="7"/>
      <c r="IZX19" s="7"/>
      <c r="IZY19" s="7"/>
      <c r="IZZ19" s="7"/>
      <c r="JAA19" s="7"/>
      <c r="JAB19" s="7"/>
      <c r="JAC19" s="7"/>
      <c r="JAD19" s="7"/>
      <c r="JAE19" s="7"/>
      <c r="JAF19" s="7"/>
      <c r="JAG19" s="7"/>
      <c r="JAH19" s="7"/>
      <c r="JAI19" s="7"/>
      <c r="JAJ19" s="7"/>
      <c r="JAK19" s="7"/>
      <c r="JAL19" s="7"/>
      <c r="JAM19" s="7"/>
      <c r="JAN19" s="7"/>
      <c r="JAO19" s="7"/>
      <c r="JAP19" s="7"/>
      <c r="JAQ19" s="7"/>
      <c r="JAR19" s="7"/>
      <c r="JAS19" s="7"/>
      <c r="JAT19" s="7"/>
      <c r="JAU19" s="7"/>
      <c r="JAV19" s="7"/>
      <c r="JAW19" s="7"/>
      <c r="JAX19" s="7"/>
      <c r="JAY19" s="7"/>
      <c r="JAZ19" s="7"/>
      <c r="JBA19" s="7"/>
      <c r="JBB19" s="7"/>
      <c r="JBC19" s="7"/>
      <c r="JBD19" s="7"/>
      <c r="JBE19" s="7"/>
      <c r="JBF19" s="7"/>
      <c r="JBG19" s="7"/>
      <c r="JBH19" s="7"/>
      <c r="JBI19" s="7"/>
      <c r="JBJ19" s="7"/>
      <c r="JBK19" s="7"/>
      <c r="JBL19" s="7"/>
      <c r="JBM19" s="7"/>
      <c r="JBN19" s="7"/>
      <c r="JBO19" s="7"/>
      <c r="JBP19" s="7"/>
      <c r="JBQ19" s="7"/>
      <c r="JBR19" s="7"/>
      <c r="JBS19" s="7"/>
      <c r="JBT19" s="7"/>
      <c r="JBU19" s="7"/>
      <c r="JBV19" s="7"/>
      <c r="JBW19" s="7"/>
      <c r="JBX19" s="7"/>
      <c r="JBY19" s="7"/>
      <c r="JBZ19" s="7"/>
      <c r="JCA19" s="7"/>
      <c r="JCB19" s="7"/>
      <c r="JCC19" s="7"/>
      <c r="JCD19" s="7"/>
      <c r="JCE19" s="7"/>
      <c r="JCF19" s="7"/>
      <c r="JCG19" s="7"/>
      <c r="JCH19" s="7"/>
      <c r="JCI19" s="7"/>
      <c r="JCJ19" s="7"/>
      <c r="JCK19" s="7"/>
      <c r="JCL19" s="7"/>
      <c r="JCM19" s="7"/>
      <c r="JCN19" s="7"/>
      <c r="JCO19" s="7"/>
      <c r="JCP19" s="7"/>
      <c r="JCQ19" s="7"/>
      <c r="JCR19" s="7"/>
      <c r="JCS19" s="7"/>
      <c r="JCT19" s="7"/>
      <c r="JCU19" s="7"/>
      <c r="JCV19" s="7"/>
      <c r="JCW19" s="7"/>
      <c r="JCX19" s="7"/>
      <c r="JCY19" s="7"/>
      <c r="JCZ19" s="7"/>
      <c r="JDA19" s="7"/>
      <c r="JDB19" s="7"/>
      <c r="JDC19" s="7"/>
      <c r="JDD19" s="7"/>
      <c r="JDE19" s="7"/>
      <c r="JDF19" s="7"/>
      <c r="JDG19" s="7"/>
      <c r="JDH19" s="7"/>
      <c r="JDI19" s="7"/>
      <c r="JDJ19" s="7"/>
      <c r="JDK19" s="7"/>
      <c r="JDL19" s="7"/>
      <c r="JDM19" s="7"/>
      <c r="JDN19" s="7"/>
      <c r="JDO19" s="7"/>
      <c r="JDP19" s="7"/>
      <c r="JDQ19" s="7"/>
      <c r="JDR19" s="7"/>
      <c r="JDS19" s="7"/>
      <c r="JDT19" s="7"/>
      <c r="JDU19" s="7"/>
      <c r="JDV19" s="7"/>
      <c r="JDW19" s="7"/>
      <c r="JDX19" s="7"/>
      <c r="JDY19" s="7"/>
      <c r="JDZ19" s="7"/>
      <c r="JEA19" s="7"/>
      <c r="JEB19" s="7"/>
      <c r="JEC19" s="7"/>
      <c r="JED19" s="7"/>
      <c r="JEE19" s="7"/>
      <c r="JEF19" s="7"/>
      <c r="JEG19" s="7"/>
      <c r="JEH19" s="7"/>
      <c r="JEI19" s="7"/>
      <c r="JEJ19" s="7"/>
      <c r="JEK19" s="7"/>
      <c r="JEL19" s="7"/>
      <c r="JEM19" s="7"/>
      <c r="JEN19" s="7"/>
      <c r="JEO19" s="7"/>
      <c r="JEP19" s="7"/>
      <c r="JEQ19" s="7"/>
      <c r="JER19" s="7"/>
      <c r="JES19" s="7"/>
      <c r="JET19" s="7"/>
      <c r="JEU19" s="7"/>
      <c r="JEV19" s="7"/>
      <c r="JEW19" s="7"/>
      <c r="JEX19" s="7"/>
      <c r="JEY19" s="7"/>
      <c r="JEZ19" s="7"/>
      <c r="JFA19" s="7"/>
      <c r="JFB19" s="7"/>
      <c r="JFC19" s="7"/>
      <c r="JFD19" s="7"/>
      <c r="JFE19" s="7"/>
      <c r="JFF19" s="7"/>
      <c r="JFG19" s="7"/>
      <c r="JFH19" s="7"/>
      <c r="JFI19" s="7"/>
      <c r="JFJ19" s="7"/>
      <c r="JFK19" s="7"/>
      <c r="JFL19" s="7"/>
      <c r="JFM19" s="7"/>
      <c r="JFN19" s="7"/>
      <c r="JFO19" s="7"/>
      <c r="JFP19" s="7"/>
      <c r="JFQ19" s="7"/>
      <c r="JFR19" s="7"/>
      <c r="JFS19" s="7"/>
      <c r="JFT19" s="7"/>
      <c r="JFU19" s="7"/>
      <c r="JFV19" s="7"/>
      <c r="JFW19" s="7"/>
      <c r="JFX19" s="7"/>
      <c r="JFY19" s="7"/>
      <c r="JFZ19" s="7"/>
      <c r="JGA19" s="7"/>
      <c r="JGB19" s="7"/>
      <c r="JGC19" s="7"/>
      <c r="JGD19" s="7"/>
      <c r="JGE19" s="7"/>
      <c r="JGF19" s="7"/>
      <c r="JGG19" s="7"/>
      <c r="JGH19" s="7"/>
      <c r="JGI19" s="7"/>
      <c r="JGJ19" s="7"/>
      <c r="JGK19" s="7"/>
      <c r="JGL19" s="7"/>
      <c r="JGM19" s="7"/>
      <c r="JGN19" s="7"/>
      <c r="JGO19" s="7"/>
      <c r="JGP19" s="7"/>
      <c r="JGQ19" s="7"/>
      <c r="JGR19" s="7"/>
      <c r="JGS19" s="7"/>
      <c r="JGT19" s="7"/>
      <c r="JGU19" s="7"/>
      <c r="JGV19" s="7"/>
      <c r="JGW19" s="7"/>
      <c r="JGX19" s="7"/>
      <c r="JGY19" s="7"/>
      <c r="JGZ19" s="7"/>
      <c r="JHA19" s="7"/>
      <c r="JHB19" s="7"/>
      <c r="JHC19" s="7"/>
      <c r="JHD19" s="7"/>
      <c r="JHE19" s="7"/>
      <c r="JHF19" s="7"/>
      <c r="JHG19" s="7"/>
      <c r="JHH19" s="7"/>
      <c r="JHI19" s="7"/>
      <c r="JHJ19" s="7"/>
      <c r="JHK19" s="7"/>
      <c r="JHL19" s="7"/>
      <c r="JHM19" s="7"/>
      <c r="JHN19" s="7"/>
      <c r="JHO19" s="7"/>
      <c r="JHP19" s="7"/>
      <c r="JHQ19" s="7"/>
      <c r="JHR19" s="7"/>
      <c r="JHS19" s="7"/>
      <c r="JHT19" s="7"/>
      <c r="JHU19" s="7"/>
      <c r="JHV19" s="7"/>
      <c r="JHW19" s="7"/>
      <c r="JHX19" s="7"/>
      <c r="JHY19" s="7"/>
      <c r="JHZ19" s="7"/>
      <c r="JIA19" s="7"/>
      <c r="JIB19" s="7"/>
      <c r="JIC19" s="7"/>
      <c r="JID19" s="7"/>
      <c r="JIE19" s="7"/>
      <c r="JIF19" s="7"/>
      <c r="JIG19" s="7"/>
      <c r="JIH19" s="7"/>
      <c r="JII19" s="7"/>
      <c r="JIJ19" s="7"/>
      <c r="JIK19" s="7"/>
      <c r="JIL19" s="7"/>
      <c r="JIM19" s="7"/>
      <c r="JIN19" s="7"/>
      <c r="JIO19" s="7"/>
      <c r="JIP19" s="7"/>
      <c r="JIQ19" s="7"/>
      <c r="JIR19" s="7"/>
      <c r="JIS19" s="7"/>
      <c r="JIT19" s="7"/>
      <c r="JIU19" s="7"/>
      <c r="JIV19" s="7"/>
      <c r="JIW19" s="7"/>
      <c r="JIX19" s="7"/>
      <c r="JIY19" s="7"/>
      <c r="JIZ19" s="7"/>
      <c r="JJA19" s="7"/>
      <c r="JJB19" s="7"/>
      <c r="JJC19" s="7"/>
      <c r="JJD19" s="7"/>
      <c r="JJE19" s="7"/>
      <c r="JJF19" s="7"/>
      <c r="JJG19" s="7"/>
      <c r="JJH19" s="7"/>
      <c r="JJI19" s="7"/>
      <c r="JJJ19" s="7"/>
      <c r="JJK19" s="7"/>
      <c r="JJL19" s="7"/>
      <c r="JJM19" s="7"/>
      <c r="JJN19" s="7"/>
      <c r="JJO19" s="7"/>
      <c r="JJP19" s="7"/>
      <c r="JJQ19" s="7"/>
      <c r="JJR19" s="7"/>
      <c r="JJS19" s="7"/>
      <c r="JJT19" s="7"/>
      <c r="JJU19" s="7"/>
      <c r="JJV19" s="7"/>
      <c r="JJW19" s="7"/>
      <c r="JJX19" s="7"/>
      <c r="JJY19" s="7"/>
      <c r="JJZ19" s="7"/>
      <c r="JKA19" s="7"/>
      <c r="JKB19" s="7"/>
      <c r="JKC19" s="7"/>
      <c r="JKD19" s="7"/>
      <c r="JKE19" s="7"/>
      <c r="JKF19" s="7"/>
      <c r="JKG19" s="7"/>
      <c r="JKH19" s="7"/>
      <c r="JKI19" s="7"/>
      <c r="JKJ19" s="7"/>
      <c r="JKK19" s="7"/>
      <c r="JKL19" s="7"/>
      <c r="JKM19" s="7"/>
      <c r="JKN19" s="7"/>
      <c r="JKO19" s="7"/>
      <c r="JKP19" s="7"/>
      <c r="JKQ19" s="7"/>
      <c r="JKR19" s="7"/>
      <c r="JKS19" s="7"/>
      <c r="JKT19" s="7"/>
      <c r="JKU19" s="7"/>
      <c r="JKV19" s="7"/>
      <c r="JKW19" s="7"/>
      <c r="JKX19" s="7"/>
      <c r="JKY19" s="7"/>
      <c r="JKZ19" s="7"/>
      <c r="JLA19" s="7"/>
      <c r="JLB19" s="7"/>
      <c r="JLC19" s="7"/>
      <c r="JLD19" s="7"/>
      <c r="JLE19" s="7"/>
      <c r="JLF19" s="7"/>
      <c r="JLG19" s="7"/>
      <c r="JLH19" s="7"/>
      <c r="JLI19" s="7"/>
      <c r="JLJ19" s="7"/>
      <c r="JLK19" s="7"/>
      <c r="JLL19" s="7"/>
      <c r="JLM19" s="7"/>
      <c r="JLN19" s="7"/>
      <c r="JLO19" s="7"/>
      <c r="JLP19" s="7"/>
      <c r="JLQ19" s="7"/>
      <c r="JLR19" s="7"/>
      <c r="JLS19" s="7"/>
      <c r="JLT19" s="7"/>
      <c r="JLU19" s="7"/>
      <c r="JLV19" s="7"/>
      <c r="JLW19" s="7"/>
      <c r="JLX19" s="7"/>
      <c r="JLY19" s="7"/>
      <c r="JLZ19" s="7"/>
      <c r="JMA19" s="7"/>
      <c r="JMB19" s="7"/>
      <c r="JMC19" s="7"/>
      <c r="JMD19" s="7"/>
      <c r="JME19" s="7"/>
      <c r="JMF19" s="7"/>
      <c r="JMG19" s="7"/>
      <c r="JMH19" s="7"/>
      <c r="JMI19" s="7"/>
      <c r="JMJ19" s="7"/>
      <c r="JMK19" s="7"/>
      <c r="JML19" s="7"/>
      <c r="JMM19" s="7"/>
      <c r="JMN19" s="7"/>
      <c r="JMO19" s="7"/>
      <c r="JMP19" s="7"/>
      <c r="JMQ19" s="7"/>
      <c r="JMR19" s="7"/>
      <c r="JMS19" s="7"/>
      <c r="JMT19" s="7"/>
      <c r="JMU19" s="7"/>
      <c r="JMV19" s="7"/>
      <c r="JMW19" s="7"/>
      <c r="JMX19" s="7"/>
      <c r="JMY19" s="7"/>
      <c r="JMZ19" s="7"/>
      <c r="JNA19" s="7"/>
      <c r="JNB19" s="7"/>
      <c r="JNC19" s="7"/>
      <c r="JND19" s="7"/>
      <c r="JNE19" s="7"/>
      <c r="JNF19" s="7"/>
      <c r="JNG19" s="7"/>
      <c r="JNH19" s="7"/>
      <c r="JNI19" s="7"/>
      <c r="JNJ19" s="7"/>
      <c r="JNK19" s="7"/>
      <c r="JNL19" s="7"/>
      <c r="JNM19" s="7"/>
      <c r="JNN19" s="7"/>
      <c r="JNO19" s="7"/>
      <c r="JNP19" s="7"/>
      <c r="JNQ19" s="7"/>
      <c r="JNR19" s="7"/>
      <c r="JNS19" s="7"/>
      <c r="JNT19" s="7"/>
      <c r="JNU19" s="7"/>
      <c r="JNV19" s="7"/>
      <c r="JNW19" s="7"/>
      <c r="JNX19" s="7"/>
      <c r="JNY19" s="7"/>
      <c r="JNZ19" s="7"/>
      <c r="JOA19" s="7"/>
      <c r="JOB19" s="7"/>
      <c r="JOC19" s="7"/>
      <c r="JOD19" s="7"/>
      <c r="JOE19" s="7"/>
      <c r="JOF19" s="7"/>
      <c r="JOG19" s="7"/>
      <c r="JOH19" s="7"/>
      <c r="JOI19" s="7"/>
      <c r="JOJ19" s="7"/>
      <c r="JOK19" s="7"/>
      <c r="JOL19" s="7"/>
      <c r="JOM19" s="7"/>
      <c r="JON19" s="7"/>
      <c r="JOO19" s="7"/>
      <c r="JOP19" s="7"/>
      <c r="JOQ19" s="7"/>
      <c r="JOR19" s="7"/>
      <c r="JOS19" s="7"/>
      <c r="JOT19" s="7"/>
      <c r="JOU19" s="7"/>
      <c r="JOV19" s="7"/>
      <c r="JOW19" s="7"/>
      <c r="JOX19" s="7"/>
      <c r="JOY19" s="7"/>
      <c r="JOZ19" s="7"/>
      <c r="JPA19" s="7"/>
      <c r="JPB19" s="7"/>
      <c r="JPC19" s="7"/>
      <c r="JPD19" s="7"/>
      <c r="JPE19" s="7"/>
      <c r="JPF19" s="7"/>
      <c r="JPG19" s="7"/>
      <c r="JPH19" s="7"/>
      <c r="JPI19" s="7"/>
      <c r="JPJ19" s="7"/>
      <c r="JPK19" s="7"/>
      <c r="JPL19" s="7"/>
      <c r="JPM19" s="7"/>
      <c r="JPN19" s="7"/>
      <c r="JPO19" s="7"/>
      <c r="JPP19" s="7"/>
      <c r="JPQ19" s="7"/>
      <c r="JPR19" s="7"/>
      <c r="JPS19" s="7"/>
      <c r="JPT19" s="7"/>
      <c r="JPU19" s="7"/>
      <c r="JPV19" s="7"/>
      <c r="JPW19" s="7"/>
      <c r="JPX19" s="7"/>
      <c r="JPY19" s="7"/>
      <c r="JPZ19" s="7"/>
      <c r="JQA19" s="7"/>
      <c r="JQB19" s="7"/>
      <c r="JQC19" s="7"/>
      <c r="JQD19" s="7"/>
      <c r="JQE19" s="7"/>
      <c r="JQF19" s="7"/>
      <c r="JQG19" s="7"/>
      <c r="JQH19" s="7"/>
      <c r="JQI19" s="7"/>
      <c r="JQJ19" s="7"/>
      <c r="JQK19" s="7"/>
      <c r="JQL19" s="7"/>
      <c r="JQM19" s="7"/>
      <c r="JQN19" s="7"/>
      <c r="JQO19" s="7"/>
      <c r="JQP19" s="7"/>
      <c r="JQQ19" s="7"/>
      <c r="JQR19" s="7"/>
      <c r="JQS19" s="7"/>
      <c r="JQT19" s="7"/>
      <c r="JQU19" s="7"/>
      <c r="JQV19" s="7"/>
      <c r="JQW19" s="7"/>
      <c r="JQX19" s="7"/>
      <c r="JQY19" s="7"/>
      <c r="JQZ19" s="7"/>
      <c r="JRA19" s="7"/>
      <c r="JRB19" s="7"/>
      <c r="JRC19" s="7"/>
      <c r="JRD19" s="7"/>
      <c r="JRE19" s="7"/>
      <c r="JRF19" s="7"/>
      <c r="JRG19" s="7"/>
      <c r="JRH19" s="7"/>
      <c r="JRI19" s="7"/>
      <c r="JRJ19" s="7"/>
      <c r="JRK19" s="7"/>
      <c r="JRL19" s="7"/>
      <c r="JRM19" s="7"/>
      <c r="JRN19" s="7"/>
      <c r="JRO19" s="7"/>
      <c r="JRP19" s="7"/>
      <c r="JRQ19" s="7"/>
      <c r="JRR19" s="7"/>
      <c r="JRS19" s="7"/>
      <c r="JRT19" s="7"/>
      <c r="JRU19" s="7"/>
      <c r="JRV19" s="7"/>
      <c r="JRW19" s="7"/>
      <c r="JRX19" s="7"/>
      <c r="JRY19" s="7"/>
      <c r="JRZ19" s="7"/>
      <c r="JSA19" s="7"/>
      <c r="JSB19" s="7"/>
      <c r="JSC19" s="7"/>
      <c r="JSD19" s="7"/>
      <c r="JSE19" s="7"/>
      <c r="JSF19" s="7"/>
      <c r="JSG19" s="7"/>
      <c r="JSH19" s="7"/>
      <c r="JSI19" s="7"/>
      <c r="JSJ19" s="7"/>
      <c r="JSK19" s="7"/>
      <c r="JSL19" s="7"/>
      <c r="JSM19" s="7"/>
      <c r="JSN19" s="7"/>
      <c r="JSO19" s="7"/>
      <c r="JSP19" s="7"/>
      <c r="JSQ19" s="7"/>
      <c r="JSR19" s="7"/>
      <c r="JSS19" s="7"/>
      <c r="JST19" s="7"/>
      <c r="JSU19" s="7"/>
      <c r="JSV19" s="7"/>
      <c r="JSW19" s="7"/>
      <c r="JSX19" s="7"/>
      <c r="JSY19" s="7"/>
      <c r="JSZ19" s="7"/>
      <c r="JTA19" s="7"/>
      <c r="JTB19" s="7"/>
      <c r="JTC19" s="7"/>
      <c r="JTD19" s="7"/>
      <c r="JTE19" s="7"/>
      <c r="JTF19" s="7"/>
      <c r="JTG19" s="7"/>
      <c r="JTH19" s="7"/>
      <c r="JTI19" s="7"/>
      <c r="JTJ19" s="7"/>
      <c r="JTK19" s="7"/>
      <c r="JTL19" s="7"/>
      <c r="JTM19" s="7"/>
      <c r="JTN19" s="7"/>
      <c r="JTO19" s="7"/>
      <c r="JTP19" s="7"/>
      <c r="JTQ19" s="7"/>
      <c r="JTR19" s="7"/>
      <c r="JTS19" s="7"/>
      <c r="JTT19" s="7"/>
      <c r="JTU19" s="7"/>
      <c r="JTV19" s="7"/>
      <c r="JTW19" s="7"/>
      <c r="JTX19" s="7"/>
      <c r="JTY19" s="7"/>
      <c r="JTZ19" s="7"/>
      <c r="JUA19" s="7"/>
      <c r="JUB19" s="7"/>
      <c r="JUC19" s="7"/>
      <c r="JUD19" s="7"/>
      <c r="JUE19" s="7"/>
      <c r="JUF19" s="7"/>
      <c r="JUG19" s="7"/>
      <c r="JUH19" s="7"/>
      <c r="JUI19" s="7"/>
      <c r="JUJ19" s="7"/>
      <c r="JUK19" s="7"/>
      <c r="JUL19" s="7"/>
      <c r="JUM19" s="7"/>
      <c r="JUN19" s="7"/>
      <c r="JUO19" s="7"/>
      <c r="JUP19" s="7"/>
      <c r="JUQ19" s="7"/>
      <c r="JUR19" s="7"/>
      <c r="JUS19" s="7"/>
      <c r="JUT19" s="7"/>
      <c r="JUU19" s="7"/>
      <c r="JUV19" s="7"/>
      <c r="JUW19" s="7"/>
      <c r="JUX19" s="7"/>
      <c r="JUY19" s="7"/>
      <c r="JUZ19" s="7"/>
      <c r="JVA19" s="7"/>
      <c r="JVB19" s="7"/>
      <c r="JVC19" s="7"/>
      <c r="JVD19" s="7"/>
      <c r="JVE19" s="7"/>
      <c r="JVF19" s="7"/>
      <c r="JVG19" s="7"/>
      <c r="JVH19" s="7"/>
      <c r="JVI19" s="7"/>
      <c r="JVJ19" s="7"/>
      <c r="JVK19" s="7"/>
      <c r="JVL19" s="7"/>
      <c r="JVM19" s="7"/>
      <c r="JVN19" s="7"/>
      <c r="JVO19" s="7"/>
      <c r="JVP19" s="7"/>
      <c r="JVQ19" s="7"/>
      <c r="JVR19" s="7"/>
      <c r="JVS19" s="7"/>
      <c r="JVT19" s="7"/>
      <c r="JVU19" s="7"/>
      <c r="JVV19" s="7"/>
      <c r="JVW19" s="7"/>
      <c r="JVX19" s="7"/>
      <c r="JVY19" s="7"/>
      <c r="JVZ19" s="7"/>
      <c r="JWA19" s="7"/>
      <c r="JWB19" s="7"/>
      <c r="JWC19" s="7"/>
      <c r="JWD19" s="7"/>
      <c r="JWE19" s="7"/>
      <c r="JWF19" s="7"/>
      <c r="JWG19" s="7"/>
      <c r="JWH19" s="7"/>
      <c r="JWI19" s="7"/>
      <c r="JWJ19" s="7"/>
      <c r="JWK19" s="7"/>
      <c r="JWL19" s="7"/>
      <c r="JWM19" s="7"/>
      <c r="JWN19" s="7"/>
      <c r="JWO19" s="7"/>
      <c r="JWP19" s="7"/>
      <c r="JWQ19" s="7"/>
      <c r="JWR19" s="7"/>
      <c r="JWS19" s="7"/>
      <c r="JWT19" s="7"/>
      <c r="JWU19" s="7"/>
      <c r="JWV19" s="7"/>
      <c r="JWW19" s="7"/>
      <c r="JWX19" s="7"/>
      <c r="JWY19" s="7"/>
      <c r="JWZ19" s="7"/>
      <c r="JXA19" s="7"/>
      <c r="JXB19" s="7"/>
      <c r="JXC19" s="7"/>
      <c r="JXD19" s="7"/>
      <c r="JXE19" s="7"/>
      <c r="JXF19" s="7"/>
      <c r="JXG19" s="7"/>
      <c r="JXH19" s="7"/>
      <c r="JXI19" s="7"/>
      <c r="JXJ19" s="7"/>
      <c r="JXK19" s="7"/>
      <c r="JXL19" s="7"/>
      <c r="JXM19" s="7"/>
      <c r="JXN19" s="7"/>
      <c r="JXO19" s="7"/>
      <c r="JXP19" s="7"/>
      <c r="JXQ19" s="7"/>
      <c r="JXR19" s="7"/>
      <c r="JXS19" s="7"/>
      <c r="JXT19" s="7"/>
      <c r="JXU19" s="7"/>
      <c r="JXV19" s="7"/>
      <c r="JXW19" s="7"/>
      <c r="JXX19" s="7"/>
      <c r="JXY19" s="7"/>
      <c r="JXZ19" s="7"/>
      <c r="JYA19" s="7"/>
      <c r="JYB19" s="7"/>
      <c r="JYC19" s="7"/>
      <c r="JYD19" s="7"/>
      <c r="JYE19" s="7"/>
      <c r="JYF19" s="7"/>
      <c r="JYG19" s="7"/>
      <c r="JYH19" s="7"/>
      <c r="JYI19" s="7"/>
      <c r="JYJ19" s="7"/>
      <c r="JYK19" s="7"/>
      <c r="JYL19" s="7"/>
      <c r="JYM19" s="7"/>
      <c r="JYN19" s="7"/>
      <c r="JYO19" s="7"/>
      <c r="JYP19" s="7"/>
      <c r="JYQ19" s="7"/>
      <c r="JYR19" s="7"/>
      <c r="JYS19" s="7"/>
      <c r="JYT19" s="7"/>
      <c r="JYU19" s="7"/>
      <c r="JYV19" s="7"/>
      <c r="JYW19" s="7"/>
      <c r="JYX19" s="7"/>
      <c r="JYY19" s="7"/>
      <c r="JYZ19" s="7"/>
      <c r="JZA19" s="7"/>
      <c r="JZB19" s="7"/>
      <c r="JZC19" s="7"/>
      <c r="JZD19" s="7"/>
      <c r="JZE19" s="7"/>
      <c r="JZF19" s="7"/>
      <c r="JZG19" s="7"/>
      <c r="JZH19" s="7"/>
      <c r="JZI19" s="7"/>
      <c r="JZJ19" s="7"/>
      <c r="JZK19" s="7"/>
      <c r="JZL19" s="7"/>
      <c r="JZM19" s="7"/>
      <c r="JZN19" s="7"/>
      <c r="JZO19" s="7"/>
      <c r="JZP19" s="7"/>
      <c r="JZQ19" s="7"/>
      <c r="JZR19" s="7"/>
      <c r="JZS19" s="7"/>
      <c r="JZT19" s="7"/>
      <c r="JZU19" s="7"/>
      <c r="JZV19" s="7"/>
      <c r="JZW19" s="7"/>
      <c r="JZX19" s="7"/>
      <c r="JZY19" s="7"/>
      <c r="JZZ19" s="7"/>
      <c r="KAA19" s="7"/>
      <c r="KAB19" s="7"/>
      <c r="KAC19" s="7"/>
      <c r="KAD19" s="7"/>
      <c r="KAE19" s="7"/>
      <c r="KAF19" s="7"/>
      <c r="KAG19" s="7"/>
      <c r="KAH19" s="7"/>
      <c r="KAI19" s="7"/>
      <c r="KAJ19" s="7"/>
      <c r="KAK19" s="7"/>
      <c r="KAL19" s="7"/>
      <c r="KAM19" s="7"/>
      <c r="KAN19" s="7"/>
      <c r="KAO19" s="7"/>
      <c r="KAP19" s="7"/>
      <c r="KAQ19" s="7"/>
      <c r="KAR19" s="7"/>
      <c r="KAS19" s="7"/>
      <c r="KAT19" s="7"/>
      <c r="KAU19" s="7"/>
      <c r="KAV19" s="7"/>
      <c r="KAW19" s="7"/>
      <c r="KAX19" s="7"/>
      <c r="KAY19" s="7"/>
      <c r="KAZ19" s="7"/>
      <c r="KBA19" s="7"/>
      <c r="KBB19" s="7"/>
      <c r="KBC19" s="7"/>
      <c r="KBD19" s="7"/>
      <c r="KBE19" s="7"/>
      <c r="KBF19" s="7"/>
      <c r="KBG19" s="7"/>
      <c r="KBH19" s="7"/>
      <c r="KBI19" s="7"/>
      <c r="KBJ19" s="7"/>
      <c r="KBK19" s="7"/>
      <c r="KBL19" s="7"/>
      <c r="KBM19" s="7"/>
      <c r="KBN19" s="7"/>
      <c r="KBO19" s="7"/>
      <c r="KBP19" s="7"/>
      <c r="KBQ19" s="7"/>
      <c r="KBR19" s="7"/>
      <c r="KBS19" s="7"/>
      <c r="KBT19" s="7"/>
      <c r="KBU19" s="7"/>
      <c r="KBV19" s="7"/>
      <c r="KBW19" s="7"/>
      <c r="KBX19" s="7"/>
      <c r="KBY19" s="7"/>
      <c r="KBZ19" s="7"/>
      <c r="KCA19" s="7"/>
      <c r="KCB19" s="7"/>
      <c r="KCC19" s="7"/>
      <c r="KCD19" s="7"/>
      <c r="KCE19" s="7"/>
      <c r="KCF19" s="7"/>
      <c r="KCG19" s="7"/>
      <c r="KCH19" s="7"/>
      <c r="KCI19" s="7"/>
      <c r="KCJ19" s="7"/>
      <c r="KCK19" s="7"/>
      <c r="KCL19" s="7"/>
      <c r="KCM19" s="7"/>
      <c r="KCN19" s="7"/>
      <c r="KCO19" s="7"/>
      <c r="KCP19" s="7"/>
      <c r="KCQ19" s="7"/>
      <c r="KCR19" s="7"/>
      <c r="KCS19" s="7"/>
      <c r="KCT19" s="7"/>
      <c r="KCU19" s="7"/>
      <c r="KCV19" s="7"/>
      <c r="KCW19" s="7"/>
      <c r="KCX19" s="7"/>
      <c r="KCY19" s="7"/>
      <c r="KCZ19" s="7"/>
      <c r="KDA19" s="7"/>
      <c r="KDB19" s="7"/>
      <c r="KDC19" s="7"/>
      <c r="KDD19" s="7"/>
      <c r="KDE19" s="7"/>
      <c r="KDF19" s="7"/>
      <c r="KDG19" s="7"/>
      <c r="KDH19" s="7"/>
      <c r="KDI19" s="7"/>
      <c r="KDJ19" s="7"/>
      <c r="KDK19" s="7"/>
      <c r="KDL19" s="7"/>
      <c r="KDM19" s="7"/>
      <c r="KDN19" s="7"/>
      <c r="KDO19" s="7"/>
      <c r="KDP19" s="7"/>
      <c r="KDQ19" s="7"/>
      <c r="KDR19" s="7"/>
      <c r="KDS19" s="7"/>
      <c r="KDT19" s="7"/>
      <c r="KDU19" s="7"/>
      <c r="KDV19" s="7"/>
      <c r="KDW19" s="7"/>
      <c r="KDX19" s="7"/>
      <c r="KDY19" s="7"/>
      <c r="KDZ19" s="7"/>
      <c r="KEA19" s="7"/>
      <c r="KEB19" s="7"/>
      <c r="KEC19" s="7"/>
      <c r="KED19" s="7"/>
      <c r="KEE19" s="7"/>
      <c r="KEF19" s="7"/>
      <c r="KEG19" s="7"/>
      <c r="KEH19" s="7"/>
      <c r="KEI19" s="7"/>
      <c r="KEJ19" s="7"/>
      <c r="KEK19" s="7"/>
      <c r="KEL19" s="7"/>
      <c r="KEM19" s="7"/>
      <c r="KEN19" s="7"/>
      <c r="KEO19" s="7"/>
      <c r="KEP19" s="7"/>
      <c r="KEQ19" s="7"/>
      <c r="KER19" s="7"/>
      <c r="KES19" s="7"/>
      <c r="KET19" s="7"/>
      <c r="KEU19" s="7"/>
      <c r="KEV19" s="7"/>
      <c r="KEW19" s="7"/>
      <c r="KEX19" s="7"/>
      <c r="KEY19" s="7"/>
      <c r="KEZ19" s="7"/>
      <c r="KFA19" s="7"/>
      <c r="KFB19" s="7"/>
      <c r="KFC19" s="7"/>
      <c r="KFD19" s="7"/>
      <c r="KFE19" s="7"/>
      <c r="KFF19" s="7"/>
      <c r="KFG19" s="7"/>
      <c r="KFH19" s="7"/>
      <c r="KFI19" s="7"/>
      <c r="KFJ19" s="7"/>
      <c r="KFK19" s="7"/>
      <c r="KFL19" s="7"/>
      <c r="KFM19" s="7"/>
      <c r="KFN19" s="7"/>
      <c r="KFO19" s="7"/>
      <c r="KFP19" s="7"/>
      <c r="KFQ19" s="7"/>
      <c r="KFR19" s="7"/>
      <c r="KFS19" s="7"/>
      <c r="KFT19" s="7"/>
      <c r="KFU19" s="7"/>
      <c r="KFV19" s="7"/>
      <c r="KFW19" s="7"/>
      <c r="KFX19" s="7"/>
      <c r="KFY19" s="7"/>
      <c r="KFZ19" s="7"/>
      <c r="KGA19" s="7"/>
      <c r="KGB19" s="7"/>
      <c r="KGC19" s="7"/>
      <c r="KGD19" s="7"/>
      <c r="KGE19" s="7"/>
      <c r="KGF19" s="7"/>
      <c r="KGG19" s="7"/>
      <c r="KGH19" s="7"/>
      <c r="KGI19" s="7"/>
      <c r="KGJ19" s="7"/>
      <c r="KGK19" s="7"/>
      <c r="KGL19" s="7"/>
      <c r="KGM19" s="7"/>
      <c r="KGN19" s="7"/>
      <c r="KGO19" s="7"/>
      <c r="KGP19" s="7"/>
      <c r="KGQ19" s="7"/>
      <c r="KGR19" s="7"/>
      <c r="KGS19" s="7"/>
      <c r="KGT19" s="7"/>
      <c r="KGU19" s="7"/>
      <c r="KGV19" s="7"/>
      <c r="KGW19" s="7"/>
      <c r="KGX19" s="7"/>
      <c r="KGY19" s="7"/>
      <c r="KGZ19" s="7"/>
      <c r="KHA19" s="7"/>
      <c r="KHB19" s="7"/>
      <c r="KHC19" s="7"/>
      <c r="KHD19" s="7"/>
      <c r="KHE19" s="7"/>
      <c r="KHF19" s="7"/>
      <c r="KHG19" s="7"/>
      <c r="KHH19" s="7"/>
      <c r="KHI19" s="7"/>
      <c r="KHJ19" s="7"/>
      <c r="KHK19" s="7"/>
      <c r="KHL19" s="7"/>
      <c r="KHM19" s="7"/>
      <c r="KHN19" s="7"/>
      <c r="KHO19" s="7"/>
      <c r="KHP19" s="7"/>
      <c r="KHQ19" s="7"/>
      <c r="KHR19" s="7"/>
      <c r="KHS19" s="7"/>
      <c r="KHT19" s="7"/>
      <c r="KHU19" s="7"/>
      <c r="KHV19" s="7"/>
      <c r="KHW19" s="7"/>
      <c r="KHX19" s="7"/>
      <c r="KHY19" s="7"/>
      <c r="KHZ19" s="7"/>
      <c r="KIA19" s="7"/>
      <c r="KIB19" s="7"/>
      <c r="KIC19" s="7"/>
      <c r="KID19" s="7"/>
      <c r="KIE19" s="7"/>
      <c r="KIF19" s="7"/>
      <c r="KIG19" s="7"/>
      <c r="KIH19" s="7"/>
      <c r="KII19" s="7"/>
      <c r="KIJ19" s="7"/>
      <c r="KIK19" s="7"/>
      <c r="KIL19" s="7"/>
      <c r="KIM19" s="7"/>
      <c r="KIN19" s="7"/>
      <c r="KIO19" s="7"/>
      <c r="KIP19" s="7"/>
      <c r="KIQ19" s="7"/>
      <c r="KIR19" s="7"/>
      <c r="KIS19" s="7"/>
      <c r="KIT19" s="7"/>
      <c r="KIU19" s="7"/>
      <c r="KIV19" s="7"/>
      <c r="KIW19" s="7"/>
      <c r="KIX19" s="7"/>
      <c r="KIY19" s="7"/>
      <c r="KIZ19" s="7"/>
      <c r="KJA19" s="7"/>
      <c r="KJB19" s="7"/>
      <c r="KJC19" s="7"/>
      <c r="KJD19" s="7"/>
      <c r="KJE19" s="7"/>
      <c r="KJF19" s="7"/>
      <c r="KJG19" s="7"/>
      <c r="KJH19" s="7"/>
      <c r="KJI19" s="7"/>
      <c r="KJJ19" s="7"/>
      <c r="KJK19" s="7"/>
      <c r="KJL19" s="7"/>
      <c r="KJM19" s="7"/>
      <c r="KJN19" s="7"/>
      <c r="KJO19" s="7"/>
      <c r="KJP19" s="7"/>
      <c r="KJQ19" s="7"/>
      <c r="KJR19" s="7"/>
      <c r="KJS19" s="7"/>
      <c r="KJT19" s="7"/>
      <c r="KJU19" s="7"/>
      <c r="KJV19" s="7"/>
      <c r="KJW19" s="7"/>
      <c r="KJX19" s="7"/>
      <c r="KJY19" s="7"/>
      <c r="KJZ19" s="7"/>
      <c r="KKA19" s="7"/>
      <c r="KKB19" s="7"/>
      <c r="KKC19" s="7"/>
      <c r="KKD19" s="7"/>
      <c r="KKE19" s="7"/>
      <c r="KKF19" s="7"/>
      <c r="KKG19" s="7"/>
      <c r="KKH19" s="7"/>
      <c r="KKI19" s="7"/>
      <c r="KKJ19" s="7"/>
      <c r="KKK19" s="7"/>
      <c r="KKL19" s="7"/>
      <c r="KKM19" s="7"/>
      <c r="KKN19" s="7"/>
      <c r="KKO19" s="7"/>
      <c r="KKP19" s="7"/>
      <c r="KKQ19" s="7"/>
      <c r="KKR19" s="7"/>
      <c r="KKS19" s="7"/>
      <c r="KKT19" s="7"/>
      <c r="KKU19" s="7"/>
      <c r="KKV19" s="7"/>
      <c r="KKW19" s="7"/>
      <c r="KKX19" s="7"/>
      <c r="KKY19" s="7"/>
      <c r="KKZ19" s="7"/>
      <c r="KLA19" s="7"/>
      <c r="KLB19" s="7"/>
      <c r="KLC19" s="7"/>
      <c r="KLD19" s="7"/>
      <c r="KLE19" s="7"/>
      <c r="KLF19" s="7"/>
      <c r="KLG19" s="7"/>
      <c r="KLH19" s="7"/>
      <c r="KLI19" s="7"/>
      <c r="KLJ19" s="7"/>
      <c r="KLK19" s="7"/>
      <c r="KLL19" s="7"/>
      <c r="KLM19" s="7"/>
      <c r="KLN19" s="7"/>
      <c r="KLO19" s="7"/>
      <c r="KLP19" s="7"/>
      <c r="KLQ19" s="7"/>
      <c r="KLR19" s="7"/>
      <c r="KLS19" s="7"/>
      <c r="KLT19" s="7"/>
      <c r="KLU19" s="7"/>
      <c r="KLV19" s="7"/>
      <c r="KLW19" s="7"/>
      <c r="KLX19" s="7"/>
      <c r="KLY19" s="7"/>
      <c r="KLZ19" s="7"/>
      <c r="KMA19" s="7"/>
      <c r="KMB19" s="7"/>
      <c r="KMC19" s="7"/>
      <c r="KMD19" s="7"/>
      <c r="KME19" s="7"/>
      <c r="KMF19" s="7"/>
      <c r="KMG19" s="7"/>
      <c r="KMH19" s="7"/>
      <c r="KMI19" s="7"/>
      <c r="KMJ19" s="7"/>
      <c r="KMK19" s="7"/>
      <c r="KML19" s="7"/>
      <c r="KMM19" s="7"/>
      <c r="KMN19" s="7"/>
      <c r="KMO19" s="7"/>
      <c r="KMP19" s="7"/>
      <c r="KMQ19" s="7"/>
      <c r="KMR19" s="7"/>
      <c r="KMS19" s="7"/>
      <c r="KMT19" s="7"/>
      <c r="KMU19" s="7"/>
      <c r="KMV19" s="7"/>
      <c r="KMW19" s="7"/>
      <c r="KMX19" s="7"/>
      <c r="KMY19" s="7"/>
      <c r="KMZ19" s="7"/>
      <c r="KNA19" s="7"/>
      <c r="KNB19" s="7"/>
      <c r="KNC19" s="7"/>
      <c r="KND19" s="7"/>
      <c r="KNE19" s="7"/>
      <c r="KNF19" s="7"/>
      <c r="KNG19" s="7"/>
      <c r="KNH19" s="7"/>
      <c r="KNI19" s="7"/>
      <c r="KNJ19" s="7"/>
      <c r="KNK19" s="7"/>
      <c r="KNL19" s="7"/>
      <c r="KNM19" s="7"/>
      <c r="KNN19" s="7"/>
      <c r="KNO19" s="7"/>
      <c r="KNP19" s="7"/>
      <c r="KNQ19" s="7"/>
      <c r="KNR19" s="7"/>
      <c r="KNS19" s="7"/>
      <c r="KNT19" s="7"/>
      <c r="KNU19" s="7"/>
      <c r="KNV19" s="7"/>
      <c r="KNW19" s="7"/>
      <c r="KNX19" s="7"/>
      <c r="KNY19" s="7"/>
      <c r="KNZ19" s="7"/>
      <c r="KOA19" s="7"/>
      <c r="KOB19" s="7"/>
      <c r="KOC19" s="7"/>
      <c r="KOD19" s="7"/>
      <c r="KOE19" s="7"/>
      <c r="KOF19" s="7"/>
      <c r="KOG19" s="7"/>
      <c r="KOH19" s="7"/>
      <c r="KOI19" s="7"/>
      <c r="KOJ19" s="7"/>
      <c r="KOK19" s="7"/>
      <c r="KOL19" s="7"/>
      <c r="KOM19" s="7"/>
      <c r="KON19" s="7"/>
      <c r="KOO19" s="7"/>
      <c r="KOP19" s="7"/>
      <c r="KOQ19" s="7"/>
      <c r="KOR19" s="7"/>
      <c r="KOS19" s="7"/>
      <c r="KOT19" s="7"/>
      <c r="KOU19" s="7"/>
      <c r="KOV19" s="7"/>
      <c r="KOW19" s="7"/>
      <c r="KOX19" s="7"/>
      <c r="KOY19" s="7"/>
      <c r="KOZ19" s="7"/>
      <c r="KPA19" s="7"/>
      <c r="KPB19" s="7"/>
      <c r="KPC19" s="7"/>
      <c r="KPD19" s="7"/>
      <c r="KPE19" s="7"/>
      <c r="KPF19" s="7"/>
      <c r="KPG19" s="7"/>
      <c r="KPH19" s="7"/>
      <c r="KPI19" s="7"/>
      <c r="KPJ19" s="7"/>
      <c r="KPK19" s="7"/>
      <c r="KPL19" s="7"/>
      <c r="KPM19" s="7"/>
      <c r="KPN19" s="7"/>
      <c r="KPO19" s="7"/>
      <c r="KPP19" s="7"/>
      <c r="KPQ19" s="7"/>
      <c r="KPR19" s="7"/>
      <c r="KPS19" s="7"/>
      <c r="KPT19" s="7"/>
      <c r="KPU19" s="7"/>
      <c r="KPV19" s="7"/>
      <c r="KPW19" s="7"/>
      <c r="KPX19" s="7"/>
      <c r="KPY19" s="7"/>
      <c r="KPZ19" s="7"/>
      <c r="KQA19" s="7"/>
      <c r="KQB19" s="7"/>
      <c r="KQC19" s="7"/>
      <c r="KQD19" s="7"/>
      <c r="KQE19" s="7"/>
      <c r="KQF19" s="7"/>
      <c r="KQG19" s="7"/>
      <c r="KQH19" s="7"/>
      <c r="KQI19" s="7"/>
      <c r="KQJ19" s="7"/>
      <c r="KQK19" s="7"/>
      <c r="KQL19" s="7"/>
      <c r="KQM19" s="7"/>
      <c r="KQN19" s="7"/>
      <c r="KQO19" s="7"/>
      <c r="KQP19" s="7"/>
      <c r="KQQ19" s="7"/>
      <c r="KQR19" s="7"/>
      <c r="KQS19" s="7"/>
      <c r="KQT19" s="7"/>
      <c r="KQU19" s="7"/>
      <c r="KQV19" s="7"/>
      <c r="KQW19" s="7"/>
      <c r="KQX19" s="7"/>
      <c r="KQY19" s="7"/>
      <c r="KQZ19" s="7"/>
      <c r="KRA19" s="7"/>
      <c r="KRB19" s="7"/>
      <c r="KRC19" s="7"/>
      <c r="KRD19" s="7"/>
      <c r="KRE19" s="7"/>
      <c r="KRF19" s="7"/>
      <c r="KRG19" s="7"/>
      <c r="KRH19" s="7"/>
      <c r="KRI19" s="7"/>
      <c r="KRJ19" s="7"/>
      <c r="KRK19" s="7"/>
      <c r="KRL19" s="7"/>
      <c r="KRM19" s="7"/>
      <c r="KRN19" s="7"/>
      <c r="KRO19" s="7"/>
      <c r="KRP19" s="7"/>
      <c r="KRQ19" s="7"/>
      <c r="KRR19" s="7"/>
      <c r="KRS19" s="7"/>
      <c r="KRT19" s="7"/>
      <c r="KRU19" s="7"/>
      <c r="KRV19" s="7"/>
      <c r="KRW19" s="7"/>
      <c r="KRX19" s="7"/>
      <c r="KRY19" s="7"/>
      <c r="KRZ19" s="7"/>
      <c r="KSA19" s="7"/>
      <c r="KSB19" s="7"/>
      <c r="KSC19" s="7"/>
      <c r="KSD19" s="7"/>
      <c r="KSE19" s="7"/>
      <c r="KSF19" s="7"/>
      <c r="KSG19" s="7"/>
      <c r="KSH19" s="7"/>
      <c r="KSI19" s="7"/>
      <c r="KSJ19" s="7"/>
      <c r="KSK19" s="7"/>
      <c r="KSL19" s="7"/>
      <c r="KSM19" s="7"/>
      <c r="KSN19" s="7"/>
      <c r="KSO19" s="7"/>
      <c r="KSP19" s="7"/>
      <c r="KSQ19" s="7"/>
      <c r="KSR19" s="7"/>
      <c r="KSS19" s="7"/>
      <c r="KST19" s="7"/>
      <c r="KSU19" s="7"/>
      <c r="KSV19" s="7"/>
      <c r="KSW19" s="7"/>
      <c r="KSX19" s="7"/>
      <c r="KSY19" s="7"/>
      <c r="KSZ19" s="7"/>
      <c r="KTA19" s="7"/>
      <c r="KTB19" s="7"/>
      <c r="KTC19" s="7"/>
      <c r="KTD19" s="7"/>
      <c r="KTE19" s="7"/>
      <c r="KTF19" s="7"/>
      <c r="KTG19" s="7"/>
      <c r="KTH19" s="7"/>
      <c r="KTI19" s="7"/>
      <c r="KTJ19" s="7"/>
      <c r="KTK19" s="7"/>
      <c r="KTL19" s="7"/>
      <c r="KTM19" s="7"/>
      <c r="KTN19" s="7"/>
      <c r="KTO19" s="7"/>
      <c r="KTP19" s="7"/>
      <c r="KTQ19" s="7"/>
      <c r="KTR19" s="7"/>
      <c r="KTS19" s="7"/>
      <c r="KTT19" s="7"/>
      <c r="KTU19" s="7"/>
      <c r="KTV19" s="7"/>
      <c r="KTW19" s="7"/>
      <c r="KTX19" s="7"/>
      <c r="KTY19" s="7"/>
      <c r="KTZ19" s="7"/>
      <c r="KUA19" s="7"/>
      <c r="KUB19" s="7"/>
      <c r="KUC19" s="7"/>
      <c r="KUD19" s="7"/>
      <c r="KUE19" s="7"/>
      <c r="KUF19" s="7"/>
      <c r="KUG19" s="7"/>
      <c r="KUH19" s="7"/>
      <c r="KUI19" s="7"/>
      <c r="KUJ19" s="7"/>
      <c r="KUK19" s="7"/>
      <c r="KUL19" s="7"/>
      <c r="KUM19" s="7"/>
      <c r="KUN19" s="7"/>
      <c r="KUO19" s="7"/>
      <c r="KUP19" s="7"/>
      <c r="KUQ19" s="7"/>
      <c r="KUR19" s="7"/>
      <c r="KUS19" s="7"/>
      <c r="KUT19" s="7"/>
      <c r="KUU19" s="7"/>
      <c r="KUV19" s="7"/>
      <c r="KUW19" s="7"/>
      <c r="KUX19" s="7"/>
      <c r="KUY19" s="7"/>
      <c r="KUZ19" s="7"/>
      <c r="KVA19" s="7"/>
      <c r="KVB19" s="7"/>
      <c r="KVC19" s="7"/>
      <c r="KVD19" s="7"/>
      <c r="KVE19" s="7"/>
      <c r="KVF19" s="7"/>
      <c r="KVG19" s="7"/>
      <c r="KVH19" s="7"/>
      <c r="KVI19" s="7"/>
      <c r="KVJ19" s="7"/>
      <c r="KVK19" s="7"/>
      <c r="KVL19" s="7"/>
      <c r="KVM19" s="7"/>
      <c r="KVN19" s="7"/>
      <c r="KVO19" s="7"/>
      <c r="KVP19" s="7"/>
      <c r="KVQ19" s="7"/>
      <c r="KVR19" s="7"/>
      <c r="KVS19" s="7"/>
      <c r="KVT19" s="7"/>
      <c r="KVU19" s="7"/>
      <c r="KVV19" s="7"/>
      <c r="KVW19" s="7"/>
      <c r="KVX19" s="7"/>
      <c r="KVY19" s="7"/>
      <c r="KVZ19" s="7"/>
      <c r="KWA19" s="7"/>
      <c r="KWB19" s="7"/>
      <c r="KWC19" s="7"/>
      <c r="KWD19" s="7"/>
      <c r="KWE19" s="7"/>
      <c r="KWF19" s="7"/>
      <c r="KWG19" s="7"/>
      <c r="KWH19" s="7"/>
      <c r="KWI19" s="7"/>
      <c r="KWJ19" s="7"/>
      <c r="KWK19" s="7"/>
      <c r="KWL19" s="7"/>
      <c r="KWM19" s="7"/>
      <c r="KWN19" s="7"/>
      <c r="KWO19" s="7"/>
      <c r="KWP19" s="7"/>
      <c r="KWQ19" s="7"/>
      <c r="KWR19" s="7"/>
      <c r="KWS19" s="7"/>
      <c r="KWT19" s="7"/>
      <c r="KWU19" s="7"/>
      <c r="KWV19" s="7"/>
      <c r="KWW19" s="7"/>
      <c r="KWX19" s="7"/>
      <c r="KWY19" s="7"/>
      <c r="KWZ19" s="7"/>
      <c r="KXA19" s="7"/>
      <c r="KXB19" s="7"/>
      <c r="KXC19" s="7"/>
      <c r="KXD19" s="7"/>
      <c r="KXE19" s="7"/>
      <c r="KXF19" s="7"/>
      <c r="KXG19" s="7"/>
      <c r="KXH19" s="7"/>
      <c r="KXI19" s="7"/>
      <c r="KXJ19" s="7"/>
      <c r="KXK19" s="7"/>
      <c r="KXL19" s="7"/>
      <c r="KXM19" s="7"/>
      <c r="KXN19" s="7"/>
      <c r="KXO19" s="7"/>
      <c r="KXP19" s="7"/>
      <c r="KXQ19" s="7"/>
      <c r="KXR19" s="7"/>
      <c r="KXS19" s="7"/>
      <c r="KXT19" s="7"/>
      <c r="KXU19" s="7"/>
      <c r="KXV19" s="7"/>
      <c r="KXW19" s="7"/>
      <c r="KXX19" s="7"/>
      <c r="KXY19" s="7"/>
      <c r="KXZ19" s="7"/>
      <c r="KYA19" s="7"/>
      <c r="KYB19" s="7"/>
      <c r="KYC19" s="7"/>
      <c r="KYD19" s="7"/>
      <c r="KYE19" s="7"/>
      <c r="KYF19" s="7"/>
      <c r="KYG19" s="7"/>
      <c r="KYH19" s="7"/>
      <c r="KYI19" s="7"/>
      <c r="KYJ19" s="7"/>
      <c r="KYK19" s="7"/>
      <c r="KYL19" s="7"/>
      <c r="KYM19" s="7"/>
      <c r="KYN19" s="7"/>
      <c r="KYO19" s="7"/>
      <c r="KYP19" s="7"/>
      <c r="KYQ19" s="7"/>
      <c r="KYR19" s="7"/>
      <c r="KYS19" s="7"/>
      <c r="KYT19" s="7"/>
      <c r="KYU19" s="7"/>
      <c r="KYV19" s="7"/>
      <c r="KYW19" s="7"/>
      <c r="KYX19" s="7"/>
      <c r="KYY19" s="7"/>
      <c r="KYZ19" s="7"/>
      <c r="KZA19" s="7"/>
      <c r="KZB19" s="7"/>
      <c r="KZC19" s="7"/>
      <c r="KZD19" s="7"/>
      <c r="KZE19" s="7"/>
      <c r="KZF19" s="7"/>
      <c r="KZG19" s="7"/>
      <c r="KZH19" s="7"/>
      <c r="KZI19" s="7"/>
      <c r="KZJ19" s="7"/>
      <c r="KZK19" s="7"/>
      <c r="KZL19" s="7"/>
      <c r="KZM19" s="7"/>
      <c r="KZN19" s="7"/>
      <c r="KZO19" s="7"/>
      <c r="KZP19" s="7"/>
      <c r="KZQ19" s="7"/>
      <c r="KZR19" s="7"/>
      <c r="KZS19" s="7"/>
      <c r="KZT19" s="7"/>
      <c r="KZU19" s="7"/>
      <c r="KZV19" s="7"/>
      <c r="KZW19" s="7"/>
      <c r="KZX19" s="7"/>
      <c r="KZY19" s="7"/>
      <c r="KZZ19" s="7"/>
      <c r="LAA19" s="7"/>
      <c r="LAB19" s="7"/>
      <c r="LAC19" s="7"/>
      <c r="LAD19" s="7"/>
      <c r="LAE19" s="7"/>
      <c r="LAF19" s="7"/>
      <c r="LAG19" s="7"/>
      <c r="LAH19" s="7"/>
      <c r="LAI19" s="7"/>
      <c r="LAJ19" s="7"/>
      <c r="LAK19" s="7"/>
      <c r="LAL19" s="7"/>
      <c r="LAM19" s="7"/>
      <c r="LAN19" s="7"/>
      <c r="LAO19" s="7"/>
      <c r="LAP19" s="7"/>
      <c r="LAQ19" s="7"/>
      <c r="LAR19" s="7"/>
      <c r="LAS19" s="7"/>
      <c r="LAT19" s="7"/>
      <c r="LAU19" s="7"/>
      <c r="LAV19" s="7"/>
      <c r="LAW19" s="7"/>
      <c r="LAX19" s="7"/>
      <c r="LAY19" s="7"/>
      <c r="LAZ19" s="7"/>
      <c r="LBA19" s="7"/>
      <c r="LBB19" s="7"/>
      <c r="LBC19" s="7"/>
      <c r="LBD19" s="7"/>
      <c r="LBE19" s="7"/>
      <c r="LBF19" s="7"/>
      <c r="LBG19" s="7"/>
      <c r="LBH19" s="7"/>
      <c r="LBI19" s="7"/>
      <c r="LBJ19" s="7"/>
      <c r="LBK19" s="7"/>
      <c r="LBL19" s="7"/>
      <c r="LBM19" s="7"/>
      <c r="LBN19" s="7"/>
      <c r="LBO19" s="7"/>
      <c r="LBP19" s="7"/>
      <c r="LBQ19" s="7"/>
      <c r="LBR19" s="7"/>
      <c r="LBS19" s="7"/>
      <c r="LBT19" s="7"/>
      <c r="LBU19" s="7"/>
      <c r="LBV19" s="7"/>
      <c r="LBW19" s="7"/>
      <c r="LBX19" s="7"/>
      <c r="LBY19" s="7"/>
      <c r="LBZ19" s="7"/>
      <c r="LCA19" s="7"/>
      <c r="LCB19" s="7"/>
      <c r="LCC19" s="7"/>
      <c r="LCD19" s="7"/>
      <c r="LCE19" s="7"/>
      <c r="LCF19" s="7"/>
      <c r="LCG19" s="7"/>
      <c r="LCH19" s="7"/>
      <c r="LCI19" s="7"/>
      <c r="LCJ19" s="7"/>
      <c r="LCK19" s="7"/>
      <c r="LCL19" s="7"/>
      <c r="LCM19" s="7"/>
      <c r="LCN19" s="7"/>
      <c r="LCO19" s="7"/>
      <c r="LCP19" s="7"/>
      <c r="LCQ19" s="7"/>
      <c r="LCR19" s="7"/>
      <c r="LCS19" s="7"/>
      <c r="LCT19" s="7"/>
      <c r="LCU19" s="7"/>
      <c r="LCV19" s="7"/>
      <c r="LCW19" s="7"/>
      <c r="LCX19" s="7"/>
      <c r="LCY19" s="7"/>
      <c r="LCZ19" s="7"/>
      <c r="LDA19" s="7"/>
      <c r="LDB19" s="7"/>
      <c r="LDC19" s="7"/>
      <c r="LDD19" s="7"/>
      <c r="LDE19" s="7"/>
      <c r="LDF19" s="7"/>
      <c r="LDG19" s="7"/>
      <c r="LDH19" s="7"/>
      <c r="LDI19" s="7"/>
      <c r="LDJ19" s="7"/>
      <c r="LDK19" s="7"/>
      <c r="LDL19" s="7"/>
      <c r="LDM19" s="7"/>
      <c r="LDN19" s="7"/>
      <c r="LDO19" s="7"/>
      <c r="LDP19" s="7"/>
      <c r="LDQ19" s="7"/>
      <c r="LDR19" s="7"/>
      <c r="LDS19" s="7"/>
      <c r="LDT19" s="7"/>
      <c r="LDU19" s="7"/>
      <c r="LDV19" s="7"/>
      <c r="LDW19" s="7"/>
      <c r="LDX19" s="7"/>
      <c r="LDY19" s="7"/>
      <c r="LDZ19" s="7"/>
      <c r="LEA19" s="7"/>
      <c r="LEB19" s="7"/>
      <c r="LEC19" s="7"/>
      <c r="LED19" s="7"/>
      <c r="LEE19" s="7"/>
      <c r="LEF19" s="7"/>
      <c r="LEG19" s="7"/>
      <c r="LEH19" s="7"/>
      <c r="LEI19" s="7"/>
      <c r="LEJ19" s="7"/>
      <c r="LEK19" s="7"/>
      <c r="LEL19" s="7"/>
      <c r="LEM19" s="7"/>
      <c r="LEN19" s="7"/>
      <c r="LEO19" s="7"/>
      <c r="LEP19" s="7"/>
      <c r="LEQ19" s="7"/>
      <c r="LER19" s="7"/>
      <c r="LES19" s="7"/>
      <c r="LET19" s="7"/>
      <c r="LEU19" s="7"/>
      <c r="LEV19" s="7"/>
      <c r="LEW19" s="7"/>
      <c r="LEX19" s="7"/>
      <c r="LEY19" s="7"/>
      <c r="LEZ19" s="7"/>
      <c r="LFA19" s="7"/>
      <c r="LFB19" s="7"/>
      <c r="LFC19" s="7"/>
      <c r="LFD19" s="7"/>
      <c r="LFE19" s="7"/>
      <c r="LFF19" s="7"/>
      <c r="LFG19" s="7"/>
      <c r="LFH19" s="7"/>
      <c r="LFI19" s="7"/>
      <c r="LFJ19" s="7"/>
      <c r="LFK19" s="7"/>
      <c r="LFL19" s="7"/>
      <c r="LFM19" s="7"/>
      <c r="LFN19" s="7"/>
      <c r="LFO19" s="7"/>
      <c r="LFP19" s="7"/>
      <c r="LFQ19" s="7"/>
      <c r="LFR19" s="7"/>
      <c r="LFS19" s="7"/>
      <c r="LFT19" s="7"/>
      <c r="LFU19" s="7"/>
      <c r="LFV19" s="7"/>
      <c r="LFW19" s="7"/>
      <c r="LFX19" s="7"/>
      <c r="LFY19" s="7"/>
      <c r="LFZ19" s="7"/>
      <c r="LGA19" s="7"/>
      <c r="LGB19" s="7"/>
      <c r="LGC19" s="7"/>
      <c r="LGD19" s="7"/>
      <c r="LGE19" s="7"/>
      <c r="LGF19" s="7"/>
      <c r="LGG19" s="7"/>
      <c r="LGH19" s="7"/>
      <c r="LGI19" s="7"/>
      <c r="LGJ19" s="7"/>
      <c r="LGK19" s="7"/>
      <c r="LGL19" s="7"/>
      <c r="LGM19" s="7"/>
      <c r="LGN19" s="7"/>
      <c r="LGO19" s="7"/>
      <c r="LGP19" s="7"/>
      <c r="LGQ19" s="7"/>
      <c r="LGR19" s="7"/>
      <c r="LGS19" s="7"/>
      <c r="LGT19" s="7"/>
      <c r="LGU19" s="7"/>
      <c r="LGV19" s="7"/>
      <c r="LGW19" s="7"/>
      <c r="LGX19" s="7"/>
      <c r="LGY19" s="7"/>
      <c r="LGZ19" s="7"/>
      <c r="LHA19" s="7"/>
      <c r="LHB19" s="7"/>
      <c r="LHC19" s="7"/>
      <c r="LHD19" s="7"/>
      <c r="LHE19" s="7"/>
      <c r="LHF19" s="7"/>
      <c r="LHG19" s="7"/>
      <c r="LHH19" s="7"/>
      <c r="LHI19" s="7"/>
      <c r="LHJ19" s="7"/>
      <c r="LHK19" s="7"/>
      <c r="LHL19" s="7"/>
      <c r="LHM19" s="7"/>
      <c r="LHN19" s="7"/>
      <c r="LHO19" s="7"/>
      <c r="LHP19" s="7"/>
      <c r="LHQ19" s="7"/>
      <c r="LHR19" s="7"/>
      <c r="LHS19" s="7"/>
      <c r="LHT19" s="7"/>
      <c r="LHU19" s="7"/>
      <c r="LHV19" s="7"/>
      <c r="LHW19" s="7"/>
      <c r="LHX19" s="7"/>
      <c r="LHY19" s="7"/>
      <c r="LHZ19" s="7"/>
      <c r="LIA19" s="7"/>
      <c r="LIB19" s="7"/>
      <c r="LIC19" s="7"/>
      <c r="LID19" s="7"/>
      <c r="LIE19" s="7"/>
      <c r="LIF19" s="7"/>
      <c r="LIG19" s="7"/>
      <c r="LIH19" s="7"/>
      <c r="LII19" s="7"/>
      <c r="LIJ19" s="7"/>
      <c r="LIK19" s="7"/>
      <c r="LIL19" s="7"/>
      <c r="LIM19" s="7"/>
      <c r="LIN19" s="7"/>
      <c r="LIO19" s="7"/>
      <c r="LIP19" s="7"/>
      <c r="LIQ19" s="7"/>
      <c r="LIR19" s="7"/>
      <c r="LIS19" s="7"/>
      <c r="LIT19" s="7"/>
      <c r="LIU19" s="7"/>
      <c r="LIV19" s="7"/>
      <c r="LIW19" s="7"/>
      <c r="LIX19" s="7"/>
      <c r="LIY19" s="7"/>
      <c r="LIZ19" s="7"/>
      <c r="LJA19" s="7"/>
      <c r="LJB19" s="7"/>
      <c r="LJC19" s="7"/>
      <c r="LJD19" s="7"/>
      <c r="LJE19" s="7"/>
      <c r="LJF19" s="7"/>
      <c r="LJG19" s="7"/>
      <c r="LJH19" s="7"/>
      <c r="LJI19" s="7"/>
      <c r="LJJ19" s="7"/>
      <c r="LJK19" s="7"/>
      <c r="LJL19" s="7"/>
      <c r="LJM19" s="7"/>
      <c r="LJN19" s="7"/>
      <c r="LJO19" s="7"/>
      <c r="LJP19" s="7"/>
      <c r="LJQ19" s="7"/>
      <c r="LJR19" s="7"/>
      <c r="LJS19" s="7"/>
      <c r="LJT19" s="7"/>
      <c r="LJU19" s="7"/>
      <c r="LJV19" s="7"/>
      <c r="LJW19" s="7"/>
      <c r="LJX19" s="7"/>
      <c r="LJY19" s="7"/>
      <c r="LJZ19" s="7"/>
      <c r="LKA19" s="7"/>
      <c r="LKB19" s="7"/>
      <c r="LKC19" s="7"/>
      <c r="LKD19" s="7"/>
      <c r="LKE19" s="7"/>
      <c r="LKF19" s="7"/>
      <c r="LKG19" s="7"/>
      <c r="LKH19" s="7"/>
      <c r="LKI19" s="7"/>
      <c r="LKJ19" s="7"/>
      <c r="LKK19" s="7"/>
      <c r="LKL19" s="7"/>
      <c r="LKM19" s="7"/>
      <c r="LKN19" s="7"/>
      <c r="LKO19" s="7"/>
      <c r="LKP19" s="7"/>
      <c r="LKQ19" s="7"/>
      <c r="LKR19" s="7"/>
      <c r="LKS19" s="7"/>
      <c r="LKT19" s="7"/>
      <c r="LKU19" s="7"/>
      <c r="LKV19" s="7"/>
      <c r="LKW19" s="7"/>
      <c r="LKX19" s="7"/>
      <c r="LKY19" s="7"/>
      <c r="LKZ19" s="7"/>
      <c r="LLA19" s="7"/>
      <c r="LLB19" s="7"/>
      <c r="LLC19" s="7"/>
      <c r="LLD19" s="7"/>
      <c r="LLE19" s="7"/>
      <c r="LLF19" s="7"/>
      <c r="LLG19" s="7"/>
      <c r="LLH19" s="7"/>
      <c r="LLI19" s="7"/>
      <c r="LLJ19" s="7"/>
      <c r="LLK19" s="7"/>
      <c r="LLL19" s="7"/>
      <c r="LLM19" s="7"/>
      <c r="LLN19" s="7"/>
      <c r="LLO19" s="7"/>
      <c r="LLP19" s="7"/>
      <c r="LLQ19" s="7"/>
      <c r="LLR19" s="7"/>
      <c r="LLS19" s="7"/>
      <c r="LLT19" s="7"/>
      <c r="LLU19" s="7"/>
      <c r="LLV19" s="7"/>
      <c r="LLW19" s="7"/>
      <c r="LLX19" s="7"/>
      <c r="LLY19" s="7"/>
      <c r="LLZ19" s="7"/>
      <c r="LMA19" s="7"/>
      <c r="LMB19" s="7"/>
      <c r="LMC19" s="7"/>
      <c r="LMD19" s="7"/>
      <c r="LME19" s="7"/>
      <c r="LMF19" s="7"/>
      <c r="LMG19" s="7"/>
      <c r="LMH19" s="7"/>
      <c r="LMI19" s="7"/>
      <c r="LMJ19" s="7"/>
      <c r="LMK19" s="7"/>
      <c r="LML19" s="7"/>
      <c r="LMM19" s="7"/>
      <c r="LMN19" s="7"/>
      <c r="LMO19" s="7"/>
      <c r="LMP19" s="7"/>
      <c r="LMQ19" s="7"/>
      <c r="LMR19" s="7"/>
      <c r="LMS19" s="7"/>
      <c r="LMT19" s="7"/>
      <c r="LMU19" s="7"/>
      <c r="LMV19" s="7"/>
      <c r="LMW19" s="7"/>
      <c r="LMX19" s="7"/>
      <c r="LMY19" s="7"/>
      <c r="LMZ19" s="7"/>
      <c r="LNA19" s="7"/>
      <c r="LNB19" s="7"/>
      <c r="LNC19" s="7"/>
      <c r="LND19" s="7"/>
      <c r="LNE19" s="7"/>
      <c r="LNF19" s="7"/>
      <c r="LNG19" s="7"/>
      <c r="LNH19" s="7"/>
      <c r="LNI19" s="7"/>
      <c r="LNJ19" s="7"/>
      <c r="LNK19" s="7"/>
      <c r="LNL19" s="7"/>
      <c r="LNM19" s="7"/>
      <c r="LNN19" s="7"/>
      <c r="LNO19" s="7"/>
      <c r="LNP19" s="7"/>
      <c r="LNQ19" s="7"/>
      <c r="LNR19" s="7"/>
      <c r="LNS19" s="7"/>
      <c r="LNT19" s="7"/>
      <c r="LNU19" s="7"/>
      <c r="LNV19" s="7"/>
      <c r="LNW19" s="7"/>
      <c r="LNX19" s="7"/>
      <c r="LNY19" s="7"/>
      <c r="LNZ19" s="7"/>
      <c r="LOA19" s="7"/>
      <c r="LOB19" s="7"/>
      <c r="LOC19" s="7"/>
      <c r="LOD19" s="7"/>
      <c r="LOE19" s="7"/>
      <c r="LOF19" s="7"/>
      <c r="LOG19" s="7"/>
      <c r="LOH19" s="7"/>
      <c r="LOI19" s="7"/>
      <c r="LOJ19" s="7"/>
      <c r="LOK19" s="7"/>
      <c r="LOL19" s="7"/>
      <c r="LOM19" s="7"/>
      <c r="LON19" s="7"/>
      <c r="LOO19" s="7"/>
      <c r="LOP19" s="7"/>
      <c r="LOQ19" s="7"/>
      <c r="LOR19" s="7"/>
      <c r="LOS19" s="7"/>
      <c r="LOT19" s="7"/>
      <c r="LOU19" s="7"/>
      <c r="LOV19" s="7"/>
      <c r="LOW19" s="7"/>
      <c r="LOX19" s="7"/>
      <c r="LOY19" s="7"/>
      <c r="LOZ19" s="7"/>
      <c r="LPA19" s="7"/>
      <c r="LPB19" s="7"/>
      <c r="LPC19" s="7"/>
      <c r="LPD19" s="7"/>
      <c r="LPE19" s="7"/>
      <c r="LPF19" s="7"/>
      <c r="LPG19" s="7"/>
      <c r="LPH19" s="7"/>
      <c r="LPI19" s="7"/>
      <c r="LPJ19" s="7"/>
      <c r="LPK19" s="7"/>
      <c r="LPL19" s="7"/>
      <c r="LPM19" s="7"/>
      <c r="LPN19" s="7"/>
      <c r="LPO19" s="7"/>
      <c r="LPP19" s="7"/>
      <c r="LPQ19" s="7"/>
      <c r="LPR19" s="7"/>
      <c r="LPS19" s="7"/>
      <c r="LPT19" s="7"/>
      <c r="LPU19" s="7"/>
      <c r="LPV19" s="7"/>
      <c r="LPW19" s="7"/>
      <c r="LPX19" s="7"/>
      <c r="LPY19" s="7"/>
      <c r="LPZ19" s="7"/>
      <c r="LQA19" s="7"/>
      <c r="LQB19" s="7"/>
      <c r="LQC19" s="7"/>
      <c r="LQD19" s="7"/>
      <c r="LQE19" s="7"/>
      <c r="LQF19" s="7"/>
      <c r="LQG19" s="7"/>
      <c r="LQH19" s="7"/>
      <c r="LQI19" s="7"/>
      <c r="LQJ19" s="7"/>
      <c r="LQK19" s="7"/>
      <c r="LQL19" s="7"/>
      <c r="LQM19" s="7"/>
      <c r="LQN19" s="7"/>
      <c r="LQO19" s="7"/>
      <c r="LQP19" s="7"/>
      <c r="LQQ19" s="7"/>
      <c r="LQR19" s="7"/>
      <c r="LQS19" s="7"/>
      <c r="LQT19" s="7"/>
      <c r="LQU19" s="7"/>
      <c r="LQV19" s="7"/>
      <c r="LQW19" s="7"/>
      <c r="LQX19" s="7"/>
      <c r="LQY19" s="7"/>
      <c r="LQZ19" s="7"/>
      <c r="LRA19" s="7"/>
      <c r="LRB19" s="7"/>
      <c r="LRC19" s="7"/>
      <c r="LRD19" s="7"/>
      <c r="LRE19" s="7"/>
      <c r="LRF19" s="7"/>
      <c r="LRG19" s="7"/>
      <c r="LRH19" s="7"/>
      <c r="LRI19" s="7"/>
      <c r="LRJ19" s="7"/>
      <c r="LRK19" s="7"/>
      <c r="LRL19" s="7"/>
      <c r="LRM19" s="7"/>
      <c r="LRN19" s="7"/>
      <c r="LRO19" s="7"/>
      <c r="LRP19" s="7"/>
      <c r="LRQ19" s="7"/>
      <c r="LRR19" s="7"/>
      <c r="LRS19" s="7"/>
      <c r="LRT19" s="7"/>
      <c r="LRU19" s="7"/>
      <c r="LRV19" s="7"/>
      <c r="LRW19" s="7"/>
      <c r="LRX19" s="7"/>
      <c r="LRY19" s="7"/>
      <c r="LRZ19" s="7"/>
      <c r="LSA19" s="7"/>
      <c r="LSB19" s="7"/>
      <c r="LSC19" s="7"/>
      <c r="LSD19" s="7"/>
      <c r="LSE19" s="7"/>
      <c r="LSF19" s="7"/>
      <c r="LSG19" s="7"/>
      <c r="LSH19" s="7"/>
      <c r="LSI19" s="7"/>
      <c r="LSJ19" s="7"/>
      <c r="LSK19" s="7"/>
      <c r="LSL19" s="7"/>
      <c r="LSM19" s="7"/>
      <c r="LSN19" s="7"/>
      <c r="LSO19" s="7"/>
      <c r="LSP19" s="7"/>
      <c r="LSQ19" s="7"/>
      <c r="LSR19" s="7"/>
      <c r="LSS19" s="7"/>
      <c r="LST19" s="7"/>
      <c r="LSU19" s="7"/>
      <c r="LSV19" s="7"/>
      <c r="LSW19" s="7"/>
      <c r="LSX19" s="7"/>
      <c r="LSY19" s="7"/>
      <c r="LSZ19" s="7"/>
      <c r="LTA19" s="7"/>
      <c r="LTB19" s="7"/>
      <c r="LTC19" s="7"/>
      <c r="LTD19" s="7"/>
      <c r="LTE19" s="7"/>
      <c r="LTF19" s="7"/>
      <c r="LTG19" s="7"/>
      <c r="LTH19" s="7"/>
      <c r="LTI19" s="7"/>
      <c r="LTJ19" s="7"/>
      <c r="LTK19" s="7"/>
      <c r="LTL19" s="7"/>
      <c r="LTM19" s="7"/>
      <c r="LTN19" s="7"/>
      <c r="LTO19" s="7"/>
      <c r="LTP19" s="7"/>
      <c r="LTQ19" s="7"/>
      <c r="LTR19" s="7"/>
      <c r="LTS19" s="7"/>
      <c r="LTT19" s="7"/>
      <c r="LTU19" s="7"/>
      <c r="LTV19" s="7"/>
      <c r="LTW19" s="7"/>
      <c r="LTX19" s="7"/>
      <c r="LTY19" s="7"/>
      <c r="LTZ19" s="7"/>
      <c r="LUA19" s="7"/>
      <c r="LUB19" s="7"/>
      <c r="LUC19" s="7"/>
      <c r="LUD19" s="7"/>
      <c r="LUE19" s="7"/>
      <c r="LUF19" s="7"/>
      <c r="LUG19" s="7"/>
      <c r="LUH19" s="7"/>
      <c r="LUI19" s="7"/>
      <c r="LUJ19" s="7"/>
      <c r="LUK19" s="7"/>
      <c r="LUL19" s="7"/>
      <c r="LUM19" s="7"/>
      <c r="LUN19" s="7"/>
      <c r="LUO19" s="7"/>
      <c r="LUP19" s="7"/>
      <c r="LUQ19" s="7"/>
      <c r="LUR19" s="7"/>
      <c r="LUS19" s="7"/>
      <c r="LUT19" s="7"/>
      <c r="LUU19" s="7"/>
      <c r="LUV19" s="7"/>
      <c r="LUW19" s="7"/>
      <c r="LUX19" s="7"/>
      <c r="LUY19" s="7"/>
      <c r="LUZ19" s="7"/>
      <c r="LVA19" s="7"/>
      <c r="LVB19" s="7"/>
      <c r="LVC19" s="7"/>
      <c r="LVD19" s="7"/>
      <c r="LVE19" s="7"/>
      <c r="LVF19" s="7"/>
      <c r="LVG19" s="7"/>
      <c r="LVH19" s="7"/>
      <c r="LVI19" s="7"/>
      <c r="LVJ19" s="7"/>
      <c r="LVK19" s="7"/>
      <c r="LVL19" s="7"/>
      <c r="LVM19" s="7"/>
      <c r="LVN19" s="7"/>
      <c r="LVO19" s="7"/>
      <c r="LVP19" s="7"/>
      <c r="LVQ19" s="7"/>
      <c r="LVR19" s="7"/>
      <c r="LVS19" s="7"/>
      <c r="LVT19" s="7"/>
      <c r="LVU19" s="7"/>
      <c r="LVV19" s="7"/>
      <c r="LVW19" s="7"/>
      <c r="LVX19" s="7"/>
      <c r="LVY19" s="7"/>
      <c r="LVZ19" s="7"/>
      <c r="LWA19" s="7"/>
      <c r="LWB19" s="7"/>
      <c r="LWC19" s="7"/>
      <c r="LWD19" s="7"/>
      <c r="LWE19" s="7"/>
      <c r="LWF19" s="7"/>
      <c r="LWG19" s="7"/>
      <c r="LWH19" s="7"/>
      <c r="LWI19" s="7"/>
      <c r="LWJ19" s="7"/>
      <c r="LWK19" s="7"/>
      <c r="LWL19" s="7"/>
      <c r="LWM19" s="7"/>
      <c r="LWN19" s="7"/>
      <c r="LWO19" s="7"/>
      <c r="LWP19" s="7"/>
      <c r="LWQ19" s="7"/>
      <c r="LWR19" s="7"/>
      <c r="LWS19" s="7"/>
      <c r="LWT19" s="7"/>
      <c r="LWU19" s="7"/>
      <c r="LWV19" s="7"/>
      <c r="LWW19" s="7"/>
      <c r="LWX19" s="7"/>
      <c r="LWY19" s="7"/>
      <c r="LWZ19" s="7"/>
      <c r="LXA19" s="7"/>
      <c r="LXB19" s="7"/>
      <c r="LXC19" s="7"/>
      <c r="LXD19" s="7"/>
      <c r="LXE19" s="7"/>
      <c r="LXF19" s="7"/>
      <c r="LXG19" s="7"/>
      <c r="LXH19" s="7"/>
      <c r="LXI19" s="7"/>
      <c r="LXJ19" s="7"/>
      <c r="LXK19" s="7"/>
      <c r="LXL19" s="7"/>
      <c r="LXM19" s="7"/>
      <c r="LXN19" s="7"/>
      <c r="LXO19" s="7"/>
      <c r="LXP19" s="7"/>
      <c r="LXQ19" s="7"/>
      <c r="LXR19" s="7"/>
      <c r="LXS19" s="7"/>
      <c r="LXT19" s="7"/>
      <c r="LXU19" s="7"/>
      <c r="LXV19" s="7"/>
      <c r="LXW19" s="7"/>
      <c r="LXX19" s="7"/>
      <c r="LXY19" s="7"/>
      <c r="LXZ19" s="7"/>
      <c r="LYA19" s="7"/>
      <c r="LYB19" s="7"/>
      <c r="LYC19" s="7"/>
      <c r="LYD19" s="7"/>
      <c r="LYE19" s="7"/>
      <c r="LYF19" s="7"/>
      <c r="LYG19" s="7"/>
      <c r="LYH19" s="7"/>
      <c r="LYI19" s="7"/>
      <c r="LYJ19" s="7"/>
      <c r="LYK19" s="7"/>
      <c r="LYL19" s="7"/>
      <c r="LYM19" s="7"/>
      <c r="LYN19" s="7"/>
      <c r="LYO19" s="7"/>
      <c r="LYP19" s="7"/>
      <c r="LYQ19" s="7"/>
      <c r="LYR19" s="7"/>
      <c r="LYS19" s="7"/>
      <c r="LYT19" s="7"/>
      <c r="LYU19" s="7"/>
      <c r="LYV19" s="7"/>
      <c r="LYW19" s="7"/>
      <c r="LYX19" s="7"/>
      <c r="LYY19" s="7"/>
      <c r="LYZ19" s="7"/>
      <c r="LZA19" s="7"/>
      <c r="LZB19" s="7"/>
      <c r="LZC19" s="7"/>
      <c r="LZD19" s="7"/>
      <c r="LZE19" s="7"/>
      <c r="LZF19" s="7"/>
      <c r="LZG19" s="7"/>
      <c r="LZH19" s="7"/>
      <c r="LZI19" s="7"/>
      <c r="LZJ19" s="7"/>
      <c r="LZK19" s="7"/>
      <c r="LZL19" s="7"/>
      <c r="LZM19" s="7"/>
      <c r="LZN19" s="7"/>
      <c r="LZO19" s="7"/>
      <c r="LZP19" s="7"/>
      <c r="LZQ19" s="7"/>
      <c r="LZR19" s="7"/>
      <c r="LZS19" s="7"/>
      <c r="LZT19" s="7"/>
      <c r="LZU19" s="7"/>
      <c r="LZV19" s="7"/>
      <c r="LZW19" s="7"/>
      <c r="LZX19" s="7"/>
      <c r="LZY19" s="7"/>
      <c r="LZZ19" s="7"/>
      <c r="MAA19" s="7"/>
      <c r="MAB19" s="7"/>
      <c r="MAC19" s="7"/>
      <c r="MAD19" s="7"/>
      <c r="MAE19" s="7"/>
      <c r="MAF19" s="7"/>
      <c r="MAG19" s="7"/>
      <c r="MAH19" s="7"/>
      <c r="MAI19" s="7"/>
      <c r="MAJ19" s="7"/>
      <c r="MAK19" s="7"/>
      <c r="MAL19" s="7"/>
      <c r="MAM19" s="7"/>
      <c r="MAN19" s="7"/>
      <c r="MAO19" s="7"/>
      <c r="MAP19" s="7"/>
      <c r="MAQ19" s="7"/>
      <c r="MAR19" s="7"/>
      <c r="MAS19" s="7"/>
      <c r="MAT19" s="7"/>
      <c r="MAU19" s="7"/>
      <c r="MAV19" s="7"/>
      <c r="MAW19" s="7"/>
      <c r="MAX19" s="7"/>
      <c r="MAY19" s="7"/>
      <c r="MAZ19" s="7"/>
      <c r="MBA19" s="7"/>
      <c r="MBB19" s="7"/>
      <c r="MBC19" s="7"/>
      <c r="MBD19" s="7"/>
      <c r="MBE19" s="7"/>
      <c r="MBF19" s="7"/>
      <c r="MBG19" s="7"/>
      <c r="MBH19" s="7"/>
      <c r="MBI19" s="7"/>
      <c r="MBJ19" s="7"/>
      <c r="MBK19" s="7"/>
      <c r="MBL19" s="7"/>
      <c r="MBM19" s="7"/>
      <c r="MBN19" s="7"/>
      <c r="MBO19" s="7"/>
      <c r="MBP19" s="7"/>
      <c r="MBQ19" s="7"/>
      <c r="MBR19" s="7"/>
      <c r="MBS19" s="7"/>
      <c r="MBT19" s="7"/>
      <c r="MBU19" s="7"/>
      <c r="MBV19" s="7"/>
      <c r="MBW19" s="7"/>
      <c r="MBX19" s="7"/>
      <c r="MBY19" s="7"/>
      <c r="MBZ19" s="7"/>
      <c r="MCA19" s="7"/>
      <c r="MCB19" s="7"/>
      <c r="MCC19" s="7"/>
      <c r="MCD19" s="7"/>
      <c r="MCE19" s="7"/>
      <c r="MCF19" s="7"/>
      <c r="MCG19" s="7"/>
      <c r="MCH19" s="7"/>
      <c r="MCI19" s="7"/>
      <c r="MCJ19" s="7"/>
      <c r="MCK19" s="7"/>
      <c r="MCL19" s="7"/>
      <c r="MCM19" s="7"/>
      <c r="MCN19" s="7"/>
      <c r="MCO19" s="7"/>
      <c r="MCP19" s="7"/>
      <c r="MCQ19" s="7"/>
      <c r="MCR19" s="7"/>
      <c r="MCS19" s="7"/>
      <c r="MCT19" s="7"/>
      <c r="MCU19" s="7"/>
      <c r="MCV19" s="7"/>
      <c r="MCW19" s="7"/>
      <c r="MCX19" s="7"/>
      <c r="MCY19" s="7"/>
      <c r="MCZ19" s="7"/>
      <c r="MDA19" s="7"/>
      <c r="MDB19" s="7"/>
      <c r="MDC19" s="7"/>
      <c r="MDD19" s="7"/>
      <c r="MDE19" s="7"/>
      <c r="MDF19" s="7"/>
      <c r="MDG19" s="7"/>
      <c r="MDH19" s="7"/>
      <c r="MDI19" s="7"/>
      <c r="MDJ19" s="7"/>
      <c r="MDK19" s="7"/>
      <c r="MDL19" s="7"/>
      <c r="MDM19" s="7"/>
      <c r="MDN19" s="7"/>
      <c r="MDO19" s="7"/>
      <c r="MDP19" s="7"/>
      <c r="MDQ19" s="7"/>
      <c r="MDR19" s="7"/>
      <c r="MDS19" s="7"/>
      <c r="MDT19" s="7"/>
      <c r="MDU19" s="7"/>
      <c r="MDV19" s="7"/>
      <c r="MDW19" s="7"/>
      <c r="MDX19" s="7"/>
      <c r="MDY19" s="7"/>
      <c r="MDZ19" s="7"/>
      <c r="MEA19" s="7"/>
      <c r="MEB19" s="7"/>
      <c r="MEC19" s="7"/>
      <c r="MED19" s="7"/>
      <c r="MEE19" s="7"/>
      <c r="MEF19" s="7"/>
      <c r="MEG19" s="7"/>
      <c r="MEH19" s="7"/>
      <c r="MEI19" s="7"/>
      <c r="MEJ19" s="7"/>
      <c r="MEK19" s="7"/>
      <c r="MEL19" s="7"/>
      <c r="MEM19" s="7"/>
      <c r="MEN19" s="7"/>
      <c r="MEO19" s="7"/>
      <c r="MEP19" s="7"/>
      <c r="MEQ19" s="7"/>
      <c r="MER19" s="7"/>
      <c r="MES19" s="7"/>
      <c r="MET19" s="7"/>
      <c r="MEU19" s="7"/>
      <c r="MEV19" s="7"/>
      <c r="MEW19" s="7"/>
      <c r="MEX19" s="7"/>
      <c r="MEY19" s="7"/>
      <c r="MEZ19" s="7"/>
      <c r="MFA19" s="7"/>
      <c r="MFB19" s="7"/>
      <c r="MFC19" s="7"/>
      <c r="MFD19" s="7"/>
      <c r="MFE19" s="7"/>
      <c r="MFF19" s="7"/>
      <c r="MFG19" s="7"/>
      <c r="MFH19" s="7"/>
      <c r="MFI19" s="7"/>
      <c r="MFJ19" s="7"/>
      <c r="MFK19" s="7"/>
      <c r="MFL19" s="7"/>
      <c r="MFM19" s="7"/>
      <c r="MFN19" s="7"/>
      <c r="MFO19" s="7"/>
      <c r="MFP19" s="7"/>
      <c r="MFQ19" s="7"/>
      <c r="MFR19" s="7"/>
      <c r="MFS19" s="7"/>
      <c r="MFT19" s="7"/>
      <c r="MFU19" s="7"/>
      <c r="MFV19" s="7"/>
      <c r="MFW19" s="7"/>
      <c r="MFX19" s="7"/>
      <c r="MFY19" s="7"/>
      <c r="MFZ19" s="7"/>
      <c r="MGA19" s="7"/>
      <c r="MGB19" s="7"/>
      <c r="MGC19" s="7"/>
      <c r="MGD19" s="7"/>
      <c r="MGE19" s="7"/>
      <c r="MGF19" s="7"/>
      <c r="MGG19" s="7"/>
      <c r="MGH19" s="7"/>
      <c r="MGI19" s="7"/>
      <c r="MGJ19" s="7"/>
      <c r="MGK19" s="7"/>
      <c r="MGL19" s="7"/>
      <c r="MGM19" s="7"/>
      <c r="MGN19" s="7"/>
      <c r="MGO19" s="7"/>
      <c r="MGP19" s="7"/>
      <c r="MGQ19" s="7"/>
      <c r="MGR19" s="7"/>
      <c r="MGS19" s="7"/>
      <c r="MGT19" s="7"/>
      <c r="MGU19" s="7"/>
      <c r="MGV19" s="7"/>
      <c r="MGW19" s="7"/>
      <c r="MGX19" s="7"/>
      <c r="MGY19" s="7"/>
      <c r="MGZ19" s="7"/>
      <c r="MHA19" s="7"/>
      <c r="MHB19" s="7"/>
      <c r="MHC19" s="7"/>
      <c r="MHD19" s="7"/>
      <c r="MHE19" s="7"/>
      <c r="MHF19" s="7"/>
      <c r="MHG19" s="7"/>
      <c r="MHH19" s="7"/>
      <c r="MHI19" s="7"/>
      <c r="MHJ19" s="7"/>
      <c r="MHK19" s="7"/>
      <c r="MHL19" s="7"/>
      <c r="MHM19" s="7"/>
      <c r="MHN19" s="7"/>
      <c r="MHO19" s="7"/>
      <c r="MHP19" s="7"/>
      <c r="MHQ19" s="7"/>
      <c r="MHR19" s="7"/>
      <c r="MHS19" s="7"/>
      <c r="MHT19" s="7"/>
      <c r="MHU19" s="7"/>
      <c r="MHV19" s="7"/>
      <c r="MHW19" s="7"/>
      <c r="MHX19" s="7"/>
      <c r="MHY19" s="7"/>
      <c r="MHZ19" s="7"/>
      <c r="MIA19" s="7"/>
      <c r="MIB19" s="7"/>
      <c r="MIC19" s="7"/>
      <c r="MID19" s="7"/>
      <c r="MIE19" s="7"/>
      <c r="MIF19" s="7"/>
      <c r="MIG19" s="7"/>
      <c r="MIH19" s="7"/>
      <c r="MII19" s="7"/>
      <c r="MIJ19" s="7"/>
      <c r="MIK19" s="7"/>
      <c r="MIL19" s="7"/>
      <c r="MIM19" s="7"/>
      <c r="MIN19" s="7"/>
      <c r="MIO19" s="7"/>
      <c r="MIP19" s="7"/>
      <c r="MIQ19" s="7"/>
      <c r="MIR19" s="7"/>
      <c r="MIS19" s="7"/>
      <c r="MIT19" s="7"/>
      <c r="MIU19" s="7"/>
      <c r="MIV19" s="7"/>
      <c r="MIW19" s="7"/>
      <c r="MIX19" s="7"/>
      <c r="MIY19" s="7"/>
      <c r="MIZ19" s="7"/>
      <c r="MJA19" s="7"/>
      <c r="MJB19" s="7"/>
      <c r="MJC19" s="7"/>
      <c r="MJD19" s="7"/>
      <c r="MJE19" s="7"/>
      <c r="MJF19" s="7"/>
      <c r="MJG19" s="7"/>
      <c r="MJH19" s="7"/>
      <c r="MJI19" s="7"/>
      <c r="MJJ19" s="7"/>
      <c r="MJK19" s="7"/>
      <c r="MJL19" s="7"/>
      <c r="MJM19" s="7"/>
      <c r="MJN19" s="7"/>
      <c r="MJO19" s="7"/>
      <c r="MJP19" s="7"/>
      <c r="MJQ19" s="7"/>
      <c r="MJR19" s="7"/>
      <c r="MJS19" s="7"/>
      <c r="MJT19" s="7"/>
      <c r="MJU19" s="7"/>
      <c r="MJV19" s="7"/>
      <c r="MJW19" s="7"/>
      <c r="MJX19" s="7"/>
      <c r="MJY19" s="7"/>
      <c r="MJZ19" s="7"/>
      <c r="MKA19" s="7"/>
      <c r="MKB19" s="7"/>
      <c r="MKC19" s="7"/>
      <c r="MKD19" s="7"/>
      <c r="MKE19" s="7"/>
      <c r="MKF19" s="7"/>
      <c r="MKG19" s="7"/>
      <c r="MKH19" s="7"/>
      <c r="MKI19" s="7"/>
      <c r="MKJ19" s="7"/>
      <c r="MKK19" s="7"/>
      <c r="MKL19" s="7"/>
      <c r="MKM19" s="7"/>
      <c r="MKN19" s="7"/>
      <c r="MKO19" s="7"/>
      <c r="MKP19" s="7"/>
      <c r="MKQ19" s="7"/>
      <c r="MKR19" s="7"/>
      <c r="MKS19" s="7"/>
      <c r="MKT19" s="7"/>
      <c r="MKU19" s="7"/>
      <c r="MKV19" s="7"/>
      <c r="MKW19" s="7"/>
      <c r="MKX19" s="7"/>
      <c r="MKY19" s="7"/>
      <c r="MKZ19" s="7"/>
      <c r="MLA19" s="7"/>
      <c r="MLB19" s="7"/>
      <c r="MLC19" s="7"/>
      <c r="MLD19" s="7"/>
      <c r="MLE19" s="7"/>
      <c r="MLF19" s="7"/>
      <c r="MLG19" s="7"/>
      <c r="MLH19" s="7"/>
      <c r="MLI19" s="7"/>
      <c r="MLJ19" s="7"/>
      <c r="MLK19" s="7"/>
      <c r="MLL19" s="7"/>
      <c r="MLM19" s="7"/>
      <c r="MLN19" s="7"/>
      <c r="MLO19" s="7"/>
      <c r="MLP19" s="7"/>
      <c r="MLQ19" s="7"/>
      <c r="MLR19" s="7"/>
      <c r="MLS19" s="7"/>
      <c r="MLT19" s="7"/>
      <c r="MLU19" s="7"/>
      <c r="MLV19" s="7"/>
      <c r="MLW19" s="7"/>
      <c r="MLX19" s="7"/>
      <c r="MLY19" s="7"/>
      <c r="MLZ19" s="7"/>
      <c r="MMA19" s="7"/>
      <c r="MMB19" s="7"/>
      <c r="MMC19" s="7"/>
      <c r="MMD19" s="7"/>
      <c r="MME19" s="7"/>
      <c r="MMF19" s="7"/>
      <c r="MMG19" s="7"/>
      <c r="MMH19" s="7"/>
      <c r="MMI19" s="7"/>
      <c r="MMJ19" s="7"/>
      <c r="MMK19" s="7"/>
      <c r="MML19" s="7"/>
      <c r="MMM19" s="7"/>
      <c r="MMN19" s="7"/>
      <c r="MMO19" s="7"/>
      <c r="MMP19" s="7"/>
      <c r="MMQ19" s="7"/>
      <c r="MMR19" s="7"/>
      <c r="MMS19" s="7"/>
      <c r="MMT19" s="7"/>
      <c r="MMU19" s="7"/>
      <c r="MMV19" s="7"/>
      <c r="MMW19" s="7"/>
      <c r="MMX19" s="7"/>
      <c r="MMY19" s="7"/>
      <c r="MMZ19" s="7"/>
      <c r="MNA19" s="7"/>
      <c r="MNB19" s="7"/>
      <c r="MNC19" s="7"/>
      <c r="MND19" s="7"/>
      <c r="MNE19" s="7"/>
      <c r="MNF19" s="7"/>
      <c r="MNG19" s="7"/>
      <c r="MNH19" s="7"/>
      <c r="MNI19" s="7"/>
      <c r="MNJ19" s="7"/>
      <c r="MNK19" s="7"/>
      <c r="MNL19" s="7"/>
      <c r="MNM19" s="7"/>
      <c r="MNN19" s="7"/>
      <c r="MNO19" s="7"/>
      <c r="MNP19" s="7"/>
      <c r="MNQ19" s="7"/>
      <c r="MNR19" s="7"/>
      <c r="MNS19" s="7"/>
      <c r="MNT19" s="7"/>
      <c r="MNU19" s="7"/>
      <c r="MNV19" s="7"/>
      <c r="MNW19" s="7"/>
      <c r="MNX19" s="7"/>
      <c r="MNY19" s="7"/>
      <c r="MNZ19" s="7"/>
      <c r="MOA19" s="7"/>
      <c r="MOB19" s="7"/>
      <c r="MOC19" s="7"/>
      <c r="MOD19" s="7"/>
      <c r="MOE19" s="7"/>
      <c r="MOF19" s="7"/>
      <c r="MOG19" s="7"/>
      <c r="MOH19" s="7"/>
      <c r="MOI19" s="7"/>
      <c r="MOJ19" s="7"/>
      <c r="MOK19" s="7"/>
      <c r="MOL19" s="7"/>
      <c r="MOM19" s="7"/>
      <c r="MON19" s="7"/>
      <c r="MOO19" s="7"/>
      <c r="MOP19" s="7"/>
      <c r="MOQ19" s="7"/>
      <c r="MOR19" s="7"/>
      <c r="MOS19" s="7"/>
      <c r="MOT19" s="7"/>
      <c r="MOU19" s="7"/>
      <c r="MOV19" s="7"/>
      <c r="MOW19" s="7"/>
      <c r="MOX19" s="7"/>
      <c r="MOY19" s="7"/>
      <c r="MOZ19" s="7"/>
      <c r="MPA19" s="7"/>
      <c r="MPB19" s="7"/>
      <c r="MPC19" s="7"/>
      <c r="MPD19" s="7"/>
      <c r="MPE19" s="7"/>
      <c r="MPF19" s="7"/>
      <c r="MPG19" s="7"/>
      <c r="MPH19" s="7"/>
      <c r="MPI19" s="7"/>
      <c r="MPJ19" s="7"/>
      <c r="MPK19" s="7"/>
      <c r="MPL19" s="7"/>
      <c r="MPM19" s="7"/>
      <c r="MPN19" s="7"/>
      <c r="MPO19" s="7"/>
      <c r="MPP19" s="7"/>
      <c r="MPQ19" s="7"/>
      <c r="MPR19" s="7"/>
      <c r="MPS19" s="7"/>
      <c r="MPT19" s="7"/>
      <c r="MPU19" s="7"/>
      <c r="MPV19" s="7"/>
      <c r="MPW19" s="7"/>
      <c r="MPX19" s="7"/>
      <c r="MPY19" s="7"/>
      <c r="MPZ19" s="7"/>
      <c r="MQA19" s="7"/>
      <c r="MQB19" s="7"/>
      <c r="MQC19" s="7"/>
      <c r="MQD19" s="7"/>
      <c r="MQE19" s="7"/>
      <c r="MQF19" s="7"/>
      <c r="MQG19" s="7"/>
      <c r="MQH19" s="7"/>
      <c r="MQI19" s="7"/>
      <c r="MQJ19" s="7"/>
      <c r="MQK19" s="7"/>
      <c r="MQL19" s="7"/>
      <c r="MQM19" s="7"/>
      <c r="MQN19" s="7"/>
      <c r="MQO19" s="7"/>
      <c r="MQP19" s="7"/>
      <c r="MQQ19" s="7"/>
      <c r="MQR19" s="7"/>
      <c r="MQS19" s="7"/>
      <c r="MQT19" s="7"/>
      <c r="MQU19" s="7"/>
      <c r="MQV19" s="7"/>
      <c r="MQW19" s="7"/>
      <c r="MQX19" s="7"/>
      <c r="MQY19" s="7"/>
      <c r="MQZ19" s="7"/>
      <c r="MRA19" s="7"/>
      <c r="MRB19" s="7"/>
      <c r="MRC19" s="7"/>
      <c r="MRD19" s="7"/>
      <c r="MRE19" s="7"/>
      <c r="MRF19" s="7"/>
      <c r="MRG19" s="7"/>
      <c r="MRH19" s="7"/>
      <c r="MRI19" s="7"/>
      <c r="MRJ19" s="7"/>
      <c r="MRK19" s="7"/>
      <c r="MRL19" s="7"/>
      <c r="MRM19" s="7"/>
      <c r="MRN19" s="7"/>
      <c r="MRO19" s="7"/>
      <c r="MRP19" s="7"/>
      <c r="MRQ19" s="7"/>
      <c r="MRR19" s="7"/>
      <c r="MRS19" s="7"/>
      <c r="MRT19" s="7"/>
      <c r="MRU19" s="7"/>
      <c r="MRV19" s="7"/>
      <c r="MRW19" s="7"/>
      <c r="MRX19" s="7"/>
      <c r="MRY19" s="7"/>
      <c r="MRZ19" s="7"/>
      <c r="MSA19" s="7"/>
      <c r="MSB19" s="7"/>
      <c r="MSC19" s="7"/>
      <c r="MSD19" s="7"/>
      <c r="MSE19" s="7"/>
      <c r="MSF19" s="7"/>
      <c r="MSG19" s="7"/>
      <c r="MSH19" s="7"/>
      <c r="MSI19" s="7"/>
      <c r="MSJ19" s="7"/>
      <c r="MSK19" s="7"/>
      <c r="MSL19" s="7"/>
      <c r="MSM19" s="7"/>
      <c r="MSN19" s="7"/>
      <c r="MSO19" s="7"/>
      <c r="MSP19" s="7"/>
      <c r="MSQ19" s="7"/>
      <c r="MSR19" s="7"/>
      <c r="MSS19" s="7"/>
      <c r="MST19" s="7"/>
      <c r="MSU19" s="7"/>
      <c r="MSV19" s="7"/>
      <c r="MSW19" s="7"/>
      <c r="MSX19" s="7"/>
      <c r="MSY19" s="7"/>
      <c r="MSZ19" s="7"/>
      <c r="MTA19" s="7"/>
      <c r="MTB19" s="7"/>
      <c r="MTC19" s="7"/>
      <c r="MTD19" s="7"/>
      <c r="MTE19" s="7"/>
      <c r="MTF19" s="7"/>
      <c r="MTG19" s="7"/>
      <c r="MTH19" s="7"/>
      <c r="MTI19" s="7"/>
      <c r="MTJ19" s="7"/>
      <c r="MTK19" s="7"/>
      <c r="MTL19" s="7"/>
      <c r="MTM19" s="7"/>
      <c r="MTN19" s="7"/>
      <c r="MTO19" s="7"/>
      <c r="MTP19" s="7"/>
      <c r="MTQ19" s="7"/>
      <c r="MTR19" s="7"/>
      <c r="MTS19" s="7"/>
      <c r="MTT19" s="7"/>
      <c r="MTU19" s="7"/>
      <c r="MTV19" s="7"/>
      <c r="MTW19" s="7"/>
      <c r="MTX19" s="7"/>
      <c r="MTY19" s="7"/>
      <c r="MTZ19" s="7"/>
      <c r="MUA19" s="7"/>
      <c r="MUB19" s="7"/>
      <c r="MUC19" s="7"/>
      <c r="MUD19" s="7"/>
      <c r="MUE19" s="7"/>
      <c r="MUF19" s="7"/>
      <c r="MUG19" s="7"/>
      <c r="MUH19" s="7"/>
      <c r="MUI19" s="7"/>
      <c r="MUJ19" s="7"/>
      <c r="MUK19" s="7"/>
      <c r="MUL19" s="7"/>
      <c r="MUM19" s="7"/>
      <c r="MUN19" s="7"/>
      <c r="MUO19" s="7"/>
      <c r="MUP19" s="7"/>
      <c r="MUQ19" s="7"/>
      <c r="MUR19" s="7"/>
      <c r="MUS19" s="7"/>
      <c r="MUT19" s="7"/>
      <c r="MUU19" s="7"/>
      <c r="MUV19" s="7"/>
      <c r="MUW19" s="7"/>
      <c r="MUX19" s="7"/>
      <c r="MUY19" s="7"/>
      <c r="MUZ19" s="7"/>
      <c r="MVA19" s="7"/>
      <c r="MVB19" s="7"/>
      <c r="MVC19" s="7"/>
      <c r="MVD19" s="7"/>
      <c r="MVE19" s="7"/>
      <c r="MVF19" s="7"/>
      <c r="MVG19" s="7"/>
      <c r="MVH19" s="7"/>
      <c r="MVI19" s="7"/>
      <c r="MVJ19" s="7"/>
      <c r="MVK19" s="7"/>
      <c r="MVL19" s="7"/>
      <c r="MVM19" s="7"/>
      <c r="MVN19" s="7"/>
      <c r="MVO19" s="7"/>
      <c r="MVP19" s="7"/>
      <c r="MVQ19" s="7"/>
      <c r="MVR19" s="7"/>
      <c r="MVS19" s="7"/>
      <c r="MVT19" s="7"/>
      <c r="MVU19" s="7"/>
      <c r="MVV19" s="7"/>
      <c r="MVW19" s="7"/>
      <c r="MVX19" s="7"/>
      <c r="MVY19" s="7"/>
      <c r="MVZ19" s="7"/>
      <c r="MWA19" s="7"/>
      <c r="MWB19" s="7"/>
      <c r="MWC19" s="7"/>
      <c r="MWD19" s="7"/>
      <c r="MWE19" s="7"/>
      <c r="MWF19" s="7"/>
      <c r="MWG19" s="7"/>
      <c r="MWH19" s="7"/>
      <c r="MWI19" s="7"/>
      <c r="MWJ19" s="7"/>
      <c r="MWK19" s="7"/>
      <c r="MWL19" s="7"/>
      <c r="MWM19" s="7"/>
      <c r="MWN19" s="7"/>
      <c r="MWO19" s="7"/>
      <c r="MWP19" s="7"/>
      <c r="MWQ19" s="7"/>
      <c r="MWR19" s="7"/>
      <c r="MWS19" s="7"/>
      <c r="MWT19" s="7"/>
      <c r="MWU19" s="7"/>
      <c r="MWV19" s="7"/>
      <c r="MWW19" s="7"/>
      <c r="MWX19" s="7"/>
      <c r="MWY19" s="7"/>
      <c r="MWZ19" s="7"/>
      <c r="MXA19" s="7"/>
      <c r="MXB19" s="7"/>
      <c r="MXC19" s="7"/>
      <c r="MXD19" s="7"/>
      <c r="MXE19" s="7"/>
      <c r="MXF19" s="7"/>
      <c r="MXG19" s="7"/>
      <c r="MXH19" s="7"/>
      <c r="MXI19" s="7"/>
      <c r="MXJ19" s="7"/>
      <c r="MXK19" s="7"/>
      <c r="MXL19" s="7"/>
      <c r="MXM19" s="7"/>
      <c r="MXN19" s="7"/>
      <c r="MXO19" s="7"/>
      <c r="MXP19" s="7"/>
      <c r="MXQ19" s="7"/>
      <c r="MXR19" s="7"/>
      <c r="MXS19" s="7"/>
      <c r="MXT19" s="7"/>
      <c r="MXU19" s="7"/>
      <c r="MXV19" s="7"/>
      <c r="MXW19" s="7"/>
      <c r="MXX19" s="7"/>
      <c r="MXY19" s="7"/>
      <c r="MXZ19" s="7"/>
      <c r="MYA19" s="7"/>
      <c r="MYB19" s="7"/>
      <c r="MYC19" s="7"/>
      <c r="MYD19" s="7"/>
      <c r="MYE19" s="7"/>
      <c r="MYF19" s="7"/>
      <c r="MYG19" s="7"/>
      <c r="MYH19" s="7"/>
      <c r="MYI19" s="7"/>
      <c r="MYJ19" s="7"/>
      <c r="MYK19" s="7"/>
      <c r="MYL19" s="7"/>
      <c r="MYM19" s="7"/>
      <c r="MYN19" s="7"/>
      <c r="MYO19" s="7"/>
      <c r="MYP19" s="7"/>
      <c r="MYQ19" s="7"/>
      <c r="MYR19" s="7"/>
      <c r="MYS19" s="7"/>
      <c r="MYT19" s="7"/>
      <c r="MYU19" s="7"/>
      <c r="MYV19" s="7"/>
      <c r="MYW19" s="7"/>
      <c r="MYX19" s="7"/>
      <c r="MYY19" s="7"/>
      <c r="MYZ19" s="7"/>
      <c r="MZA19" s="7"/>
      <c r="MZB19" s="7"/>
      <c r="MZC19" s="7"/>
      <c r="MZD19" s="7"/>
      <c r="MZE19" s="7"/>
      <c r="MZF19" s="7"/>
      <c r="MZG19" s="7"/>
      <c r="MZH19" s="7"/>
      <c r="MZI19" s="7"/>
      <c r="MZJ19" s="7"/>
      <c r="MZK19" s="7"/>
      <c r="MZL19" s="7"/>
      <c r="MZM19" s="7"/>
      <c r="MZN19" s="7"/>
      <c r="MZO19" s="7"/>
      <c r="MZP19" s="7"/>
      <c r="MZQ19" s="7"/>
      <c r="MZR19" s="7"/>
      <c r="MZS19" s="7"/>
      <c r="MZT19" s="7"/>
      <c r="MZU19" s="7"/>
      <c r="MZV19" s="7"/>
      <c r="MZW19" s="7"/>
      <c r="MZX19" s="7"/>
      <c r="MZY19" s="7"/>
      <c r="MZZ19" s="7"/>
      <c r="NAA19" s="7"/>
      <c r="NAB19" s="7"/>
      <c r="NAC19" s="7"/>
      <c r="NAD19" s="7"/>
      <c r="NAE19" s="7"/>
      <c r="NAF19" s="7"/>
      <c r="NAG19" s="7"/>
      <c r="NAH19" s="7"/>
      <c r="NAI19" s="7"/>
      <c r="NAJ19" s="7"/>
      <c r="NAK19" s="7"/>
      <c r="NAL19" s="7"/>
      <c r="NAM19" s="7"/>
      <c r="NAN19" s="7"/>
      <c r="NAO19" s="7"/>
      <c r="NAP19" s="7"/>
      <c r="NAQ19" s="7"/>
      <c r="NAR19" s="7"/>
      <c r="NAS19" s="7"/>
      <c r="NAT19" s="7"/>
      <c r="NAU19" s="7"/>
      <c r="NAV19" s="7"/>
      <c r="NAW19" s="7"/>
      <c r="NAX19" s="7"/>
      <c r="NAY19" s="7"/>
      <c r="NAZ19" s="7"/>
      <c r="NBA19" s="7"/>
      <c r="NBB19" s="7"/>
      <c r="NBC19" s="7"/>
      <c r="NBD19" s="7"/>
      <c r="NBE19" s="7"/>
      <c r="NBF19" s="7"/>
      <c r="NBG19" s="7"/>
      <c r="NBH19" s="7"/>
      <c r="NBI19" s="7"/>
      <c r="NBJ19" s="7"/>
      <c r="NBK19" s="7"/>
      <c r="NBL19" s="7"/>
      <c r="NBM19" s="7"/>
      <c r="NBN19" s="7"/>
      <c r="NBO19" s="7"/>
      <c r="NBP19" s="7"/>
      <c r="NBQ19" s="7"/>
      <c r="NBR19" s="7"/>
      <c r="NBS19" s="7"/>
      <c r="NBT19" s="7"/>
      <c r="NBU19" s="7"/>
      <c r="NBV19" s="7"/>
      <c r="NBW19" s="7"/>
      <c r="NBX19" s="7"/>
      <c r="NBY19" s="7"/>
      <c r="NBZ19" s="7"/>
      <c r="NCA19" s="7"/>
      <c r="NCB19" s="7"/>
      <c r="NCC19" s="7"/>
      <c r="NCD19" s="7"/>
      <c r="NCE19" s="7"/>
      <c r="NCF19" s="7"/>
      <c r="NCG19" s="7"/>
      <c r="NCH19" s="7"/>
      <c r="NCI19" s="7"/>
      <c r="NCJ19" s="7"/>
      <c r="NCK19" s="7"/>
      <c r="NCL19" s="7"/>
      <c r="NCM19" s="7"/>
      <c r="NCN19" s="7"/>
      <c r="NCO19" s="7"/>
      <c r="NCP19" s="7"/>
      <c r="NCQ19" s="7"/>
      <c r="NCR19" s="7"/>
      <c r="NCS19" s="7"/>
      <c r="NCT19" s="7"/>
      <c r="NCU19" s="7"/>
      <c r="NCV19" s="7"/>
      <c r="NCW19" s="7"/>
      <c r="NCX19" s="7"/>
      <c r="NCY19" s="7"/>
      <c r="NCZ19" s="7"/>
      <c r="NDA19" s="7"/>
      <c r="NDB19" s="7"/>
      <c r="NDC19" s="7"/>
      <c r="NDD19" s="7"/>
      <c r="NDE19" s="7"/>
      <c r="NDF19" s="7"/>
      <c r="NDG19" s="7"/>
      <c r="NDH19" s="7"/>
      <c r="NDI19" s="7"/>
      <c r="NDJ19" s="7"/>
      <c r="NDK19" s="7"/>
      <c r="NDL19" s="7"/>
      <c r="NDM19" s="7"/>
      <c r="NDN19" s="7"/>
      <c r="NDO19" s="7"/>
      <c r="NDP19" s="7"/>
      <c r="NDQ19" s="7"/>
      <c r="NDR19" s="7"/>
      <c r="NDS19" s="7"/>
      <c r="NDT19" s="7"/>
      <c r="NDU19" s="7"/>
      <c r="NDV19" s="7"/>
      <c r="NDW19" s="7"/>
      <c r="NDX19" s="7"/>
      <c r="NDY19" s="7"/>
      <c r="NDZ19" s="7"/>
      <c r="NEA19" s="7"/>
      <c r="NEB19" s="7"/>
      <c r="NEC19" s="7"/>
      <c r="NED19" s="7"/>
      <c r="NEE19" s="7"/>
      <c r="NEF19" s="7"/>
      <c r="NEG19" s="7"/>
      <c r="NEH19" s="7"/>
      <c r="NEI19" s="7"/>
      <c r="NEJ19" s="7"/>
      <c r="NEK19" s="7"/>
      <c r="NEL19" s="7"/>
      <c r="NEM19" s="7"/>
      <c r="NEN19" s="7"/>
      <c r="NEO19" s="7"/>
      <c r="NEP19" s="7"/>
      <c r="NEQ19" s="7"/>
      <c r="NER19" s="7"/>
      <c r="NES19" s="7"/>
      <c r="NET19" s="7"/>
      <c r="NEU19" s="7"/>
      <c r="NEV19" s="7"/>
      <c r="NEW19" s="7"/>
      <c r="NEX19" s="7"/>
      <c r="NEY19" s="7"/>
      <c r="NEZ19" s="7"/>
      <c r="NFA19" s="7"/>
      <c r="NFB19" s="7"/>
      <c r="NFC19" s="7"/>
      <c r="NFD19" s="7"/>
      <c r="NFE19" s="7"/>
      <c r="NFF19" s="7"/>
      <c r="NFG19" s="7"/>
      <c r="NFH19" s="7"/>
      <c r="NFI19" s="7"/>
      <c r="NFJ19" s="7"/>
      <c r="NFK19" s="7"/>
      <c r="NFL19" s="7"/>
      <c r="NFM19" s="7"/>
      <c r="NFN19" s="7"/>
      <c r="NFO19" s="7"/>
      <c r="NFP19" s="7"/>
      <c r="NFQ19" s="7"/>
      <c r="NFR19" s="7"/>
      <c r="NFS19" s="7"/>
      <c r="NFT19" s="7"/>
      <c r="NFU19" s="7"/>
      <c r="NFV19" s="7"/>
      <c r="NFW19" s="7"/>
      <c r="NFX19" s="7"/>
      <c r="NFY19" s="7"/>
      <c r="NFZ19" s="7"/>
      <c r="NGA19" s="7"/>
      <c r="NGB19" s="7"/>
      <c r="NGC19" s="7"/>
      <c r="NGD19" s="7"/>
      <c r="NGE19" s="7"/>
      <c r="NGF19" s="7"/>
      <c r="NGG19" s="7"/>
      <c r="NGH19" s="7"/>
      <c r="NGI19" s="7"/>
      <c r="NGJ19" s="7"/>
      <c r="NGK19" s="7"/>
      <c r="NGL19" s="7"/>
      <c r="NGM19" s="7"/>
      <c r="NGN19" s="7"/>
      <c r="NGO19" s="7"/>
      <c r="NGP19" s="7"/>
      <c r="NGQ19" s="7"/>
      <c r="NGR19" s="7"/>
      <c r="NGS19" s="7"/>
      <c r="NGT19" s="7"/>
      <c r="NGU19" s="7"/>
      <c r="NGV19" s="7"/>
      <c r="NGW19" s="7"/>
      <c r="NGX19" s="7"/>
      <c r="NGY19" s="7"/>
      <c r="NGZ19" s="7"/>
      <c r="NHA19" s="7"/>
      <c r="NHB19" s="7"/>
      <c r="NHC19" s="7"/>
      <c r="NHD19" s="7"/>
      <c r="NHE19" s="7"/>
      <c r="NHF19" s="7"/>
      <c r="NHG19" s="7"/>
      <c r="NHH19" s="7"/>
      <c r="NHI19" s="7"/>
      <c r="NHJ19" s="7"/>
      <c r="NHK19" s="7"/>
      <c r="NHL19" s="7"/>
      <c r="NHM19" s="7"/>
      <c r="NHN19" s="7"/>
      <c r="NHO19" s="7"/>
      <c r="NHP19" s="7"/>
      <c r="NHQ19" s="7"/>
      <c r="NHR19" s="7"/>
      <c r="NHS19" s="7"/>
      <c r="NHT19" s="7"/>
      <c r="NHU19" s="7"/>
      <c r="NHV19" s="7"/>
      <c r="NHW19" s="7"/>
      <c r="NHX19" s="7"/>
      <c r="NHY19" s="7"/>
      <c r="NHZ19" s="7"/>
      <c r="NIA19" s="7"/>
      <c r="NIB19" s="7"/>
      <c r="NIC19" s="7"/>
      <c r="NID19" s="7"/>
      <c r="NIE19" s="7"/>
      <c r="NIF19" s="7"/>
      <c r="NIG19" s="7"/>
      <c r="NIH19" s="7"/>
      <c r="NII19" s="7"/>
      <c r="NIJ19" s="7"/>
      <c r="NIK19" s="7"/>
      <c r="NIL19" s="7"/>
      <c r="NIM19" s="7"/>
      <c r="NIN19" s="7"/>
      <c r="NIO19" s="7"/>
      <c r="NIP19" s="7"/>
      <c r="NIQ19" s="7"/>
      <c r="NIR19" s="7"/>
      <c r="NIS19" s="7"/>
      <c r="NIT19" s="7"/>
      <c r="NIU19" s="7"/>
      <c r="NIV19" s="7"/>
      <c r="NIW19" s="7"/>
      <c r="NIX19" s="7"/>
      <c r="NIY19" s="7"/>
      <c r="NIZ19" s="7"/>
      <c r="NJA19" s="7"/>
      <c r="NJB19" s="7"/>
      <c r="NJC19" s="7"/>
      <c r="NJD19" s="7"/>
      <c r="NJE19" s="7"/>
      <c r="NJF19" s="7"/>
      <c r="NJG19" s="7"/>
      <c r="NJH19" s="7"/>
      <c r="NJI19" s="7"/>
      <c r="NJJ19" s="7"/>
      <c r="NJK19" s="7"/>
      <c r="NJL19" s="7"/>
      <c r="NJM19" s="7"/>
      <c r="NJN19" s="7"/>
      <c r="NJO19" s="7"/>
      <c r="NJP19" s="7"/>
      <c r="NJQ19" s="7"/>
      <c r="NJR19" s="7"/>
      <c r="NJS19" s="7"/>
      <c r="NJT19" s="7"/>
      <c r="NJU19" s="7"/>
      <c r="NJV19" s="7"/>
      <c r="NJW19" s="7"/>
      <c r="NJX19" s="7"/>
      <c r="NJY19" s="7"/>
      <c r="NJZ19" s="7"/>
      <c r="NKA19" s="7"/>
      <c r="NKB19" s="7"/>
      <c r="NKC19" s="7"/>
      <c r="NKD19" s="7"/>
      <c r="NKE19" s="7"/>
      <c r="NKF19" s="7"/>
      <c r="NKG19" s="7"/>
      <c r="NKH19" s="7"/>
      <c r="NKI19" s="7"/>
      <c r="NKJ19" s="7"/>
      <c r="NKK19" s="7"/>
      <c r="NKL19" s="7"/>
      <c r="NKM19" s="7"/>
      <c r="NKN19" s="7"/>
      <c r="NKO19" s="7"/>
      <c r="NKP19" s="7"/>
      <c r="NKQ19" s="7"/>
      <c r="NKR19" s="7"/>
      <c r="NKS19" s="7"/>
      <c r="NKT19" s="7"/>
      <c r="NKU19" s="7"/>
      <c r="NKV19" s="7"/>
      <c r="NKW19" s="7"/>
      <c r="NKX19" s="7"/>
      <c r="NKY19" s="7"/>
      <c r="NKZ19" s="7"/>
      <c r="NLA19" s="7"/>
      <c r="NLB19" s="7"/>
      <c r="NLC19" s="7"/>
      <c r="NLD19" s="7"/>
      <c r="NLE19" s="7"/>
      <c r="NLF19" s="7"/>
      <c r="NLG19" s="7"/>
      <c r="NLH19" s="7"/>
      <c r="NLI19" s="7"/>
      <c r="NLJ19" s="7"/>
      <c r="NLK19" s="7"/>
      <c r="NLL19" s="7"/>
      <c r="NLM19" s="7"/>
      <c r="NLN19" s="7"/>
      <c r="NLO19" s="7"/>
      <c r="NLP19" s="7"/>
      <c r="NLQ19" s="7"/>
      <c r="NLR19" s="7"/>
      <c r="NLS19" s="7"/>
      <c r="NLT19" s="7"/>
      <c r="NLU19" s="7"/>
      <c r="NLV19" s="7"/>
      <c r="NLW19" s="7"/>
      <c r="NLX19" s="7"/>
      <c r="NLY19" s="7"/>
      <c r="NLZ19" s="7"/>
      <c r="NMA19" s="7"/>
      <c r="NMB19" s="7"/>
      <c r="NMC19" s="7"/>
      <c r="NMD19" s="7"/>
      <c r="NME19" s="7"/>
      <c r="NMF19" s="7"/>
      <c r="NMG19" s="7"/>
      <c r="NMH19" s="7"/>
      <c r="NMI19" s="7"/>
      <c r="NMJ19" s="7"/>
      <c r="NMK19" s="7"/>
      <c r="NML19" s="7"/>
      <c r="NMM19" s="7"/>
      <c r="NMN19" s="7"/>
      <c r="NMO19" s="7"/>
      <c r="NMP19" s="7"/>
      <c r="NMQ19" s="7"/>
      <c r="NMR19" s="7"/>
      <c r="NMS19" s="7"/>
      <c r="NMT19" s="7"/>
      <c r="NMU19" s="7"/>
      <c r="NMV19" s="7"/>
      <c r="NMW19" s="7"/>
      <c r="NMX19" s="7"/>
      <c r="NMY19" s="7"/>
      <c r="NMZ19" s="7"/>
      <c r="NNA19" s="7"/>
      <c r="NNB19" s="7"/>
      <c r="NNC19" s="7"/>
      <c r="NND19" s="7"/>
      <c r="NNE19" s="7"/>
      <c r="NNF19" s="7"/>
      <c r="NNG19" s="7"/>
      <c r="NNH19" s="7"/>
      <c r="NNI19" s="7"/>
      <c r="NNJ19" s="7"/>
      <c r="NNK19" s="7"/>
      <c r="NNL19" s="7"/>
      <c r="NNM19" s="7"/>
      <c r="NNN19" s="7"/>
      <c r="NNO19" s="7"/>
      <c r="NNP19" s="7"/>
      <c r="NNQ19" s="7"/>
      <c r="NNR19" s="7"/>
      <c r="NNS19" s="7"/>
      <c r="NNT19" s="7"/>
      <c r="NNU19" s="7"/>
      <c r="NNV19" s="7"/>
      <c r="NNW19" s="7"/>
      <c r="NNX19" s="7"/>
      <c r="NNY19" s="7"/>
      <c r="NNZ19" s="7"/>
      <c r="NOA19" s="7"/>
      <c r="NOB19" s="7"/>
      <c r="NOC19" s="7"/>
      <c r="NOD19" s="7"/>
      <c r="NOE19" s="7"/>
      <c r="NOF19" s="7"/>
      <c r="NOG19" s="7"/>
      <c r="NOH19" s="7"/>
      <c r="NOI19" s="7"/>
      <c r="NOJ19" s="7"/>
      <c r="NOK19" s="7"/>
      <c r="NOL19" s="7"/>
      <c r="NOM19" s="7"/>
      <c r="NON19" s="7"/>
      <c r="NOO19" s="7"/>
      <c r="NOP19" s="7"/>
      <c r="NOQ19" s="7"/>
      <c r="NOR19" s="7"/>
      <c r="NOS19" s="7"/>
      <c r="NOT19" s="7"/>
      <c r="NOU19" s="7"/>
      <c r="NOV19" s="7"/>
      <c r="NOW19" s="7"/>
      <c r="NOX19" s="7"/>
      <c r="NOY19" s="7"/>
      <c r="NOZ19" s="7"/>
      <c r="NPA19" s="7"/>
      <c r="NPB19" s="7"/>
      <c r="NPC19" s="7"/>
      <c r="NPD19" s="7"/>
      <c r="NPE19" s="7"/>
      <c r="NPF19" s="7"/>
      <c r="NPG19" s="7"/>
      <c r="NPH19" s="7"/>
      <c r="NPI19" s="7"/>
      <c r="NPJ19" s="7"/>
      <c r="NPK19" s="7"/>
      <c r="NPL19" s="7"/>
      <c r="NPM19" s="7"/>
      <c r="NPN19" s="7"/>
      <c r="NPO19" s="7"/>
      <c r="NPP19" s="7"/>
      <c r="NPQ19" s="7"/>
      <c r="NPR19" s="7"/>
      <c r="NPS19" s="7"/>
      <c r="NPT19" s="7"/>
      <c r="NPU19" s="7"/>
      <c r="NPV19" s="7"/>
      <c r="NPW19" s="7"/>
      <c r="NPX19" s="7"/>
      <c r="NPY19" s="7"/>
      <c r="NPZ19" s="7"/>
      <c r="NQA19" s="7"/>
      <c r="NQB19" s="7"/>
      <c r="NQC19" s="7"/>
      <c r="NQD19" s="7"/>
      <c r="NQE19" s="7"/>
      <c r="NQF19" s="7"/>
      <c r="NQG19" s="7"/>
      <c r="NQH19" s="7"/>
      <c r="NQI19" s="7"/>
      <c r="NQJ19" s="7"/>
      <c r="NQK19" s="7"/>
      <c r="NQL19" s="7"/>
      <c r="NQM19" s="7"/>
      <c r="NQN19" s="7"/>
      <c r="NQO19" s="7"/>
      <c r="NQP19" s="7"/>
      <c r="NQQ19" s="7"/>
      <c r="NQR19" s="7"/>
      <c r="NQS19" s="7"/>
      <c r="NQT19" s="7"/>
      <c r="NQU19" s="7"/>
      <c r="NQV19" s="7"/>
      <c r="NQW19" s="7"/>
      <c r="NQX19" s="7"/>
      <c r="NQY19" s="7"/>
      <c r="NQZ19" s="7"/>
      <c r="NRA19" s="7"/>
      <c r="NRB19" s="7"/>
      <c r="NRC19" s="7"/>
      <c r="NRD19" s="7"/>
      <c r="NRE19" s="7"/>
      <c r="NRF19" s="7"/>
      <c r="NRG19" s="7"/>
      <c r="NRH19" s="7"/>
      <c r="NRI19" s="7"/>
      <c r="NRJ19" s="7"/>
      <c r="NRK19" s="7"/>
      <c r="NRL19" s="7"/>
      <c r="NRM19" s="7"/>
      <c r="NRN19" s="7"/>
      <c r="NRO19" s="7"/>
      <c r="NRP19" s="7"/>
      <c r="NRQ19" s="7"/>
      <c r="NRR19" s="7"/>
      <c r="NRS19" s="7"/>
      <c r="NRT19" s="7"/>
      <c r="NRU19" s="7"/>
      <c r="NRV19" s="7"/>
      <c r="NRW19" s="7"/>
      <c r="NRX19" s="7"/>
      <c r="NRY19" s="7"/>
      <c r="NRZ19" s="7"/>
      <c r="NSA19" s="7"/>
      <c r="NSB19" s="7"/>
      <c r="NSC19" s="7"/>
      <c r="NSD19" s="7"/>
      <c r="NSE19" s="7"/>
      <c r="NSF19" s="7"/>
      <c r="NSG19" s="7"/>
      <c r="NSH19" s="7"/>
      <c r="NSI19" s="7"/>
      <c r="NSJ19" s="7"/>
      <c r="NSK19" s="7"/>
      <c r="NSL19" s="7"/>
      <c r="NSM19" s="7"/>
      <c r="NSN19" s="7"/>
      <c r="NSO19" s="7"/>
      <c r="NSP19" s="7"/>
      <c r="NSQ19" s="7"/>
      <c r="NSR19" s="7"/>
      <c r="NSS19" s="7"/>
      <c r="NST19" s="7"/>
      <c r="NSU19" s="7"/>
      <c r="NSV19" s="7"/>
      <c r="NSW19" s="7"/>
      <c r="NSX19" s="7"/>
      <c r="NSY19" s="7"/>
      <c r="NSZ19" s="7"/>
      <c r="NTA19" s="7"/>
      <c r="NTB19" s="7"/>
      <c r="NTC19" s="7"/>
      <c r="NTD19" s="7"/>
      <c r="NTE19" s="7"/>
      <c r="NTF19" s="7"/>
      <c r="NTG19" s="7"/>
      <c r="NTH19" s="7"/>
      <c r="NTI19" s="7"/>
      <c r="NTJ19" s="7"/>
      <c r="NTK19" s="7"/>
      <c r="NTL19" s="7"/>
      <c r="NTM19" s="7"/>
      <c r="NTN19" s="7"/>
      <c r="NTO19" s="7"/>
      <c r="NTP19" s="7"/>
      <c r="NTQ19" s="7"/>
      <c r="NTR19" s="7"/>
      <c r="NTS19" s="7"/>
      <c r="NTT19" s="7"/>
      <c r="NTU19" s="7"/>
      <c r="NTV19" s="7"/>
      <c r="NTW19" s="7"/>
      <c r="NTX19" s="7"/>
      <c r="NTY19" s="7"/>
      <c r="NTZ19" s="7"/>
      <c r="NUA19" s="7"/>
      <c r="NUB19" s="7"/>
      <c r="NUC19" s="7"/>
      <c r="NUD19" s="7"/>
      <c r="NUE19" s="7"/>
      <c r="NUF19" s="7"/>
      <c r="NUG19" s="7"/>
      <c r="NUH19" s="7"/>
      <c r="NUI19" s="7"/>
      <c r="NUJ19" s="7"/>
      <c r="NUK19" s="7"/>
      <c r="NUL19" s="7"/>
      <c r="NUM19" s="7"/>
      <c r="NUN19" s="7"/>
      <c r="NUO19" s="7"/>
      <c r="NUP19" s="7"/>
      <c r="NUQ19" s="7"/>
      <c r="NUR19" s="7"/>
      <c r="NUS19" s="7"/>
      <c r="NUT19" s="7"/>
      <c r="NUU19" s="7"/>
      <c r="NUV19" s="7"/>
      <c r="NUW19" s="7"/>
      <c r="NUX19" s="7"/>
      <c r="NUY19" s="7"/>
      <c r="NUZ19" s="7"/>
      <c r="NVA19" s="7"/>
      <c r="NVB19" s="7"/>
      <c r="NVC19" s="7"/>
      <c r="NVD19" s="7"/>
      <c r="NVE19" s="7"/>
      <c r="NVF19" s="7"/>
      <c r="NVG19" s="7"/>
      <c r="NVH19" s="7"/>
      <c r="NVI19" s="7"/>
      <c r="NVJ19" s="7"/>
      <c r="NVK19" s="7"/>
      <c r="NVL19" s="7"/>
      <c r="NVM19" s="7"/>
      <c r="NVN19" s="7"/>
      <c r="NVO19" s="7"/>
      <c r="NVP19" s="7"/>
      <c r="NVQ19" s="7"/>
      <c r="NVR19" s="7"/>
      <c r="NVS19" s="7"/>
      <c r="NVT19" s="7"/>
      <c r="NVU19" s="7"/>
      <c r="NVV19" s="7"/>
      <c r="NVW19" s="7"/>
      <c r="NVX19" s="7"/>
      <c r="NVY19" s="7"/>
      <c r="NVZ19" s="7"/>
      <c r="NWA19" s="7"/>
      <c r="NWB19" s="7"/>
      <c r="NWC19" s="7"/>
      <c r="NWD19" s="7"/>
      <c r="NWE19" s="7"/>
      <c r="NWF19" s="7"/>
      <c r="NWG19" s="7"/>
      <c r="NWH19" s="7"/>
      <c r="NWI19" s="7"/>
      <c r="NWJ19" s="7"/>
      <c r="NWK19" s="7"/>
      <c r="NWL19" s="7"/>
      <c r="NWM19" s="7"/>
      <c r="NWN19" s="7"/>
      <c r="NWO19" s="7"/>
      <c r="NWP19" s="7"/>
      <c r="NWQ19" s="7"/>
      <c r="NWR19" s="7"/>
      <c r="NWS19" s="7"/>
      <c r="NWT19" s="7"/>
      <c r="NWU19" s="7"/>
      <c r="NWV19" s="7"/>
      <c r="NWW19" s="7"/>
      <c r="NWX19" s="7"/>
      <c r="NWY19" s="7"/>
      <c r="NWZ19" s="7"/>
      <c r="NXA19" s="7"/>
      <c r="NXB19" s="7"/>
      <c r="NXC19" s="7"/>
      <c r="NXD19" s="7"/>
      <c r="NXE19" s="7"/>
      <c r="NXF19" s="7"/>
      <c r="NXG19" s="7"/>
      <c r="NXH19" s="7"/>
      <c r="NXI19" s="7"/>
      <c r="NXJ19" s="7"/>
      <c r="NXK19" s="7"/>
      <c r="NXL19" s="7"/>
      <c r="NXM19" s="7"/>
      <c r="NXN19" s="7"/>
      <c r="NXO19" s="7"/>
      <c r="NXP19" s="7"/>
      <c r="NXQ19" s="7"/>
      <c r="NXR19" s="7"/>
      <c r="NXS19" s="7"/>
      <c r="NXT19" s="7"/>
      <c r="NXU19" s="7"/>
      <c r="NXV19" s="7"/>
      <c r="NXW19" s="7"/>
      <c r="NXX19" s="7"/>
      <c r="NXY19" s="7"/>
      <c r="NXZ19" s="7"/>
      <c r="NYA19" s="7"/>
      <c r="NYB19" s="7"/>
      <c r="NYC19" s="7"/>
      <c r="NYD19" s="7"/>
      <c r="NYE19" s="7"/>
      <c r="NYF19" s="7"/>
      <c r="NYG19" s="7"/>
      <c r="NYH19" s="7"/>
      <c r="NYI19" s="7"/>
      <c r="NYJ19" s="7"/>
      <c r="NYK19" s="7"/>
      <c r="NYL19" s="7"/>
      <c r="NYM19" s="7"/>
      <c r="NYN19" s="7"/>
      <c r="NYO19" s="7"/>
      <c r="NYP19" s="7"/>
      <c r="NYQ19" s="7"/>
      <c r="NYR19" s="7"/>
      <c r="NYS19" s="7"/>
      <c r="NYT19" s="7"/>
      <c r="NYU19" s="7"/>
      <c r="NYV19" s="7"/>
      <c r="NYW19" s="7"/>
      <c r="NYX19" s="7"/>
      <c r="NYY19" s="7"/>
      <c r="NYZ19" s="7"/>
      <c r="NZA19" s="7"/>
      <c r="NZB19" s="7"/>
      <c r="NZC19" s="7"/>
      <c r="NZD19" s="7"/>
      <c r="NZE19" s="7"/>
      <c r="NZF19" s="7"/>
      <c r="NZG19" s="7"/>
      <c r="NZH19" s="7"/>
      <c r="NZI19" s="7"/>
      <c r="NZJ19" s="7"/>
      <c r="NZK19" s="7"/>
      <c r="NZL19" s="7"/>
      <c r="NZM19" s="7"/>
      <c r="NZN19" s="7"/>
      <c r="NZO19" s="7"/>
      <c r="NZP19" s="7"/>
      <c r="NZQ19" s="7"/>
      <c r="NZR19" s="7"/>
      <c r="NZS19" s="7"/>
      <c r="NZT19" s="7"/>
      <c r="NZU19" s="7"/>
      <c r="NZV19" s="7"/>
      <c r="NZW19" s="7"/>
      <c r="NZX19" s="7"/>
      <c r="NZY19" s="7"/>
      <c r="NZZ19" s="7"/>
      <c r="OAA19" s="7"/>
      <c r="OAB19" s="7"/>
      <c r="OAC19" s="7"/>
      <c r="OAD19" s="7"/>
      <c r="OAE19" s="7"/>
      <c r="OAF19" s="7"/>
      <c r="OAG19" s="7"/>
      <c r="OAH19" s="7"/>
      <c r="OAI19" s="7"/>
      <c r="OAJ19" s="7"/>
      <c r="OAK19" s="7"/>
      <c r="OAL19" s="7"/>
      <c r="OAM19" s="7"/>
      <c r="OAN19" s="7"/>
      <c r="OAO19" s="7"/>
      <c r="OAP19" s="7"/>
      <c r="OAQ19" s="7"/>
      <c r="OAR19" s="7"/>
      <c r="OAS19" s="7"/>
      <c r="OAT19" s="7"/>
      <c r="OAU19" s="7"/>
      <c r="OAV19" s="7"/>
      <c r="OAW19" s="7"/>
      <c r="OAX19" s="7"/>
      <c r="OAY19" s="7"/>
      <c r="OAZ19" s="7"/>
      <c r="OBA19" s="7"/>
      <c r="OBB19" s="7"/>
      <c r="OBC19" s="7"/>
      <c r="OBD19" s="7"/>
      <c r="OBE19" s="7"/>
      <c r="OBF19" s="7"/>
      <c r="OBG19" s="7"/>
      <c r="OBH19" s="7"/>
      <c r="OBI19" s="7"/>
      <c r="OBJ19" s="7"/>
      <c r="OBK19" s="7"/>
      <c r="OBL19" s="7"/>
      <c r="OBM19" s="7"/>
      <c r="OBN19" s="7"/>
      <c r="OBO19" s="7"/>
      <c r="OBP19" s="7"/>
      <c r="OBQ19" s="7"/>
      <c r="OBR19" s="7"/>
      <c r="OBS19" s="7"/>
      <c r="OBT19" s="7"/>
      <c r="OBU19" s="7"/>
      <c r="OBV19" s="7"/>
      <c r="OBW19" s="7"/>
      <c r="OBX19" s="7"/>
      <c r="OBY19" s="7"/>
      <c r="OBZ19" s="7"/>
      <c r="OCA19" s="7"/>
      <c r="OCB19" s="7"/>
      <c r="OCC19" s="7"/>
      <c r="OCD19" s="7"/>
      <c r="OCE19" s="7"/>
      <c r="OCF19" s="7"/>
      <c r="OCG19" s="7"/>
      <c r="OCH19" s="7"/>
      <c r="OCI19" s="7"/>
      <c r="OCJ19" s="7"/>
      <c r="OCK19" s="7"/>
      <c r="OCL19" s="7"/>
      <c r="OCM19" s="7"/>
      <c r="OCN19" s="7"/>
      <c r="OCO19" s="7"/>
      <c r="OCP19" s="7"/>
      <c r="OCQ19" s="7"/>
      <c r="OCR19" s="7"/>
      <c r="OCS19" s="7"/>
      <c r="OCT19" s="7"/>
      <c r="OCU19" s="7"/>
      <c r="OCV19" s="7"/>
      <c r="OCW19" s="7"/>
      <c r="OCX19" s="7"/>
      <c r="OCY19" s="7"/>
      <c r="OCZ19" s="7"/>
      <c r="ODA19" s="7"/>
      <c r="ODB19" s="7"/>
      <c r="ODC19" s="7"/>
      <c r="ODD19" s="7"/>
      <c r="ODE19" s="7"/>
      <c r="ODF19" s="7"/>
      <c r="ODG19" s="7"/>
      <c r="ODH19" s="7"/>
      <c r="ODI19" s="7"/>
      <c r="ODJ19" s="7"/>
      <c r="ODK19" s="7"/>
      <c r="ODL19" s="7"/>
      <c r="ODM19" s="7"/>
      <c r="ODN19" s="7"/>
      <c r="ODO19" s="7"/>
      <c r="ODP19" s="7"/>
      <c r="ODQ19" s="7"/>
      <c r="ODR19" s="7"/>
      <c r="ODS19" s="7"/>
      <c r="ODT19" s="7"/>
      <c r="ODU19" s="7"/>
      <c r="ODV19" s="7"/>
      <c r="ODW19" s="7"/>
      <c r="ODX19" s="7"/>
      <c r="ODY19" s="7"/>
      <c r="ODZ19" s="7"/>
      <c r="OEA19" s="7"/>
      <c r="OEB19" s="7"/>
      <c r="OEC19" s="7"/>
      <c r="OED19" s="7"/>
      <c r="OEE19" s="7"/>
      <c r="OEF19" s="7"/>
      <c r="OEG19" s="7"/>
      <c r="OEH19" s="7"/>
      <c r="OEI19" s="7"/>
      <c r="OEJ19" s="7"/>
      <c r="OEK19" s="7"/>
      <c r="OEL19" s="7"/>
      <c r="OEM19" s="7"/>
      <c r="OEN19" s="7"/>
      <c r="OEO19" s="7"/>
      <c r="OEP19" s="7"/>
      <c r="OEQ19" s="7"/>
      <c r="OER19" s="7"/>
      <c r="OES19" s="7"/>
      <c r="OET19" s="7"/>
      <c r="OEU19" s="7"/>
      <c r="OEV19" s="7"/>
      <c r="OEW19" s="7"/>
      <c r="OEX19" s="7"/>
      <c r="OEY19" s="7"/>
      <c r="OEZ19" s="7"/>
      <c r="OFA19" s="7"/>
      <c r="OFB19" s="7"/>
      <c r="OFC19" s="7"/>
      <c r="OFD19" s="7"/>
      <c r="OFE19" s="7"/>
      <c r="OFF19" s="7"/>
      <c r="OFG19" s="7"/>
      <c r="OFH19" s="7"/>
      <c r="OFI19" s="7"/>
      <c r="OFJ19" s="7"/>
      <c r="OFK19" s="7"/>
      <c r="OFL19" s="7"/>
      <c r="OFM19" s="7"/>
      <c r="OFN19" s="7"/>
      <c r="OFO19" s="7"/>
      <c r="OFP19" s="7"/>
      <c r="OFQ19" s="7"/>
      <c r="OFR19" s="7"/>
      <c r="OFS19" s="7"/>
      <c r="OFT19" s="7"/>
      <c r="OFU19" s="7"/>
      <c r="OFV19" s="7"/>
      <c r="OFW19" s="7"/>
      <c r="OFX19" s="7"/>
      <c r="OFY19" s="7"/>
      <c r="OFZ19" s="7"/>
      <c r="OGA19" s="7"/>
      <c r="OGB19" s="7"/>
      <c r="OGC19" s="7"/>
      <c r="OGD19" s="7"/>
      <c r="OGE19" s="7"/>
      <c r="OGF19" s="7"/>
      <c r="OGG19" s="7"/>
      <c r="OGH19" s="7"/>
      <c r="OGI19" s="7"/>
      <c r="OGJ19" s="7"/>
      <c r="OGK19" s="7"/>
      <c r="OGL19" s="7"/>
      <c r="OGM19" s="7"/>
      <c r="OGN19" s="7"/>
      <c r="OGO19" s="7"/>
      <c r="OGP19" s="7"/>
      <c r="OGQ19" s="7"/>
      <c r="OGR19" s="7"/>
      <c r="OGS19" s="7"/>
      <c r="OGT19" s="7"/>
      <c r="OGU19" s="7"/>
      <c r="OGV19" s="7"/>
      <c r="OGW19" s="7"/>
      <c r="OGX19" s="7"/>
      <c r="OGY19" s="7"/>
      <c r="OGZ19" s="7"/>
      <c r="OHA19" s="7"/>
      <c r="OHB19" s="7"/>
      <c r="OHC19" s="7"/>
      <c r="OHD19" s="7"/>
      <c r="OHE19" s="7"/>
      <c r="OHF19" s="7"/>
      <c r="OHG19" s="7"/>
      <c r="OHH19" s="7"/>
      <c r="OHI19" s="7"/>
      <c r="OHJ19" s="7"/>
      <c r="OHK19" s="7"/>
      <c r="OHL19" s="7"/>
      <c r="OHM19" s="7"/>
      <c r="OHN19" s="7"/>
      <c r="OHO19" s="7"/>
      <c r="OHP19" s="7"/>
      <c r="OHQ19" s="7"/>
      <c r="OHR19" s="7"/>
      <c r="OHS19" s="7"/>
      <c r="OHT19" s="7"/>
      <c r="OHU19" s="7"/>
      <c r="OHV19" s="7"/>
      <c r="OHW19" s="7"/>
      <c r="OHX19" s="7"/>
      <c r="OHY19" s="7"/>
      <c r="OHZ19" s="7"/>
      <c r="OIA19" s="7"/>
      <c r="OIB19" s="7"/>
      <c r="OIC19" s="7"/>
      <c r="OID19" s="7"/>
      <c r="OIE19" s="7"/>
      <c r="OIF19" s="7"/>
      <c r="OIG19" s="7"/>
      <c r="OIH19" s="7"/>
      <c r="OII19" s="7"/>
      <c r="OIJ19" s="7"/>
      <c r="OIK19" s="7"/>
      <c r="OIL19" s="7"/>
      <c r="OIM19" s="7"/>
      <c r="OIN19" s="7"/>
      <c r="OIO19" s="7"/>
      <c r="OIP19" s="7"/>
      <c r="OIQ19" s="7"/>
      <c r="OIR19" s="7"/>
      <c r="OIS19" s="7"/>
      <c r="OIT19" s="7"/>
      <c r="OIU19" s="7"/>
      <c r="OIV19" s="7"/>
      <c r="OIW19" s="7"/>
      <c r="OIX19" s="7"/>
      <c r="OIY19" s="7"/>
      <c r="OIZ19" s="7"/>
      <c r="OJA19" s="7"/>
      <c r="OJB19" s="7"/>
      <c r="OJC19" s="7"/>
      <c r="OJD19" s="7"/>
      <c r="OJE19" s="7"/>
      <c r="OJF19" s="7"/>
      <c r="OJG19" s="7"/>
      <c r="OJH19" s="7"/>
      <c r="OJI19" s="7"/>
      <c r="OJJ19" s="7"/>
      <c r="OJK19" s="7"/>
      <c r="OJL19" s="7"/>
      <c r="OJM19" s="7"/>
      <c r="OJN19" s="7"/>
      <c r="OJO19" s="7"/>
      <c r="OJP19" s="7"/>
      <c r="OJQ19" s="7"/>
      <c r="OJR19" s="7"/>
      <c r="OJS19" s="7"/>
      <c r="OJT19" s="7"/>
      <c r="OJU19" s="7"/>
      <c r="OJV19" s="7"/>
      <c r="OJW19" s="7"/>
      <c r="OJX19" s="7"/>
      <c r="OJY19" s="7"/>
      <c r="OJZ19" s="7"/>
      <c r="OKA19" s="7"/>
      <c r="OKB19" s="7"/>
      <c r="OKC19" s="7"/>
      <c r="OKD19" s="7"/>
      <c r="OKE19" s="7"/>
      <c r="OKF19" s="7"/>
      <c r="OKG19" s="7"/>
      <c r="OKH19" s="7"/>
      <c r="OKI19" s="7"/>
      <c r="OKJ19" s="7"/>
      <c r="OKK19" s="7"/>
      <c r="OKL19" s="7"/>
      <c r="OKM19" s="7"/>
      <c r="OKN19" s="7"/>
      <c r="OKO19" s="7"/>
      <c r="OKP19" s="7"/>
      <c r="OKQ19" s="7"/>
      <c r="OKR19" s="7"/>
      <c r="OKS19" s="7"/>
      <c r="OKT19" s="7"/>
      <c r="OKU19" s="7"/>
      <c r="OKV19" s="7"/>
      <c r="OKW19" s="7"/>
      <c r="OKX19" s="7"/>
      <c r="OKY19" s="7"/>
      <c r="OKZ19" s="7"/>
      <c r="OLA19" s="7"/>
      <c r="OLB19" s="7"/>
      <c r="OLC19" s="7"/>
      <c r="OLD19" s="7"/>
      <c r="OLE19" s="7"/>
      <c r="OLF19" s="7"/>
      <c r="OLG19" s="7"/>
      <c r="OLH19" s="7"/>
      <c r="OLI19" s="7"/>
      <c r="OLJ19" s="7"/>
      <c r="OLK19" s="7"/>
      <c r="OLL19" s="7"/>
      <c r="OLM19" s="7"/>
      <c r="OLN19" s="7"/>
      <c r="OLO19" s="7"/>
      <c r="OLP19" s="7"/>
      <c r="OLQ19" s="7"/>
      <c r="OLR19" s="7"/>
      <c r="OLS19" s="7"/>
      <c r="OLT19" s="7"/>
      <c r="OLU19" s="7"/>
      <c r="OLV19" s="7"/>
      <c r="OLW19" s="7"/>
      <c r="OLX19" s="7"/>
      <c r="OLY19" s="7"/>
      <c r="OLZ19" s="7"/>
      <c r="OMA19" s="7"/>
      <c r="OMB19" s="7"/>
      <c r="OMC19" s="7"/>
      <c r="OMD19" s="7"/>
      <c r="OME19" s="7"/>
      <c r="OMF19" s="7"/>
      <c r="OMG19" s="7"/>
      <c r="OMH19" s="7"/>
      <c r="OMI19" s="7"/>
      <c r="OMJ19" s="7"/>
      <c r="OMK19" s="7"/>
      <c r="OML19" s="7"/>
      <c r="OMM19" s="7"/>
      <c r="OMN19" s="7"/>
      <c r="OMO19" s="7"/>
      <c r="OMP19" s="7"/>
      <c r="OMQ19" s="7"/>
      <c r="OMR19" s="7"/>
      <c r="OMS19" s="7"/>
      <c r="OMT19" s="7"/>
      <c r="OMU19" s="7"/>
      <c r="OMV19" s="7"/>
      <c r="OMW19" s="7"/>
      <c r="OMX19" s="7"/>
      <c r="OMY19" s="7"/>
      <c r="OMZ19" s="7"/>
      <c r="ONA19" s="7"/>
      <c r="ONB19" s="7"/>
      <c r="ONC19" s="7"/>
      <c r="OND19" s="7"/>
      <c r="ONE19" s="7"/>
      <c r="ONF19" s="7"/>
      <c r="ONG19" s="7"/>
      <c r="ONH19" s="7"/>
      <c r="ONI19" s="7"/>
      <c r="ONJ19" s="7"/>
      <c r="ONK19" s="7"/>
      <c r="ONL19" s="7"/>
      <c r="ONM19" s="7"/>
      <c r="ONN19" s="7"/>
      <c r="ONO19" s="7"/>
      <c r="ONP19" s="7"/>
      <c r="ONQ19" s="7"/>
      <c r="ONR19" s="7"/>
      <c r="ONS19" s="7"/>
      <c r="ONT19" s="7"/>
      <c r="ONU19" s="7"/>
      <c r="ONV19" s="7"/>
      <c r="ONW19" s="7"/>
      <c r="ONX19" s="7"/>
      <c r="ONY19" s="7"/>
      <c r="ONZ19" s="7"/>
      <c r="OOA19" s="7"/>
      <c r="OOB19" s="7"/>
      <c r="OOC19" s="7"/>
      <c r="OOD19" s="7"/>
      <c r="OOE19" s="7"/>
      <c r="OOF19" s="7"/>
      <c r="OOG19" s="7"/>
      <c r="OOH19" s="7"/>
      <c r="OOI19" s="7"/>
      <c r="OOJ19" s="7"/>
      <c r="OOK19" s="7"/>
      <c r="OOL19" s="7"/>
      <c r="OOM19" s="7"/>
      <c r="OON19" s="7"/>
      <c r="OOO19" s="7"/>
      <c r="OOP19" s="7"/>
      <c r="OOQ19" s="7"/>
      <c r="OOR19" s="7"/>
      <c r="OOS19" s="7"/>
      <c r="OOT19" s="7"/>
      <c r="OOU19" s="7"/>
      <c r="OOV19" s="7"/>
      <c r="OOW19" s="7"/>
      <c r="OOX19" s="7"/>
      <c r="OOY19" s="7"/>
      <c r="OOZ19" s="7"/>
      <c r="OPA19" s="7"/>
      <c r="OPB19" s="7"/>
      <c r="OPC19" s="7"/>
      <c r="OPD19" s="7"/>
      <c r="OPE19" s="7"/>
      <c r="OPF19" s="7"/>
      <c r="OPG19" s="7"/>
      <c r="OPH19" s="7"/>
      <c r="OPI19" s="7"/>
      <c r="OPJ19" s="7"/>
      <c r="OPK19" s="7"/>
      <c r="OPL19" s="7"/>
      <c r="OPM19" s="7"/>
      <c r="OPN19" s="7"/>
      <c r="OPO19" s="7"/>
      <c r="OPP19" s="7"/>
      <c r="OPQ19" s="7"/>
      <c r="OPR19" s="7"/>
      <c r="OPS19" s="7"/>
      <c r="OPT19" s="7"/>
      <c r="OPU19" s="7"/>
      <c r="OPV19" s="7"/>
      <c r="OPW19" s="7"/>
      <c r="OPX19" s="7"/>
      <c r="OPY19" s="7"/>
      <c r="OPZ19" s="7"/>
      <c r="OQA19" s="7"/>
      <c r="OQB19" s="7"/>
      <c r="OQC19" s="7"/>
      <c r="OQD19" s="7"/>
      <c r="OQE19" s="7"/>
      <c r="OQF19" s="7"/>
      <c r="OQG19" s="7"/>
      <c r="OQH19" s="7"/>
      <c r="OQI19" s="7"/>
      <c r="OQJ19" s="7"/>
      <c r="OQK19" s="7"/>
      <c r="OQL19" s="7"/>
      <c r="OQM19" s="7"/>
      <c r="OQN19" s="7"/>
      <c r="OQO19" s="7"/>
      <c r="OQP19" s="7"/>
      <c r="OQQ19" s="7"/>
      <c r="OQR19" s="7"/>
      <c r="OQS19" s="7"/>
      <c r="OQT19" s="7"/>
      <c r="OQU19" s="7"/>
      <c r="OQV19" s="7"/>
      <c r="OQW19" s="7"/>
      <c r="OQX19" s="7"/>
      <c r="OQY19" s="7"/>
      <c r="OQZ19" s="7"/>
      <c r="ORA19" s="7"/>
      <c r="ORB19" s="7"/>
      <c r="ORC19" s="7"/>
      <c r="ORD19" s="7"/>
      <c r="ORE19" s="7"/>
      <c r="ORF19" s="7"/>
      <c r="ORG19" s="7"/>
      <c r="ORH19" s="7"/>
      <c r="ORI19" s="7"/>
      <c r="ORJ19" s="7"/>
      <c r="ORK19" s="7"/>
      <c r="ORL19" s="7"/>
      <c r="ORM19" s="7"/>
      <c r="ORN19" s="7"/>
      <c r="ORO19" s="7"/>
      <c r="ORP19" s="7"/>
      <c r="ORQ19" s="7"/>
      <c r="ORR19" s="7"/>
      <c r="ORS19" s="7"/>
      <c r="ORT19" s="7"/>
      <c r="ORU19" s="7"/>
      <c r="ORV19" s="7"/>
      <c r="ORW19" s="7"/>
      <c r="ORX19" s="7"/>
      <c r="ORY19" s="7"/>
      <c r="ORZ19" s="7"/>
      <c r="OSA19" s="7"/>
      <c r="OSB19" s="7"/>
      <c r="OSC19" s="7"/>
      <c r="OSD19" s="7"/>
      <c r="OSE19" s="7"/>
      <c r="OSF19" s="7"/>
      <c r="OSG19" s="7"/>
      <c r="OSH19" s="7"/>
      <c r="OSI19" s="7"/>
      <c r="OSJ19" s="7"/>
      <c r="OSK19" s="7"/>
      <c r="OSL19" s="7"/>
      <c r="OSM19" s="7"/>
      <c r="OSN19" s="7"/>
      <c r="OSO19" s="7"/>
      <c r="OSP19" s="7"/>
      <c r="OSQ19" s="7"/>
      <c r="OSR19" s="7"/>
      <c r="OSS19" s="7"/>
      <c r="OST19" s="7"/>
      <c r="OSU19" s="7"/>
      <c r="OSV19" s="7"/>
      <c r="OSW19" s="7"/>
      <c r="OSX19" s="7"/>
      <c r="OSY19" s="7"/>
      <c r="OSZ19" s="7"/>
      <c r="OTA19" s="7"/>
      <c r="OTB19" s="7"/>
      <c r="OTC19" s="7"/>
      <c r="OTD19" s="7"/>
      <c r="OTE19" s="7"/>
      <c r="OTF19" s="7"/>
      <c r="OTG19" s="7"/>
      <c r="OTH19" s="7"/>
      <c r="OTI19" s="7"/>
      <c r="OTJ19" s="7"/>
      <c r="OTK19" s="7"/>
      <c r="OTL19" s="7"/>
      <c r="OTM19" s="7"/>
      <c r="OTN19" s="7"/>
      <c r="OTO19" s="7"/>
      <c r="OTP19" s="7"/>
      <c r="OTQ19" s="7"/>
      <c r="OTR19" s="7"/>
      <c r="OTS19" s="7"/>
      <c r="OTT19" s="7"/>
      <c r="OTU19" s="7"/>
      <c r="OTV19" s="7"/>
      <c r="OTW19" s="7"/>
      <c r="OTX19" s="7"/>
      <c r="OTY19" s="7"/>
      <c r="OTZ19" s="7"/>
      <c r="OUA19" s="7"/>
      <c r="OUB19" s="7"/>
      <c r="OUC19" s="7"/>
      <c r="OUD19" s="7"/>
      <c r="OUE19" s="7"/>
      <c r="OUF19" s="7"/>
      <c r="OUG19" s="7"/>
      <c r="OUH19" s="7"/>
      <c r="OUI19" s="7"/>
      <c r="OUJ19" s="7"/>
      <c r="OUK19" s="7"/>
      <c r="OUL19" s="7"/>
      <c r="OUM19" s="7"/>
      <c r="OUN19" s="7"/>
      <c r="OUO19" s="7"/>
      <c r="OUP19" s="7"/>
      <c r="OUQ19" s="7"/>
      <c r="OUR19" s="7"/>
      <c r="OUS19" s="7"/>
      <c r="OUT19" s="7"/>
      <c r="OUU19" s="7"/>
      <c r="OUV19" s="7"/>
      <c r="OUW19" s="7"/>
      <c r="OUX19" s="7"/>
      <c r="OUY19" s="7"/>
      <c r="OUZ19" s="7"/>
      <c r="OVA19" s="7"/>
      <c r="OVB19" s="7"/>
      <c r="OVC19" s="7"/>
      <c r="OVD19" s="7"/>
      <c r="OVE19" s="7"/>
      <c r="OVF19" s="7"/>
      <c r="OVG19" s="7"/>
      <c r="OVH19" s="7"/>
      <c r="OVI19" s="7"/>
      <c r="OVJ19" s="7"/>
      <c r="OVK19" s="7"/>
      <c r="OVL19" s="7"/>
      <c r="OVM19" s="7"/>
      <c r="OVN19" s="7"/>
      <c r="OVO19" s="7"/>
      <c r="OVP19" s="7"/>
      <c r="OVQ19" s="7"/>
      <c r="OVR19" s="7"/>
      <c r="OVS19" s="7"/>
      <c r="OVT19" s="7"/>
      <c r="OVU19" s="7"/>
      <c r="OVV19" s="7"/>
      <c r="OVW19" s="7"/>
      <c r="OVX19" s="7"/>
      <c r="OVY19" s="7"/>
      <c r="OVZ19" s="7"/>
      <c r="OWA19" s="7"/>
      <c r="OWB19" s="7"/>
      <c r="OWC19" s="7"/>
      <c r="OWD19" s="7"/>
      <c r="OWE19" s="7"/>
      <c r="OWF19" s="7"/>
      <c r="OWG19" s="7"/>
      <c r="OWH19" s="7"/>
      <c r="OWI19" s="7"/>
      <c r="OWJ19" s="7"/>
      <c r="OWK19" s="7"/>
      <c r="OWL19" s="7"/>
      <c r="OWM19" s="7"/>
      <c r="OWN19" s="7"/>
      <c r="OWO19" s="7"/>
      <c r="OWP19" s="7"/>
      <c r="OWQ19" s="7"/>
      <c r="OWR19" s="7"/>
      <c r="OWS19" s="7"/>
      <c r="OWT19" s="7"/>
      <c r="OWU19" s="7"/>
      <c r="OWV19" s="7"/>
      <c r="OWW19" s="7"/>
      <c r="OWX19" s="7"/>
      <c r="OWY19" s="7"/>
      <c r="OWZ19" s="7"/>
      <c r="OXA19" s="7"/>
      <c r="OXB19" s="7"/>
      <c r="OXC19" s="7"/>
      <c r="OXD19" s="7"/>
      <c r="OXE19" s="7"/>
      <c r="OXF19" s="7"/>
      <c r="OXG19" s="7"/>
      <c r="OXH19" s="7"/>
      <c r="OXI19" s="7"/>
      <c r="OXJ19" s="7"/>
      <c r="OXK19" s="7"/>
      <c r="OXL19" s="7"/>
      <c r="OXM19" s="7"/>
      <c r="OXN19" s="7"/>
      <c r="OXO19" s="7"/>
      <c r="OXP19" s="7"/>
      <c r="OXQ19" s="7"/>
      <c r="OXR19" s="7"/>
      <c r="OXS19" s="7"/>
      <c r="OXT19" s="7"/>
      <c r="OXU19" s="7"/>
      <c r="OXV19" s="7"/>
      <c r="OXW19" s="7"/>
      <c r="OXX19" s="7"/>
      <c r="OXY19" s="7"/>
      <c r="OXZ19" s="7"/>
      <c r="OYA19" s="7"/>
      <c r="OYB19" s="7"/>
      <c r="OYC19" s="7"/>
      <c r="OYD19" s="7"/>
      <c r="OYE19" s="7"/>
      <c r="OYF19" s="7"/>
      <c r="OYG19" s="7"/>
      <c r="OYH19" s="7"/>
      <c r="OYI19" s="7"/>
      <c r="OYJ19" s="7"/>
      <c r="OYK19" s="7"/>
      <c r="OYL19" s="7"/>
      <c r="OYM19" s="7"/>
      <c r="OYN19" s="7"/>
      <c r="OYO19" s="7"/>
      <c r="OYP19" s="7"/>
      <c r="OYQ19" s="7"/>
      <c r="OYR19" s="7"/>
      <c r="OYS19" s="7"/>
      <c r="OYT19" s="7"/>
      <c r="OYU19" s="7"/>
      <c r="OYV19" s="7"/>
      <c r="OYW19" s="7"/>
      <c r="OYX19" s="7"/>
      <c r="OYY19" s="7"/>
      <c r="OYZ19" s="7"/>
      <c r="OZA19" s="7"/>
      <c r="OZB19" s="7"/>
      <c r="OZC19" s="7"/>
      <c r="OZD19" s="7"/>
      <c r="OZE19" s="7"/>
      <c r="OZF19" s="7"/>
      <c r="OZG19" s="7"/>
      <c r="OZH19" s="7"/>
      <c r="OZI19" s="7"/>
      <c r="OZJ19" s="7"/>
      <c r="OZK19" s="7"/>
      <c r="OZL19" s="7"/>
      <c r="OZM19" s="7"/>
      <c r="OZN19" s="7"/>
      <c r="OZO19" s="7"/>
      <c r="OZP19" s="7"/>
      <c r="OZQ19" s="7"/>
      <c r="OZR19" s="7"/>
      <c r="OZS19" s="7"/>
      <c r="OZT19" s="7"/>
      <c r="OZU19" s="7"/>
      <c r="OZV19" s="7"/>
      <c r="OZW19" s="7"/>
      <c r="OZX19" s="7"/>
      <c r="OZY19" s="7"/>
      <c r="OZZ19" s="7"/>
      <c r="PAA19" s="7"/>
      <c r="PAB19" s="7"/>
      <c r="PAC19" s="7"/>
      <c r="PAD19" s="7"/>
      <c r="PAE19" s="7"/>
      <c r="PAF19" s="7"/>
      <c r="PAG19" s="7"/>
      <c r="PAH19" s="7"/>
      <c r="PAI19" s="7"/>
      <c r="PAJ19" s="7"/>
      <c r="PAK19" s="7"/>
      <c r="PAL19" s="7"/>
      <c r="PAM19" s="7"/>
      <c r="PAN19" s="7"/>
      <c r="PAO19" s="7"/>
      <c r="PAP19" s="7"/>
      <c r="PAQ19" s="7"/>
      <c r="PAR19" s="7"/>
      <c r="PAS19" s="7"/>
      <c r="PAT19" s="7"/>
      <c r="PAU19" s="7"/>
      <c r="PAV19" s="7"/>
      <c r="PAW19" s="7"/>
      <c r="PAX19" s="7"/>
      <c r="PAY19" s="7"/>
      <c r="PAZ19" s="7"/>
      <c r="PBA19" s="7"/>
      <c r="PBB19" s="7"/>
      <c r="PBC19" s="7"/>
      <c r="PBD19" s="7"/>
      <c r="PBE19" s="7"/>
      <c r="PBF19" s="7"/>
      <c r="PBG19" s="7"/>
      <c r="PBH19" s="7"/>
      <c r="PBI19" s="7"/>
      <c r="PBJ19" s="7"/>
      <c r="PBK19" s="7"/>
      <c r="PBL19" s="7"/>
      <c r="PBM19" s="7"/>
      <c r="PBN19" s="7"/>
      <c r="PBO19" s="7"/>
      <c r="PBP19" s="7"/>
      <c r="PBQ19" s="7"/>
      <c r="PBR19" s="7"/>
      <c r="PBS19" s="7"/>
      <c r="PBT19" s="7"/>
      <c r="PBU19" s="7"/>
      <c r="PBV19" s="7"/>
      <c r="PBW19" s="7"/>
      <c r="PBX19" s="7"/>
      <c r="PBY19" s="7"/>
      <c r="PBZ19" s="7"/>
      <c r="PCA19" s="7"/>
      <c r="PCB19" s="7"/>
      <c r="PCC19" s="7"/>
      <c r="PCD19" s="7"/>
      <c r="PCE19" s="7"/>
      <c r="PCF19" s="7"/>
      <c r="PCG19" s="7"/>
      <c r="PCH19" s="7"/>
      <c r="PCI19" s="7"/>
      <c r="PCJ19" s="7"/>
      <c r="PCK19" s="7"/>
      <c r="PCL19" s="7"/>
      <c r="PCM19" s="7"/>
      <c r="PCN19" s="7"/>
      <c r="PCO19" s="7"/>
      <c r="PCP19" s="7"/>
      <c r="PCQ19" s="7"/>
      <c r="PCR19" s="7"/>
      <c r="PCS19" s="7"/>
      <c r="PCT19" s="7"/>
      <c r="PCU19" s="7"/>
      <c r="PCV19" s="7"/>
      <c r="PCW19" s="7"/>
      <c r="PCX19" s="7"/>
      <c r="PCY19" s="7"/>
      <c r="PCZ19" s="7"/>
      <c r="PDA19" s="7"/>
      <c r="PDB19" s="7"/>
      <c r="PDC19" s="7"/>
      <c r="PDD19" s="7"/>
      <c r="PDE19" s="7"/>
      <c r="PDF19" s="7"/>
      <c r="PDG19" s="7"/>
      <c r="PDH19" s="7"/>
      <c r="PDI19" s="7"/>
      <c r="PDJ19" s="7"/>
      <c r="PDK19" s="7"/>
      <c r="PDL19" s="7"/>
      <c r="PDM19" s="7"/>
      <c r="PDN19" s="7"/>
      <c r="PDO19" s="7"/>
      <c r="PDP19" s="7"/>
      <c r="PDQ19" s="7"/>
      <c r="PDR19" s="7"/>
      <c r="PDS19" s="7"/>
      <c r="PDT19" s="7"/>
      <c r="PDU19" s="7"/>
      <c r="PDV19" s="7"/>
      <c r="PDW19" s="7"/>
      <c r="PDX19" s="7"/>
      <c r="PDY19" s="7"/>
      <c r="PDZ19" s="7"/>
      <c r="PEA19" s="7"/>
      <c r="PEB19" s="7"/>
      <c r="PEC19" s="7"/>
      <c r="PED19" s="7"/>
      <c r="PEE19" s="7"/>
      <c r="PEF19" s="7"/>
      <c r="PEG19" s="7"/>
      <c r="PEH19" s="7"/>
      <c r="PEI19" s="7"/>
      <c r="PEJ19" s="7"/>
      <c r="PEK19" s="7"/>
      <c r="PEL19" s="7"/>
      <c r="PEM19" s="7"/>
      <c r="PEN19" s="7"/>
      <c r="PEO19" s="7"/>
      <c r="PEP19" s="7"/>
      <c r="PEQ19" s="7"/>
      <c r="PER19" s="7"/>
      <c r="PES19" s="7"/>
      <c r="PET19" s="7"/>
      <c r="PEU19" s="7"/>
      <c r="PEV19" s="7"/>
      <c r="PEW19" s="7"/>
      <c r="PEX19" s="7"/>
      <c r="PEY19" s="7"/>
      <c r="PEZ19" s="7"/>
      <c r="PFA19" s="7"/>
      <c r="PFB19" s="7"/>
      <c r="PFC19" s="7"/>
      <c r="PFD19" s="7"/>
      <c r="PFE19" s="7"/>
      <c r="PFF19" s="7"/>
      <c r="PFG19" s="7"/>
      <c r="PFH19" s="7"/>
      <c r="PFI19" s="7"/>
      <c r="PFJ19" s="7"/>
      <c r="PFK19" s="7"/>
      <c r="PFL19" s="7"/>
      <c r="PFM19" s="7"/>
      <c r="PFN19" s="7"/>
      <c r="PFO19" s="7"/>
      <c r="PFP19" s="7"/>
      <c r="PFQ19" s="7"/>
      <c r="PFR19" s="7"/>
      <c r="PFS19" s="7"/>
      <c r="PFT19" s="7"/>
      <c r="PFU19" s="7"/>
      <c r="PFV19" s="7"/>
      <c r="PFW19" s="7"/>
      <c r="PFX19" s="7"/>
      <c r="PFY19" s="7"/>
      <c r="PFZ19" s="7"/>
      <c r="PGA19" s="7"/>
      <c r="PGB19" s="7"/>
      <c r="PGC19" s="7"/>
      <c r="PGD19" s="7"/>
      <c r="PGE19" s="7"/>
      <c r="PGF19" s="7"/>
      <c r="PGG19" s="7"/>
      <c r="PGH19" s="7"/>
      <c r="PGI19" s="7"/>
      <c r="PGJ19" s="7"/>
      <c r="PGK19" s="7"/>
      <c r="PGL19" s="7"/>
      <c r="PGM19" s="7"/>
      <c r="PGN19" s="7"/>
      <c r="PGO19" s="7"/>
      <c r="PGP19" s="7"/>
      <c r="PGQ19" s="7"/>
      <c r="PGR19" s="7"/>
      <c r="PGS19" s="7"/>
      <c r="PGT19" s="7"/>
      <c r="PGU19" s="7"/>
      <c r="PGV19" s="7"/>
      <c r="PGW19" s="7"/>
      <c r="PGX19" s="7"/>
      <c r="PGY19" s="7"/>
      <c r="PGZ19" s="7"/>
      <c r="PHA19" s="7"/>
      <c r="PHB19" s="7"/>
      <c r="PHC19" s="7"/>
      <c r="PHD19" s="7"/>
      <c r="PHE19" s="7"/>
      <c r="PHF19" s="7"/>
      <c r="PHG19" s="7"/>
      <c r="PHH19" s="7"/>
      <c r="PHI19" s="7"/>
      <c r="PHJ19" s="7"/>
      <c r="PHK19" s="7"/>
      <c r="PHL19" s="7"/>
      <c r="PHM19" s="7"/>
      <c r="PHN19" s="7"/>
      <c r="PHO19" s="7"/>
      <c r="PHP19" s="7"/>
      <c r="PHQ19" s="7"/>
      <c r="PHR19" s="7"/>
      <c r="PHS19" s="7"/>
      <c r="PHT19" s="7"/>
      <c r="PHU19" s="7"/>
      <c r="PHV19" s="7"/>
      <c r="PHW19" s="7"/>
      <c r="PHX19" s="7"/>
      <c r="PHY19" s="7"/>
      <c r="PHZ19" s="7"/>
      <c r="PIA19" s="7"/>
      <c r="PIB19" s="7"/>
      <c r="PIC19" s="7"/>
      <c r="PID19" s="7"/>
      <c r="PIE19" s="7"/>
      <c r="PIF19" s="7"/>
      <c r="PIG19" s="7"/>
      <c r="PIH19" s="7"/>
      <c r="PII19" s="7"/>
      <c r="PIJ19" s="7"/>
      <c r="PIK19" s="7"/>
      <c r="PIL19" s="7"/>
      <c r="PIM19" s="7"/>
      <c r="PIN19" s="7"/>
      <c r="PIO19" s="7"/>
      <c r="PIP19" s="7"/>
      <c r="PIQ19" s="7"/>
      <c r="PIR19" s="7"/>
      <c r="PIS19" s="7"/>
      <c r="PIT19" s="7"/>
      <c r="PIU19" s="7"/>
      <c r="PIV19" s="7"/>
      <c r="PIW19" s="7"/>
      <c r="PIX19" s="7"/>
      <c r="PIY19" s="7"/>
      <c r="PIZ19" s="7"/>
      <c r="PJA19" s="7"/>
      <c r="PJB19" s="7"/>
      <c r="PJC19" s="7"/>
      <c r="PJD19" s="7"/>
      <c r="PJE19" s="7"/>
      <c r="PJF19" s="7"/>
      <c r="PJG19" s="7"/>
      <c r="PJH19" s="7"/>
      <c r="PJI19" s="7"/>
      <c r="PJJ19" s="7"/>
      <c r="PJK19" s="7"/>
      <c r="PJL19" s="7"/>
      <c r="PJM19" s="7"/>
      <c r="PJN19" s="7"/>
      <c r="PJO19" s="7"/>
      <c r="PJP19" s="7"/>
      <c r="PJQ19" s="7"/>
      <c r="PJR19" s="7"/>
      <c r="PJS19" s="7"/>
      <c r="PJT19" s="7"/>
      <c r="PJU19" s="7"/>
      <c r="PJV19" s="7"/>
      <c r="PJW19" s="7"/>
      <c r="PJX19" s="7"/>
      <c r="PJY19" s="7"/>
      <c r="PJZ19" s="7"/>
      <c r="PKA19" s="7"/>
      <c r="PKB19" s="7"/>
      <c r="PKC19" s="7"/>
      <c r="PKD19" s="7"/>
      <c r="PKE19" s="7"/>
      <c r="PKF19" s="7"/>
      <c r="PKG19" s="7"/>
      <c r="PKH19" s="7"/>
      <c r="PKI19" s="7"/>
      <c r="PKJ19" s="7"/>
      <c r="PKK19" s="7"/>
      <c r="PKL19" s="7"/>
      <c r="PKM19" s="7"/>
      <c r="PKN19" s="7"/>
      <c r="PKO19" s="7"/>
      <c r="PKP19" s="7"/>
      <c r="PKQ19" s="7"/>
      <c r="PKR19" s="7"/>
      <c r="PKS19" s="7"/>
      <c r="PKT19" s="7"/>
      <c r="PKU19" s="7"/>
      <c r="PKV19" s="7"/>
      <c r="PKW19" s="7"/>
      <c r="PKX19" s="7"/>
      <c r="PKY19" s="7"/>
      <c r="PKZ19" s="7"/>
      <c r="PLA19" s="7"/>
      <c r="PLB19" s="7"/>
      <c r="PLC19" s="7"/>
      <c r="PLD19" s="7"/>
      <c r="PLE19" s="7"/>
      <c r="PLF19" s="7"/>
      <c r="PLG19" s="7"/>
      <c r="PLH19" s="7"/>
      <c r="PLI19" s="7"/>
      <c r="PLJ19" s="7"/>
      <c r="PLK19" s="7"/>
      <c r="PLL19" s="7"/>
      <c r="PLM19" s="7"/>
      <c r="PLN19" s="7"/>
      <c r="PLO19" s="7"/>
      <c r="PLP19" s="7"/>
      <c r="PLQ19" s="7"/>
      <c r="PLR19" s="7"/>
      <c r="PLS19" s="7"/>
      <c r="PLT19" s="7"/>
      <c r="PLU19" s="7"/>
      <c r="PLV19" s="7"/>
      <c r="PLW19" s="7"/>
      <c r="PLX19" s="7"/>
      <c r="PLY19" s="7"/>
      <c r="PLZ19" s="7"/>
      <c r="PMA19" s="7"/>
      <c r="PMB19" s="7"/>
      <c r="PMC19" s="7"/>
      <c r="PMD19" s="7"/>
      <c r="PME19" s="7"/>
      <c r="PMF19" s="7"/>
      <c r="PMG19" s="7"/>
      <c r="PMH19" s="7"/>
      <c r="PMI19" s="7"/>
      <c r="PMJ19" s="7"/>
      <c r="PMK19" s="7"/>
      <c r="PML19" s="7"/>
      <c r="PMM19" s="7"/>
      <c r="PMN19" s="7"/>
      <c r="PMO19" s="7"/>
      <c r="PMP19" s="7"/>
      <c r="PMQ19" s="7"/>
      <c r="PMR19" s="7"/>
      <c r="PMS19" s="7"/>
      <c r="PMT19" s="7"/>
      <c r="PMU19" s="7"/>
      <c r="PMV19" s="7"/>
      <c r="PMW19" s="7"/>
      <c r="PMX19" s="7"/>
      <c r="PMY19" s="7"/>
      <c r="PMZ19" s="7"/>
      <c r="PNA19" s="7"/>
      <c r="PNB19" s="7"/>
      <c r="PNC19" s="7"/>
      <c r="PND19" s="7"/>
      <c r="PNE19" s="7"/>
      <c r="PNF19" s="7"/>
      <c r="PNG19" s="7"/>
      <c r="PNH19" s="7"/>
      <c r="PNI19" s="7"/>
      <c r="PNJ19" s="7"/>
      <c r="PNK19" s="7"/>
      <c r="PNL19" s="7"/>
      <c r="PNM19" s="7"/>
      <c r="PNN19" s="7"/>
      <c r="PNO19" s="7"/>
      <c r="PNP19" s="7"/>
      <c r="PNQ19" s="7"/>
      <c r="PNR19" s="7"/>
      <c r="PNS19" s="7"/>
      <c r="PNT19" s="7"/>
      <c r="PNU19" s="7"/>
      <c r="PNV19" s="7"/>
      <c r="PNW19" s="7"/>
      <c r="PNX19" s="7"/>
      <c r="PNY19" s="7"/>
      <c r="PNZ19" s="7"/>
      <c r="POA19" s="7"/>
      <c r="POB19" s="7"/>
      <c r="POC19" s="7"/>
      <c r="POD19" s="7"/>
      <c r="POE19" s="7"/>
      <c r="POF19" s="7"/>
      <c r="POG19" s="7"/>
      <c r="POH19" s="7"/>
      <c r="POI19" s="7"/>
      <c r="POJ19" s="7"/>
      <c r="POK19" s="7"/>
      <c r="POL19" s="7"/>
      <c r="POM19" s="7"/>
      <c r="PON19" s="7"/>
      <c r="POO19" s="7"/>
      <c r="POP19" s="7"/>
      <c r="POQ19" s="7"/>
      <c r="POR19" s="7"/>
      <c r="POS19" s="7"/>
      <c r="POT19" s="7"/>
      <c r="POU19" s="7"/>
      <c r="POV19" s="7"/>
      <c r="POW19" s="7"/>
      <c r="POX19" s="7"/>
      <c r="POY19" s="7"/>
      <c r="POZ19" s="7"/>
      <c r="PPA19" s="7"/>
      <c r="PPB19" s="7"/>
      <c r="PPC19" s="7"/>
      <c r="PPD19" s="7"/>
      <c r="PPE19" s="7"/>
      <c r="PPF19" s="7"/>
      <c r="PPG19" s="7"/>
      <c r="PPH19" s="7"/>
      <c r="PPI19" s="7"/>
      <c r="PPJ19" s="7"/>
      <c r="PPK19" s="7"/>
      <c r="PPL19" s="7"/>
      <c r="PPM19" s="7"/>
      <c r="PPN19" s="7"/>
      <c r="PPO19" s="7"/>
      <c r="PPP19" s="7"/>
      <c r="PPQ19" s="7"/>
      <c r="PPR19" s="7"/>
      <c r="PPS19" s="7"/>
      <c r="PPT19" s="7"/>
      <c r="PPU19" s="7"/>
      <c r="PPV19" s="7"/>
      <c r="PPW19" s="7"/>
      <c r="PPX19" s="7"/>
      <c r="PPY19" s="7"/>
      <c r="PPZ19" s="7"/>
      <c r="PQA19" s="7"/>
      <c r="PQB19" s="7"/>
      <c r="PQC19" s="7"/>
      <c r="PQD19" s="7"/>
      <c r="PQE19" s="7"/>
      <c r="PQF19" s="7"/>
      <c r="PQG19" s="7"/>
      <c r="PQH19" s="7"/>
      <c r="PQI19" s="7"/>
      <c r="PQJ19" s="7"/>
      <c r="PQK19" s="7"/>
      <c r="PQL19" s="7"/>
      <c r="PQM19" s="7"/>
      <c r="PQN19" s="7"/>
      <c r="PQO19" s="7"/>
      <c r="PQP19" s="7"/>
      <c r="PQQ19" s="7"/>
      <c r="PQR19" s="7"/>
      <c r="PQS19" s="7"/>
      <c r="PQT19" s="7"/>
      <c r="PQU19" s="7"/>
      <c r="PQV19" s="7"/>
      <c r="PQW19" s="7"/>
      <c r="PQX19" s="7"/>
      <c r="PQY19" s="7"/>
      <c r="PQZ19" s="7"/>
      <c r="PRA19" s="7"/>
      <c r="PRB19" s="7"/>
      <c r="PRC19" s="7"/>
      <c r="PRD19" s="7"/>
      <c r="PRE19" s="7"/>
      <c r="PRF19" s="7"/>
      <c r="PRG19" s="7"/>
      <c r="PRH19" s="7"/>
      <c r="PRI19" s="7"/>
      <c r="PRJ19" s="7"/>
      <c r="PRK19" s="7"/>
      <c r="PRL19" s="7"/>
      <c r="PRM19" s="7"/>
      <c r="PRN19" s="7"/>
      <c r="PRO19" s="7"/>
      <c r="PRP19" s="7"/>
      <c r="PRQ19" s="7"/>
      <c r="PRR19" s="7"/>
      <c r="PRS19" s="7"/>
      <c r="PRT19" s="7"/>
      <c r="PRU19" s="7"/>
      <c r="PRV19" s="7"/>
      <c r="PRW19" s="7"/>
      <c r="PRX19" s="7"/>
      <c r="PRY19" s="7"/>
      <c r="PRZ19" s="7"/>
      <c r="PSA19" s="7"/>
      <c r="PSB19" s="7"/>
      <c r="PSC19" s="7"/>
      <c r="PSD19" s="7"/>
      <c r="PSE19" s="7"/>
      <c r="PSF19" s="7"/>
      <c r="PSG19" s="7"/>
      <c r="PSH19" s="7"/>
      <c r="PSI19" s="7"/>
      <c r="PSJ19" s="7"/>
      <c r="PSK19" s="7"/>
      <c r="PSL19" s="7"/>
      <c r="PSM19" s="7"/>
      <c r="PSN19" s="7"/>
      <c r="PSO19" s="7"/>
      <c r="PSP19" s="7"/>
      <c r="PSQ19" s="7"/>
      <c r="PSR19" s="7"/>
      <c r="PSS19" s="7"/>
      <c r="PST19" s="7"/>
      <c r="PSU19" s="7"/>
      <c r="PSV19" s="7"/>
      <c r="PSW19" s="7"/>
      <c r="PSX19" s="7"/>
      <c r="PSY19" s="7"/>
      <c r="PSZ19" s="7"/>
      <c r="PTA19" s="7"/>
      <c r="PTB19" s="7"/>
      <c r="PTC19" s="7"/>
      <c r="PTD19" s="7"/>
      <c r="PTE19" s="7"/>
      <c r="PTF19" s="7"/>
      <c r="PTG19" s="7"/>
      <c r="PTH19" s="7"/>
      <c r="PTI19" s="7"/>
      <c r="PTJ19" s="7"/>
      <c r="PTK19" s="7"/>
      <c r="PTL19" s="7"/>
      <c r="PTM19" s="7"/>
      <c r="PTN19" s="7"/>
      <c r="PTO19" s="7"/>
      <c r="PTP19" s="7"/>
      <c r="PTQ19" s="7"/>
      <c r="PTR19" s="7"/>
      <c r="PTS19" s="7"/>
      <c r="PTT19" s="7"/>
      <c r="PTU19" s="7"/>
      <c r="PTV19" s="7"/>
      <c r="PTW19" s="7"/>
      <c r="PTX19" s="7"/>
      <c r="PTY19" s="7"/>
      <c r="PTZ19" s="7"/>
      <c r="PUA19" s="7"/>
      <c r="PUB19" s="7"/>
      <c r="PUC19" s="7"/>
      <c r="PUD19" s="7"/>
      <c r="PUE19" s="7"/>
      <c r="PUF19" s="7"/>
      <c r="PUG19" s="7"/>
      <c r="PUH19" s="7"/>
      <c r="PUI19" s="7"/>
      <c r="PUJ19" s="7"/>
      <c r="PUK19" s="7"/>
      <c r="PUL19" s="7"/>
      <c r="PUM19" s="7"/>
      <c r="PUN19" s="7"/>
      <c r="PUO19" s="7"/>
      <c r="PUP19" s="7"/>
      <c r="PUQ19" s="7"/>
      <c r="PUR19" s="7"/>
      <c r="PUS19" s="7"/>
      <c r="PUT19" s="7"/>
      <c r="PUU19" s="7"/>
      <c r="PUV19" s="7"/>
      <c r="PUW19" s="7"/>
      <c r="PUX19" s="7"/>
      <c r="PUY19" s="7"/>
      <c r="PUZ19" s="7"/>
      <c r="PVA19" s="7"/>
      <c r="PVB19" s="7"/>
      <c r="PVC19" s="7"/>
      <c r="PVD19" s="7"/>
      <c r="PVE19" s="7"/>
      <c r="PVF19" s="7"/>
      <c r="PVG19" s="7"/>
      <c r="PVH19" s="7"/>
      <c r="PVI19" s="7"/>
      <c r="PVJ19" s="7"/>
      <c r="PVK19" s="7"/>
      <c r="PVL19" s="7"/>
      <c r="PVM19" s="7"/>
      <c r="PVN19" s="7"/>
      <c r="PVO19" s="7"/>
      <c r="PVP19" s="7"/>
      <c r="PVQ19" s="7"/>
      <c r="PVR19" s="7"/>
      <c r="PVS19" s="7"/>
      <c r="PVT19" s="7"/>
      <c r="PVU19" s="7"/>
      <c r="PVV19" s="7"/>
      <c r="PVW19" s="7"/>
      <c r="PVX19" s="7"/>
      <c r="PVY19" s="7"/>
      <c r="PVZ19" s="7"/>
      <c r="PWA19" s="7"/>
      <c r="PWB19" s="7"/>
      <c r="PWC19" s="7"/>
      <c r="PWD19" s="7"/>
      <c r="PWE19" s="7"/>
      <c r="PWF19" s="7"/>
      <c r="PWG19" s="7"/>
      <c r="PWH19" s="7"/>
      <c r="PWI19" s="7"/>
      <c r="PWJ19" s="7"/>
      <c r="PWK19" s="7"/>
      <c r="PWL19" s="7"/>
      <c r="PWM19" s="7"/>
      <c r="PWN19" s="7"/>
      <c r="PWO19" s="7"/>
      <c r="PWP19" s="7"/>
      <c r="PWQ19" s="7"/>
      <c r="PWR19" s="7"/>
      <c r="PWS19" s="7"/>
      <c r="PWT19" s="7"/>
      <c r="PWU19" s="7"/>
      <c r="PWV19" s="7"/>
      <c r="PWW19" s="7"/>
      <c r="PWX19" s="7"/>
      <c r="PWY19" s="7"/>
      <c r="PWZ19" s="7"/>
      <c r="PXA19" s="7"/>
      <c r="PXB19" s="7"/>
      <c r="PXC19" s="7"/>
      <c r="PXD19" s="7"/>
      <c r="PXE19" s="7"/>
      <c r="PXF19" s="7"/>
      <c r="PXG19" s="7"/>
      <c r="PXH19" s="7"/>
      <c r="PXI19" s="7"/>
      <c r="PXJ19" s="7"/>
      <c r="PXK19" s="7"/>
      <c r="PXL19" s="7"/>
      <c r="PXM19" s="7"/>
      <c r="PXN19" s="7"/>
      <c r="PXO19" s="7"/>
      <c r="PXP19" s="7"/>
      <c r="PXQ19" s="7"/>
      <c r="PXR19" s="7"/>
      <c r="PXS19" s="7"/>
      <c r="PXT19" s="7"/>
      <c r="PXU19" s="7"/>
      <c r="PXV19" s="7"/>
      <c r="PXW19" s="7"/>
      <c r="PXX19" s="7"/>
      <c r="PXY19" s="7"/>
      <c r="PXZ19" s="7"/>
      <c r="PYA19" s="7"/>
      <c r="PYB19" s="7"/>
      <c r="PYC19" s="7"/>
      <c r="PYD19" s="7"/>
      <c r="PYE19" s="7"/>
      <c r="PYF19" s="7"/>
      <c r="PYG19" s="7"/>
      <c r="PYH19" s="7"/>
      <c r="PYI19" s="7"/>
      <c r="PYJ19" s="7"/>
      <c r="PYK19" s="7"/>
      <c r="PYL19" s="7"/>
      <c r="PYM19" s="7"/>
      <c r="PYN19" s="7"/>
      <c r="PYO19" s="7"/>
      <c r="PYP19" s="7"/>
      <c r="PYQ19" s="7"/>
      <c r="PYR19" s="7"/>
      <c r="PYS19" s="7"/>
      <c r="PYT19" s="7"/>
      <c r="PYU19" s="7"/>
      <c r="PYV19" s="7"/>
      <c r="PYW19" s="7"/>
      <c r="PYX19" s="7"/>
      <c r="PYY19" s="7"/>
      <c r="PYZ19" s="7"/>
      <c r="PZA19" s="7"/>
      <c r="PZB19" s="7"/>
      <c r="PZC19" s="7"/>
      <c r="PZD19" s="7"/>
      <c r="PZE19" s="7"/>
      <c r="PZF19" s="7"/>
      <c r="PZG19" s="7"/>
      <c r="PZH19" s="7"/>
      <c r="PZI19" s="7"/>
      <c r="PZJ19" s="7"/>
      <c r="PZK19" s="7"/>
      <c r="PZL19" s="7"/>
      <c r="PZM19" s="7"/>
      <c r="PZN19" s="7"/>
      <c r="PZO19" s="7"/>
      <c r="PZP19" s="7"/>
      <c r="PZQ19" s="7"/>
      <c r="PZR19" s="7"/>
      <c r="PZS19" s="7"/>
      <c r="PZT19" s="7"/>
      <c r="PZU19" s="7"/>
      <c r="PZV19" s="7"/>
      <c r="PZW19" s="7"/>
      <c r="PZX19" s="7"/>
      <c r="PZY19" s="7"/>
      <c r="PZZ19" s="7"/>
      <c r="QAA19" s="7"/>
      <c r="QAB19" s="7"/>
      <c r="QAC19" s="7"/>
      <c r="QAD19" s="7"/>
      <c r="QAE19" s="7"/>
      <c r="QAF19" s="7"/>
      <c r="QAG19" s="7"/>
      <c r="QAH19" s="7"/>
      <c r="QAI19" s="7"/>
      <c r="QAJ19" s="7"/>
      <c r="QAK19" s="7"/>
      <c r="QAL19" s="7"/>
      <c r="QAM19" s="7"/>
      <c r="QAN19" s="7"/>
      <c r="QAO19" s="7"/>
      <c r="QAP19" s="7"/>
      <c r="QAQ19" s="7"/>
      <c r="QAR19" s="7"/>
      <c r="QAS19" s="7"/>
      <c r="QAT19" s="7"/>
      <c r="QAU19" s="7"/>
      <c r="QAV19" s="7"/>
      <c r="QAW19" s="7"/>
      <c r="QAX19" s="7"/>
      <c r="QAY19" s="7"/>
      <c r="QAZ19" s="7"/>
      <c r="QBA19" s="7"/>
      <c r="QBB19" s="7"/>
      <c r="QBC19" s="7"/>
      <c r="QBD19" s="7"/>
      <c r="QBE19" s="7"/>
      <c r="QBF19" s="7"/>
      <c r="QBG19" s="7"/>
      <c r="QBH19" s="7"/>
      <c r="QBI19" s="7"/>
      <c r="QBJ19" s="7"/>
      <c r="QBK19" s="7"/>
      <c r="QBL19" s="7"/>
      <c r="QBM19" s="7"/>
      <c r="QBN19" s="7"/>
      <c r="QBO19" s="7"/>
      <c r="QBP19" s="7"/>
      <c r="QBQ19" s="7"/>
      <c r="QBR19" s="7"/>
      <c r="QBS19" s="7"/>
      <c r="QBT19" s="7"/>
      <c r="QBU19" s="7"/>
      <c r="QBV19" s="7"/>
      <c r="QBW19" s="7"/>
      <c r="QBX19" s="7"/>
      <c r="QBY19" s="7"/>
      <c r="QBZ19" s="7"/>
      <c r="QCA19" s="7"/>
      <c r="QCB19" s="7"/>
      <c r="QCC19" s="7"/>
      <c r="QCD19" s="7"/>
      <c r="QCE19" s="7"/>
      <c r="QCF19" s="7"/>
      <c r="QCG19" s="7"/>
      <c r="QCH19" s="7"/>
      <c r="QCI19" s="7"/>
      <c r="QCJ19" s="7"/>
      <c r="QCK19" s="7"/>
      <c r="QCL19" s="7"/>
      <c r="QCM19" s="7"/>
      <c r="QCN19" s="7"/>
      <c r="QCO19" s="7"/>
      <c r="QCP19" s="7"/>
      <c r="QCQ19" s="7"/>
      <c r="QCR19" s="7"/>
      <c r="QCS19" s="7"/>
      <c r="QCT19" s="7"/>
      <c r="QCU19" s="7"/>
      <c r="QCV19" s="7"/>
      <c r="QCW19" s="7"/>
      <c r="QCX19" s="7"/>
      <c r="QCY19" s="7"/>
      <c r="QCZ19" s="7"/>
      <c r="QDA19" s="7"/>
      <c r="QDB19" s="7"/>
      <c r="QDC19" s="7"/>
      <c r="QDD19" s="7"/>
      <c r="QDE19" s="7"/>
      <c r="QDF19" s="7"/>
      <c r="QDG19" s="7"/>
      <c r="QDH19" s="7"/>
      <c r="QDI19" s="7"/>
      <c r="QDJ19" s="7"/>
      <c r="QDK19" s="7"/>
      <c r="QDL19" s="7"/>
      <c r="QDM19" s="7"/>
      <c r="QDN19" s="7"/>
      <c r="QDO19" s="7"/>
      <c r="QDP19" s="7"/>
      <c r="QDQ19" s="7"/>
      <c r="QDR19" s="7"/>
      <c r="QDS19" s="7"/>
      <c r="QDT19" s="7"/>
      <c r="QDU19" s="7"/>
      <c r="QDV19" s="7"/>
      <c r="QDW19" s="7"/>
      <c r="QDX19" s="7"/>
      <c r="QDY19" s="7"/>
      <c r="QDZ19" s="7"/>
      <c r="QEA19" s="7"/>
      <c r="QEB19" s="7"/>
      <c r="QEC19" s="7"/>
      <c r="QED19" s="7"/>
      <c r="QEE19" s="7"/>
      <c r="QEF19" s="7"/>
      <c r="QEG19" s="7"/>
      <c r="QEH19" s="7"/>
      <c r="QEI19" s="7"/>
      <c r="QEJ19" s="7"/>
      <c r="QEK19" s="7"/>
      <c r="QEL19" s="7"/>
      <c r="QEM19" s="7"/>
      <c r="QEN19" s="7"/>
      <c r="QEO19" s="7"/>
      <c r="QEP19" s="7"/>
      <c r="QEQ19" s="7"/>
      <c r="QER19" s="7"/>
      <c r="QES19" s="7"/>
      <c r="QET19" s="7"/>
      <c r="QEU19" s="7"/>
      <c r="QEV19" s="7"/>
      <c r="QEW19" s="7"/>
      <c r="QEX19" s="7"/>
      <c r="QEY19" s="7"/>
      <c r="QEZ19" s="7"/>
      <c r="QFA19" s="7"/>
      <c r="QFB19" s="7"/>
      <c r="QFC19" s="7"/>
      <c r="QFD19" s="7"/>
      <c r="QFE19" s="7"/>
      <c r="QFF19" s="7"/>
      <c r="QFG19" s="7"/>
      <c r="QFH19" s="7"/>
      <c r="QFI19" s="7"/>
      <c r="QFJ19" s="7"/>
      <c r="QFK19" s="7"/>
      <c r="QFL19" s="7"/>
      <c r="QFM19" s="7"/>
      <c r="QFN19" s="7"/>
      <c r="QFO19" s="7"/>
      <c r="QFP19" s="7"/>
      <c r="QFQ19" s="7"/>
      <c r="QFR19" s="7"/>
      <c r="QFS19" s="7"/>
      <c r="QFT19" s="7"/>
      <c r="QFU19" s="7"/>
      <c r="QFV19" s="7"/>
      <c r="QFW19" s="7"/>
      <c r="QFX19" s="7"/>
      <c r="QFY19" s="7"/>
      <c r="QFZ19" s="7"/>
      <c r="QGA19" s="7"/>
      <c r="QGB19" s="7"/>
      <c r="QGC19" s="7"/>
      <c r="QGD19" s="7"/>
      <c r="QGE19" s="7"/>
      <c r="QGF19" s="7"/>
      <c r="QGG19" s="7"/>
      <c r="QGH19" s="7"/>
      <c r="QGI19" s="7"/>
      <c r="QGJ19" s="7"/>
      <c r="QGK19" s="7"/>
      <c r="QGL19" s="7"/>
      <c r="QGM19" s="7"/>
      <c r="QGN19" s="7"/>
      <c r="QGO19" s="7"/>
      <c r="QGP19" s="7"/>
      <c r="QGQ19" s="7"/>
      <c r="QGR19" s="7"/>
      <c r="QGS19" s="7"/>
      <c r="QGT19" s="7"/>
      <c r="QGU19" s="7"/>
      <c r="QGV19" s="7"/>
      <c r="QGW19" s="7"/>
      <c r="QGX19" s="7"/>
      <c r="QGY19" s="7"/>
      <c r="QGZ19" s="7"/>
      <c r="QHA19" s="7"/>
      <c r="QHB19" s="7"/>
      <c r="QHC19" s="7"/>
      <c r="QHD19" s="7"/>
      <c r="QHE19" s="7"/>
      <c r="QHF19" s="7"/>
      <c r="QHG19" s="7"/>
      <c r="QHH19" s="7"/>
      <c r="QHI19" s="7"/>
      <c r="QHJ19" s="7"/>
      <c r="QHK19" s="7"/>
      <c r="QHL19" s="7"/>
      <c r="QHM19" s="7"/>
      <c r="QHN19" s="7"/>
      <c r="QHO19" s="7"/>
      <c r="QHP19" s="7"/>
      <c r="QHQ19" s="7"/>
      <c r="QHR19" s="7"/>
      <c r="QHS19" s="7"/>
      <c r="QHT19" s="7"/>
      <c r="QHU19" s="7"/>
      <c r="QHV19" s="7"/>
      <c r="QHW19" s="7"/>
      <c r="QHX19" s="7"/>
      <c r="QHY19" s="7"/>
      <c r="QHZ19" s="7"/>
      <c r="QIA19" s="7"/>
      <c r="QIB19" s="7"/>
      <c r="QIC19" s="7"/>
      <c r="QID19" s="7"/>
      <c r="QIE19" s="7"/>
      <c r="QIF19" s="7"/>
      <c r="QIG19" s="7"/>
      <c r="QIH19" s="7"/>
      <c r="QII19" s="7"/>
      <c r="QIJ19" s="7"/>
      <c r="QIK19" s="7"/>
      <c r="QIL19" s="7"/>
      <c r="QIM19" s="7"/>
      <c r="QIN19" s="7"/>
      <c r="QIO19" s="7"/>
      <c r="QIP19" s="7"/>
      <c r="QIQ19" s="7"/>
      <c r="QIR19" s="7"/>
      <c r="QIS19" s="7"/>
      <c r="QIT19" s="7"/>
      <c r="QIU19" s="7"/>
      <c r="QIV19" s="7"/>
      <c r="QIW19" s="7"/>
      <c r="QIX19" s="7"/>
      <c r="QIY19" s="7"/>
      <c r="QIZ19" s="7"/>
      <c r="QJA19" s="7"/>
      <c r="QJB19" s="7"/>
      <c r="QJC19" s="7"/>
      <c r="QJD19" s="7"/>
      <c r="QJE19" s="7"/>
      <c r="QJF19" s="7"/>
      <c r="QJG19" s="7"/>
      <c r="QJH19" s="7"/>
      <c r="QJI19" s="7"/>
      <c r="QJJ19" s="7"/>
      <c r="QJK19" s="7"/>
      <c r="QJL19" s="7"/>
      <c r="QJM19" s="7"/>
      <c r="QJN19" s="7"/>
      <c r="QJO19" s="7"/>
      <c r="QJP19" s="7"/>
      <c r="QJQ19" s="7"/>
      <c r="QJR19" s="7"/>
      <c r="QJS19" s="7"/>
      <c r="QJT19" s="7"/>
      <c r="QJU19" s="7"/>
      <c r="QJV19" s="7"/>
      <c r="QJW19" s="7"/>
      <c r="QJX19" s="7"/>
      <c r="QJY19" s="7"/>
      <c r="QJZ19" s="7"/>
      <c r="QKA19" s="7"/>
      <c r="QKB19" s="7"/>
      <c r="QKC19" s="7"/>
      <c r="QKD19" s="7"/>
      <c r="QKE19" s="7"/>
      <c r="QKF19" s="7"/>
      <c r="QKG19" s="7"/>
      <c r="QKH19" s="7"/>
      <c r="QKI19" s="7"/>
      <c r="QKJ19" s="7"/>
      <c r="QKK19" s="7"/>
      <c r="QKL19" s="7"/>
      <c r="QKM19" s="7"/>
      <c r="QKN19" s="7"/>
      <c r="QKO19" s="7"/>
      <c r="QKP19" s="7"/>
      <c r="QKQ19" s="7"/>
      <c r="QKR19" s="7"/>
      <c r="QKS19" s="7"/>
      <c r="QKT19" s="7"/>
      <c r="QKU19" s="7"/>
      <c r="QKV19" s="7"/>
      <c r="QKW19" s="7"/>
      <c r="QKX19" s="7"/>
      <c r="QKY19" s="7"/>
      <c r="QKZ19" s="7"/>
      <c r="QLA19" s="7"/>
      <c r="QLB19" s="7"/>
      <c r="QLC19" s="7"/>
      <c r="QLD19" s="7"/>
      <c r="QLE19" s="7"/>
      <c r="QLF19" s="7"/>
      <c r="QLG19" s="7"/>
      <c r="QLH19" s="7"/>
      <c r="QLI19" s="7"/>
      <c r="QLJ19" s="7"/>
      <c r="QLK19" s="7"/>
      <c r="QLL19" s="7"/>
      <c r="QLM19" s="7"/>
      <c r="QLN19" s="7"/>
      <c r="QLO19" s="7"/>
      <c r="QLP19" s="7"/>
      <c r="QLQ19" s="7"/>
      <c r="QLR19" s="7"/>
      <c r="QLS19" s="7"/>
      <c r="QLT19" s="7"/>
      <c r="QLU19" s="7"/>
      <c r="QLV19" s="7"/>
      <c r="QLW19" s="7"/>
      <c r="QLX19" s="7"/>
      <c r="QLY19" s="7"/>
      <c r="QLZ19" s="7"/>
      <c r="QMA19" s="7"/>
      <c r="QMB19" s="7"/>
      <c r="QMC19" s="7"/>
      <c r="QMD19" s="7"/>
      <c r="QME19" s="7"/>
      <c r="QMF19" s="7"/>
      <c r="QMG19" s="7"/>
      <c r="QMH19" s="7"/>
      <c r="QMI19" s="7"/>
      <c r="QMJ19" s="7"/>
      <c r="QMK19" s="7"/>
      <c r="QML19" s="7"/>
      <c r="QMM19" s="7"/>
      <c r="QMN19" s="7"/>
      <c r="QMO19" s="7"/>
      <c r="QMP19" s="7"/>
      <c r="QMQ19" s="7"/>
      <c r="QMR19" s="7"/>
      <c r="QMS19" s="7"/>
      <c r="QMT19" s="7"/>
      <c r="QMU19" s="7"/>
      <c r="QMV19" s="7"/>
      <c r="QMW19" s="7"/>
      <c r="QMX19" s="7"/>
      <c r="QMY19" s="7"/>
      <c r="QMZ19" s="7"/>
      <c r="QNA19" s="7"/>
      <c r="QNB19" s="7"/>
      <c r="QNC19" s="7"/>
      <c r="QND19" s="7"/>
      <c r="QNE19" s="7"/>
      <c r="QNF19" s="7"/>
      <c r="QNG19" s="7"/>
      <c r="QNH19" s="7"/>
      <c r="QNI19" s="7"/>
      <c r="QNJ19" s="7"/>
      <c r="QNK19" s="7"/>
      <c r="QNL19" s="7"/>
      <c r="QNM19" s="7"/>
      <c r="QNN19" s="7"/>
      <c r="QNO19" s="7"/>
      <c r="QNP19" s="7"/>
      <c r="QNQ19" s="7"/>
      <c r="QNR19" s="7"/>
      <c r="QNS19" s="7"/>
      <c r="QNT19" s="7"/>
      <c r="QNU19" s="7"/>
      <c r="QNV19" s="7"/>
      <c r="QNW19" s="7"/>
      <c r="QNX19" s="7"/>
      <c r="QNY19" s="7"/>
      <c r="QNZ19" s="7"/>
      <c r="QOA19" s="7"/>
      <c r="QOB19" s="7"/>
      <c r="QOC19" s="7"/>
      <c r="QOD19" s="7"/>
      <c r="QOE19" s="7"/>
      <c r="QOF19" s="7"/>
      <c r="QOG19" s="7"/>
      <c r="QOH19" s="7"/>
      <c r="QOI19" s="7"/>
      <c r="QOJ19" s="7"/>
      <c r="QOK19" s="7"/>
      <c r="QOL19" s="7"/>
      <c r="QOM19" s="7"/>
      <c r="QON19" s="7"/>
      <c r="QOO19" s="7"/>
      <c r="QOP19" s="7"/>
      <c r="QOQ19" s="7"/>
      <c r="QOR19" s="7"/>
      <c r="QOS19" s="7"/>
      <c r="QOT19" s="7"/>
      <c r="QOU19" s="7"/>
      <c r="QOV19" s="7"/>
      <c r="QOW19" s="7"/>
      <c r="QOX19" s="7"/>
      <c r="QOY19" s="7"/>
      <c r="QOZ19" s="7"/>
      <c r="QPA19" s="7"/>
      <c r="QPB19" s="7"/>
      <c r="QPC19" s="7"/>
      <c r="QPD19" s="7"/>
      <c r="QPE19" s="7"/>
      <c r="QPF19" s="7"/>
      <c r="QPG19" s="7"/>
      <c r="QPH19" s="7"/>
      <c r="QPI19" s="7"/>
      <c r="QPJ19" s="7"/>
      <c r="QPK19" s="7"/>
      <c r="QPL19" s="7"/>
      <c r="QPM19" s="7"/>
      <c r="QPN19" s="7"/>
      <c r="QPO19" s="7"/>
      <c r="QPP19" s="7"/>
      <c r="QPQ19" s="7"/>
      <c r="QPR19" s="7"/>
      <c r="QPS19" s="7"/>
      <c r="QPT19" s="7"/>
      <c r="QPU19" s="7"/>
      <c r="QPV19" s="7"/>
      <c r="QPW19" s="7"/>
      <c r="QPX19" s="7"/>
      <c r="QPY19" s="7"/>
      <c r="QPZ19" s="7"/>
      <c r="QQA19" s="7"/>
      <c r="QQB19" s="7"/>
      <c r="QQC19" s="7"/>
      <c r="QQD19" s="7"/>
      <c r="QQE19" s="7"/>
      <c r="QQF19" s="7"/>
      <c r="QQG19" s="7"/>
      <c r="QQH19" s="7"/>
      <c r="QQI19" s="7"/>
      <c r="QQJ19" s="7"/>
      <c r="QQK19" s="7"/>
      <c r="QQL19" s="7"/>
      <c r="QQM19" s="7"/>
      <c r="QQN19" s="7"/>
      <c r="QQO19" s="7"/>
      <c r="QQP19" s="7"/>
      <c r="QQQ19" s="7"/>
      <c r="QQR19" s="7"/>
      <c r="QQS19" s="7"/>
      <c r="QQT19" s="7"/>
      <c r="QQU19" s="7"/>
      <c r="QQV19" s="7"/>
      <c r="QQW19" s="7"/>
      <c r="QQX19" s="7"/>
      <c r="QQY19" s="7"/>
      <c r="QQZ19" s="7"/>
      <c r="QRA19" s="7"/>
      <c r="QRB19" s="7"/>
      <c r="QRC19" s="7"/>
      <c r="QRD19" s="7"/>
      <c r="QRE19" s="7"/>
      <c r="QRF19" s="7"/>
      <c r="QRG19" s="7"/>
      <c r="QRH19" s="7"/>
      <c r="QRI19" s="7"/>
      <c r="QRJ19" s="7"/>
      <c r="QRK19" s="7"/>
      <c r="QRL19" s="7"/>
      <c r="QRM19" s="7"/>
      <c r="QRN19" s="7"/>
      <c r="QRO19" s="7"/>
      <c r="QRP19" s="7"/>
      <c r="QRQ19" s="7"/>
      <c r="QRR19" s="7"/>
      <c r="QRS19" s="7"/>
      <c r="QRT19" s="7"/>
      <c r="QRU19" s="7"/>
      <c r="QRV19" s="7"/>
      <c r="QRW19" s="7"/>
      <c r="QRX19" s="7"/>
      <c r="QRY19" s="7"/>
      <c r="QRZ19" s="7"/>
      <c r="QSA19" s="7"/>
      <c r="QSB19" s="7"/>
      <c r="QSC19" s="7"/>
      <c r="QSD19" s="7"/>
      <c r="QSE19" s="7"/>
      <c r="QSF19" s="7"/>
      <c r="QSG19" s="7"/>
      <c r="QSH19" s="7"/>
      <c r="QSI19" s="7"/>
      <c r="QSJ19" s="7"/>
      <c r="QSK19" s="7"/>
      <c r="QSL19" s="7"/>
      <c r="QSM19" s="7"/>
      <c r="QSN19" s="7"/>
      <c r="QSO19" s="7"/>
      <c r="QSP19" s="7"/>
      <c r="QSQ19" s="7"/>
      <c r="QSR19" s="7"/>
      <c r="QSS19" s="7"/>
      <c r="QST19" s="7"/>
      <c r="QSU19" s="7"/>
      <c r="QSV19" s="7"/>
      <c r="QSW19" s="7"/>
      <c r="QSX19" s="7"/>
      <c r="QSY19" s="7"/>
      <c r="QSZ19" s="7"/>
      <c r="QTA19" s="7"/>
      <c r="QTB19" s="7"/>
      <c r="QTC19" s="7"/>
      <c r="QTD19" s="7"/>
      <c r="QTE19" s="7"/>
      <c r="QTF19" s="7"/>
      <c r="QTG19" s="7"/>
      <c r="QTH19" s="7"/>
      <c r="QTI19" s="7"/>
      <c r="QTJ19" s="7"/>
      <c r="QTK19" s="7"/>
      <c r="QTL19" s="7"/>
      <c r="QTM19" s="7"/>
      <c r="QTN19" s="7"/>
      <c r="QTO19" s="7"/>
      <c r="QTP19" s="7"/>
      <c r="QTQ19" s="7"/>
      <c r="QTR19" s="7"/>
      <c r="QTS19" s="7"/>
      <c r="QTT19" s="7"/>
      <c r="QTU19" s="7"/>
      <c r="QTV19" s="7"/>
      <c r="QTW19" s="7"/>
      <c r="QTX19" s="7"/>
      <c r="QTY19" s="7"/>
      <c r="QTZ19" s="7"/>
      <c r="QUA19" s="7"/>
      <c r="QUB19" s="7"/>
      <c r="QUC19" s="7"/>
      <c r="QUD19" s="7"/>
      <c r="QUE19" s="7"/>
      <c r="QUF19" s="7"/>
      <c r="QUG19" s="7"/>
      <c r="QUH19" s="7"/>
      <c r="QUI19" s="7"/>
      <c r="QUJ19" s="7"/>
      <c r="QUK19" s="7"/>
      <c r="QUL19" s="7"/>
      <c r="QUM19" s="7"/>
      <c r="QUN19" s="7"/>
      <c r="QUO19" s="7"/>
      <c r="QUP19" s="7"/>
      <c r="QUQ19" s="7"/>
      <c r="QUR19" s="7"/>
      <c r="QUS19" s="7"/>
      <c r="QUT19" s="7"/>
      <c r="QUU19" s="7"/>
      <c r="QUV19" s="7"/>
      <c r="QUW19" s="7"/>
      <c r="QUX19" s="7"/>
      <c r="QUY19" s="7"/>
      <c r="QUZ19" s="7"/>
      <c r="QVA19" s="7"/>
      <c r="QVB19" s="7"/>
      <c r="QVC19" s="7"/>
      <c r="QVD19" s="7"/>
      <c r="QVE19" s="7"/>
      <c r="QVF19" s="7"/>
      <c r="QVG19" s="7"/>
      <c r="QVH19" s="7"/>
      <c r="QVI19" s="7"/>
      <c r="QVJ19" s="7"/>
      <c r="QVK19" s="7"/>
      <c r="QVL19" s="7"/>
      <c r="QVM19" s="7"/>
      <c r="QVN19" s="7"/>
      <c r="QVO19" s="7"/>
      <c r="QVP19" s="7"/>
      <c r="QVQ19" s="7"/>
      <c r="QVR19" s="7"/>
      <c r="QVS19" s="7"/>
      <c r="QVT19" s="7"/>
      <c r="QVU19" s="7"/>
      <c r="QVV19" s="7"/>
      <c r="QVW19" s="7"/>
      <c r="QVX19" s="7"/>
      <c r="QVY19" s="7"/>
      <c r="QVZ19" s="7"/>
      <c r="QWA19" s="7"/>
      <c r="QWB19" s="7"/>
      <c r="QWC19" s="7"/>
      <c r="QWD19" s="7"/>
      <c r="QWE19" s="7"/>
      <c r="QWF19" s="7"/>
      <c r="QWG19" s="7"/>
      <c r="QWH19" s="7"/>
      <c r="QWI19" s="7"/>
      <c r="QWJ19" s="7"/>
      <c r="QWK19" s="7"/>
      <c r="QWL19" s="7"/>
      <c r="QWM19" s="7"/>
      <c r="QWN19" s="7"/>
      <c r="QWO19" s="7"/>
      <c r="QWP19" s="7"/>
      <c r="QWQ19" s="7"/>
      <c r="QWR19" s="7"/>
      <c r="QWS19" s="7"/>
      <c r="QWT19" s="7"/>
      <c r="QWU19" s="7"/>
      <c r="QWV19" s="7"/>
      <c r="QWW19" s="7"/>
      <c r="QWX19" s="7"/>
      <c r="QWY19" s="7"/>
      <c r="QWZ19" s="7"/>
      <c r="QXA19" s="7"/>
      <c r="QXB19" s="7"/>
      <c r="QXC19" s="7"/>
      <c r="QXD19" s="7"/>
      <c r="QXE19" s="7"/>
      <c r="QXF19" s="7"/>
      <c r="QXG19" s="7"/>
      <c r="QXH19" s="7"/>
      <c r="QXI19" s="7"/>
      <c r="QXJ19" s="7"/>
      <c r="QXK19" s="7"/>
      <c r="QXL19" s="7"/>
      <c r="QXM19" s="7"/>
      <c r="QXN19" s="7"/>
      <c r="QXO19" s="7"/>
      <c r="QXP19" s="7"/>
      <c r="QXQ19" s="7"/>
      <c r="QXR19" s="7"/>
      <c r="QXS19" s="7"/>
      <c r="QXT19" s="7"/>
      <c r="QXU19" s="7"/>
      <c r="QXV19" s="7"/>
      <c r="QXW19" s="7"/>
      <c r="QXX19" s="7"/>
      <c r="QXY19" s="7"/>
      <c r="QXZ19" s="7"/>
      <c r="QYA19" s="7"/>
      <c r="QYB19" s="7"/>
      <c r="QYC19" s="7"/>
      <c r="QYD19" s="7"/>
      <c r="QYE19" s="7"/>
      <c r="QYF19" s="7"/>
      <c r="QYG19" s="7"/>
      <c r="QYH19" s="7"/>
      <c r="QYI19" s="7"/>
      <c r="QYJ19" s="7"/>
      <c r="QYK19" s="7"/>
      <c r="QYL19" s="7"/>
      <c r="QYM19" s="7"/>
      <c r="QYN19" s="7"/>
      <c r="QYO19" s="7"/>
      <c r="QYP19" s="7"/>
      <c r="QYQ19" s="7"/>
      <c r="QYR19" s="7"/>
      <c r="QYS19" s="7"/>
      <c r="QYT19" s="7"/>
      <c r="QYU19" s="7"/>
      <c r="QYV19" s="7"/>
      <c r="QYW19" s="7"/>
      <c r="QYX19" s="7"/>
      <c r="QYY19" s="7"/>
      <c r="QYZ19" s="7"/>
      <c r="QZA19" s="7"/>
      <c r="QZB19" s="7"/>
      <c r="QZC19" s="7"/>
      <c r="QZD19" s="7"/>
      <c r="QZE19" s="7"/>
      <c r="QZF19" s="7"/>
      <c r="QZG19" s="7"/>
      <c r="QZH19" s="7"/>
      <c r="QZI19" s="7"/>
      <c r="QZJ19" s="7"/>
      <c r="QZK19" s="7"/>
      <c r="QZL19" s="7"/>
      <c r="QZM19" s="7"/>
      <c r="QZN19" s="7"/>
      <c r="QZO19" s="7"/>
      <c r="QZP19" s="7"/>
      <c r="QZQ19" s="7"/>
      <c r="QZR19" s="7"/>
      <c r="QZS19" s="7"/>
      <c r="QZT19" s="7"/>
      <c r="QZU19" s="7"/>
      <c r="QZV19" s="7"/>
      <c r="QZW19" s="7"/>
      <c r="QZX19" s="7"/>
      <c r="QZY19" s="7"/>
      <c r="QZZ19" s="7"/>
      <c r="RAA19" s="7"/>
      <c r="RAB19" s="7"/>
      <c r="RAC19" s="7"/>
      <c r="RAD19" s="7"/>
      <c r="RAE19" s="7"/>
      <c r="RAF19" s="7"/>
      <c r="RAG19" s="7"/>
      <c r="RAH19" s="7"/>
      <c r="RAI19" s="7"/>
      <c r="RAJ19" s="7"/>
      <c r="RAK19" s="7"/>
      <c r="RAL19" s="7"/>
      <c r="RAM19" s="7"/>
      <c r="RAN19" s="7"/>
      <c r="RAO19" s="7"/>
      <c r="RAP19" s="7"/>
      <c r="RAQ19" s="7"/>
      <c r="RAR19" s="7"/>
      <c r="RAS19" s="7"/>
      <c r="RAT19" s="7"/>
      <c r="RAU19" s="7"/>
      <c r="RAV19" s="7"/>
      <c r="RAW19" s="7"/>
      <c r="RAX19" s="7"/>
      <c r="RAY19" s="7"/>
      <c r="RAZ19" s="7"/>
      <c r="RBA19" s="7"/>
      <c r="RBB19" s="7"/>
      <c r="RBC19" s="7"/>
      <c r="RBD19" s="7"/>
      <c r="RBE19" s="7"/>
      <c r="RBF19" s="7"/>
      <c r="RBG19" s="7"/>
      <c r="RBH19" s="7"/>
      <c r="RBI19" s="7"/>
      <c r="RBJ19" s="7"/>
      <c r="RBK19" s="7"/>
      <c r="RBL19" s="7"/>
      <c r="RBM19" s="7"/>
      <c r="RBN19" s="7"/>
      <c r="RBO19" s="7"/>
      <c r="RBP19" s="7"/>
      <c r="RBQ19" s="7"/>
      <c r="RBR19" s="7"/>
      <c r="RBS19" s="7"/>
      <c r="RBT19" s="7"/>
      <c r="RBU19" s="7"/>
      <c r="RBV19" s="7"/>
      <c r="RBW19" s="7"/>
      <c r="RBX19" s="7"/>
      <c r="RBY19" s="7"/>
      <c r="RBZ19" s="7"/>
      <c r="RCA19" s="7"/>
      <c r="RCB19" s="7"/>
      <c r="RCC19" s="7"/>
      <c r="RCD19" s="7"/>
      <c r="RCE19" s="7"/>
      <c r="RCF19" s="7"/>
      <c r="RCG19" s="7"/>
      <c r="RCH19" s="7"/>
      <c r="RCI19" s="7"/>
      <c r="RCJ19" s="7"/>
      <c r="RCK19" s="7"/>
      <c r="RCL19" s="7"/>
      <c r="RCM19" s="7"/>
      <c r="RCN19" s="7"/>
      <c r="RCO19" s="7"/>
      <c r="RCP19" s="7"/>
      <c r="RCQ19" s="7"/>
      <c r="RCR19" s="7"/>
      <c r="RCS19" s="7"/>
      <c r="RCT19" s="7"/>
      <c r="RCU19" s="7"/>
      <c r="RCV19" s="7"/>
      <c r="RCW19" s="7"/>
      <c r="RCX19" s="7"/>
      <c r="RCY19" s="7"/>
      <c r="RCZ19" s="7"/>
      <c r="RDA19" s="7"/>
      <c r="RDB19" s="7"/>
      <c r="RDC19" s="7"/>
      <c r="RDD19" s="7"/>
      <c r="RDE19" s="7"/>
      <c r="RDF19" s="7"/>
      <c r="RDG19" s="7"/>
      <c r="RDH19" s="7"/>
      <c r="RDI19" s="7"/>
      <c r="RDJ19" s="7"/>
      <c r="RDK19" s="7"/>
      <c r="RDL19" s="7"/>
      <c r="RDM19" s="7"/>
      <c r="RDN19" s="7"/>
      <c r="RDO19" s="7"/>
      <c r="RDP19" s="7"/>
      <c r="RDQ19" s="7"/>
      <c r="RDR19" s="7"/>
      <c r="RDS19" s="7"/>
      <c r="RDT19" s="7"/>
      <c r="RDU19" s="7"/>
      <c r="RDV19" s="7"/>
      <c r="RDW19" s="7"/>
      <c r="RDX19" s="7"/>
      <c r="RDY19" s="7"/>
      <c r="RDZ19" s="7"/>
      <c r="REA19" s="7"/>
      <c r="REB19" s="7"/>
      <c r="REC19" s="7"/>
      <c r="RED19" s="7"/>
      <c r="REE19" s="7"/>
      <c r="REF19" s="7"/>
      <c r="REG19" s="7"/>
      <c r="REH19" s="7"/>
      <c r="REI19" s="7"/>
      <c r="REJ19" s="7"/>
      <c r="REK19" s="7"/>
      <c r="REL19" s="7"/>
      <c r="REM19" s="7"/>
      <c r="REN19" s="7"/>
      <c r="REO19" s="7"/>
      <c r="REP19" s="7"/>
      <c r="REQ19" s="7"/>
      <c r="RER19" s="7"/>
      <c r="RES19" s="7"/>
      <c r="RET19" s="7"/>
      <c r="REU19" s="7"/>
      <c r="REV19" s="7"/>
      <c r="REW19" s="7"/>
      <c r="REX19" s="7"/>
      <c r="REY19" s="7"/>
      <c r="REZ19" s="7"/>
      <c r="RFA19" s="7"/>
      <c r="RFB19" s="7"/>
      <c r="RFC19" s="7"/>
      <c r="RFD19" s="7"/>
      <c r="RFE19" s="7"/>
      <c r="RFF19" s="7"/>
      <c r="RFG19" s="7"/>
      <c r="RFH19" s="7"/>
      <c r="RFI19" s="7"/>
      <c r="RFJ19" s="7"/>
      <c r="RFK19" s="7"/>
      <c r="RFL19" s="7"/>
      <c r="RFM19" s="7"/>
      <c r="RFN19" s="7"/>
      <c r="RFO19" s="7"/>
      <c r="RFP19" s="7"/>
      <c r="RFQ19" s="7"/>
      <c r="RFR19" s="7"/>
      <c r="RFS19" s="7"/>
      <c r="RFT19" s="7"/>
      <c r="RFU19" s="7"/>
      <c r="RFV19" s="7"/>
      <c r="RFW19" s="7"/>
      <c r="RFX19" s="7"/>
      <c r="RFY19" s="7"/>
      <c r="RFZ19" s="7"/>
      <c r="RGA19" s="7"/>
      <c r="RGB19" s="7"/>
      <c r="RGC19" s="7"/>
      <c r="RGD19" s="7"/>
      <c r="RGE19" s="7"/>
      <c r="RGF19" s="7"/>
      <c r="RGG19" s="7"/>
      <c r="RGH19" s="7"/>
      <c r="RGI19" s="7"/>
      <c r="RGJ19" s="7"/>
      <c r="RGK19" s="7"/>
      <c r="RGL19" s="7"/>
      <c r="RGM19" s="7"/>
      <c r="RGN19" s="7"/>
      <c r="RGO19" s="7"/>
      <c r="RGP19" s="7"/>
      <c r="RGQ19" s="7"/>
      <c r="RGR19" s="7"/>
      <c r="RGS19" s="7"/>
      <c r="RGT19" s="7"/>
      <c r="RGU19" s="7"/>
      <c r="RGV19" s="7"/>
      <c r="RGW19" s="7"/>
      <c r="RGX19" s="7"/>
      <c r="RGY19" s="7"/>
      <c r="RGZ19" s="7"/>
      <c r="RHA19" s="7"/>
      <c r="RHB19" s="7"/>
      <c r="RHC19" s="7"/>
      <c r="RHD19" s="7"/>
      <c r="RHE19" s="7"/>
      <c r="RHF19" s="7"/>
      <c r="RHG19" s="7"/>
      <c r="RHH19" s="7"/>
      <c r="RHI19" s="7"/>
      <c r="RHJ19" s="7"/>
      <c r="RHK19" s="7"/>
      <c r="RHL19" s="7"/>
      <c r="RHM19" s="7"/>
      <c r="RHN19" s="7"/>
      <c r="RHO19" s="7"/>
      <c r="RHP19" s="7"/>
      <c r="RHQ19" s="7"/>
      <c r="RHR19" s="7"/>
      <c r="RHS19" s="7"/>
      <c r="RHT19" s="7"/>
      <c r="RHU19" s="7"/>
      <c r="RHV19" s="7"/>
      <c r="RHW19" s="7"/>
      <c r="RHX19" s="7"/>
      <c r="RHY19" s="7"/>
      <c r="RHZ19" s="7"/>
      <c r="RIA19" s="7"/>
      <c r="RIB19" s="7"/>
      <c r="RIC19" s="7"/>
      <c r="RID19" s="7"/>
      <c r="RIE19" s="7"/>
      <c r="RIF19" s="7"/>
      <c r="RIG19" s="7"/>
      <c r="RIH19" s="7"/>
      <c r="RII19" s="7"/>
      <c r="RIJ19" s="7"/>
      <c r="RIK19" s="7"/>
      <c r="RIL19" s="7"/>
      <c r="RIM19" s="7"/>
      <c r="RIN19" s="7"/>
      <c r="RIO19" s="7"/>
      <c r="RIP19" s="7"/>
      <c r="RIQ19" s="7"/>
      <c r="RIR19" s="7"/>
      <c r="RIS19" s="7"/>
      <c r="RIT19" s="7"/>
      <c r="RIU19" s="7"/>
      <c r="RIV19" s="7"/>
      <c r="RIW19" s="7"/>
      <c r="RIX19" s="7"/>
      <c r="RIY19" s="7"/>
      <c r="RIZ19" s="7"/>
      <c r="RJA19" s="7"/>
      <c r="RJB19" s="7"/>
      <c r="RJC19" s="7"/>
      <c r="RJD19" s="7"/>
      <c r="RJE19" s="7"/>
      <c r="RJF19" s="7"/>
      <c r="RJG19" s="7"/>
      <c r="RJH19" s="7"/>
      <c r="RJI19" s="7"/>
      <c r="RJJ19" s="7"/>
      <c r="RJK19" s="7"/>
      <c r="RJL19" s="7"/>
      <c r="RJM19" s="7"/>
      <c r="RJN19" s="7"/>
      <c r="RJO19" s="7"/>
      <c r="RJP19" s="7"/>
      <c r="RJQ19" s="7"/>
      <c r="RJR19" s="7"/>
      <c r="RJS19" s="7"/>
      <c r="RJT19" s="7"/>
      <c r="RJU19" s="7"/>
      <c r="RJV19" s="7"/>
      <c r="RJW19" s="7"/>
      <c r="RJX19" s="7"/>
      <c r="RJY19" s="7"/>
      <c r="RJZ19" s="7"/>
      <c r="RKA19" s="7"/>
      <c r="RKB19" s="7"/>
      <c r="RKC19" s="7"/>
      <c r="RKD19" s="7"/>
      <c r="RKE19" s="7"/>
      <c r="RKF19" s="7"/>
      <c r="RKG19" s="7"/>
      <c r="RKH19" s="7"/>
      <c r="RKI19" s="7"/>
      <c r="RKJ19" s="7"/>
      <c r="RKK19" s="7"/>
      <c r="RKL19" s="7"/>
      <c r="RKM19" s="7"/>
      <c r="RKN19" s="7"/>
      <c r="RKO19" s="7"/>
      <c r="RKP19" s="7"/>
      <c r="RKQ19" s="7"/>
      <c r="RKR19" s="7"/>
      <c r="RKS19" s="7"/>
      <c r="RKT19" s="7"/>
      <c r="RKU19" s="7"/>
      <c r="RKV19" s="7"/>
      <c r="RKW19" s="7"/>
      <c r="RKX19" s="7"/>
      <c r="RKY19" s="7"/>
      <c r="RKZ19" s="7"/>
      <c r="RLA19" s="7"/>
      <c r="RLB19" s="7"/>
      <c r="RLC19" s="7"/>
      <c r="RLD19" s="7"/>
      <c r="RLE19" s="7"/>
      <c r="RLF19" s="7"/>
      <c r="RLG19" s="7"/>
      <c r="RLH19" s="7"/>
      <c r="RLI19" s="7"/>
      <c r="RLJ19" s="7"/>
      <c r="RLK19" s="7"/>
      <c r="RLL19" s="7"/>
      <c r="RLM19" s="7"/>
      <c r="RLN19" s="7"/>
      <c r="RLO19" s="7"/>
      <c r="RLP19" s="7"/>
      <c r="RLQ19" s="7"/>
      <c r="RLR19" s="7"/>
      <c r="RLS19" s="7"/>
      <c r="RLT19" s="7"/>
      <c r="RLU19" s="7"/>
      <c r="RLV19" s="7"/>
      <c r="RLW19" s="7"/>
      <c r="RLX19" s="7"/>
      <c r="RLY19" s="7"/>
      <c r="RLZ19" s="7"/>
      <c r="RMA19" s="7"/>
      <c r="RMB19" s="7"/>
      <c r="RMC19" s="7"/>
      <c r="RMD19" s="7"/>
      <c r="RME19" s="7"/>
      <c r="RMF19" s="7"/>
      <c r="RMG19" s="7"/>
      <c r="RMH19" s="7"/>
      <c r="RMI19" s="7"/>
      <c r="RMJ19" s="7"/>
      <c r="RMK19" s="7"/>
      <c r="RML19" s="7"/>
      <c r="RMM19" s="7"/>
      <c r="RMN19" s="7"/>
      <c r="RMO19" s="7"/>
      <c r="RMP19" s="7"/>
      <c r="RMQ19" s="7"/>
      <c r="RMR19" s="7"/>
      <c r="RMS19" s="7"/>
      <c r="RMT19" s="7"/>
      <c r="RMU19" s="7"/>
      <c r="RMV19" s="7"/>
      <c r="RMW19" s="7"/>
      <c r="RMX19" s="7"/>
      <c r="RMY19" s="7"/>
      <c r="RMZ19" s="7"/>
      <c r="RNA19" s="7"/>
      <c r="RNB19" s="7"/>
      <c r="RNC19" s="7"/>
      <c r="RND19" s="7"/>
      <c r="RNE19" s="7"/>
      <c r="RNF19" s="7"/>
      <c r="RNG19" s="7"/>
      <c r="RNH19" s="7"/>
      <c r="RNI19" s="7"/>
      <c r="RNJ19" s="7"/>
      <c r="RNK19" s="7"/>
      <c r="RNL19" s="7"/>
      <c r="RNM19" s="7"/>
      <c r="RNN19" s="7"/>
      <c r="RNO19" s="7"/>
      <c r="RNP19" s="7"/>
      <c r="RNQ19" s="7"/>
      <c r="RNR19" s="7"/>
      <c r="RNS19" s="7"/>
      <c r="RNT19" s="7"/>
      <c r="RNU19" s="7"/>
      <c r="RNV19" s="7"/>
      <c r="RNW19" s="7"/>
      <c r="RNX19" s="7"/>
      <c r="RNY19" s="7"/>
      <c r="RNZ19" s="7"/>
      <c r="ROA19" s="7"/>
      <c r="ROB19" s="7"/>
      <c r="ROC19" s="7"/>
      <c r="ROD19" s="7"/>
      <c r="ROE19" s="7"/>
      <c r="ROF19" s="7"/>
      <c r="ROG19" s="7"/>
      <c r="ROH19" s="7"/>
      <c r="ROI19" s="7"/>
      <c r="ROJ19" s="7"/>
      <c r="ROK19" s="7"/>
      <c r="ROL19" s="7"/>
      <c r="ROM19" s="7"/>
      <c r="RON19" s="7"/>
      <c r="ROO19" s="7"/>
      <c r="ROP19" s="7"/>
      <c r="ROQ19" s="7"/>
      <c r="ROR19" s="7"/>
      <c r="ROS19" s="7"/>
      <c r="ROT19" s="7"/>
      <c r="ROU19" s="7"/>
      <c r="ROV19" s="7"/>
      <c r="ROW19" s="7"/>
      <c r="ROX19" s="7"/>
      <c r="ROY19" s="7"/>
      <c r="ROZ19" s="7"/>
      <c r="RPA19" s="7"/>
      <c r="RPB19" s="7"/>
      <c r="RPC19" s="7"/>
      <c r="RPD19" s="7"/>
      <c r="RPE19" s="7"/>
      <c r="RPF19" s="7"/>
      <c r="RPG19" s="7"/>
      <c r="RPH19" s="7"/>
      <c r="RPI19" s="7"/>
      <c r="RPJ19" s="7"/>
      <c r="RPK19" s="7"/>
      <c r="RPL19" s="7"/>
      <c r="RPM19" s="7"/>
      <c r="RPN19" s="7"/>
      <c r="RPO19" s="7"/>
      <c r="RPP19" s="7"/>
      <c r="RPQ19" s="7"/>
      <c r="RPR19" s="7"/>
      <c r="RPS19" s="7"/>
      <c r="RPT19" s="7"/>
      <c r="RPU19" s="7"/>
      <c r="RPV19" s="7"/>
      <c r="RPW19" s="7"/>
      <c r="RPX19" s="7"/>
      <c r="RPY19" s="7"/>
      <c r="RPZ19" s="7"/>
      <c r="RQA19" s="7"/>
      <c r="RQB19" s="7"/>
      <c r="RQC19" s="7"/>
      <c r="RQD19" s="7"/>
      <c r="RQE19" s="7"/>
      <c r="RQF19" s="7"/>
      <c r="RQG19" s="7"/>
      <c r="RQH19" s="7"/>
      <c r="RQI19" s="7"/>
      <c r="RQJ19" s="7"/>
      <c r="RQK19" s="7"/>
      <c r="RQL19" s="7"/>
      <c r="RQM19" s="7"/>
      <c r="RQN19" s="7"/>
      <c r="RQO19" s="7"/>
      <c r="RQP19" s="7"/>
      <c r="RQQ19" s="7"/>
      <c r="RQR19" s="7"/>
      <c r="RQS19" s="7"/>
      <c r="RQT19" s="7"/>
      <c r="RQU19" s="7"/>
      <c r="RQV19" s="7"/>
      <c r="RQW19" s="7"/>
      <c r="RQX19" s="7"/>
      <c r="RQY19" s="7"/>
      <c r="RQZ19" s="7"/>
      <c r="RRA19" s="7"/>
      <c r="RRB19" s="7"/>
      <c r="RRC19" s="7"/>
      <c r="RRD19" s="7"/>
      <c r="RRE19" s="7"/>
      <c r="RRF19" s="7"/>
      <c r="RRG19" s="7"/>
      <c r="RRH19" s="7"/>
      <c r="RRI19" s="7"/>
      <c r="RRJ19" s="7"/>
      <c r="RRK19" s="7"/>
      <c r="RRL19" s="7"/>
      <c r="RRM19" s="7"/>
      <c r="RRN19" s="7"/>
      <c r="RRO19" s="7"/>
      <c r="RRP19" s="7"/>
      <c r="RRQ19" s="7"/>
      <c r="RRR19" s="7"/>
      <c r="RRS19" s="7"/>
      <c r="RRT19" s="7"/>
      <c r="RRU19" s="7"/>
      <c r="RRV19" s="7"/>
      <c r="RRW19" s="7"/>
      <c r="RRX19" s="7"/>
      <c r="RRY19" s="7"/>
      <c r="RRZ19" s="7"/>
      <c r="RSA19" s="7"/>
      <c r="RSB19" s="7"/>
      <c r="RSC19" s="7"/>
      <c r="RSD19" s="7"/>
      <c r="RSE19" s="7"/>
      <c r="RSF19" s="7"/>
      <c r="RSG19" s="7"/>
      <c r="RSH19" s="7"/>
      <c r="RSI19" s="7"/>
      <c r="RSJ19" s="7"/>
      <c r="RSK19" s="7"/>
      <c r="RSL19" s="7"/>
      <c r="RSM19" s="7"/>
      <c r="RSN19" s="7"/>
      <c r="RSO19" s="7"/>
      <c r="RSP19" s="7"/>
      <c r="RSQ19" s="7"/>
      <c r="RSR19" s="7"/>
      <c r="RSS19" s="7"/>
      <c r="RST19" s="7"/>
      <c r="RSU19" s="7"/>
      <c r="RSV19" s="7"/>
      <c r="RSW19" s="7"/>
      <c r="RSX19" s="7"/>
      <c r="RSY19" s="7"/>
      <c r="RSZ19" s="7"/>
      <c r="RTA19" s="7"/>
      <c r="RTB19" s="7"/>
      <c r="RTC19" s="7"/>
      <c r="RTD19" s="7"/>
      <c r="RTE19" s="7"/>
      <c r="RTF19" s="7"/>
      <c r="RTG19" s="7"/>
      <c r="RTH19" s="7"/>
      <c r="RTI19" s="7"/>
      <c r="RTJ19" s="7"/>
      <c r="RTK19" s="7"/>
      <c r="RTL19" s="7"/>
      <c r="RTM19" s="7"/>
      <c r="RTN19" s="7"/>
      <c r="RTO19" s="7"/>
      <c r="RTP19" s="7"/>
      <c r="RTQ19" s="7"/>
      <c r="RTR19" s="7"/>
      <c r="RTS19" s="7"/>
      <c r="RTT19" s="7"/>
      <c r="RTU19" s="7"/>
      <c r="RTV19" s="7"/>
      <c r="RTW19" s="7"/>
      <c r="RTX19" s="7"/>
      <c r="RTY19" s="7"/>
      <c r="RTZ19" s="7"/>
      <c r="RUA19" s="7"/>
      <c r="RUB19" s="7"/>
      <c r="RUC19" s="7"/>
      <c r="RUD19" s="7"/>
      <c r="RUE19" s="7"/>
      <c r="RUF19" s="7"/>
      <c r="RUG19" s="7"/>
      <c r="RUH19" s="7"/>
      <c r="RUI19" s="7"/>
      <c r="RUJ19" s="7"/>
      <c r="RUK19" s="7"/>
      <c r="RUL19" s="7"/>
      <c r="RUM19" s="7"/>
      <c r="RUN19" s="7"/>
      <c r="RUO19" s="7"/>
      <c r="RUP19" s="7"/>
      <c r="RUQ19" s="7"/>
      <c r="RUR19" s="7"/>
      <c r="RUS19" s="7"/>
      <c r="RUT19" s="7"/>
      <c r="RUU19" s="7"/>
      <c r="RUV19" s="7"/>
      <c r="RUW19" s="7"/>
      <c r="RUX19" s="7"/>
      <c r="RUY19" s="7"/>
      <c r="RUZ19" s="7"/>
      <c r="RVA19" s="7"/>
      <c r="RVB19" s="7"/>
      <c r="RVC19" s="7"/>
      <c r="RVD19" s="7"/>
      <c r="RVE19" s="7"/>
      <c r="RVF19" s="7"/>
      <c r="RVG19" s="7"/>
      <c r="RVH19" s="7"/>
      <c r="RVI19" s="7"/>
      <c r="RVJ19" s="7"/>
      <c r="RVK19" s="7"/>
      <c r="RVL19" s="7"/>
      <c r="RVM19" s="7"/>
      <c r="RVN19" s="7"/>
      <c r="RVO19" s="7"/>
      <c r="RVP19" s="7"/>
      <c r="RVQ19" s="7"/>
      <c r="RVR19" s="7"/>
      <c r="RVS19" s="7"/>
      <c r="RVT19" s="7"/>
      <c r="RVU19" s="7"/>
      <c r="RVV19" s="7"/>
      <c r="RVW19" s="7"/>
      <c r="RVX19" s="7"/>
      <c r="RVY19" s="7"/>
      <c r="RVZ19" s="7"/>
      <c r="RWA19" s="7"/>
      <c r="RWB19" s="7"/>
      <c r="RWC19" s="7"/>
      <c r="RWD19" s="7"/>
      <c r="RWE19" s="7"/>
      <c r="RWF19" s="7"/>
      <c r="RWG19" s="7"/>
      <c r="RWH19" s="7"/>
      <c r="RWI19" s="7"/>
      <c r="RWJ19" s="7"/>
      <c r="RWK19" s="7"/>
      <c r="RWL19" s="7"/>
      <c r="RWM19" s="7"/>
      <c r="RWN19" s="7"/>
      <c r="RWO19" s="7"/>
      <c r="RWP19" s="7"/>
      <c r="RWQ19" s="7"/>
      <c r="RWR19" s="7"/>
      <c r="RWS19" s="7"/>
      <c r="RWT19" s="7"/>
      <c r="RWU19" s="7"/>
      <c r="RWV19" s="7"/>
      <c r="RWW19" s="7"/>
      <c r="RWX19" s="7"/>
      <c r="RWY19" s="7"/>
      <c r="RWZ19" s="7"/>
      <c r="RXA19" s="7"/>
      <c r="RXB19" s="7"/>
      <c r="RXC19" s="7"/>
      <c r="RXD19" s="7"/>
      <c r="RXE19" s="7"/>
      <c r="RXF19" s="7"/>
      <c r="RXG19" s="7"/>
      <c r="RXH19" s="7"/>
      <c r="RXI19" s="7"/>
      <c r="RXJ19" s="7"/>
      <c r="RXK19" s="7"/>
      <c r="RXL19" s="7"/>
      <c r="RXM19" s="7"/>
      <c r="RXN19" s="7"/>
      <c r="RXO19" s="7"/>
      <c r="RXP19" s="7"/>
      <c r="RXQ19" s="7"/>
      <c r="RXR19" s="7"/>
      <c r="RXS19" s="7"/>
      <c r="RXT19" s="7"/>
      <c r="RXU19" s="7"/>
      <c r="RXV19" s="7"/>
      <c r="RXW19" s="7"/>
      <c r="RXX19" s="7"/>
      <c r="RXY19" s="7"/>
      <c r="RXZ19" s="7"/>
      <c r="RYA19" s="7"/>
      <c r="RYB19" s="7"/>
      <c r="RYC19" s="7"/>
      <c r="RYD19" s="7"/>
      <c r="RYE19" s="7"/>
      <c r="RYF19" s="7"/>
      <c r="RYG19" s="7"/>
      <c r="RYH19" s="7"/>
      <c r="RYI19" s="7"/>
      <c r="RYJ19" s="7"/>
      <c r="RYK19" s="7"/>
      <c r="RYL19" s="7"/>
      <c r="RYM19" s="7"/>
      <c r="RYN19" s="7"/>
      <c r="RYO19" s="7"/>
      <c r="RYP19" s="7"/>
      <c r="RYQ19" s="7"/>
      <c r="RYR19" s="7"/>
      <c r="RYS19" s="7"/>
      <c r="RYT19" s="7"/>
      <c r="RYU19" s="7"/>
      <c r="RYV19" s="7"/>
      <c r="RYW19" s="7"/>
      <c r="RYX19" s="7"/>
      <c r="RYY19" s="7"/>
      <c r="RYZ19" s="7"/>
      <c r="RZA19" s="7"/>
      <c r="RZB19" s="7"/>
      <c r="RZC19" s="7"/>
      <c r="RZD19" s="7"/>
      <c r="RZE19" s="7"/>
      <c r="RZF19" s="7"/>
      <c r="RZG19" s="7"/>
      <c r="RZH19" s="7"/>
      <c r="RZI19" s="7"/>
      <c r="RZJ19" s="7"/>
      <c r="RZK19" s="7"/>
      <c r="RZL19" s="7"/>
      <c r="RZM19" s="7"/>
      <c r="RZN19" s="7"/>
      <c r="RZO19" s="7"/>
      <c r="RZP19" s="7"/>
      <c r="RZQ19" s="7"/>
      <c r="RZR19" s="7"/>
      <c r="RZS19" s="7"/>
      <c r="RZT19" s="7"/>
      <c r="RZU19" s="7"/>
      <c r="RZV19" s="7"/>
      <c r="RZW19" s="7"/>
      <c r="RZX19" s="7"/>
      <c r="RZY19" s="7"/>
      <c r="RZZ19" s="7"/>
      <c r="SAA19" s="7"/>
      <c r="SAB19" s="7"/>
      <c r="SAC19" s="7"/>
      <c r="SAD19" s="7"/>
      <c r="SAE19" s="7"/>
      <c r="SAF19" s="7"/>
      <c r="SAG19" s="7"/>
      <c r="SAH19" s="7"/>
      <c r="SAI19" s="7"/>
      <c r="SAJ19" s="7"/>
      <c r="SAK19" s="7"/>
      <c r="SAL19" s="7"/>
      <c r="SAM19" s="7"/>
      <c r="SAN19" s="7"/>
      <c r="SAO19" s="7"/>
      <c r="SAP19" s="7"/>
      <c r="SAQ19" s="7"/>
      <c r="SAR19" s="7"/>
      <c r="SAS19" s="7"/>
      <c r="SAT19" s="7"/>
      <c r="SAU19" s="7"/>
      <c r="SAV19" s="7"/>
      <c r="SAW19" s="7"/>
      <c r="SAX19" s="7"/>
      <c r="SAY19" s="7"/>
      <c r="SAZ19" s="7"/>
      <c r="SBA19" s="7"/>
      <c r="SBB19" s="7"/>
      <c r="SBC19" s="7"/>
      <c r="SBD19" s="7"/>
      <c r="SBE19" s="7"/>
      <c r="SBF19" s="7"/>
      <c r="SBG19" s="7"/>
      <c r="SBH19" s="7"/>
      <c r="SBI19" s="7"/>
      <c r="SBJ19" s="7"/>
      <c r="SBK19" s="7"/>
      <c r="SBL19" s="7"/>
      <c r="SBM19" s="7"/>
      <c r="SBN19" s="7"/>
      <c r="SBO19" s="7"/>
      <c r="SBP19" s="7"/>
      <c r="SBQ19" s="7"/>
      <c r="SBR19" s="7"/>
      <c r="SBS19" s="7"/>
      <c r="SBT19" s="7"/>
      <c r="SBU19" s="7"/>
      <c r="SBV19" s="7"/>
      <c r="SBW19" s="7"/>
      <c r="SBX19" s="7"/>
      <c r="SBY19" s="7"/>
      <c r="SBZ19" s="7"/>
      <c r="SCA19" s="7"/>
      <c r="SCB19" s="7"/>
      <c r="SCC19" s="7"/>
      <c r="SCD19" s="7"/>
      <c r="SCE19" s="7"/>
      <c r="SCF19" s="7"/>
      <c r="SCG19" s="7"/>
      <c r="SCH19" s="7"/>
      <c r="SCI19" s="7"/>
      <c r="SCJ19" s="7"/>
      <c r="SCK19" s="7"/>
      <c r="SCL19" s="7"/>
      <c r="SCM19" s="7"/>
      <c r="SCN19" s="7"/>
      <c r="SCO19" s="7"/>
      <c r="SCP19" s="7"/>
      <c r="SCQ19" s="7"/>
      <c r="SCR19" s="7"/>
      <c r="SCS19" s="7"/>
      <c r="SCT19" s="7"/>
      <c r="SCU19" s="7"/>
      <c r="SCV19" s="7"/>
      <c r="SCW19" s="7"/>
      <c r="SCX19" s="7"/>
      <c r="SCY19" s="7"/>
      <c r="SCZ19" s="7"/>
      <c r="SDA19" s="7"/>
      <c r="SDB19" s="7"/>
      <c r="SDC19" s="7"/>
      <c r="SDD19" s="7"/>
      <c r="SDE19" s="7"/>
      <c r="SDF19" s="7"/>
      <c r="SDG19" s="7"/>
      <c r="SDH19" s="7"/>
      <c r="SDI19" s="7"/>
      <c r="SDJ19" s="7"/>
      <c r="SDK19" s="7"/>
      <c r="SDL19" s="7"/>
      <c r="SDM19" s="7"/>
      <c r="SDN19" s="7"/>
      <c r="SDO19" s="7"/>
      <c r="SDP19" s="7"/>
      <c r="SDQ19" s="7"/>
      <c r="SDR19" s="7"/>
      <c r="SDS19" s="7"/>
      <c r="SDT19" s="7"/>
      <c r="SDU19" s="7"/>
      <c r="SDV19" s="7"/>
      <c r="SDW19" s="7"/>
      <c r="SDX19" s="7"/>
      <c r="SDY19" s="7"/>
      <c r="SDZ19" s="7"/>
      <c r="SEA19" s="7"/>
      <c r="SEB19" s="7"/>
      <c r="SEC19" s="7"/>
      <c r="SED19" s="7"/>
      <c r="SEE19" s="7"/>
      <c r="SEF19" s="7"/>
      <c r="SEG19" s="7"/>
      <c r="SEH19" s="7"/>
      <c r="SEI19" s="7"/>
      <c r="SEJ19" s="7"/>
      <c r="SEK19" s="7"/>
      <c r="SEL19" s="7"/>
      <c r="SEM19" s="7"/>
      <c r="SEN19" s="7"/>
      <c r="SEO19" s="7"/>
      <c r="SEP19" s="7"/>
      <c r="SEQ19" s="7"/>
      <c r="SER19" s="7"/>
      <c r="SES19" s="7"/>
      <c r="SET19" s="7"/>
      <c r="SEU19" s="7"/>
      <c r="SEV19" s="7"/>
      <c r="SEW19" s="7"/>
      <c r="SEX19" s="7"/>
      <c r="SEY19" s="7"/>
      <c r="SEZ19" s="7"/>
      <c r="SFA19" s="7"/>
      <c r="SFB19" s="7"/>
      <c r="SFC19" s="7"/>
      <c r="SFD19" s="7"/>
      <c r="SFE19" s="7"/>
      <c r="SFF19" s="7"/>
      <c r="SFG19" s="7"/>
      <c r="SFH19" s="7"/>
      <c r="SFI19" s="7"/>
      <c r="SFJ19" s="7"/>
      <c r="SFK19" s="7"/>
      <c r="SFL19" s="7"/>
      <c r="SFM19" s="7"/>
      <c r="SFN19" s="7"/>
      <c r="SFO19" s="7"/>
      <c r="SFP19" s="7"/>
      <c r="SFQ19" s="7"/>
      <c r="SFR19" s="7"/>
      <c r="SFS19" s="7"/>
      <c r="SFT19" s="7"/>
      <c r="SFU19" s="7"/>
      <c r="SFV19" s="7"/>
      <c r="SFW19" s="7"/>
      <c r="SFX19" s="7"/>
      <c r="SFY19" s="7"/>
      <c r="SFZ19" s="7"/>
      <c r="SGA19" s="7"/>
      <c r="SGB19" s="7"/>
      <c r="SGC19" s="7"/>
      <c r="SGD19" s="7"/>
      <c r="SGE19" s="7"/>
      <c r="SGF19" s="7"/>
      <c r="SGG19" s="7"/>
      <c r="SGH19" s="7"/>
      <c r="SGI19" s="7"/>
      <c r="SGJ19" s="7"/>
      <c r="SGK19" s="7"/>
      <c r="SGL19" s="7"/>
      <c r="SGM19" s="7"/>
      <c r="SGN19" s="7"/>
      <c r="SGO19" s="7"/>
      <c r="SGP19" s="7"/>
      <c r="SGQ19" s="7"/>
      <c r="SGR19" s="7"/>
      <c r="SGS19" s="7"/>
      <c r="SGT19" s="7"/>
      <c r="SGU19" s="7"/>
      <c r="SGV19" s="7"/>
      <c r="SGW19" s="7"/>
      <c r="SGX19" s="7"/>
      <c r="SGY19" s="7"/>
      <c r="SGZ19" s="7"/>
      <c r="SHA19" s="7"/>
      <c r="SHB19" s="7"/>
      <c r="SHC19" s="7"/>
      <c r="SHD19" s="7"/>
      <c r="SHE19" s="7"/>
      <c r="SHF19" s="7"/>
      <c r="SHG19" s="7"/>
      <c r="SHH19" s="7"/>
      <c r="SHI19" s="7"/>
      <c r="SHJ19" s="7"/>
      <c r="SHK19" s="7"/>
      <c r="SHL19" s="7"/>
      <c r="SHM19" s="7"/>
      <c r="SHN19" s="7"/>
      <c r="SHO19" s="7"/>
      <c r="SHP19" s="7"/>
      <c r="SHQ19" s="7"/>
      <c r="SHR19" s="7"/>
      <c r="SHS19" s="7"/>
      <c r="SHT19" s="7"/>
      <c r="SHU19" s="7"/>
      <c r="SHV19" s="7"/>
      <c r="SHW19" s="7"/>
      <c r="SHX19" s="7"/>
      <c r="SHY19" s="7"/>
      <c r="SHZ19" s="7"/>
      <c r="SIA19" s="7"/>
      <c r="SIB19" s="7"/>
      <c r="SIC19" s="7"/>
      <c r="SID19" s="7"/>
      <c r="SIE19" s="7"/>
      <c r="SIF19" s="7"/>
      <c r="SIG19" s="7"/>
      <c r="SIH19" s="7"/>
      <c r="SII19" s="7"/>
      <c r="SIJ19" s="7"/>
      <c r="SIK19" s="7"/>
      <c r="SIL19" s="7"/>
      <c r="SIM19" s="7"/>
      <c r="SIN19" s="7"/>
      <c r="SIO19" s="7"/>
      <c r="SIP19" s="7"/>
      <c r="SIQ19" s="7"/>
      <c r="SIR19" s="7"/>
      <c r="SIS19" s="7"/>
      <c r="SIT19" s="7"/>
      <c r="SIU19" s="7"/>
      <c r="SIV19" s="7"/>
      <c r="SIW19" s="7"/>
      <c r="SIX19" s="7"/>
      <c r="SIY19" s="7"/>
      <c r="SIZ19" s="7"/>
      <c r="SJA19" s="7"/>
      <c r="SJB19" s="7"/>
      <c r="SJC19" s="7"/>
      <c r="SJD19" s="7"/>
      <c r="SJE19" s="7"/>
      <c r="SJF19" s="7"/>
      <c r="SJG19" s="7"/>
      <c r="SJH19" s="7"/>
      <c r="SJI19" s="7"/>
      <c r="SJJ19" s="7"/>
      <c r="SJK19" s="7"/>
      <c r="SJL19" s="7"/>
      <c r="SJM19" s="7"/>
      <c r="SJN19" s="7"/>
      <c r="SJO19" s="7"/>
      <c r="SJP19" s="7"/>
      <c r="SJQ19" s="7"/>
      <c r="SJR19" s="7"/>
      <c r="SJS19" s="7"/>
      <c r="SJT19" s="7"/>
      <c r="SJU19" s="7"/>
      <c r="SJV19" s="7"/>
      <c r="SJW19" s="7"/>
      <c r="SJX19" s="7"/>
      <c r="SJY19" s="7"/>
      <c r="SJZ19" s="7"/>
      <c r="SKA19" s="7"/>
      <c r="SKB19" s="7"/>
      <c r="SKC19" s="7"/>
      <c r="SKD19" s="7"/>
      <c r="SKE19" s="7"/>
      <c r="SKF19" s="7"/>
      <c r="SKG19" s="7"/>
      <c r="SKH19" s="7"/>
      <c r="SKI19" s="7"/>
      <c r="SKJ19" s="7"/>
      <c r="SKK19" s="7"/>
      <c r="SKL19" s="7"/>
      <c r="SKM19" s="7"/>
      <c r="SKN19" s="7"/>
      <c r="SKO19" s="7"/>
      <c r="SKP19" s="7"/>
      <c r="SKQ19" s="7"/>
      <c r="SKR19" s="7"/>
      <c r="SKS19" s="7"/>
      <c r="SKT19" s="7"/>
      <c r="SKU19" s="7"/>
      <c r="SKV19" s="7"/>
      <c r="SKW19" s="7"/>
      <c r="SKX19" s="7"/>
      <c r="SKY19" s="7"/>
      <c r="SKZ19" s="7"/>
      <c r="SLA19" s="7"/>
      <c r="SLB19" s="7"/>
      <c r="SLC19" s="7"/>
      <c r="SLD19" s="7"/>
      <c r="SLE19" s="7"/>
      <c r="SLF19" s="7"/>
      <c r="SLG19" s="7"/>
      <c r="SLH19" s="7"/>
      <c r="SLI19" s="7"/>
      <c r="SLJ19" s="7"/>
      <c r="SLK19" s="7"/>
      <c r="SLL19" s="7"/>
      <c r="SLM19" s="7"/>
      <c r="SLN19" s="7"/>
      <c r="SLO19" s="7"/>
      <c r="SLP19" s="7"/>
      <c r="SLQ19" s="7"/>
      <c r="SLR19" s="7"/>
      <c r="SLS19" s="7"/>
      <c r="SLT19" s="7"/>
      <c r="SLU19" s="7"/>
      <c r="SLV19" s="7"/>
      <c r="SLW19" s="7"/>
      <c r="SLX19" s="7"/>
      <c r="SLY19" s="7"/>
      <c r="SLZ19" s="7"/>
      <c r="SMA19" s="7"/>
      <c r="SMB19" s="7"/>
      <c r="SMC19" s="7"/>
      <c r="SMD19" s="7"/>
      <c r="SME19" s="7"/>
      <c r="SMF19" s="7"/>
      <c r="SMG19" s="7"/>
      <c r="SMH19" s="7"/>
      <c r="SMI19" s="7"/>
      <c r="SMJ19" s="7"/>
      <c r="SMK19" s="7"/>
      <c r="SML19" s="7"/>
      <c r="SMM19" s="7"/>
      <c r="SMN19" s="7"/>
      <c r="SMO19" s="7"/>
      <c r="SMP19" s="7"/>
      <c r="SMQ19" s="7"/>
      <c r="SMR19" s="7"/>
      <c r="SMS19" s="7"/>
      <c r="SMT19" s="7"/>
      <c r="SMU19" s="7"/>
      <c r="SMV19" s="7"/>
      <c r="SMW19" s="7"/>
      <c r="SMX19" s="7"/>
      <c r="SMY19" s="7"/>
      <c r="SMZ19" s="7"/>
      <c r="SNA19" s="7"/>
      <c r="SNB19" s="7"/>
      <c r="SNC19" s="7"/>
      <c r="SND19" s="7"/>
      <c r="SNE19" s="7"/>
      <c r="SNF19" s="7"/>
      <c r="SNG19" s="7"/>
      <c r="SNH19" s="7"/>
      <c r="SNI19" s="7"/>
      <c r="SNJ19" s="7"/>
      <c r="SNK19" s="7"/>
      <c r="SNL19" s="7"/>
      <c r="SNM19" s="7"/>
      <c r="SNN19" s="7"/>
      <c r="SNO19" s="7"/>
      <c r="SNP19" s="7"/>
      <c r="SNQ19" s="7"/>
      <c r="SNR19" s="7"/>
      <c r="SNS19" s="7"/>
      <c r="SNT19" s="7"/>
      <c r="SNU19" s="7"/>
      <c r="SNV19" s="7"/>
      <c r="SNW19" s="7"/>
      <c r="SNX19" s="7"/>
      <c r="SNY19" s="7"/>
      <c r="SNZ19" s="7"/>
      <c r="SOA19" s="7"/>
      <c r="SOB19" s="7"/>
      <c r="SOC19" s="7"/>
      <c r="SOD19" s="7"/>
      <c r="SOE19" s="7"/>
      <c r="SOF19" s="7"/>
      <c r="SOG19" s="7"/>
      <c r="SOH19" s="7"/>
      <c r="SOI19" s="7"/>
      <c r="SOJ19" s="7"/>
      <c r="SOK19" s="7"/>
      <c r="SOL19" s="7"/>
      <c r="SOM19" s="7"/>
      <c r="SON19" s="7"/>
      <c r="SOO19" s="7"/>
      <c r="SOP19" s="7"/>
      <c r="SOQ19" s="7"/>
      <c r="SOR19" s="7"/>
      <c r="SOS19" s="7"/>
      <c r="SOT19" s="7"/>
      <c r="SOU19" s="7"/>
      <c r="SOV19" s="7"/>
      <c r="SOW19" s="7"/>
      <c r="SOX19" s="7"/>
      <c r="SOY19" s="7"/>
      <c r="SOZ19" s="7"/>
      <c r="SPA19" s="7"/>
      <c r="SPB19" s="7"/>
      <c r="SPC19" s="7"/>
      <c r="SPD19" s="7"/>
      <c r="SPE19" s="7"/>
      <c r="SPF19" s="7"/>
      <c r="SPG19" s="7"/>
      <c r="SPH19" s="7"/>
      <c r="SPI19" s="7"/>
      <c r="SPJ19" s="7"/>
      <c r="SPK19" s="7"/>
      <c r="SPL19" s="7"/>
      <c r="SPM19" s="7"/>
      <c r="SPN19" s="7"/>
      <c r="SPO19" s="7"/>
      <c r="SPP19" s="7"/>
      <c r="SPQ19" s="7"/>
      <c r="SPR19" s="7"/>
      <c r="SPS19" s="7"/>
      <c r="SPT19" s="7"/>
      <c r="SPU19" s="7"/>
      <c r="SPV19" s="7"/>
      <c r="SPW19" s="7"/>
      <c r="SPX19" s="7"/>
      <c r="SPY19" s="7"/>
      <c r="SPZ19" s="7"/>
      <c r="SQA19" s="7"/>
      <c r="SQB19" s="7"/>
      <c r="SQC19" s="7"/>
      <c r="SQD19" s="7"/>
      <c r="SQE19" s="7"/>
      <c r="SQF19" s="7"/>
      <c r="SQG19" s="7"/>
      <c r="SQH19" s="7"/>
      <c r="SQI19" s="7"/>
      <c r="SQJ19" s="7"/>
      <c r="SQK19" s="7"/>
      <c r="SQL19" s="7"/>
      <c r="SQM19" s="7"/>
      <c r="SQN19" s="7"/>
      <c r="SQO19" s="7"/>
      <c r="SQP19" s="7"/>
      <c r="SQQ19" s="7"/>
      <c r="SQR19" s="7"/>
      <c r="SQS19" s="7"/>
      <c r="SQT19" s="7"/>
      <c r="SQU19" s="7"/>
      <c r="SQV19" s="7"/>
      <c r="SQW19" s="7"/>
      <c r="SQX19" s="7"/>
      <c r="SQY19" s="7"/>
      <c r="SQZ19" s="7"/>
      <c r="SRA19" s="7"/>
      <c r="SRB19" s="7"/>
      <c r="SRC19" s="7"/>
      <c r="SRD19" s="7"/>
      <c r="SRE19" s="7"/>
      <c r="SRF19" s="7"/>
      <c r="SRG19" s="7"/>
      <c r="SRH19" s="7"/>
      <c r="SRI19" s="7"/>
      <c r="SRJ19" s="7"/>
      <c r="SRK19" s="7"/>
      <c r="SRL19" s="7"/>
      <c r="SRM19" s="7"/>
      <c r="SRN19" s="7"/>
      <c r="SRO19" s="7"/>
      <c r="SRP19" s="7"/>
      <c r="SRQ19" s="7"/>
      <c r="SRR19" s="7"/>
      <c r="SRS19" s="7"/>
      <c r="SRT19" s="7"/>
      <c r="SRU19" s="7"/>
      <c r="SRV19" s="7"/>
      <c r="SRW19" s="7"/>
      <c r="SRX19" s="7"/>
      <c r="SRY19" s="7"/>
      <c r="SRZ19" s="7"/>
      <c r="SSA19" s="7"/>
      <c r="SSB19" s="7"/>
      <c r="SSC19" s="7"/>
      <c r="SSD19" s="7"/>
      <c r="SSE19" s="7"/>
      <c r="SSF19" s="7"/>
      <c r="SSG19" s="7"/>
      <c r="SSH19" s="7"/>
      <c r="SSI19" s="7"/>
      <c r="SSJ19" s="7"/>
      <c r="SSK19" s="7"/>
      <c r="SSL19" s="7"/>
      <c r="SSM19" s="7"/>
      <c r="SSN19" s="7"/>
      <c r="SSO19" s="7"/>
      <c r="SSP19" s="7"/>
      <c r="SSQ19" s="7"/>
      <c r="SSR19" s="7"/>
      <c r="SSS19" s="7"/>
      <c r="SST19" s="7"/>
      <c r="SSU19" s="7"/>
      <c r="SSV19" s="7"/>
      <c r="SSW19" s="7"/>
      <c r="SSX19" s="7"/>
      <c r="SSY19" s="7"/>
      <c r="SSZ19" s="7"/>
      <c r="STA19" s="7"/>
      <c r="STB19" s="7"/>
      <c r="STC19" s="7"/>
      <c r="STD19" s="7"/>
      <c r="STE19" s="7"/>
      <c r="STF19" s="7"/>
      <c r="STG19" s="7"/>
      <c r="STH19" s="7"/>
      <c r="STI19" s="7"/>
      <c r="STJ19" s="7"/>
      <c r="STK19" s="7"/>
      <c r="STL19" s="7"/>
      <c r="STM19" s="7"/>
      <c r="STN19" s="7"/>
      <c r="STO19" s="7"/>
      <c r="STP19" s="7"/>
      <c r="STQ19" s="7"/>
      <c r="STR19" s="7"/>
      <c r="STS19" s="7"/>
      <c r="STT19" s="7"/>
      <c r="STU19" s="7"/>
      <c r="STV19" s="7"/>
      <c r="STW19" s="7"/>
      <c r="STX19" s="7"/>
      <c r="STY19" s="7"/>
      <c r="STZ19" s="7"/>
      <c r="SUA19" s="7"/>
      <c r="SUB19" s="7"/>
      <c r="SUC19" s="7"/>
      <c r="SUD19" s="7"/>
      <c r="SUE19" s="7"/>
      <c r="SUF19" s="7"/>
      <c r="SUG19" s="7"/>
      <c r="SUH19" s="7"/>
      <c r="SUI19" s="7"/>
      <c r="SUJ19" s="7"/>
      <c r="SUK19" s="7"/>
      <c r="SUL19" s="7"/>
      <c r="SUM19" s="7"/>
      <c r="SUN19" s="7"/>
      <c r="SUO19" s="7"/>
      <c r="SUP19" s="7"/>
      <c r="SUQ19" s="7"/>
      <c r="SUR19" s="7"/>
      <c r="SUS19" s="7"/>
      <c r="SUT19" s="7"/>
      <c r="SUU19" s="7"/>
      <c r="SUV19" s="7"/>
      <c r="SUW19" s="7"/>
      <c r="SUX19" s="7"/>
      <c r="SUY19" s="7"/>
      <c r="SUZ19" s="7"/>
      <c r="SVA19" s="7"/>
      <c r="SVB19" s="7"/>
      <c r="SVC19" s="7"/>
      <c r="SVD19" s="7"/>
      <c r="SVE19" s="7"/>
      <c r="SVF19" s="7"/>
      <c r="SVG19" s="7"/>
      <c r="SVH19" s="7"/>
      <c r="SVI19" s="7"/>
      <c r="SVJ19" s="7"/>
      <c r="SVK19" s="7"/>
      <c r="SVL19" s="7"/>
      <c r="SVM19" s="7"/>
      <c r="SVN19" s="7"/>
      <c r="SVO19" s="7"/>
      <c r="SVP19" s="7"/>
      <c r="SVQ19" s="7"/>
      <c r="SVR19" s="7"/>
      <c r="SVS19" s="7"/>
      <c r="SVT19" s="7"/>
      <c r="SVU19" s="7"/>
      <c r="SVV19" s="7"/>
      <c r="SVW19" s="7"/>
      <c r="SVX19" s="7"/>
      <c r="SVY19" s="7"/>
      <c r="SVZ19" s="7"/>
      <c r="SWA19" s="7"/>
      <c r="SWB19" s="7"/>
      <c r="SWC19" s="7"/>
      <c r="SWD19" s="7"/>
      <c r="SWE19" s="7"/>
      <c r="SWF19" s="7"/>
      <c r="SWG19" s="7"/>
      <c r="SWH19" s="7"/>
      <c r="SWI19" s="7"/>
      <c r="SWJ19" s="7"/>
      <c r="SWK19" s="7"/>
      <c r="SWL19" s="7"/>
      <c r="SWM19" s="7"/>
      <c r="SWN19" s="7"/>
      <c r="SWO19" s="7"/>
      <c r="SWP19" s="7"/>
      <c r="SWQ19" s="7"/>
      <c r="SWR19" s="7"/>
      <c r="SWS19" s="7"/>
      <c r="SWT19" s="7"/>
      <c r="SWU19" s="7"/>
      <c r="SWV19" s="7"/>
      <c r="SWW19" s="7"/>
      <c r="SWX19" s="7"/>
      <c r="SWY19" s="7"/>
      <c r="SWZ19" s="7"/>
      <c r="SXA19" s="7"/>
      <c r="SXB19" s="7"/>
      <c r="SXC19" s="7"/>
      <c r="SXD19" s="7"/>
      <c r="SXE19" s="7"/>
      <c r="SXF19" s="7"/>
      <c r="SXG19" s="7"/>
      <c r="SXH19" s="7"/>
      <c r="SXI19" s="7"/>
      <c r="SXJ19" s="7"/>
      <c r="SXK19" s="7"/>
      <c r="SXL19" s="7"/>
      <c r="SXM19" s="7"/>
      <c r="SXN19" s="7"/>
      <c r="SXO19" s="7"/>
      <c r="SXP19" s="7"/>
      <c r="SXQ19" s="7"/>
      <c r="SXR19" s="7"/>
      <c r="SXS19" s="7"/>
      <c r="SXT19" s="7"/>
      <c r="SXU19" s="7"/>
      <c r="SXV19" s="7"/>
      <c r="SXW19" s="7"/>
      <c r="SXX19" s="7"/>
      <c r="SXY19" s="7"/>
      <c r="SXZ19" s="7"/>
      <c r="SYA19" s="7"/>
      <c r="SYB19" s="7"/>
      <c r="SYC19" s="7"/>
      <c r="SYD19" s="7"/>
      <c r="SYE19" s="7"/>
      <c r="SYF19" s="7"/>
      <c r="SYG19" s="7"/>
      <c r="SYH19" s="7"/>
      <c r="SYI19" s="7"/>
      <c r="SYJ19" s="7"/>
      <c r="SYK19" s="7"/>
      <c r="SYL19" s="7"/>
      <c r="SYM19" s="7"/>
      <c r="SYN19" s="7"/>
      <c r="SYO19" s="7"/>
      <c r="SYP19" s="7"/>
      <c r="SYQ19" s="7"/>
      <c r="SYR19" s="7"/>
      <c r="SYS19" s="7"/>
      <c r="SYT19" s="7"/>
      <c r="SYU19" s="7"/>
      <c r="SYV19" s="7"/>
      <c r="SYW19" s="7"/>
      <c r="SYX19" s="7"/>
      <c r="SYY19" s="7"/>
      <c r="SYZ19" s="7"/>
      <c r="SZA19" s="7"/>
      <c r="SZB19" s="7"/>
      <c r="SZC19" s="7"/>
      <c r="SZD19" s="7"/>
      <c r="SZE19" s="7"/>
      <c r="SZF19" s="7"/>
      <c r="SZG19" s="7"/>
      <c r="SZH19" s="7"/>
      <c r="SZI19" s="7"/>
      <c r="SZJ19" s="7"/>
      <c r="SZK19" s="7"/>
      <c r="SZL19" s="7"/>
      <c r="SZM19" s="7"/>
      <c r="SZN19" s="7"/>
      <c r="SZO19" s="7"/>
      <c r="SZP19" s="7"/>
      <c r="SZQ19" s="7"/>
      <c r="SZR19" s="7"/>
      <c r="SZS19" s="7"/>
      <c r="SZT19" s="7"/>
      <c r="SZU19" s="7"/>
      <c r="SZV19" s="7"/>
      <c r="SZW19" s="7"/>
      <c r="SZX19" s="7"/>
      <c r="SZY19" s="7"/>
      <c r="SZZ19" s="7"/>
      <c r="TAA19" s="7"/>
      <c r="TAB19" s="7"/>
      <c r="TAC19" s="7"/>
      <c r="TAD19" s="7"/>
      <c r="TAE19" s="7"/>
      <c r="TAF19" s="7"/>
      <c r="TAG19" s="7"/>
      <c r="TAH19" s="7"/>
      <c r="TAI19" s="7"/>
      <c r="TAJ19" s="7"/>
      <c r="TAK19" s="7"/>
      <c r="TAL19" s="7"/>
      <c r="TAM19" s="7"/>
      <c r="TAN19" s="7"/>
      <c r="TAO19" s="7"/>
      <c r="TAP19" s="7"/>
      <c r="TAQ19" s="7"/>
      <c r="TAR19" s="7"/>
      <c r="TAS19" s="7"/>
      <c r="TAT19" s="7"/>
      <c r="TAU19" s="7"/>
      <c r="TAV19" s="7"/>
      <c r="TAW19" s="7"/>
      <c r="TAX19" s="7"/>
      <c r="TAY19" s="7"/>
      <c r="TAZ19" s="7"/>
      <c r="TBA19" s="7"/>
      <c r="TBB19" s="7"/>
      <c r="TBC19" s="7"/>
      <c r="TBD19" s="7"/>
      <c r="TBE19" s="7"/>
      <c r="TBF19" s="7"/>
      <c r="TBG19" s="7"/>
      <c r="TBH19" s="7"/>
      <c r="TBI19" s="7"/>
      <c r="TBJ19" s="7"/>
      <c r="TBK19" s="7"/>
      <c r="TBL19" s="7"/>
      <c r="TBM19" s="7"/>
      <c r="TBN19" s="7"/>
      <c r="TBO19" s="7"/>
      <c r="TBP19" s="7"/>
      <c r="TBQ19" s="7"/>
      <c r="TBR19" s="7"/>
      <c r="TBS19" s="7"/>
      <c r="TBT19" s="7"/>
      <c r="TBU19" s="7"/>
      <c r="TBV19" s="7"/>
      <c r="TBW19" s="7"/>
      <c r="TBX19" s="7"/>
      <c r="TBY19" s="7"/>
      <c r="TBZ19" s="7"/>
      <c r="TCA19" s="7"/>
      <c r="TCB19" s="7"/>
      <c r="TCC19" s="7"/>
      <c r="TCD19" s="7"/>
      <c r="TCE19" s="7"/>
      <c r="TCF19" s="7"/>
      <c r="TCG19" s="7"/>
      <c r="TCH19" s="7"/>
      <c r="TCI19" s="7"/>
      <c r="TCJ19" s="7"/>
      <c r="TCK19" s="7"/>
      <c r="TCL19" s="7"/>
      <c r="TCM19" s="7"/>
      <c r="TCN19" s="7"/>
      <c r="TCO19" s="7"/>
      <c r="TCP19" s="7"/>
      <c r="TCQ19" s="7"/>
      <c r="TCR19" s="7"/>
      <c r="TCS19" s="7"/>
      <c r="TCT19" s="7"/>
      <c r="TCU19" s="7"/>
      <c r="TCV19" s="7"/>
      <c r="TCW19" s="7"/>
      <c r="TCX19" s="7"/>
      <c r="TCY19" s="7"/>
      <c r="TCZ19" s="7"/>
      <c r="TDA19" s="7"/>
      <c r="TDB19" s="7"/>
      <c r="TDC19" s="7"/>
      <c r="TDD19" s="7"/>
      <c r="TDE19" s="7"/>
      <c r="TDF19" s="7"/>
      <c r="TDG19" s="7"/>
      <c r="TDH19" s="7"/>
      <c r="TDI19" s="7"/>
      <c r="TDJ19" s="7"/>
      <c r="TDK19" s="7"/>
      <c r="TDL19" s="7"/>
      <c r="TDM19" s="7"/>
      <c r="TDN19" s="7"/>
      <c r="TDO19" s="7"/>
      <c r="TDP19" s="7"/>
      <c r="TDQ19" s="7"/>
      <c r="TDR19" s="7"/>
      <c r="TDS19" s="7"/>
      <c r="TDT19" s="7"/>
      <c r="TDU19" s="7"/>
      <c r="TDV19" s="7"/>
      <c r="TDW19" s="7"/>
      <c r="TDX19" s="7"/>
      <c r="TDY19" s="7"/>
      <c r="TDZ19" s="7"/>
      <c r="TEA19" s="7"/>
      <c r="TEB19" s="7"/>
      <c r="TEC19" s="7"/>
      <c r="TED19" s="7"/>
      <c r="TEE19" s="7"/>
      <c r="TEF19" s="7"/>
      <c r="TEG19" s="7"/>
      <c r="TEH19" s="7"/>
      <c r="TEI19" s="7"/>
      <c r="TEJ19" s="7"/>
      <c r="TEK19" s="7"/>
      <c r="TEL19" s="7"/>
      <c r="TEM19" s="7"/>
      <c r="TEN19" s="7"/>
      <c r="TEO19" s="7"/>
      <c r="TEP19" s="7"/>
      <c r="TEQ19" s="7"/>
      <c r="TER19" s="7"/>
      <c r="TES19" s="7"/>
      <c r="TET19" s="7"/>
      <c r="TEU19" s="7"/>
      <c r="TEV19" s="7"/>
      <c r="TEW19" s="7"/>
      <c r="TEX19" s="7"/>
      <c r="TEY19" s="7"/>
      <c r="TEZ19" s="7"/>
      <c r="TFA19" s="7"/>
      <c r="TFB19" s="7"/>
      <c r="TFC19" s="7"/>
      <c r="TFD19" s="7"/>
      <c r="TFE19" s="7"/>
      <c r="TFF19" s="7"/>
      <c r="TFG19" s="7"/>
      <c r="TFH19" s="7"/>
      <c r="TFI19" s="7"/>
      <c r="TFJ19" s="7"/>
      <c r="TFK19" s="7"/>
      <c r="TFL19" s="7"/>
      <c r="TFM19" s="7"/>
      <c r="TFN19" s="7"/>
      <c r="TFO19" s="7"/>
      <c r="TFP19" s="7"/>
      <c r="TFQ19" s="7"/>
      <c r="TFR19" s="7"/>
      <c r="TFS19" s="7"/>
      <c r="TFT19" s="7"/>
      <c r="TFU19" s="7"/>
      <c r="TFV19" s="7"/>
      <c r="TFW19" s="7"/>
      <c r="TFX19" s="7"/>
      <c r="TFY19" s="7"/>
      <c r="TFZ19" s="7"/>
      <c r="TGA19" s="7"/>
      <c r="TGB19" s="7"/>
      <c r="TGC19" s="7"/>
      <c r="TGD19" s="7"/>
      <c r="TGE19" s="7"/>
      <c r="TGF19" s="7"/>
      <c r="TGG19" s="7"/>
      <c r="TGH19" s="7"/>
      <c r="TGI19" s="7"/>
      <c r="TGJ19" s="7"/>
      <c r="TGK19" s="7"/>
      <c r="TGL19" s="7"/>
      <c r="TGM19" s="7"/>
      <c r="TGN19" s="7"/>
      <c r="TGO19" s="7"/>
      <c r="TGP19" s="7"/>
      <c r="TGQ19" s="7"/>
      <c r="TGR19" s="7"/>
      <c r="TGS19" s="7"/>
      <c r="TGT19" s="7"/>
      <c r="TGU19" s="7"/>
      <c r="TGV19" s="7"/>
      <c r="TGW19" s="7"/>
      <c r="TGX19" s="7"/>
      <c r="TGY19" s="7"/>
      <c r="TGZ19" s="7"/>
      <c r="THA19" s="7"/>
      <c r="THB19" s="7"/>
      <c r="THC19" s="7"/>
      <c r="THD19" s="7"/>
      <c r="THE19" s="7"/>
      <c r="THF19" s="7"/>
      <c r="THG19" s="7"/>
      <c r="THH19" s="7"/>
      <c r="THI19" s="7"/>
      <c r="THJ19" s="7"/>
      <c r="THK19" s="7"/>
      <c r="THL19" s="7"/>
      <c r="THM19" s="7"/>
      <c r="THN19" s="7"/>
      <c r="THO19" s="7"/>
      <c r="THP19" s="7"/>
      <c r="THQ19" s="7"/>
      <c r="THR19" s="7"/>
      <c r="THS19" s="7"/>
      <c r="THT19" s="7"/>
      <c r="THU19" s="7"/>
      <c r="THV19" s="7"/>
      <c r="THW19" s="7"/>
      <c r="THX19" s="7"/>
      <c r="THY19" s="7"/>
      <c r="THZ19" s="7"/>
      <c r="TIA19" s="7"/>
      <c r="TIB19" s="7"/>
      <c r="TIC19" s="7"/>
      <c r="TID19" s="7"/>
      <c r="TIE19" s="7"/>
      <c r="TIF19" s="7"/>
      <c r="TIG19" s="7"/>
      <c r="TIH19" s="7"/>
      <c r="TII19" s="7"/>
      <c r="TIJ19" s="7"/>
      <c r="TIK19" s="7"/>
      <c r="TIL19" s="7"/>
      <c r="TIM19" s="7"/>
      <c r="TIN19" s="7"/>
      <c r="TIO19" s="7"/>
      <c r="TIP19" s="7"/>
      <c r="TIQ19" s="7"/>
      <c r="TIR19" s="7"/>
      <c r="TIS19" s="7"/>
      <c r="TIT19" s="7"/>
      <c r="TIU19" s="7"/>
      <c r="TIV19" s="7"/>
      <c r="TIW19" s="7"/>
      <c r="TIX19" s="7"/>
      <c r="TIY19" s="7"/>
      <c r="TIZ19" s="7"/>
      <c r="TJA19" s="7"/>
      <c r="TJB19" s="7"/>
      <c r="TJC19" s="7"/>
      <c r="TJD19" s="7"/>
      <c r="TJE19" s="7"/>
      <c r="TJF19" s="7"/>
      <c r="TJG19" s="7"/>
      <c r="TJH19" s="7"/>
      <c r="TJI19" s="7"/>
      <c r="TJJ19" s="7"/>
      <c r="TJK19" s="7"/>
      <c r="TJL19" s="7"/>
      <c r="TJM19" s="7"/>
      <c r="TJN19" s="7"/>
      <c r="TJO19" s="7"/>
      <c r="TJP19" s="7"/>
      <c r="TJQ19" s="7"/>
      <c r="TJR19" s="7"/>
      <c r="TJS19" s="7"/>
      <c r="TJT19" s="7"/>
      <c r="TJU19" s="7"/>
      <c r="TJV19" s="7"/>
      <c r="TJW19" s="7"/>
      <c r="TJX19" s="7"/>
      <c r="TJY19" s="7"/>
      <c r="TJZ19" s="7"/>
      <c r="TKA19" s="7"/>
      <c r="TKB19" s="7"/>
      <c r="TKC19" s="7"/>
      <c r="TKD19" s="7"/>
      <c r="TKE19" s="7"/>
      <c r="TKF19" s="7"/>
      <c r="TKG19" s="7"/>
      <c r="TKH19" s="7"/>
      <c r="TKI19" s="7"/>
      <c r="TKJ19" s="7"/>
      <c r="TKK19" s="7"/>
      <c r="TKL19" s="7"/>
      <c r="TKM19" s="7"/>
      <c r="TKN19" s="7"/>
      <c r="TKO19" s="7"/>
      <c r="TKP19" s="7"/>
      <c r="TKQ19" s="7"/>
      <c r="TKR19" s="7"/>
      <c r="TKS19" s="7"/>
      <c r="TKT19" s="7"/>
      <c r="TKU19" s="7"/>
      <c r="TKV19" s="7"/>
      <c r="TKW19" s="7"/>
      <c r="TKX19" s="7"/>
      <c r="TKY19" s="7"/>
      <c r="TKZ19" s="7"/>
      <c r="TLA19" s="7"/>
      <c r="TLB19" s="7"/>
      <c r="TLC19" s="7"/>
      <c r="TLD19" s="7"/>
      <c r="TLE19" s="7"/>
      <c r="TLF19" s="7"/>
      <c r="TLG19" s="7"/>
      <c r="TLH19" s="7"/>
      <c r="TLI19" s="7"/>
      <c r="TLJ19" s="7"/>
      <c r="TLK19" s="7"/>
      <c r="TLL19" s="7"/>
      <c r="TLM19" s="7"/>
      <c r="TLN19" s="7"/>
      <c r="TLO19" s="7"/>
      <c r="TLP19" s="7"/>
      <c r="TLQ19" s="7"/>
      <c r="TLR19" s="7"/>
      <c r="TLS19" s="7"/>
      <c r="TLT19" s="7"/>
      <c r="TLU19" s="7"/>
      <c r="TLV19" s="7"/>
      <c r="TLW19" s="7"/>
      <c r="TLX19" s="7"/>
      <c r="TLY19" s="7"/>
      <c r="TLZ19" s="7"/>
      <c r="TMA19" s="7"/>
      <c r="TMB19" s="7"/>
      <c r="TMC19" s="7"/>
      <c r="TMD19" s="7"/>
      <c r="TME19" s="7"/>
      <c r="TMF19" s="7"/>
      <c r="TMG19" s="7"/>
      <c r="TMH19" s="7"/>
      <c r="TMI19" s="7"/>
      <c r="TMJ19" s="7"/>
      <c r="TMK19" s="7"/>
      <c r="TML19" s="7"/>
      <c r="TMM19" s="7"/>
      <c r="TMN19" s="7"/>
      <c r="TMO19" s="7"/>
      <c r="TMP19" s="7"/>
      <c r="TMQ19" s="7"/>
      <c r="TMR19" s="7"/>
      <c r="TMS19" s="7"/>
      <c r="TMT19" s="7"/>
      <c r="TMU19" s="7"/>
      <c r="TMV19" s="7"/>
      <c r="TMW19" s="7"/>
      <c r="TMX19" s="7"/>
      <c r="TMY19" s="7"/>
      <c r="TMZ19" s="7"/>
      <c r="TNA19" s="7"/>
      <c r="TNB19" s="7"/>
      <c r="TNC19" s="7"/>
      <c r="TND19" s="7"/>
      <c r="TNE19" s="7"/>
      <c r="TNF19" s="7"/>
      <c r="TNG19" s="7"/>
      <c r="TNH19" s="7"/>
      <c r="TNI19" s="7"/>
      <c r="TNJ19" s="7"/>
      <c r="TNK19" s="7"/>
      <c r="TNL19" s="7"/>
      <c r="TNM19" s="7"/>
      <c r="TNN19" s="7"/>
      <c r="TNO19" s="7"/>
      <c r="TNP19" s="7"/>
      <c r="TNQ19" s="7"/>
      <c r="TNR19" s="7"/>
      <c r="TNS19" s="7"/>
      <c r="TNT19" s="7"/>
      <c r="TNU19" s="7"/>
      <c r="TNV19" s="7"/>
      <c r="TNW19" s="7"/>
      <c r="TNX19" s="7"/>
      <c r="TNY19" s="7"/>
      <c r="TNZ19" s="7"/>
      <c r="TOA19" s="7"/>
      <c r="TOB19" s="7"/>
      <c r="TOC19" s="7"/>
      <c r="TOD19" s="7"/>
      <c r="TOE19" s="7"/>
      <c r="TOF19" s="7"/>
      <c r="TOG19" s="7"/>
      <c r="TOH19" s="7"/>
      <c r="TOI19" s="7"/>
      <c r="TOJ19" s="7"/>
      <c r="TOK19" s="7"/>
      <c r="TOL19" s="7"/>
      <c r="TOM19" s="7"/>
      <c r="TON19" s="7"/>
      <c r="TOO19" s="7"/>
      <c r="TOP19" s="7"/>
      <c r="TOQ19" s="7"/>
      <c r="TOR19" s="7"/>
      <c r="TOS19" s="7"/>
      <c r="TOT19" s="7"/>
      <c r="TOU19" s="7"/>
      <c r="TOV19" s="7"/>
      <c r="TOW19" s="7"/>
      <c r="TOX19" s="7"/>
      <c r="TOY19" s="7"/>
      <c r="TOZ19" s="7"/>
      <c r="TPA19" s="7"/>
      <c r="TPB19" s="7"/>
      <c r="TPC19" s="7"/>
      <c r="TPD19" s="7"/>
      <c r="TPE19" s="7"/>
      <c r="TPF19" s="7"/>
      <c r="TPG19" s="7"/>
      <c r="TPH19" s="7"/>
      <c r="TPI19" s="7"/>
      <c r="TPJ19" s="7"/>
      <c r="TPK19" s="7"/>
      <c r="TPL19" s="7"/>
      <c r="TPM19" s="7"/>
      <c r="TPN19" s="7"/>
      <c r="TPO19" s="7"/>
      <c r="TPP19" s="7"/>
      <c r="TPQ19" s="7"/>
      <c r="TPR19" s="7"/>
      <c r="TPS19" s="7"/>
      <c r="TPT19" s="7"/>
      <c r="TPU19" s="7"/>
      <c r="TPV19" s="7"/>
      <c r="TPW19" s="7"/>
      <c r="TPX19" s="7"/>
      <c r="TPY19" s="7"/>
      <c r="TPZ19" s="7"/>
      <c r="TQA19" s="7"/>
      <c r="TQB19" s="7"/>
      <c r="TQC19" s="7"/>
      <c r="TQD19" s="7"/>
      <c r="TQE19" s="7"/>
      <c r="TQF19" s="7"/>
      <c r="TQG19" s="7"/>
      <c r="TQH19" s="7"/>
      <c r="TQI19" s="7"/>
      <c r="TQJ19" s="7"/>
      <c r="TQK19" s="7"/>
      <c r="TQL19" s="7"/>
      <c r="TQM19" s="7"/>
      <c r="TQN19" s="7"/>
      <c r="TQO19" s="7"/>
      <c r="TQP19" s="7"/>
      <c r="TQQ19" s="7"/>
      <c r="TQR19" s="7"/>
      <c r="TQS19" s="7"/>
      <c r="TQT19" s="7"/>
      <c r="TQU19" s="7"/>
      <c r="TQV19" s="7"/>
      <c r="TQW19" s="7"/>
      <c r="TQX19" s="7"/>
      <c r="TQY19" s="7"/>
      <c r="TQZ19" s="7"/>
      <c r="TRA19" s="7"/>
      <c r="TRB19" s="7"/>
      <c r="TRC19" s="7"/>
      <c r="TRD19" s="7"/>
      <c r="TRE19" s="7"/>
      <c r="TRF19" s="7"/>
      <c r="TRG19" s="7"/>
      <c r="TRH19" s="7"/>
      <c r="TRI19" s="7"/>
      <c r="TRJ19" s="7"/>
      <c r="TRK19" s="7"/>
      <c r="TRL19" s="7"/>
      <c r="TRM19" s="7"/>
      <c r="TRN19" s="7"/>
      <c r="TRO19" s="7"/>
      <c r="TRP19" s="7"/>
      <c r="TRQ19" s="7"/>
      <c r="TRR19" s="7"/>
      <c r="TRS19" s="7"/>
      <c r="TRT19" s="7"/>
      <c r="TRU19" s="7"/>
      <c r="TRV19" s="7"/>
      <c r="TRW19" s="7"/>
      <c r="TRX19" s="7"/>
      <c r="TRY19" s="7"/>
      <c r="TRZ19" s="7"/>
      <c r="TSA19" s="7"/>
      <c r="TSB19" s="7"/>
      <c r="TSC19" s="7"/>
      <c r="TSD19" s="7"/>
      <c r="TSE19" s="7"/>
      <c r="TSF19" s="7"/>
      <c r="TSG19" s="7"/>
      <c r="TSH19" s="7"/>
      <c r="TSI19" s="7"/>
      <c r="TSJ19" s="7"/>
      <c r="TSK19" s="7"/>
      <c r="TSL19" s="7"/>
      <c r="TSM19" s="7"/>
      <c r="TSN19" s="7"/>
      <c r="TSO19" s="7"/>
      <c r="TSP19" s="7"/>
      <c r="TSQ19" s="7"/>
      <c r="TSR19" s="7"/>
      <c r="TSS19" s="7"/>
      <c r="TST19" s="7"/>
      <c r="TSU19" s="7"/>
      <c r="TSV19" s="7"/>
      <c r="TSW19" s="7"/>
      <c r="TSX19" s="7"/>
      <c r="TSY19" s="7"/>
      <c r="TSZ19" s="7"/>
      <c r="TTA19" s="7"/>
      <c r="TTB19" s="7"/>
      <c r="TTC19" s="7"/>
      <c r="TTD19" s="7"/>
      <c r="TTE19" s="7"/>
      <c r="TTF19" s="7"/>
      <c r="TTG19" s="7"/>
      <c r="TTH19" s="7"/>
      <c r="TTI19" s="7"/>
      <c r="TTJ19" s="7"/>
      <c r="TTK19" s="7"/>
      <c r="TTL19" s="7"/>
      <c r="TTM19" s="7"/>
      <c r="TTN19" s="7"/>
      <c r="TTO19" s="7"/>
      <c r="TTP19" s="7"/>
      <c r="TTQ19" s="7"/>
      <c r="TTR19" s="7"/>
      <c r="TTS19" s="7"/>
      <c r="TTT19" s="7"/>
      <c r="TTU19" s="7"/>
      <c r="TTV19" s="7"/>
      <c r="TTW19" s="7"/>
      <c r="TTX19" s="7"/>
      <c r="TTY19" s="7"/>
      <c r="TTZ19" s="7"/>
      <c r="TUA19" s="7"/>
      <c r="TUB19" s="7"/>
      <c r="TUC19" s="7"/>
      <c r="TUD19" s="7"/>
      <c r="TUE19" s="7"/>
      <c r="TUF19" s="7"/>
      <c r="TUG19" s="7"/>
      <c r="TUH19" s="7"/>
      <c r="TUI19" s="7"/>
      <c r="TUJ19" s="7"/>
      <c r="TUK19" s="7"/>
      <c r="TUL19" s="7"/>
      <c r="TUM19" s="7"/>
      <c r="TUN19" s="7"/>
      <c r="TUO19" s="7"/>
      <c r="TUP19" s="7"/>
      <c r="TUQ19" s="7"/>
      <c r="TUR19" s="7"/>
      <c r="TUS19" s="7"/>
      <c r="TUT19" s="7"/>
      <c r="TUU19" s="7"/>
      <c r="TUV19" s="7"/>
      <c r="TUW19" s="7"/>
      <c r="TUX19" s="7"/>
      <c r="TUY19" s="7"/>
      <c r="TUZ19" s="7"/>
      <c r="TVA19" s="7"/>
      <c r="TVB19" s="7"/>
      <c r="TVC19" s="7"/>
      <c r="TVD19" s="7"/>
      <c r="TVE19" s="7"/>
      <c r="TVF19" s="7"/>
      <c r="TVG19" s="7"/>
      <c r="TVH19" s="7"/>
      <c r="TVI19" s="7"/>
      <c r="TVJ19" s="7"/>
      <c r="TVK19" s="7"/>
      <c r="TVL19" s="7"/>
      <c r="TVM19" s="7"/>
      <c r="TVN19" s="7"/>
      <c r="TVO19" s="7"/>
      <c r="TVP19" s="7"/>
      <c r="TVQ19" s="7"/>
      <c r="TVR19" s="7"/>
      <c r="TVS19" s="7"/>
      <c r="TVT19" s="7"/>
      <c r="TVU19" s="7"/>
      <c r="TVV19" s="7"/>
      <c r="TVW19" s="7"/>
      <c r="TVX19" s="7"/>
      <c r="TVY19" s="7"/>
      <c r="TVZ19" s="7"/>
      <c r="TWA19" s="7"/>
      <c r="TWB19" s="7"/>
      <c r="TWC19" s="7"/>
      <c r="TWD19" s="7"/>
      <c r="TWE19" s="7"/>
      <c r="TWF19" s="7"/>
      <c r="TWG19" s="7"/>
      <c r="TWH19" s="7"/>
      <c r="TWI19" s="7"/>
      <c r="TWJ19" s="7"/>
      <c r="TWK19" s="7"/>
      <c r="TWL19" s="7"/>
      <c r="TWM19" s="7"/>
      <c r="TWN19" s="7"/>
      <c r="TWO19" s="7"/>
      <c r="TWP19" s="7"/>
      <c r="TWQ19" s="7"/>
      <c r="TWR19" s="7"/>
      <c r="TWS19" s="7"/>
      <c r="TWT19" s="7"/>
      <c r="TWU19" s="7"/>
      <c r="TWV19" s="7"/>
      <c r="TWW19" s="7"/>
      <c r="TWX19" s="7"/>
      <c r="TWY19" s="7"/>
      <c r="TWZ19" s="7"/>
      <c r="TXA19" s="7"/>
      <c r="TXB19" s="7"/>
      <c r="TXC19" s="7"/>
      <c r="TXD19" s="7"/>
      <c r="TXE19" s="7"/>
      <c r="TXF19" s="7"/>
      <c r="TXG19" s="7"/>
      <c r="TXH19" s="7"/>
      <c r="TXI19" s="7"/>
      <c r="TXJ19" s="7"/>
      <c r="TXK19" s="7"/>
      <c r="TXL19" s="7"/>
      <c r="TXM19" s="7"/>
      <c r="TXN19" s="7"/>
      <c r="TXO19" s="7"/>
      <c r="TXP19" s="7"/>
      <c r="TXQ19" s="7"/>
      <c r="TXR19" s="7"/>
      <c r="TXS19" s="7"/>
      <c r="TXT19" s="7"/>
      <c r="TXU19" s="7"/>
      <c r="TXV19" s="7"/>
      <c r="TXW19" s="7"/>
      <c r="TXX19" s="7"/>
      <c r="TXY19" s="7"/>
      <c r="TXZ19" s="7"/>
      <c r="TYA19" s="7"/>
      <c r="TYB19" s="7"/>
      <c r="TYC19" s="7"/>
      <c r="TYD19" s="7"/>
      <c r="TYE19" s="7"/>
      <c r="TYF19" s="7"/>
      <c r="TYG19" s="7"/>
      <c r="TYH19" s="7"/>
      <c r="TYI19" s="7"/>
      <c r="TYJ19" s="7"/>
      <c r="TYK19" s="7"/>
      <c r="TYL19" s="7"/>
      <c r="TYM19" s="7"/>
      <c r="TYN19" s="7"/>
      <c r="TYO19" s="7"/>
      <c r="TYP19" s="7"/>
      <c r="TYQ19" s="7"/>
      <c r="TYR19" s="7"/>
      <c r="TYS19" s="7"/>
      <c r="TYT19" s="7"/>
      <c r="TYU19" s="7"/>
      <c r="TYV19" s="7"/>
      <c r="TYW19" s="7"/>
      <c r="TYX19" s="7"/>
      <c r="TYY19" s="7"/>
      <c r="TYZ19" s="7"/>
      <c r="TZA19" s="7"/>
      <c r="TZB19" s="7"/>
      <c r="TZC19" s="7"/>
      <c r="TZD19" s="7"/>
      <c r="TZE19" s="7"/>
      <c r="TZF19" s="7"/>
      <c r="TZG19" s="7"/>
      <c r="TZH19" s="7"/>
      <c r="TZI19" s="7"/>
      <c r="TZJ19" s="7"/>
      <c r="TZK19" s="7"/>
      <c r="TZL19" s="7"/>
      <c r="TZM19" s="7"/>
      <c r="TZN19" s="7"/>
      <c r="TZO19" s="7"/>
      <c r="TZP19" s="7"/>
      <c r="TZQ19" s="7"/>
      <c r="TZR19" s="7"/>
      <c r="TZS19" s="7"/>
      <c r="TZT19" s="7"/>
      <c r="TZU19" s="7"/>
      <c r="TZV19" s="7"/>
      <c r="TZW19" s="7"/>
      <c r="TZX19" s="7"/>
      <c r="TZY19" s="7"/>
      <c r="TZZ19" s="7"/>
      <c r="UAA19" s="7"/>
      <c r="UAB19" s="7"/>
      <c r="UAC19" s="7"/>
      <c r="UAD19" s="7"/>
      <c r="UAE19" s="7"/>
      <c r="UAF19" s="7"/>
      <c r="UAG19" s="7"/>
      <c r="UAH19" s="7"/>
      <c r="UAI19" s="7"/>
      <c r="UAJ19" s="7"/>
      <c r="UAK19" s="7"/>
      <c r="UAL19" s="7"/>
      <c r="UAM19" s="7"/>
      <c r="UAN19" s="7"/>
      <c r="UAO19" s="7"/>
      <c r="UAP19" s="7"/>
      <c r="UAQ19" s="7"/>
      <c r="UAR19" s="7"/>
      <c r="UAS19" s="7"/>
      <c r="UAT19" s="7"/>
      <c r="UAU19" s="7"/>
      <c r="UAV19" s="7"/>
      <c r="UAW19" s="7"/>
      <c r="UAX19" s="7"/>
      <c r="UAY19" s="7"/>
      <c r="UAZ19" s="7"/>
      <c r="UBA19" s="7"/>
      <c r="UBB19" s="7"/>
      <c r="UBC19" s="7"/>
      <c r="UBD19" s="7"/>
      <c r="UBE19" s="7"/>
      <c r="UBF19" s="7"/>
      <c r="UBG19" s="7"/>
      <c r="UBH19" s="7"/>
      <c r="UBI19" s="7"/>
      <c r="UBJ19" s="7"/>
      <c r="UBK19" s="7"/>
      <c r="UBL19" s="7"/>
      <c r="UBM19" s="7"/>
      <c r="UBN19" s="7"/>
      <c r="UBO19" s="7"/>
      <c r="UBP19" s="7"/>
      <c r="UBQ19" s="7"/>
      <c r="UBR19" s="7"/>
      <c r="UBS19" s="7"/>
      <c r="UBT19" s="7"/>
      <c r="UBU19" s="7"/>
      <c r="UBV19" s="7"/>
      <c r="UBW19" s="7"/>
      <c r="UBX19" s="7"/>
      <c r="UBY19" s="7"/>
      <c r="UBZ19" s="7"/>
      <c r="UCA19" s="7"/>
      <c r="UCB19" s="7"/>
      <c r="UCC19" s="7"/>
      <c r="UCD19" s="7"/>
      <c r="UCE19" s="7"/>
      <c r="UCF19" s="7"/>
      <c r="UCG19" s="7"/>
      <c r="UCH19" s="7"/>
      <c r="UCI19" s="7"/>
      <c r="UCJ19" s="7"/>
      <c r="UCK19" s="7"/>
      <c r="UCL19" s="7"/>
      <c r="UCM19" s="7"/>
      <c r="UCN19" s="7"/>
      <c r="UCO19" s="7"/>
      <c r="UCP19" s="7"/>
      <c r="UCQ19" s="7"/>
      <c r="UCR19" s="7"/>
      <c r="UCS19" s="7"/>
      <c r="UCT19" s="7"/>
      <c r="UCU19" s="7"/>
      <c r="UCV19" s="7"/>
      <c r="UCW19" s="7"/>
      <c r="UCX19" s="7"/>
      <c r="UCY19" s="7"/>
      <c r="UCZ19" s="7"/>
      <c r="UDA19" s="7"/>
      <c r="UDB19" s="7"/>
      <c r="UDC19" s="7"/>
      <c r="UDD19" s="7"/>
      <c r="UDE19" s="7"/>
      <c r="UDF19" s="7"/>
      <c r="UDG19" s="7"/>
      <c r="UDH19" s="7"/>
      <c r="UDI19" s="7"/>
      <c r="UDJ19" s="7"/>
      <c r="UDK19" s="7"/>
      <c r="UDL19" s="7"/>
      <c r="UDM19" s="7"/>
      <c r="UDN19" s="7"/>
      <c r="UDO19" s="7"/>
      <c r="UDP19" s="7"/>
      <c r="UDQ19" s="7"/>
      <c r="UDR19" s="7"/>
      <c r="UDS19" s="7"/>
      <c r="UDT19" s="7"/>
      <c r="UDU19" s="7"/>
      <c r="UDV19" s="7"/>
      <c r="UDW19" s="7"/>
      <c r="UDX19" s="7"/>
      <c r="UDY19" s="7"/>
      <c r="UDZ19" s="7"/>
      <c r="UEA19" s="7"/>
      <c r="UEB19" s="7"/>
      <c r="UEC19" s="7"/>
      <c r="UED19" s="7"/>
      <c r="UEE19" s="7"/>
      <c r="UEF19" s="7"/>
      <c r="UEG19" s="7"/>
      <c r="UEH19" s="7"/>
      <c r="UEI19" s="7"/>
      <c r="UEJ19" s="7"/>
      <c r="UEK19" s="7"/>
      <c r="UEL19" s="7"/>
      <c r="UEM19" s="7"/>
      <c r="UEN19" s="7"/>
      <c r="UEO19" s="7"/>
      <c r="UEP19" s="7"/>
      <c r="UEQ19" s="7"/>
      <c r="UER19" s="7"/>
      <c r="UES19" s="7"/>
      <c r="UET19" s="7"/>
      <c r="UEU19" s="7"/>
      <c r="UEV19" s="7"/>
      <c r="UEW19" s="7"/>
      <c r="UEX19" s="7"/>
      <c r="UEY19" s="7"/>
      <c r="UEZ19" s="7"/>
      <c r="UFA19" s="7"/>
      <c r="UFB19" s="7"/>
      <c r="UFC19" s="7"/>
      <c r="UFD19" s="7"/>
      <c r="UFE19" s="7"/>
      <c r="UFF19" s="7"/>
      <c r="UFG19" s="7"/>
      <c r="UFH19" s="7"/>
      <c r="UFI19" s="7"/>
      <c r="UFJ19" s="7"/>
      <c r="UFK19" s="7"/>
      <c r="UFL19" s="7"/>
      <c r="UFM19" s="7"/>
      <c r="UFN19" s="7"/>
      <c r="UFO19" s="7"/>
      <c r="UFP19" s="7"/>
      <c r="UFQ19" s="7"/>
      <c r="UFR19" s="7"/>
      <c r="UFS19" s="7"/>
      <c r="UFT19" s="7"/>
      <c r="UFU19" s="7"/>
      <c r="UFV19" s="7"/>
      <c r="UFW19" s="7"/>
      <c r="UFX19" s="7"/>
      <c r="UFY19" s="7"/>
      <c r="UFZ19" s="7"/>
      <c r="UGA19" s="7"/>
      <c r="UGB19" s="7"/>
      <c r="UGC19" s="7"/>
      <c r="UGD19" s="7"/>
      <c r="UGE19" s="7"/>
      <c r="UGF19" s="7"/>
      <c r="UGG19" s="7"/>
      <c r="UGH19" s="7"/>
      <c r="UGI19" s="7"/>
      <c r="UGJ19" s="7"/>
      <c r="UGK19" s="7"/>
      <c r="UGL19" s="7"/>
      <c r="UGM19" s="7"/>
      <c r="UGN19" s="7"/>
      <c r="UGO19" s="7"/>
      <c r="UGP19" s="7"/>
      <c r="UGQ19" s="7"/>
      <c r="UGR19" s="7"/>
      <c r="UGS19" s="7"/>
      <c r="UGT19" s="7"/>
      <c r="UGU19" s="7"/>
      <c r="UGV19" s="7"/>
      <c r="UGW19" s="7"/>
      <c r="UGX19" s="7"/>
      <c r="UGY19" s="7"/>
      <c r="UGZ19" s="7"/>
      <c r="UHA19" s="7"/>
      <c r="UHB19" s="7"/>
      <c r="UHC19" s="7"/>
      <c r="UHD19" s="7"/>
      <c r="UHE19" s="7"/>
      <c r="UHF19" s="7"/>
      <c r="UHG19" s="7"/>
      <c r="UHH19" s="7"/>
      <c r="UHI19" s="7"/>
      <c r="UHJ19" s="7"/>
      <c r="UHK19" s="7"/>
      <c r="UHL19" s="7"/>
      <c r="UHM19" s="7"/>
      <c r="UHN19" s="7"/>
      <c r="UHO19" s="7"/>
      <c r="UHP19" s="7"/>
      <c r="UHQ19" s="7"/>
      <c r="UHR19" s="7"/>
      <c r="UHS19" s="7"/>
      <c r="UHT19" s="7"/>
      <c r="UHU19" s="7"/>
      <c r="UHV19" s="7"/>
      <c r="UHW19" s="7"/>
      <c r="UHX19" s="7"/>
      <c r="UHY19" s="7"/>
      <c r="UHZ19" s="7"/>
      <c r="UIA19" s="7"/>
      <c r="UIB19" s="7"/>
      <c r="UIC19" s="7"/>
      <c r="UID19" s="7"/>
      <c r="UIE19" s="7"/>
      <c r="UIF19" s="7"/>
      <c r="UIG19" s="7"/>
      <c r="UIH19" s="7"/>
      <c r="UII19" s="7"/>
      <c r="UIJ19" s="7"/>
      <c r="UIK19" s="7"/>
      <c r="UIL19" s="7"/>
      <c r="UIM19" s="7"/>
      <c r="UIN19" s="7"/>
      <c r="UIO19" s="7"/>
      <c r="UIP19" s="7"/>
      <c r="UIQ19" s="7"/>
      <c r="UIR19" s="7"/>
      <c r="UIS19" s="7"/>
      <c r="UIT19" s="7"/>
      <c r="UIU19" s="7"/>
      <c r="UIV19" s="7"/>
      <c r="UIW19" s="7"/>
      <c r="UIX19" s="7"/>
      <c r="UIY19" s="7"/>
      <c r="UIZ19" s="7"/>
      <c r="UJA19" s="7"/>
      <c r="UJB19" s="7"/>
      <c r="UJC19" s="7"/>
      <c r="UJD19" s="7"/>
      <c r="UJE19" s="7"/>
      <c r="UJF19" s="7"/>
      <c r="UJG19" s="7"/>
      <c r="UJH19" s="7"/>
      <c r="UJI19" s="7"/>
      <c r="UJJ19" s="7"/>
      <c r="UJK19" s="7"/>
      <c r="UJL19" s="7"/>
      <c r="UJM19" s="7"/>
      <c r="UJN19" s="7"/>
      <c r="UJO19" s="7"/>
      <c r="UJP19" s="7"/>
      <c r="UJQ19" s="7"/>
      <c r="UJR19" s="7"/>
      <c r="UJS19" s="7"/>
      <c r="UJT19" s="7"/>
      <c r="UJU19" s="7"/>
      <c r="UJV19" s="7"/>
      <c r="UJW19" s="7"/>
      <c r="UJX19" s="7"/>
      <c r="UJY19" s="7"/>
      <c r="UJZ19" s="7"/>
      <c r="UKA19" s="7"/>
      <c r="UKB19" s="7"/>
      <c r="UKC19" s="7"/>
      <c r="UKD19" s="7"/>
      <c r="UKE19" s="7"/>
      <c r="UKF19" s="7"/>
      <c r="UKG19" s="7"/>
      <c r="UKH19" s="7"/>
      <c r="UKI19" s="7"/>
      <c r="UKJ19" s="7"/>
      <c r="UKK19" s="7"/>
      <c r="UKL19" s="7"/>
      <c r="UKM19" s="7"/>
      <c r="UKN19" s="7"/>
      <c r="UKO19" s="7"/>
      <c r="UKP19" s="7"/>
      <c r="UKQ19" s="7"/>
      <c r="UKR19" s="7"/>
      <c r="UKS19" s="7"/>
      <c r="UKT19" s="7"/>
      <c r="UKU19" s="7"/>
      <c r="UKV19" s="7"/>
      <c r="UKW19" s="7"/>
      <c r="UKX19" s="7"/>
      <c r="UKY19" s="7"/>
      <c r="UKZ19" s="7"/>
      <c r="ULA19" s="7"/>
      <c r="ULB19" s="7"/>
      <c r="ULC19" s="7"/>
      <c r="ULD19" s="7"/>
      <c r="ULE19" s="7"/>
      <c r="ULF19" s="7"/>
      <c r="ULG19" s="7"/>
      <c r="ULH19" s="7"/>
      <c r="ULI19" s="7"/>
      <c r="ULJ19" s="7"/>
      <c r="ULK19" s="7"/>
      <c r="ULL19" s="7"/>
      <c r="ULM19" s="7"/>
      <c r="ULN19" s="7"/>
      <c r="ULO19" s="7"/>
      <c r="ULP19" s="7"/>
      <c r="ULQ19" s="7"/>
      <c r="ULR19" s="7"/>
      <c r="ULS19" s="7"/>
      <c r="ULT19" s="7"/>
      <c r="ULU19" s="7"/>
      <c r="ULV19" s="7"/>
      <c r="ULW19" s="7"/>
      <c r="ULX19" s="7"/>
      <c r="ULY19" s="7"/>
      <c r="ULZ19" s="7"/>
      <c r="UMA19" s="7"/>
      <c r="UMB19" s="7"/>
      <c r="UMC19" s="7"/>
      <c r="UMD19" s="7"/>
      <c r="UME19" s="7"/>
      <c r="UMF19" s="7"/>
      <c r="UMG19" s="7"/>
      <c r="UMH19" s="7"/>
      <c r="UMI19" s="7"/>
      <c r="UMJ19" s="7"/>
      <c r="UMK19" s="7"/>
      <c r="UML19" s="7"/>
      <c r="UMM19" s="7"/>
      <c r="UMN19" s="7"/>
      <c r="UMO19" s="7"/>
      <c r="UMP19" s="7"/>
      <c r="UMQ19" s="7"/>
      <c r="UMR19" s="7"/>
      <c r="UMS19" s="7"/>
      <c r="UMT19" s="7"/>
      <c r="UMU19" s="7"/>
      <c r="UMV19" s="7"/>
      <c r="UMW19" s="7"/>
      <c r="UMX19" s="7"/>
      <c r="UMY19" s="7"/>
      <c r="UMZ19" s="7"/>
      <c r="UNA19" s="7"/>
      <c r="UNB19" s="7"/>
      <c r="UNC19" s="7"/>
      <c r="UND19" s="7"/>
      <c r="UNE19" s="7"/>
      <c r="UNF19" s="7"/>
      <c r="UNG19" s="7"/>
      <c r="UNH19" s="7"/>
      <c r="UNI19" s="7"/>
      <c r="UNJ19" s="7"/>
      <c r="UNK19" s="7"/>
      <c r="UNL19" s="7"/>
      <c r="UNM19" s="7"/>
      <c r="UNN19" s="7"/>
      <c r="UNO19" s="7"/>
      <c r="UNP19" s="7"/>
      <c r="UNQ19" s="7"/>
      <c r="UNR19" s="7"/>
      <c r="UNS19" s="7"/>
      <c r="UNT19" s="7"/>
      <c r="UNU19" s="7"/>
      <c r="UNV19" s="7"/>
      <c r="UNW19" s="7"/>
      <c r="UNX19" s="7"/>
      <c r="UNY19" s="7"/>
      <c r="UNZ19" s="7"/>
      <c r="UOA19" s="7"/>
      <c r="UOB19" s="7"/>
      <c r="UOC19" s="7"/>
      <c r="UOD19" s="7"/>
      <c r="UOE19" s="7"/>
      <c r="UOF19" s="7"/>
      <c r="UOG19" s="7"/>
      <c r="UOH19" s="7"/>
      <c r="UOI19" s="7"/>
      <c r="UOJ19" s="7"/>
      <c r="UOK19" s="7"/>
      <c r="UOL19" s="7"/>
      <c r="UOM19" s="7"/>
      <c r="UON19" s="7"/>
      <c r="UOO19" s="7"/>
      <c r="UOP19" s="7"/>
      <c r="UOQ19" s="7"/>
      <c r="UOR19" s="7"/>
      <c r="UOS19" s="7"/>
      <c r="UOT19" s="7"/>
      <c r="UOU19" s="7"/>
      <c r="UOV19" s="7"/>
      <c r="UOW19" s="7"/>
      <c r="UOX19" s="7"/>
      <c r="UOY19" s="7"/>
      <c r="UOZ19" s="7"/>
      <c r="UPA19" s="7"/>
      <c r="UPB19" s="7"/>
      <c r="UPC19" s="7"/>
      <c r="UPD19" s="7"/>
      <c r="UPE19" s="7"/>
      <c r="UPF19" s="7"/>
      <c r="UPG19" s="7"/>
      <c r="UPH19" s="7"/>
      <c r="UPI19" s="7"/>
      <c r="UPJ19" s="7"/>
      <c r="UPK19" s="7"/>
      <c r="UPL19" s="7"/>
      <c r="UPM19" s="7"/>
      <c r="UPN19" s="7"/>
      <c r="UPO19" s="7"/>
      <c r="UPP19" s="7"/>
      <c r="UPQ19" s="7"/>
      <c r="UPR19" s="7"/>
      <c r="UPS19" s="7"/>
      <c r="UPT19" s="7"/>
      <c r="UPU19" s="7"/>
      <c r="UPV19" s="7"/>
      <c r="UPW19" s="7"/>
      <c r="UPX19" s="7"/>
      <c r="UPY19" s="7"/>
      <c r="UPZ19" s="7"/>
      <c r="UQA19" s="7"/>
      <c r="UQB19" s="7"/>
      <c r="UQC19" s="7"/>
      <c r="UQD19" s="7"/>
      <c r="UQE19" s="7"/>
      <c r="UQF19" s="7"/>
      <c r="UQG19" s="7"/>
      <c r="UQH19" s="7"/>
      <c r="UQI19" s="7"/>
      <c r="UQJ19" s="7"/>
      <c r="UQK19" s="7"/>
      <c r="UQL19" s="7"/>
      <c r="UQM19" s="7"/>
      <c r="UQN19" s="7"/>
      <c r="UQO19" s="7"/>
      <c r="UQP19" s="7"/>
      <c r="UQQ19" s="7"/>
      <c r="UQR19" s="7"/>
      <c r="UQS19" s="7"/>
      <c r="UQT19" s="7"/>
      <c r="UQU19" s="7"/>
      <c r="UQV19" s="7"/>
      <c r="UQW19" s="7"/>
      <c r="UQX19" s="7"/>
      <c r="UQY19" s="7"/>
      <c r="UQZ19" s="7"/>
      <c r="URA19" s="7"/>
      <c r="URB19" s="7"/>
      <c r="URC19" s="7"/>
      <c r="URD19" s="7"/>
      <c r="URE19" s="7"/>
      <c r="URF19" s="7"/>
      <c r="URG19" s="7"/>
      <c r="URH19" s="7"/>
      <c r="URI19" s="7"/>
      <c r="URJ19" s="7"/>
      <c r="URK19" s="7"/>
      <c r="URL19" s="7"/>
      <c r="URM19" s="7"/>
      <c r="URN19" s="7"/>
      <c r="URO19" s="7"/>
      <c r="URP19" s="7"/>
      <c r="URQ19" s="7"/>
      <c r="URR19" s="7"/>
      <c r="URS19" s="7"/>
      <c r="URT19" s="7"/>
      <c r="URU19" s="7"/>
      <c r="URV19" s="7"/>
      <c r="URW19" s="7"/>
      <c r="URX19" s="7"/>
      <c r="URY19" s="7"/>
      <c r="URZ19" s="7"/>
      <c r="USA19" s="7"/>
      <c r="USB19" s="7"/>
      <c r="USC19" s="7"/>
      <c r="USD19" s="7"/>
      <c r="USE19" s="7"/>
      <c r="USF19" s="7"/>
      <c r="USG19" s="7"/>
      <c r="USH19" s="7"/>
      <c r="USI19" s="7"/>
      <c r="USJ19" s="7"/>
      <c r="USK19" s="7"/>
      <c r="USL19" s="7"/>
      <c r="USM19" s="7"/>
      <c r="USN19" s="7"/>
      <c r="USO19" s="7"/>
      <c r="USP19" s="7"/>
      <c r="USQ19" s="7"/>
      <c r="USR19" s="7"/>
      <c r="USS19" s="7"/>
      <c r="UST19" s="7"/>
      <c r="USU19" s="7"/>
      <c r="USV19" s="7"/>
      <c r="USW19" s="7"/>
      <c r="USX19" s="7"/>
      <c r="USY19" s="7"/>
      <c r="USZ19" s="7"/>
      <c r="UTA19" s="7"/>
      <c r="UTB19" s="7"/>
      <c r="UTC19" s="7"/>
      <c r="UTD19" s="7"/>
      <c r="UTE19" s="7"/>
      <c r="UTF19" s="7"/>
      <c r="UTG19" s="7"/>
      <c r="UTH19" s="7"/>
      <c r="UTI19" s="7"/>
      <c r="UTJ19" s="7"/>
      <c r="UTK19" s="7"/>
      <c r="UTL19" s="7"/>
      <c r="UTM19" s="7"/>
      <c r="UTN19" s="7"/>
      <c r="UTO19" s="7"/>
      <c r="UTP19" s="7"/>
      <c r="UTQ19" s="7"/>
      <c r="UTR19" s="7"/>
      <c r="UTS19" s="7"/>
      <c r="UTT19" s="7"/>
      <c r="UTU19" s="7"/>
      <c r="UTV19" s="7"/>
      <c r="UTW19" s="7"/>
      <c r="UTX19" s="7"/>
      <c r="UTY19" s="7"/>
      <c r="UTZ19" s="7"/>
      <c r="UUA19" s="7"/>
      <c r="UUB19" s="7"/>
      <c r="UUC19" s="7"/>
      <c r="UUD19" s="7"/>
      <c r="UUE19" s="7"/>
      <c r="UUF19" s="7"/>
      <c r="UUG19" s="7"/>
      <c r="UUH19" s="7"/>
      <c r="UUI19" s="7"/>
      <c r="UUJ19" s="7"/>
      <c r="UUK19" s="7"/>
      <c r="UUL19" s="7"/>
      <c r="UUM19" s="7"/>
      <c r="UUN19" s="7"/>
      <c r="UUO19" s="7"/>
      <c r="UUP19" s="7"/>
      <c r="UUQ19" s="7"/>
      <c r="UUR19" s="7"/>
      <c r="UUS19" s="7"/>
      <c r="UUT19" s="7"/>
      <c r="UUU19" s="7"/>
      <c r="UUV19" s="7"/>
      <c r="UUW19" s="7"/>
      <c r="UUX19" s="7"/>
      <c r="UUY19" s="7"/>
      <c r="UUZ19" s="7"/>
      <c r="UVA19" s="7"/>
      <c r="UVB19" s="7"/>
      <c r="UVC19" s="7"/>
      <c r="UVD19" s="7"/>
      <c r="UVE19" s="7"/>
      <c r="UVF19" s="7"/>
      <c r="UVG19" s="7"/>
      <c r="UVH19" s="7"/>
      <c r="UVI19" s="7"/>
      <c r="UVJ19" s="7"/>
      <c r="UVK19" s="7"/>
      <c r="UVL19" s="7"/>
      <c r="UVM19" s="7"/>
      <c r="UVN19" s="7"/>
      <c r="UVO19" s="7"/>
      <c r="UVP19" s="7"/>
      <c r="UVQ19" s="7"/>
      <c r="UVR19" s="7"/>
      <c r="UVS19" s="7"/>
      <c r="UVT19" s="7"/>
      <c r="UVU19" s="7"/>
      <c r="UVV19" s="7"/>
      <c r="UVW19" s="7"/>
      <c r="UVX19" s="7"/>
      <c r="UVY19" s="7"/>
      <c r="UVZ19" s="7"/>
      <c r="UWA19" s="7"/>
      <c r="UWB19" s="7"/>
      <c r="UWC19" s="7"/>
      <c r="UWD19" s="7"/>
      <c r="UWE19" s="7"/>
      <c r="UWF19" s="7"/>
      <c r="UWG19" s="7"/>
      <c r="UWH19" s="7"/>
      <c r="UWI19" s="7"/>
      <c r="UWJ19" s="7"/>
      <c r="UWK19" s="7"/>
      <c r="UWL19" s="7"/>
      <c r="UWM19" s="7"/>
      <c r="UWN19" s="7"/>
      <c r="UWO19" s="7"/>
      <c r="UWP19" s="7"/>
      <c r="UWQ19" s="7"/>
      <c r="UWR19" s="7"/>
      <c r="UWS19" s="7"/>
      <c r="UWT19" s="7"/>
      <c r="UWU19" s="7"/>
      <c r="UWV19" s="7"/>
      <c r="UWW19" s="7"/>
      <c r="UWX19" s="7"/>
      <c r="UWY19" s="7"/>
      <c r="UWZ19" s="7"/>
      <c r="UXA19" s="7"/>
      <c r="UXB19" s="7"/>
      <c r="UXC19" s="7"/>
      <c r="UXD19" s="7"/>
      <c r="UXE19" s="7"/>
      <c r="UXF19" s="7"/>
      <c r="UXG19" s="7"/>
      <c r="UXH19" s="7"/>
      <c r="UXI19" s="7"/>
      <c r="UXJ19" s="7"/>
      <c r="UXK19" s="7"/>
      <c r="UXL19" s="7"/>
      <c r="UXM19" s="7"/>
      <c r="UXN19" s="7"/>
      <c r="UXO19" s="7"/>
      <c r="UXP19" s="7"/>
      <c r="UXQ19" s="7"/>
      <c r="UXR19" s="7"/>
      <c r="UXS19" s="7"/>
      <c r="UXT19" s="7"/>
      <c r="UXU19" s="7"/>
      <c r="UXV19" s="7"/>
      <c r="UXW19" s="7"/>
      <c r="UXX19" s="7"/>
      <c r="UXY19" s="7"/>
      <c r="UXZ19" s="7"/>
      <c r="UYA19" s="7"/>
      <c r="UYB19" s="7"/>
      <c r="UYC19" s="7"/>
      <c r="UYD19" s="7"/>
      <c r="UYE19" s="7"/>
      <c r="UYF19" s="7"/>
      <c r="UYG19" s="7"/>
      <c r="UYH19" s="7"/>
      <c r="UYI19" s="7"/>
      <c r="UYJ19" s="7"/>
      <c r="UYK19" s="7"/>
      <c r="UYL19" s="7"/>
      <c r="UYM19" s="7"/>
      <c r="UYN19" s="7"/>
      <c r="UYO19" s="7"/>
      <c r="UYP19" s="7"/>
      <c r="UYQ19" s="7"/>
      <c r="UYR19" s="7"/>
      <c r="UYS19" s="7"/>
      <c r="UYT19" s="7"/>
      <c r="UYU19" s="7"/>
      <c r="UYV19" s="7"/>
      <c r="UYW19" s="7"/>
      <c r="UYX19" s="7"/>
      <c r="UYY19" s="7"/>
      <c r="UYZ19" s="7"/>
      <c r="UZA19" s="7"/>
      <c r="UZB19" s="7"/>
      <c r="UZC19" s="7"/>
      <c r="UZD19" s="7"/>
      <c r="UZE19" s="7"/>
      <c r="UZF19" s="7"/>
      <c r="UZG19" s="7"/>
      <c r="UZH19" s="7"/>
      <c r="UZI19" s="7"/>
      <c r="UZJ19" s="7"/>
      <c r="UZK19" s="7"/>
      <c r="UZL19" s="7"/>
      <c r="UZM19" s="7"/>
      <c r="UZN19" s="7"/>
      <c r="UZO19" s="7"/>
      <c r="UZP19" s="7"/>
      <c r="UZQ19" s="7"/>
      <c r="UZR19" s="7"/>
      <c r="UZS19" s="7"/>
      <c r="UZT19" s="7"/>
      <c r="UZU19" s="7"/>
      <c r="UZV19" s="7"/>
      <c r="UZW19" s="7"/>
      <c r="UZX19" s="7"/>
      <c r="UZY19" s="7"/>
      <c r="UZZ19" s="7"/>
      <c r="VAA19" s="7"/>
      <c r="VAB19" s="7"/>
      <c r="VAC19" s="7"/>
      <c r="VAD19" s="7"/>
      <c r="VAE19" s="7"/>
      <c r="VAF19" s="7"/>
      <c r="VAG19" s="7"/>
      <c r="VAH19" s="7"/>
      <c r="VAI19" s="7"/>
      <c r="VAJ19" s="7"/>
      <c r="VAK19" s="7"/>
      <c r="VAL19" s="7"/>
      <c r="VAM19" s="7"/>
      <c r="VAN19" s="7"/>
      <c r="VAO19" s="7"/>
      <c r="VAP19" s="7"/>
      <c r="VAQ19" s="7"/>
      <c r="VAR19" s="7"/>
      <c r="VAS19" s="7"/>
      <c r="VAT19" s="7"/>
      <c r="VAU19" s="7"/>
      <c r="VAV19" s="7"/>
      <c r="VAW19" s="7"/>
      <c r="VAX19" s="7"/>
      <c r="VAY19" s="7"/>
      <c r="VAZ19" s="7"/>
      <c r="VBA19" s="7"/>
      <c r="VBB19" s="7"/>
      <c r="VBC19" s="7"/>
      <c r="VBD19" s="7"/>
      <c r="VBE19" s="7"/>
      <c r="VBF19" s="7"/>
      <c r="VBG19" s="7"/>
      <c r="VBH19" s="7"/>
      <c r="VBI19" s="7"/>
      <c r="VBJ19" s="7"/>
      <c r="VBK19" s="7"/>
      <c r="VBL19" s="7"/>
      <c r="VBM19" s="7"/>
      <c r="VBN19" s="7"/>
      <c r="VBO19" s="7"/>
      <c r="VBP19" s="7"/>
      <c r="VBQ19" s="7"/>
      <c r="VBR19" s="7"/>
      <c r="VBS19" s="7"/>
      <c r="VBT19" s="7"/>
      <c r="VBU19" s="7"/>
      <c r="VBV19" s="7"/>
      <c r="VBW19" s="7"/>
      <c r="VBX19" s="7"/>
      <c r="VBY19" s="7"/>
      <c r="VBZ19" s="7"/>
      <c r="VCA19" s="7"/>
      <c r="VCB19" s="7"/>
      <c r="VCC19" s="7"/>
      <c r="VCD19" s="7"/>
      <c r="VCE19" s="7"/>
      <c r="VCF19" s="7"/>
      <c r="VCG19" s="7"/>
      <c r="VCH19" s="7"/>
      <c r="VCI19" s="7"/>
      <c r="VCJ19" s="7"/>
      <c r="VCK19" s="7"/>
      <c r="VCL19" s="7"/>
      <c r="VCM19" s="7"/>
      <c r="VCN19" s="7"/>
      <c r="VCO19" s="7"/>
      <c r="VCP19" s="7"/>
      <c r="VCQ19" s="7"/>
      <c r="VCR19" s="7"/>
      <c r="VCS19" s="7"/>
      <c r="VCT19" s="7"/>
      <c r="VCU19" s="7"/>
      <c r="VCV19" s="7"/>
      <c r="VCW19" s="7"/>
      <c r="VCX19" s="7"/>
      <c r="VCY19" s="7"/>
      <c r="VCZ19" s="7"/>
      <c r="VDA19" s="7"/>
      <c r="VDB19" s="7"/>
      <c r="VDC19" s="7"/>
      <c r="VDD19" s="7"/>
      <c r="VDE19" s="7"/>
      <c r="VDF19" s="7"/>
      <c r="VDG19" s="7"/>
      <c r="VDH19" s="7"/>
      <c r="VDI19" s="7"/>
      <c r="VDJ19" s="7"/>
      <c r="VDK19" s="7"/>
      <c r="VDL19" s="7"/>
      <c r="VDM19" s="7"/>
      <c r="VDN19" s="7"/>
      <c r="VDO19" s="7"/>
      <c r="VDP19" s="7"/>
      <c r="VDQ19" s="7"/>
      <c r="VDR19" s="7"/>
      <c r="VDS19" s="7"/>
      <c r="VDT19" s="7"/>
      <c r="VDU19" s="7"/>
      <c r="VDV19" s="7"/>
      <c r="VDW19" s="7"/>
      <c r="VDX19" s="7"/>
      <c r="VDY19" s="7"/>
      <c r="VDZ19" s="7"/>
      <c r="VEA19" s="7"/>
      <c r="VEB19" s="7"/>
      <c r="VEC19" s="7"/>
      <c r="VED19" s="7"/>
      <c r="VEE19" s="7"/>
      <c r="VEF19" s="7"/>
      <c r="VEG19" s="7"/>
      <c r="VEH19" s="7"/>
      <c r="VEI19" s="7"/>
      <c r="VEJ19" s="7"/>
      <c r="VEK19" s="7"/>
      <c r="VEL19" s="7"/>
      <c r="VEM19" s="7"/>
      <c r="VEN19" s="7"/>
      <c r="VEO19" s="7"/>
      <c r="VEP19" s="7"/>
      <c r="VEQ19" s="7"/>
      <c r="VER19" s="7"/>
      <c r="VES19" s="7"/>
      <c r="VET19" s="7"/>
      <c r="VEU19" s="7"/>
      <c r="VEV19" s="7"/>
      <c r="VEW19" s="7"/>
      <c r="VEX19" s="7"/>
      <c r="VEY19" s="7"/>
      <c r="VEZ19" s="7"/>
      <c r="VFA19" s="7"/>
      <c r="VFB19" s="7"/>
      <c r="VFC19" s="7"/>
      <c r="VFD19" s="7"/>
      <c r="VFE19" s="7"/>
      <c r="VFF19" s="7"/>
      <c r="VFG19" s="7"/>
      <c r="VFH19" s="7"/>
      <c r="VFI19" s="7"/>
      <c r="VFJ19" s="7"/>
      <c r="VFK19" s="7"/>
      <c r="VFL19" s="7"/>
      <c r="VFM19" s="7"/>
      <c r="VFN19" s="7"/>
      <c r="VFO19" s="7"/>
      <c r="VFP19" s="7"/>
      <c r="VFQ19" s="7"/>
      <c r="VFR19" s="7"/>
      <c r="VFS19" s="7"/>
      <c r="VFT19" s="7"/>
      <c r="VFU19" s="7"/>
      <c r="VFV19" s="7"/>
      <c r="VFW19" s="7"/>
      <c r="VFX19" s="7"/>
      <c r="VFY19" s="7"/>
      <c r="VFZ19" s="7"/>
      <c r="VGA19" s="7"/>
      <c r="VGB19" s="7"/>
      <c r="VGC19" s="7"/>
      <c r="VGD19" s="7"/>
      <c r="VGE19" s="7"/>
      <c r="VGF19" s="7"/>
      <c r="VGG19" s="7"/>
      <c r="VGH19" s="7"/>
      <c r="VGI19" s="7"/>
      <c r="VGJ19" s="7"/>
      <c r="VGK19" s="7"/>
      <c r="VGL19" s="7"/>
      <c r="VGM19" s="7"/>
      <c r="VGN19" s="7"/>
      <c r="VGO19" s="7"/>
      <c r="VGP19" s="7"/>
      <c r="VGQ19" s="7"/>
      <c r="VGR19" s="7"/>
      <c r="VGS19" s="7"/>
      <c r="VGT19" s="7"/>
      <c r="VGU19" s="7"/>
      <c r="VGV19" s="7"/>
      <c r="VGW19" s="7"/>
      <c r="VGX19" s="7"/>
      <c r="VGY19" s="7"/>
      <c r="VGZ19" s="7"/>
      <c r="VHA19" s="7"/>
      <c r="VHB19" s="7"/>
      <c r="VHC19" s="7"/>
      <c r="VHD19" s="7"/>
      <c r="VHE19" s="7"/>
      <c r="VHF19" s="7"/>
      <c r="VHG19" s="7"/>
      <c r="VHH19" s="7"/>
      <c r="VHI19" s="7"/>
      <c r="VHJ19" s="7"/>
      <c r="VHK19" s="7"/>
      <c r="VHL19" s="7"/>
      <c r="VHM19" s="7"/>
      <c r="VHN19" s="7"/>
      <c r="VHO19" s="7"/>
      <c r="VHP19" s="7"/>
      <c r="VHQ19" s="7"/>
      <c r="VHR19" s="7"/>
      <c r="VHS19" s="7"/>
      <c r="VHT19" s="7"/>
      <c r="VHU19" s="7"/>
      <c r="VHV19" s="7"/>
      <c r="VHW19" s="7"/>
      <c r="VHX19" s="7"/>
      <c r="VHY19" s="7"/>
      <c r="VHZ19" s="7"/>
      <c r="VIA19" s="7"/>
      <c r="VIB19" s="7"/>
      <c r="VIC19" s="7"/>
      <c r="VID19" s="7"/>
      <c r="VIE19" s="7"/>
      <c r="VIF19" s="7"/>
      <c r="VIG19" s="7"/>
      <c r="VIH19" s="7"/>
      <c r="VII19" s="7"/>
      <c r="VIJ19" s="7"/>
      <c r="VIK19" s="7"/>
      <c r="VIL19" s="7"/>
      <c r="VIM19" s="7"/>
      <c r="VIN19" s="7"/>
      <c r="VIO19" s="7"/>
      <c r="VIP19" s="7"/>
      <c r="VIQ19" s="7"/>
      <c r="VIR19" s="7"/>
      <c r="VIS19" s="7"/>
      <c r="VIT19" s="7"/>
      <c r="VIU19" s="7"/>
      <c r="VIV19" s="7"/>
      <c r="VIW19" s="7"/>
      <c r="VIX19" s="7"/>
      <c r="VIY19" s="7"/>
      <c r="VIZ19" s="7"/>
      <c r="VJA19" s="7"/>
      <c r="VJB19" s="7"/>
      <c r="VJC19" s="7"/>
      <c r="VJD19" s="7"/>
      <c r="VJE19" s="7"/>
      <c r="VJF19" s="7"/>
      <c r="VJG19" s="7"/>
      <c r="VJH19" s="7"/>
      <c r="VJI19" s="7"/>
      <c r="VJJ19" s="7"/>
      <c r="VJK19" s="7"/>
      <c r="VJL19" s="7"/>
      <c r="VJM19" s="7"/>
      <c r="VJN19" s="7"/>
      <c r="VJO19" s="7"/>
      <c r="VJP19" s="7"/>
      <c r="VJQ19" s="7"/>
      <c r="VJR19" s="7"/>
      <c r="VJS19" s="7"/>
      <c r="VJT19" s="7"/>
      <c r="VJU19" s="7"/>
      <c r="VJV19" s="7"/>
      <c r="VJW19" s="7"/>
      <c r="VJX19" s="7"/>
      <c r="VJY19" s="7"/>
      <c r="VJZ19" s="7"/>
      <c r="VKA19" s="7"/>
      <c r="VKB19" s="7"/>
      <c r="VKC19" s="7"/>
      <c r="VKD19" s="7"/>
      <c r="VKE19" s="7"/>
      <c r="VKF19" s="7"/>
      <c r="VKG19" s="7"/>
      <c r="VKH19" s="7"/>
      <c r="VKI19" s="7"/>
      <c r="VKJ19" s="7"/>
      <c r="VKK19" s="7"/>
      <c r="VKL19" s="7"/>
      <c r="VKM19" s="7"/>
      <c r="VKN19" s="7"/>
      <c r="VKO19" s="7"/>
      <c r="VKP19" s="7"/>
      <c r="VKQ19" s="7"/>
      <c r="VKR19" s="7"/>
      <c r="VKS19" s="7"/>
      <c r="VKT19" s="7"/>
      <c r="VKU19" s="7"/>
      <c r="VKV19" s="7"/>
      <c r="VKW19" s="7"/>
      <c r="VKX19" s="7"/>
      <c r="VKY19" s="7"/>
      <c r="VKZ19" s="7"/>
      <c r="VLA19" s="7"/>
      <c r="VLB19" s="7"/>
      <c r="VLC19" s="7"/>
      <c r="VLD19" s="7"/>
      <c r="VLE19" s="7"/>
      <c r="VLF19" s="7"/>
      <c r="VLG19" s="7"/>
      <c r="VLH19" s="7"/>
      <c r="VLI19" s="7"/>
      <c r="VLJ19" s="7"/>
      <c r="VLK19" s="7"/>
      <c r="VLL19" s="7"/>
      <c r="VLM19" s="7"/>
      <c r="VLN19" s="7"/>
      <c r="VLO19" s="7"/>
      <c r="VLP19" s="7"/>
      <c r="VLQ19" s="7"/>
      <c r="VLR19" s="7"/>
      <c r="VLS19" s="7"/>
      <c r="VLT19" s="7"/>
      <c r="VLU19" s="7"/>
      <c r="VLV19" s="7"/>
      <c r="VLW19" s="7"/>
      <c r="VLX19" s="7"/>
      <c r="VLY19" s="7"/>
      <c r="VLZ19" s="7"/>
      <c r="VMA19" s="7"/>
      <c r="VMB19" s="7"/>
      <c r="VMC19" s="7"/>
      <c r="VMD19" s="7"/>
      <c r="VME19" s="7"/>
      <c r="VMF19" s="7"/>
      <c r="VMG19" s="7"/>
      <c r="VMH19" s="7"/>
      <c r="VMI19" s="7"/>
      <c r="VMJ19" s="7"/>
      <c r="VMK19" s="7"/>
      <c r="VML19" s="7"/>
      <c r="VMM19" s="7"/>
      <c r="VMN19" s="7"/>
      <c r="VMO19" s="7"/>
      <c r="VMP19" s="7"/>
      <c r="VMQ19" s="7"/>
      <c r="VMR19" s="7"/>
      <c r="VMS19" s="7"/>
      <c r="VMT19" s="7"/>
      <c r="VMU19" s="7"/>
      <c r="VMV19" s="7"/>
      <c r="VMW19" s="7"/>
      <c r="VMX19" s="7"/>
      <c r="VMY19" s="7"/>
      <c r="VMZ19" s="7"/>
      <c r="VNA19" s="7"/>
      <c r="VNB19" s="7"/>
      <c r="VNC19" s="7"/>
      <c r="VND19" s="7"/>
      <c r="VNE19" s="7"/>
      <c r="VNF19" s="7"/>
      <c r="VNG19" s="7"/>
      <c r="VNH19" s="7"/>
      <c r="VNI19" s="7"/>
      <c r="VNJ19" s="7"/>
      <c r="VNK19" s="7"/>
      <c r="VNL19" s="7"/>
      <c r="VNM19" s="7"/>
      <c r="VNN19" s="7"/>
      <c r="VNO19" s="7"/>
      <c r="VNP19" s="7"/>
      <c r="VNQ19" s="7"/>
      <c r="VNR19" s="7"/>
      <c r="VNS19" s="7"/>
      <c r="VNT19" s="7"/>
      <c r="VNU19" s="7"/>
      <c r="VNV19" s="7"/>
      <c r="VNW19" s="7"/>
      <c r="VNX19" s="7"/>
      <c r="VNY19" s="7"/>
      <c r="VNZ19" s="7"/>
      <c r="VOA19" s="7"/>
      <c r="VOB19" s="7"/>
      <c r="VOC19" s="7"/>
      <c r="VOD19" s="7"/>
      <c r="VOE19" s="7"/>
      <c r="VOF19" s="7"/>
      <c r="VOG19" s="7"/>
      <c r="VOH19" s="7"/>
      <c r="VOI19" s="7"/>
      <c r="VOJ19" s="7"/>
      <c r="VOK19" s="7"/>
      <c r="VOL19" s="7"/>
      <c r="VOM19" s="7"/>
      <c r="VON19" s="7"/>
      <c r="VOO19" s="7"/>
      <c r="VOP19" s="7"/>
      <c r="VOQ19" s="7"/>
      <c r="VOR19" s="7"/>
      <c r="VOS19" s="7"/>
      <c r="VOT19" s="7"/>
      <c r="VOU19" s="7"/>
      <c r="VOV19" s="7"/>
      <c r="VOW19" s="7"/>
      <c r="VOX19" s="7"/>
      <c r="VOY19" s="7"/>
      <c r="VOZ19" s="7"/>
      <c r="VPA19" s="7"/>
      <c r="VPB19" s="7"/>
      <c r="VPC19" s="7"/>
      <c r="VPD19" s="7"/>
      <c r="VPE19" s="7"/>
      <c r="VPF19" s="7"/>
      <c r="VPG19" s="7"/>
      <c r="VPH19" s="7"/>
      <c r="VPI19" s="7"/>
      <c r="VPJ19" s="7"/>
      <c r="VPK19" s="7"/>
      <c r="VPL19" s="7"/>
      <c r="VPM19" s="7"/>
      <c r="VPN19" s="7"/>
      <c r="VPO19" s="7"/>
      <c r="VPP19" s="7"/>
      <c r="VPQ19" s="7"/>
      <c r="VPR19" s="7"/>
      <c r="VPS19" s="7"/>
      <c r="VPT19" s="7"/>
      <c r="VPU19" s="7"/>
      <c r="VPV19" s="7"/>
      <c r="VPW19" s="7"/>
      <c r="VPX19" s="7"/>
      <c r="VPY19" s="7"/>
      <c r="VPZ19" s="7"/>
      <c r="VQA19" s="7"/>
      <c r="VQB19" s="7"/>
      <c r="VQC19" s="7"/>
      <c r="VQD19" s="7"/>
      <c r="VQE19" s="7"/>
      <c r="VQF19" s="7"/>
      <c r="VQG19" s="7"/>
      <c r="VQH19" s="7"/>
      <c r="VQI19" s="7"/>
      <c r="VQJ19" s="7"/>
      <c r="VQK19" s="7"/>
      <c r="VQL19" s="7"/>
      <c r="VQM19" s="7"/>
      <c r="VQN19" s="7"/>
      <c r="VQO19" s="7"/>
      <c r="VQP19" s="7"/>
      <c r="VQQ19" s="7"/>
      <c r="VQR19" s="7"/>
      <c r="VQS19" s="7"/>
      <c r="VQT19" s="7"/>
      <c r="VQU19" s="7"/>
      <c r="VQV19" s="7"/>
      <c r="VQW19" s="7"/>
      <c r="VQX19" s="7"/>
      <c r="VQY19" s="7"/>
      <c r="VQZ19" s="7"/>
      <c r="VRA19" s="7"/>
      <c r="VRB19" s="7"/>
      <c r="VRC19" s="7"/>
      <c r="VRD19" s="7"/>
      <c r="VRE19" s="7"/>
      <c r="VRF19" s="7"/>
      <c r="VRG19" s="7"/>
      <c r="VRH19" s="7"/>
      <c r="VRI19" s="7"/>
      <c r="VRJ19" s="7"/>
      <c r="VRK19" s="7"/>
      <c r="VRL19" s="7"/>
      <c r="VRM19" s="7"/>
      <c r="VRN19" s="7"/>
      <c r="VRO19" s="7"/>
      <c r="VRP19" s="7"/>
      <c r="VRQ19" s="7"/>
      <c r="VRR19" s="7"/>
      <c r="VRS19" s="7"/>
      <c r="VRT19" s="7"/>
      <c r="VRU19" s="7"/>
      <c r="VRV19" s="7"/>
      <c r="VRW19" s="7"/>
      <c r="VRX19" s="7"/>
      <c r="VRY19" s="7"/>
      <c r="VRZ19" s="7"/>
      <c r="VSA19" s="7"/>
      <c r="VSB19" s="7"/>
      <c r="VSC19" s="7"/>
      <c r="VSD19" s="7"/>
      <c r="VSE19" s="7"/>
      <c r="VSF19" s="7"/>
      <c r="VSG19" s="7"/>
      <c r="VSH19" s="7"/>
      <c r="VSI19" s="7"/>
      <c r="VSJ19" s="7"/>
      <c r="VSK19" s="7"/>
      <c r="VSL19" s="7"/>
      <c r="VSM19" s="7"/>
      <c r="VSN19" s="7"/>
      <c r="VSO19" s="7"/>
      <c r="VSP19" s="7"/>
      <c r="VSQ19" s="7"/>
      <c r="VSR19" s="7"/>
      <c r="VSS19" s="7"/>
      <c r="VST19" s="7"/>
      <c r="VSU19" s="7"/>
      <c r="VSV19" s="7"/>
      <c r="VSW19" s="7"/>
      <c r="VSX19" s="7"/>
      <c r="VSY19" s="7"/>
      <c r="VSZ19" s="7"/>
      <c r="VTA19" s="7"/>
      <c r="VTB19" s="7"/>
      <c r="VTC19" s="7"/>
      <c r="VTD19" s="7"/>
      <c r="VTE19" s="7"/>
      <c r="VTF19" s="7"/>
      <c r="VTG19" s="7"/>
      <c r="VTH19" s="7"/>
      <c r="VTI19" s="7"/>
      <c r="VTJ19" s="7"/>
      <c r="VTK19" s="7"/>
      <c r="VTL19" s="7"/>
      <c r="VTM19" s="7"/>
      <c r="VTN19" s="7"/>
      <c r="VTO19" s="7"/>
      <c r="VTP19" s="7"/>
      <c r="VTQ19" s="7"/>
      <c r="VTR19" s="7"/>
      <c r="VTS19" s="7"/>
      <c r="VTT19" s="7"/>
      <c r="VTU19" s="7"/>
      <c r="VTV19" s="7"/>
      <c r="VTW19" s="7"/>
      <c r="VTX19" s="7"/>
      <c r="VTY19" s="7"/>
      <c r="VTZ19" s="7"/>
      <c r="VUA19" s="7"/>
      <c r="VUB19" s="7"/>
      <c r="VUC19" s="7"/>
      <c r="VUD19" s="7"/>
      <c r="VUE19" s="7"/>
      <c r="VUF19" s="7"/>
      <c r="VUG19" s="7"/>
      <c r="VUH19" s="7"/>
      <c r="VUI19" s="7"/>
      <c r="VUJ19" s="7"/>
      <c r="VUK19" s="7"/>
      <c r="VUL19" s="7"/>
      <c r="VUM19" s="7"/>
      <c r="VUN19" s="7"/>
      <c r="VUO19" s="7"/>
      <c r="VUP19" s="7"/>
      <c r="VUQ19" s="7"/>
      <c r="VUR19" s="7"/>
      <c r="VUS19" s="7"/>
      <c r="VUT19" s="7"/>
      <c r="VUU19" s="7"/>
      <c r="VUV19" s="7"/>
      <c r="VUW19" s="7"/>
      <c r="VUX19" s="7"/>
      <c r="VUY19" s="7"/>
      <c r="VUZ19" s="7"/>
      <c r="VVA19" s="7"/>
      <c r="VVB19" s="7"/>
      <c r="VVC19" s="7"/>
      <c r="VVD19" s="7"/>
      <c r="VVE19" s="7"/>
      <c r="VVF19" s="7"/>
      <c r="VVG19" s="7"/>
      <c r="VVH19" s="7"/>
      <c r="VVI19" s="7"/>
      <c r="VVJ19" s="7"/>
      <c r="VVK19" s="7"/>
      <c r="VVL19" s="7"/>
      <c r="VVM19" s="7"/>
      <c r="VVN19" s="7"/>
      <c r="VVO19" s="7"/>
      <c r="VVP19" s="7"/>
      <c r="VVQ19" s="7"/>
      <c r="VVR19" s="7"/>
      <c r="VVS19" s="7"/>
      <c r="VVT19" s="7"/>
      <c r="VVU19" s="7"/>
      <c r="VVV19" s="7"/>
      <c r="VVW19" s="7"/>
      <c r="VVX19" s="7"/>
      <c r="VVY19" s="7"/>
      <c r="VVZ19" s="7"/>
      <c r="VWA19" s="7"/>
      <c r="VWB19" s="7"/>
      <c r="VWC19" s="7"/>
      <c r="VWD19" s="7"/>
      <c r="VWE19" s="7"/>
      <c r="VWF19" s="7"/>
      <c r="VWG19" s="7"/>
      <c r="VWH19" s="7"/>
      <c r="VWI19" s="7"/>
      <c r="VWJ19" s="7"/>
      <c r="VWK19" s="7"/>
      <c r="VWL19" s="7"/>
      <c r="VWM19" s="7"/>
      <c r="VWN19" s="7"/>
      <c r="VWO19" s="7"/>
      <c r="VWP19" s="7"/>
      <c r="VWQ19" s="7"/>
      <c r="VWR19" s="7"/>
      <c r="VWS19" s="7"/>
      <c r="VWT19" s="7"/>
      <c r="VWU19" s="7"/>
      <c r="VWV19" s="7"/>
      <c r="VWW19" s="7"/>
      <c r="VWX19" s="7"/>
      <c r="VWY19" s="7"/>
      <c r="VWZ19" s="7"/>
      <c r="VXA19" s="7"/>
      <c r="VXB19" s="7"/>
      <c r="VXC19" s="7"/>
      <c r="VXD19" s="7"/>
      <c r="VXE19" s="7"/>
      <c r="VXF19" s="7"/>
      <c r="VXG19" s="7"/>
      <c r="VXH19" s="7"/>
      <c r="VXI19" s="7"/>
      <c r="VXJ19" s="7"/>
      <c r="VXK19" s="7"/>
      <c r="VXL19" s="7"/>
      <c r="VXM19" s="7"/>
      <c r="VXN19" s="7"/>
      <c r="VXO19" s="7"/>
      <c r="VXP19" s="7"/>
      <c r="VXQ19" s="7"/>
      <c r="VXR19" s="7"/>
      <c r="VXS19" s="7"/>
      <c r="VXT19" s="7"/>
      <c r="VXU19" s="7"/>
      <c r="VXV19" s="7"/>
      <c r="VXW19" s="7"/>
      <c r="VXX19" s="7"/>
      <c r="VXY19" s="7"/>
      <c r="VXZ19" s="7"/>
      <c r="VYA19" s="7"/>
      <c r="VYB19" s="7"/>
      <c r="VYC19" s="7"/>
      <c r="VYD19" s="7"/>
      <c r="VYE19" s="7"/>
      <c r="VYF19" s="7"/>
      <c r="VYG19" s="7"/>
      <c r="VYH19" s="7"/>
      <c r="VYI19" s="7"/>
      <c r="VYJ19" s="7"/>
      <c r="VYK19" s="7"/>
      <c r="VYL19" s="7"/>
      <c r="VYM19" s="7"/>
      <c r="VYN19" s="7"/>
      <c r="VYO19" s="7"/>
      <c r="VYP19" s="7"/>
      <c r="VYQ19" s="7"/>
      <c r="VYR19" s="7"/>
      <c r="VYS19" s="7"/>
      <c r="VYT19" s="7"/>
      <c r="VYU19" s="7"/>
      <c r="VYV19" s="7"/>
      <c r="VYW19" s="7"/>
      <c r="VYX19" s="7"/>
      <c r="VYY19" s="7"/>
      <c r="VYZ19" s="7"/>
      <c r="VZA19" s="7"/>
      <c r="VZB19" s="7"/>
      <c r="VZC19" s="7"/>
      <c r="VZD19" s="7"/>
      <c r="VZE19" s="7"/>
      <c r="VZF19" s="7"/>
      <c r="VZG19" s="7"/>
      <c r="VZH19" s="7"/>
      <c r="VZI19" s="7"/>
      <c r="VZJ19" s="7"/>
      <c r="VZK19" s="7"/>
      <c r="VZL19" s="7"/>
      <c r="VZM19" s="7"/>
      <c r="VZN19" s="7"/>
      <c r="VZO19" s="7"/>
      <c r="VZP19" s="7"/>
      <c r="VZQ19" s="7"/>
      <c r="VZR19" s="7"/>
      <c r="VZS19" s="7"/>
      <c r="VZT19" s="7"/>
      <c r="VZU19" s="7"/>
      <c r="VZV19" s="7"/>
      <c r="VZW19" s="7"/>
      <c r="VZX19" s="7"/>
      <c r="VZY19" s="7"/>
      <c r="VZZ19" s="7"/>
      <c r="WAA19" s="7"/>
      <c r="WAB19" s="7"/>
      <c r="WAC19" s="7"/>
      <c r="WAD19" s="7"/>
      <c r="WAE19" s="7"/>
      <c r="WAF19" s="7"/>
      <c r="WAG19" s="7"/>
      <c r="WAH19" s="7"/>
      <c r="WAI19" s="7"/>
      <c r="WAJ19" s="7"/>
      <c r="WAK19" s="7"/>
      <c r="WAL19" s="7"/>
      <c r="WAM19" s="7"/>
      <c r="WAN19" s="7"/>
      <c r="WAO19" s="7"/>
      <c r="WAP19" s="7"/>
      <c r="WAQ19" s="7"/>
      <c r="WAR19" s="7"/>
      <c r="WAS19" s="7"/>
      <c r="WAT19" s="7"/>
      <c r="WAU19" s="7"/>
      <c r="WAV19" s="7"/>
      <c r="WAW19" s="7"/>
      <c r="WAX19" s="7"/>
      <c r="WAY19" s="7"/>
      <c r="WAZ19" s="7"/>
      <c r="WBA19" s="7"/>
      <c r="WBB19" s="7"/>
      <c r="WBC19" s="7"/>
      <c r="WBD19" s="7"/>
      <c r="WBE19" s="7"/>
      <c r="WBF19" s="7"/>
      <c r="WBG19" s="7"/>
      <c r="WBH19" s="7"/>
      <c r="WBI19" s="7"/>
      <c r="WBJ19" s="7"/>
      <c r="WBK19" s="7"/>
      <c r="WBL19" s="7"/>
      <c r="WBM19" s="7"/>
      <c r="WBN19" s="7"/>
      <c r="WBO19" s="7"/>
      <c r="WBP19" s="7"/>
      <c r="WBQ19" s="7"/>
      <c r="WBR19" s="7"/>
      <c r="WBS19" s="7"/>
      <c r="WBT19" s="7"/>
      <c r="WBU19" s="7"/>
      <c r="WBV19" s="7"/>
      <c r="WBW19" s="7"/>
      <c r="WBX19" s="7"/>
      <c r="WBY19" s="7"/>
      <c r="WBZ19" s="7"/>
      <c r="WCA19" s="7"/>
      <c r="WCB19" s="7"/>
      <c r="WCC19" s="7"/>
      <c r="WCD19" s="7"/>
      <c r="WCE19" s="7"/>
      <c r="WCF19" s="7"/>
      <c r="WCG19" s="7"/>
      <c r="WCH19" s="7"/>
      <c r="WCI19" s="7"/>
      <c r="WCJ19" s="7"/>
      <c r="WCK19" s="7"/>
      <c r="WCL19" s="7"/>
      <c r="WCM19" s="7"/>
      <c r="WCN19" s="7"/>
      <c r="WCO19" s="7"/>
      <c r="WCP19" s="7"/>
      <c r="WCQ19" s="7"/>
      <c r="WCR19" s="7"/>
      <c r="WCS19" s="7"/>
      <c r="WCT19" s="7"/>
      <c r="WCU19" s="7"/>
      <c r="WCV19" s="7"/>
      <c r="WCW19" s="7"/>
      <c r="WCX19" s="7"/>
      <c r="WCY19" s="7"/>
      <c r="WCZ19" s="7"/>
      <c r="WDA19" s="7"/>
      <c r="WDB19" s="7"/>
      <c r="WDC19" s="7"/>
      <c r="WDD19" s="7"/>
      <c r="WDE19" s="7"/>
      <c r="WDF19" s="7"/>
      <c r="WDG19" s="7"/>
      <c r="WDH19" s="7"/>
      <c r="WDI19" s="7"/>
      <c r="WDJ19" s="7"/>
      <c r="WDK19" s="7"/>
      <c r="WDL19" s="7"/>
      <c r="WDM19" s="7"/>
      <c r="WDN19" s="7"/>
      <c r="WDO19" s="7"/>
      <c r="WDP19" s="7"/>
      <c r="WDQ19" s="7"/>
      <c r="WDR19" s="7"/>
      <c r="WDS19" s="7"/>
      <c r="WDT19" s="7"/>
      <c r="WDU19" s="7"/>
      <c r="WDV19" s="7"/>
      <c r="WDW19" s="7"/>
      <c r="WDX19" s="7"/>
      <c r="WDY19" s="7"/>
      <c r="WDZ19" s="7"/>
      <c r="WEA19" s="7"/>
      <c r="WEB19" s="7"/>
      <c r="WEC19" s="7"/>
      <c r="WED19" s="7"/>
      <c r="WEE19" s="7"/>
      <c r="WEF19" s="7"/>
      <c r="WEG19" s="7"/>
      <c r="WEH19" s="7"/>
      <c r="WEI19" s="7"/>
      <c r="WEJ19" s="7"/>
      <c r="WEK19" s="7"/>
      <c r="WEL19" s="7"/>
      <c r="WEM19" s="7"/>
      <c r="WEN19" s="7"/>
      <c r="WEO19" s="7"/>
      <c r="WEP19" s="7"/>
      <c r="WEQ19" s="7"/>
      <c r="WER19" s="7"/>
      <c r="WES19" s="7"/>
      <c r="WET19" s="7"/>
      <c r="WEU19" s="7"/>
      <c r="WEV19" s="7"/>
      <c r="WEW19" s="7"/>
      <c r="WEX19" s="7"/>
      <c r="WEY19" s="7"/>
      <c r="WEZ19" s="7"/>
      <c r="WFA19" s="7"/>
      <c r="WFB19" s="7"/>
      <c r="WFC19" s="7"/>
      <c r="WFD19" s="7"/>
      <c r="WFE19" s="7"/>
      <c r="WFF19" s="7"/>
      <c r="WFG19" s="7"/>
      <c r="WFH19" s="7"/>
      <c r="WFI19" s="7"/>
      <c r="WFJ19" s="7"/>
      <c r="WFK19" s="7"/>
      <c r="WFL19" s="7"/>
      <c r="WFM19" s="7"/>
      <c r="WFN19" s="7"/>
      <c r="WFO19" s="7"/>
      <c r="WFP19" s="7"/>
      <c r="WFQ19" s="7"/>
      <c r="WFR19" s="7"/>
      <c r="WFS19" s="7"/>
      <c r="WFT19" s="7"/>
      <c r="WFU19" s="7"/>
      <c r="WFV19" s="7"/>
      <c r="WFW19" s="7"/>
      <c r="WFX19" s="7"/>
      <c r="WFY19" s="7"/>
      <c r="WFZ19" s="7"/>
      <c r="WGA19" s="7"/>
      <c r="WGB19" s="7"/>
      <c r="WGC19" s="7"/>
      <c r="WGD19" s="7"/>
      <c r="WGE19" s="7"/>
      <c r="WGF19" s="7"/>
      <c r="WGG19" s="7"/>
      <c r="WGH19" s="7"/>
      <c r="WGI19" s="7"/>
      <c r="WGJ19" s="7"/>
      <c r="WGK19" s="7"/>
      <c r="WGL19" s="7"/>
      <c r="WGM19" s="7"/>
      <c r="WGN19" s="7"/>
      <c r="WGO19" s="7"/>
      <c r="WGP19" s="7"/>
      <c r="WGQ19" s="7"/>
      <c r="WGR19" s="7"/>
      <c r="WGS19" s="7"/>
      <c r="WGT19" s="7"/>
      <c r="WGU19" s="7"/>
      <c r="WGV19" s="7"/>
      <c r="WGW19" s="7"/>
      <c r="WGX19" s="7"/>
      <c r="WGY19" s="7"/>
      <c r="WGZ19" s="7"/>
      <c r="WHA19" s="7"/>
      <c r="WHB19" s="7"/>
      <c r="WHC19" s="7"/>
      <c r="WHD19" s="7"/>
      <c r="WHE19" s="7"/>
      <c r="WHF19" s="7"/>
      <c r="WHG19" s="7"/>
      <c r="WHH19" s="7"/>
      <c r="WHI19" s="7"/>
      <c r="WHJ19" s="7"/>
      <c r="WHK19" s="7"/>
      <c r="WHL19" s="7"/>
      <c r="WHM19" s="7"/>
      <c r="WHN19" s="7"/>
      <c r="WHO19" s="7"/>
      <c r="WHP19" s="7"/>
      <c r="WHQ19" s="7"/>
      <c r="WHR19" s="7"/>
      <c r="WHS19" s="7"/>
      <c r="WHT19" s="7"/>
      <c r="WHU19" s="7"/>
      <c r="WHV19" s="7"/>
      <c r="WHW19" s="7"/>
      <c r="WHX19" s="7"/>
      <c r="WHY19" s="7"/>
      <c r="WHZ19" s="7"/>
      <c r="WIA19" s="7"/>
      <c r="WIB19" s="7"/>
      <c r="WIC19" s="7"/>
      <c r="WID19" s="7"/>
      <c r="WIE19" s="7"/>
      <c r="WIF19" s="7"/>
      <c r="WIG19" s="7"/>
      <c r="WIH19" s="7"/>
      <c r="WII19" s="7"/>
      <c r="WIJ19" s="7"/>
      <c r="WIK19" s="7"/>
      <c r="WIL19" s="7"/>
      <c r="WIM19" s="7"/>
      <c r="WIN19" s="7"/>
      <c r="WIO19" s="7"/>
      <c r="WIP19" s="7"/>
      <c r="WIQ19" s="7"/>
      <c r="WIR19" s="7"/>
      <c r="WIS19" s="7"/>
      <c r="WIT19" s="7"/>
      <c r="WIU19" s="7"/>
      <c r="WIV19" s="7"/>
      <c r="WIW19" s="7"/>
      <c r="WIX19" s="7"/>
      <c r="WIY19" s="7"/>
      <c r="WIZ19" s="7"/>
      <c r="WJA19" s="7"/>
      <c r="WJB19" s="7"/>
      <c r="WJC19" s="7"/>
      <c r="WJD19" s="7"/>
      <c r="WJE19" s="7"/>
      <c r="WJF19" s="7"/>
      <c r="WJG19" s="7"/>
      <c r="WJH19" s="7"/>
      <c r="WJI19" s="7"/>
      <c r="WJJ19" s="7"/>
      <c r="WJK19" s="7"/>
      <c r="WJL19" s="7"/>
      <c r="WJM19" s="7"/>
      <c r="WJN19" s="7"/>
      <c r="WJO19" s="7"/>
      <c r="WJP19" s="7"/>
      <c r="WJQ19" s="7"/>
      <c r="WJR19" s="7"/>
      <c r="WJS19" s="7"/>
      <c r="WJT19" s="7"/>
      <c r="WJU19" s="7"/>
      <c r="WJV19" s="7"/>
      <c r="WJW19" s="7"/>
      <c r="WJX19" s="7"/>
      <c r="WJY19" s="7"/>
      <c r="WJZ19" s="7"/>
      <c r="WKA19" s="7"/>
      <c r="WKB19" s="7"/>
      <c r="WKC19" s="7"/>
      <c r="WKD19" s="7"/>
      <c r="WKE19" s="7"/>
      <c r="WKF19" s="7"/>
      <c r="WKG19" s="7"/>
      <c r="WKH19" s="7"/>
      <c r="WKI19" s="7"/>
      <c r="WKJ19" s="7"/>
      <c r="WKK19" s="7"/>
      <c r="WKL19" s="7"/>
      <c r="WKM19" s="7"/>
      <c r="WKN19" s="7"/>
      <c r="WKO19" s="7"/>
      <c r="WKP19" s="7"/>
      <c r="WKQ19" s="7"/>
      <c r="WKR19" s="7"/>
      <c r="WKS19" s="7"/>
      <c r="WKT19" s="7"/>
      <c r="WKU19" s="7"/>
      <c r="WKV19" s="7"/>
      <c r="WKW19" s="7"/>
      <c r="WKX19" s="7"/>
      <c r="WKY19" s="7"/>
      <c r="WKZ19" s="7"/>
      <c r="WLA19" s="7"/>
      <c r="WLB19" s="7"/>
      <c r="WLC19" s="7"/>
      <c r="WLD19" s="7"/>
      <c r="WLE19" s="7"/>
      <c r="WLF19" s="7"/>
      <c r="WLG19" s="7"/>
      <c r="WLH19" s="7"/>
      <c r="WLI19" s="7"/>
      <c r="WLJ19" s="7"/>
      <c r="WLK19" s="7"/>
      <c r="WLL19" s="7"/>
      <c r="WLM19" s="7"/>
      <c r="WLN19" s="7"/>
      <c r="WLO19" s="7"/>
      <c r="WLP19" s="7"/>
      <c r="WLQ19" s="7"/>
      <c r="WLR19" s="7"/>
      <c r="WLS19" s="7"/>
      <c r="WLT19" s="7"/>
      <c r="WLU19" s="7"/>
      <c r="WLV19" s="7"/>
      <c r="WLW19" s="7"/>
      <c r="WLX19" s="7"/>
      <c r="WLY19" s="7"/>
      <c r="WLZ19" s="7"/>
      <c r="WMA19" s="7"/>
      <c r="WMB19" s="7"/>
      <c r="WMC19" s="7"/>
      <c r="WMD19" s="7"/>
      <c r="WME19" s="7"/>
      <c r="WMF19" s="7"/>
      <c r="WMG19" s="7"/>
      <c r="WMH19" s="7"/>
      <c r="WMI19" s="7"/>
      <c r="WMJ19" s="7"/>
      <c r="WMK19" s="7"/>
      <c r="WML19" s="7"/>
      <c r="WMM19" s="7"/>
      <c r="WMN19" s="7"/>
      <c r="WMO19" s="7"/>
      <c r="WMP19" s="7"/>
      <c r="WMQ19" s="7"/>
      <c r="WMR19" s="7"/>
      <c r="WMS19" s="7"/>
      <c r="WMT19" s="7"/>
      <c r="WMU19" s="7"/>
      <c r="WMV19" s="7"/>
      <c r="WMW19" s="7"/>
      <c r="WMX19" s="7"/>
      <c r="WMY19" s="7"/>
      <c r="WMZ19" s="7"/>
      <c r="WNA19" s="7"/>
      <c r="WNB19" s="7"/>
      <c r="WNC19" s="7"/>
      <c r="WND19" s="7"/>
      <c r="WNE19" s="7"/>
      <c r="WNF19" s="7"/>
      <c r="WNG19" s="7"/>
      <c r="WNH19" s="7"/>
      <c r="WNI19" s="7"/>
      <c r="WNJ19" s="7"/>
      <c r="WNK19" s="7"/>
      <c r="WNL19" s="7"/>
      <c r="WNM19" s="7"/>
      <c r="WNN19" s="7"/>
      <c r="WNO19" s="7"/>
      <c r="WNP19" s="7"/>
      <c r="WNQ19" s="7"/>
      <c r="WNR19" s="7"/>
      <c r="WNS19" s="7"/>
      <c r="WNT19" s="7"/>
      <c r="WNU19" s="7"/>
      <c r="WNV19" s="7"/>
      <c r="WNW19" s="7"/>
      <c r="WNX19" s="7"/>
      <c r="WNY19" s="7"/>
      <c r="WNZ19" s="7"/>
      <c r="WOA19" s="7"/>
      <c r="WOB19" s="7"/>
      <c r="WOC19" s="7"/>
      <c r="WOD19" s="7"/>
      <c r="WOE19" s="7"/>
      <c r="WOF19" s="7"/>
      <c r="WOG19" s="7"/>
      <c r="WOH19" s="7"/>
      <c r="WOI19" s="7"/>
      <c r="WOJ19" s="7"/>
      <c r="WOK19" s="7"/>
      <c r="WOL19" s="7"/>
      <c r="WOM19" s="7"/>
      <c r="WON19" s="7"/>
      <c r="WOO19" s="7"/>
      <c r="WOP19" s="7"/>
      <c r="WOQ19" s="7"/>
      <c r="WOR19" s="7"/>
      <c r="WOS19" s="7"/>
      <c r="WOT19" s="7"/>
      <c r="WOU19" s="7"/>
      <c r="WOV19" s="7"/>
      <c r="WOW19" s="7"/>
      <c r="WOX19" s="7"/>
      <c r="WOY19" s="7"/>
      <c r="WOZ19" s="7"/>
      <c r="WPA19" s="7"/>
      <c r="WPB19" s="7"/>
      <c r="WPC19" s="7"/>
      <c r="WPD19" s="7"/>
      <c r="WPE19" s="7"/>
      <c r="WPF19" s="7"/>
      <c r="WPG19" s="7"/>
      <c r="WPH19" s="7"/>
      <c r="WPI19" s="7"/>
      <c r="WPJ19" s="7"/>
      <c r="WPK19" s="7"/>
      <c r="WPL19" s="7"/>
      <c r="WPM19" s="7"/>
      <c r="WPN19" s="7"/>
      <c r="WPO19" s="7"/>
      <c r="WPP19" s="7"/>
      <c r="WPQ19" s="7"/>
      <c r="WPR19" s="7"/>
      <c r="WPS19" s="7"/>
      <c r="WPT19" s="7"/>
      <c r="WPU19" s="7"/>
      <c r="WPV19" s="7"/>
      <c r="WPW19" s="7"/>
      <c r="WPX19" s="7"/>
      <c r="WPY19" s="7"/>
      <c r="WPZ19" s="7"/>
      <c r="WQA19" s="7"/>
      <c r="WQB19" s="7"/>
      <c r="WQC19" s="7"/>
      <c r="WQD19" s="7"/>
      <c r="WQE19" s="7"/>
      <c r="WQF19" s="7"/>
      <c r="WQG19" s="7"/>
      <c r="WQH19" s="7"/>
      <c r="WQI19" s="7"/>
      <c r="WQJ19" s="7"/>
      <c r="WQK19" s="7"/>
      <c r="WQL19" s="7"/>
      <c r="WQM19" s="7"/>
      <c r="WQN19" s="7"/>
      <c r="WQO19" s="7"/>
      <c r="WQP19" s="7"/>
      <c r="WQQ19" s="7"/>
      <c r="WQR19" s="7"/>
      <c r="WQS19" s="7"/>
      <c r="WQT19" s="7"/>
      <c r="WQU19" s="7"/>
      <c r="WQV19" s="7"/>
      <c r="WQW19" s="7"/>
      <c r="WQX19" s="7"/>
      <c r="WQY19" s="7"/>
      <c r="WQZ19" s="7"/>
      <c r="WRA19" s="7"/>
      <c r="WRB19" s="7"/>
      <c r="WRC19" s="7"/>
      <c r="WRD19" s="7"/>
      <c r="WRE19" s="7"/>
      <c r="WRF19" s="7"/>
      <c r="WRG19" s="7"/>
      <c r="WRH19" s="7"/>
      <c r="WRI19" s="7"/>
      <c r="WRJ19" s="7"/>
      <c r="WRK19" s="7"/>
      <c r="WRL19" s="7"/>
      <c r="WRM19" s="7"/>
      <c r="WRN19" s="7"/>
      <c r="WRO19" s="7"/>
      <c r="WRP19" s="7"/>
      <c r="WRQ19" s="7"/>
      <c r="WRR19" s="7"/>
      <c r="WRS19" s="7"/>
      <c r="WRT19" s="7"/>
      <c r="WRU19" s="7"/>
      <c r="WRV19" s="7"/>
      <c r="WRW19" s="7"/>
      <c r="WRX19" s="7"/>
      <c r="WRY19" s="7"/>
      <c r="WRZ19" s="7"/>
      <c r="WSA19" s="7"/>
      <c r="WSB19" s="7"/>
      <c r="WSC19" s="7"/>
      <c r="WSD19" s="7"/>
      <c r="WSE19" s="7"/>
      <c r="WSF19" s="7"/>
      <c r="WSG19" s="7"/>
      <c r="WSH19" s="7"/>
      <c r="WSI19" s="7"/>
      <c r="WSJ19" s="7"/>
      <c r="WSK19" s="7"/>
      <c r="WSL19" s="7"/>
      <c r="WSM19" s="7"/>
      <c r="WSN19" s="7"/>
      <c r="WSO19" s="7"/>
      <c r="WSP19" s="7"/>
      <c r="WSQ19" s="7"/>
      <c r="WSR19" s="7"/>
      <c r="WSS19" s="7"/>
      <c r="WST19" s="7"/>
      <c r="WSU19" s="7"/>
      <c r="WSV19" s="7"/>
      <c r="WSW19" s="7"/>
      <c r="WSX19" s="7"/>
      <c r="WSY19" s="7"/>
      <c r="WSZ19" s="7"/>
      <c r="WTA19" s="7"/>
      <c r="WTB19" s="7"/>
      <c r="WTC19" s="7"/>
      <c r="WTD19" s="7"/>
      <c r="WTE19" s="7"/>
      <c r="WTF19" s="7"/>
      <c r="WTG19" s="7"/>
      <c r="WTH19" s="7"/>
      <c r="WTI19" s="7"/>
      <c r="WTJ19" s="7"/>
      <c r="WTK19" s="7"/>
      <c r="WTL19" s="7"/>
      <c r="WTM19" s="7"/>
      <c r="WTN19" s="7"/>
      <c r="WTO19" s="7"/>
      <c r="WTP19" s="7"/>
      <c r="WTQ19" s="7"/>
      <c r="WTR19" s="7"/>
      <c r="WTS19" s="7"/>
      <c r="WTT19" s="7"/>
      <c r="WTU19" s="7"/>
      <c r="WTV19" s="7"/>
      <c r="WTW19" s="7"/>
      <c r="WTX19" s="7"/>
      <c r="WTY19" s="7"/>
      <c r="WTZ19" s="7"/>
      <c r="WUA19" s="7"/>
      <c r="WUB19" s="7"/>
      <c r="WUC19" s="7"/>
      <c r="WUD19" s="7"/>
      <c r="WUE19" s="7"/>
      <c r="WUF19" s="7"/>
      <c r="WUG19" s="7"/>
      <c r="WUH19" s="7"/>
      <c r="WUI19" s="7"/>
      <c r="WUJ19" s="7"/>
      <c r="WUK19" s="7"/>
      <c r="WUL19" s="7"/>
      <c r="WUM19" s="7"/>
      <c r="WUN19" s="7"/>
      <c r="WUO19" s="7"/>
      <c r="WUP19" s="7"/>
      <c r="WUQ19" s="7"/>
      <c r="WUR19" s="7"/>
      <c r="WUS19" s="7"/>
      <c r="WUT19" s="7"/>
      <c r="WUU19" s="7"/>
      <c r="WUV19" s="7"/>
      <c r="WUW19" s="7"/>
      <c r="WUX19" s="7"/>
      <c r="WUY19" s="7"/>
      <c r="WUZ19" s="7"/>
      <c r="WVA19" s="7"/>
      <c r="WVB19" s="7"/>
      <c r="WVC19" s="7"/>
      <c r="WVD19" s="7"/>
      <c r="WVE19" s="7"/>
      <c r="WVF19" s="7"/>
      <c r="WVG19" s="7"/>
      <c r="WVH19" s="7"/>
      <c r="WVI19" s="7"/>
      <c r="WVJ19" s="7"/>
      <c r="WVK19" s="7"/>
      <c r="WVL19" s="7"/>
      <c r="WVM19" s="7"/>
      <c r="WVN19" s="7"/>
      <c r="WVO19" s="7"/>
      <c r="WVP19" s="7"/>
      <c r="WVQ19" s="7"/>
      <c r="WVR19" s="7"/>
      <c r="WVS19" s="7"/>
      <c r="WVT19" s="7"/>
      <c r="WVU19" s="7"/>
      <c r="WVV19" s="7"/>
      <c r="WVW19" s="7"/>
      <c r="WVX19" s="7"/>
      <c r="WVY19" s="7"/>
      <c r="WVZ19" s="7"/>
      <c r="WWA19" s="7"/>
      <c r="WWB19" s="7"/>
      <c r="WWC19" s="7"/>
      <c r="WWD19" s="7"/>
      <c r="WWE19" s="7"/>
      <c r="WWF19" s="7"/>
      <c r="WWG19" s="7"/>
      <c r="WWH19" s="7"/>
      <c r="WWI19" s="7"/>
      <c r="WWJ19" s="7"/>
      <c r="WWK19" s="7"/>
      <c r="WWL19" s="7"/>
      <c r="WWM19" s="7"/>
      <c r="WWN19" s="7"/>
      <c r="WWO19" s="7"/>
      <c r="WWP19" s="7"/>
      <c r="WWQ19" s="7"/>
      <c r="WWR19" s="7"/>
      <c r="WWS19" s="7"/>
      <c r="WWT19" s="7"/>
      <c r="WWU19" s="7"/>
      <c r="WWV19" s="7"/>
      <c r="WWW19" s="7"/>
      <c r="WWX19" s="7"/>
      <c r="WWY19" s="7"/>
      <c r="WWZ19" s="7"/>
      <c r="WXA19" s="7"/>
      <c r="WXB19" s="7"/>
      <c r="WXC19" s="7"/>
      <c r="WXD19" s="7"/>
      <c r="WXE19" s="7"/>
      <c r="WXF19" s="7"/>
      <c r="WXG19" s="7"/>
      <c r="WXH19" s="7"/>
      <c r="WXI19" s="7"/>
      <c r="WXJ19" s="7"/>
      <c r="WXK19" s="7"/>
      <c r="WXL19" s="7"/>
      <c r="WXM19" s="7"/>
      <c r="WXN19" s="7"/>
      <c r="WXO19" s="7"/>
      <c r="WXP19" s="7"/>
      <c r="WXQ19" s="7"/>
      <c r="WXR19" s="7"/>
      <c r="WXS19" s="7"/>
      <c r="WXT19" s="7"/>
      <c r="WXU19" s="7"/>
      <c r="WXV19" s="7"/>
      <c r="WXW19" s="7"/>
      <c r="WXX19" s="7"/>
      <c r="WXY19" s="7"/>
      <c r="WXZ19" s="7"/>
      <c r="WYA19" s="7"/>
      <c r="WYB19" s="7"/>
      <c r="WYC19" s="7"/>
      <c r="WYD19" s="7"/>
      <c r="WYE19" s="7"/>
      <c r="WYF19" s="7"/>
      <c r="WYG19" s="7"/>
      <c r="WYH19" s="7"/>
      <c r="WYI19" s="7"/>
      <c r="WYJ19" s="7"/>
      <c r="WYK19" s="7"/>
      <c r="WYL19" s="7"/>
      <c r="WYM19" s="7"/>
      <c r="WYN19" s="7"/>
      <c r="WYO19" s="7"/>
      <c r="WYP19" s="7"/>
      <c r="WYQ19" s="7"/>
      <c r="WYR19" s="7"/>
      <c r="WYS19" s="7"/>
      <c r="WYT19" s="7"/>
      <c r="WYU19" s="7"/>
      <c r="WYV19" s="7"/>
      <c r="WYW19" s="7"/>
      <c r="WYX19" s="7"/>
      <c r="WYY19" s="7"/>
      <c r="WYZ19" s="7"/>
      <c r="WZA19" s="7"/>
      <c r="WZB19" s="7"/>
      <c r="WZC19" s="7"/>
      <c r="WZD19" s="7"/>
      <c r="WZE19" s="7"/>
      <c r="WZF19" s="7"/>
      <c r="WZG19" s="7"/>
      <c r="WZH19" s="7"/>
      <c r="WZI19" s="7"/>
      <c r="WZJ19" s="7"/>
      <c r="WZK19" s="7"/>
      <c r="WZL19" s="7"/>
      <c r="WZM19" s="7"/>
      <c r="WZN19" s="7"/>
      <c r="WZO19" s="7"/>
      <c r="WZP19" s="7"/>
      <c r="WZQ19" s="7"/>
      <c r="WZR19" s="7"/>
      <c r="WZS19" s="7"/>
      <c r="WZT19" s="7"/>
      <c r="WZU19" s="7"/>
      <c r="WZV19" s="7"/>
      <c r="WZW19" s="7"/>
      <c r="WZX19" s="7"/>
      <c r="WZY19" s="7"/>
      <c r="WZZ19" s="7"/>
      <c r="XAA19" s="7"/>
      <c r="XAB19" s="7"/>
      <c r="XAC19" s="7"/>
      <c r="XAD19" s="7"/>
      <c r="XAE19" s="7"/>
      <c r="XAF19" s="7"/>
      <c r="XAG19" s="7"/>
      <c r="XAH19" s="7"/>
      <c r="XAI19" s="7"/>
      <c r="XAJ19" s="7"/>
      <c r="XAK19" s="7"/>
      <c r="XAL19" s="7"/>
      <c r="XAM19" s="7"/>
      <c r="XAN19" s="7"/>
      <c r="XAO19" s="7"/>
      <c r="XAP19" s="7"/>
      <c r="XAQ19" s="7"/>
      <c r="XAR19" s="7"/>
      <c r="XAS19" s="7"/>
      <c r="XAT19" s="7"/>
      <c r="XAU19" s="7"/>
      <c r="XAV19" s="7"/>
      <c r="XAW19" s="7"/>
      <c r="XAX19" s="7"/>
      <c r="XAY19" s="7"/>
      <c r="XAZ19" s="7"/>
      <c r="XBA19" s="7"/>
      <c r="XBB19" s="7"/>
      <c r="XBC19" s="7"/>
      <c r="XBD19" s="7"/>
      <c r="XBE19" s="7"/>
      <c r="XBF19" s="7"/>
      <c r="XBG19" s="7"/>
      <c r="XBH19" s="7"/>
      <c r="XBI19" s="7"/>
      <c r="XBJ19" s="7"/>
      <c r="XBK19" s="7"/>
      <c r="XBL19" s="7"/>
      <c r="XBM19" s="7"/>
      <c r="XBN19" s="7"/>
      <c r="XBO19" s="7"/>
      <c r="XBP19" s="7"/>
      <c r="XBQ19" s="7"/>
      <c r="XBR19" s="7"/>
      <c r="XBS19" s="7"/>
      <c r="XBT19" s="7"/>
      <c r="XBU19" s="7"/>
      <c r="XBV19" s="7"/>
      <c r="XBW19" s="7"/>
      <c r="XBX19" s="7"/>
      <c r="XBY19" s="7"/>
      <c r="XBZ19" s="7"/>
      <c r="XCA19" s="7"/>
      <c r="XCB19" s="7"/>
      <c r="XCC19" s="7"/>
      <c r="XCD19" s="7"/>
      <c r="XCE19" s="7"/>
      <c r="XCF19" s="7"/>
      <c r="XCG19" s="7"/>
      <c r="XCH19" s="7"/>
      <c r="XCI19" s="7"/>
      <c r="XCJ19" s="7"/>
      <c r="XCK19" s="7"/>
      <c r="XCL19" s="7"/>
      <c r="XCM19" s="7"/>
      <c r="XCN19" s="7"/>
      <c r="XCO19" s="7"/>
      <c r="XCP19" s="7"/>
      <c r="XCQ19" s="7"/>
      <c r="XCR19" s="7"/>
      <c r="XCS19" s="7"/>
      <c r="XCT19" s="7"/>
      <c r="XCU19" s="7"/>
      <c r="XCV19" s="7"/>
      <c r="XCW19" s="7"/>
      <c r="XCX19" s="7"/>
      <c r="XCY19" s="7"/>
      <c r="XCZ19" s="7"/>
      <c r="XDA19" s="7"/>
      <c r="XDB19" s="7"/>
      <c r="XDC19" s="7"/>
      <c r="XDD19" s="7"/>
      <c r="XDE19" s="7"/>
      <c r="XDF19" s="7"/>
      <c r="XDG19" s="7"/>
      <c r="XDH19" s="7"/>
      <c r="XDI19" s="7"/>
      <c r="XDJ19" s="7"/>
      <c r="XDK19" s="7"/>
      <c r="XDL19" s="7"/>
      <c r="XDM19" s="7"/>
      <c r="XDN19" s="7"/>
      <c r="XDO19" s="7"/>
      <c r="XDP19" s="7"/>
      <c r="XDQ19" s="7"/>
      <c r="XDR19" s="7"/>
      <c r="XDS19" s="7"/>
      <c r="XDT19" s="7"/>
      <c r="XDU19" s="7"/>
      <c r="XDV19" s="7"/>
      <c r="XDW19" s="7"/>
      <c r="XDX19" s="7"/>
      <c r="XDY19" s="7"/>
      <c r="XDZ19" s="7"/>
      <c r="XEA19" s="7"/>
      <c r="XEB19" s="7"/>
      <c r="XEC19" s="7"/>
      <c r="XED19" s="7"/>
      <c r="XEE19" s="7"/>
      <c r="XEF19" s="7"/>
      <c r="XEG19" s="7"/>
      <c r="XEH19" s="7"/>
      <c r="XEI19" s="7"/>
      <c r="XEJ19" s="7"/>
      <c r="XEK19" s="7"/>
      <c r="XEL19" s="7"/>
      <c r="XEM19" s="7"/>
      <c r="XEN19" s="7"/>
      <c r="XEO19" s="7"/>
      <c r="XEP19" s="7"/>
      <c r="XEQ19" s="7"/>
      <c r="XER19" s="7"/>
      <c r="XES19" s="7"/>
      <c r="XET19" s="7"/>
      <c r="XEU19" s="7"/>
      <c r="XEV19" s="7"/>
      <c r="XEW19" s="7"/>
      <c r="XEX19" s="7"/>
      <c r="XEY19" s="7"/>
      <c r="XEZ19" s="7"/>
      <c r="XFA19" s="7"/>
      <c r="XFB19" s="7"/>
      <c r="XFC19" s="7"/>
    </row>
    <row r="20" spans="1:16383" s="76" customFormat="1" ht="15" x14ac:dyDescent="0.25">
      <c r="A20" s="6" t="s">
        <v>66</v>
      </c>
      <c r="B20" s="41" t="s">
        <v>50</v>
      </c>
      <c r="C20" s="85">
        <v>5</v>
      </c>
      <c r="D20" s="86">
        <v>208.1</v>
      </c>
      <c r="E20" s="86">
        <v>409.4</v>
      </c>
      <c r="F20" s="86">
        <v>605.70000000000005</v>
      </c>
      <c r="G20" s="86">
        <v>787.1</v>
      </c>
      <c r="H20" s="86">
        <v>967</v>
      </c>
      <c r="I20" s="86">
        <v>1175.3</v>
      </c>
      <c r="J20" s="86">
        <v>1293.3</v>
      </c>
      <c r="K20" s="86">
        <v>1400.7</v>
      </c>
      <c r="L20" s="85">
        <v>4</v>
      </c>
      <c r="M20" s="86">
        <v>1507.7</v>
      </c>
      <c r="N20" s="86">
        <v>1614.8</v>
      </c>
      <c r="O20" s="86">
        <v>1721.8</v>
      </c>
      <c r="P20" s="86">
        <v>1828.8</v>
      </c>
      <c r="Q20" s="86">
        <v>1935.9</v>
      </c>
      <c r="R20" s="86">
        <v>2042.9</v>
      </c>
      <c r="S20" s="86">
        <v>2149.9</v>
      </c>
      <c r="T20" s="86">
        <v>2256.9</v>
      </c>
      <c r="U20" s="86">
        <v>2351.5</v>
      </c>
      <c r="V20" s="86">
        <v>2457.6</v>
      </c>
      <c r="W20" s="86">
        <v>2532.2999999999997</v>
      </c>
      <c r="X20" s="86">
        <v>2607.1000000000004</v>
      </c>
      <c r="Y20" s="86">
        <v>2681.8</v>
      </c>
      <c r="Z20" s="86">
        <v>2756.6</v>
      </c>
      <c r="AA20" s="86">
        <v>2831.2999999999997</v>
      </c>
      <c r="AB20" s="86">
        <v>2906.1</v>
      </c>
      <c r="AC20" s="86">
        <v>2980.8</v>
      </c>
      <c r="AD20" s="86">
        <v>3055.5</v>
      </c>
      <c r="AE20" s="86">
        <v>3130.3</v>
      </c>
      <c r="AF20" s="86">
        <v>3205</v>
      </c>
      <c r="AG20" s="86">
        <v>3279.7999999999997</v>
      </c>
      <c r="AH20" s="86">
        <v>3354.5</v>
      </c>
      <c r="AI20" s="86">
        <v>3505</v>
      </c>
      <c r="AJ20" s="86">
        <v>3505</v>
      </c>
      <c r="AK20" s="86">
        <v>3505</v>
      </c>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c r="IJ20" s="7"/>
      <c r="IK20" s="7"/>
      <c r="IL20" s="7"/>
      <c r="IM20" s="7"/>
      <c r="IN20" s="7"/>
      <c r="IO20" s="7"/>
      <c r="IP20" s="7"/>
      <c r="IQ20" s="7"/>
      <c r="IR20" s="7"/>
      <c r="IS20" s="7"/>
      <c r="IT20" s="7"/>
      <c r="IU20" s="7"/>
      <c r="IV20" s="7"/>
      <c r="IW20" s="7"/>
      <c r="IX20" s="7"/>
      <c r="IY20" s="7"/>
      <c r="IZ20" s="7"/>
      <c r="JA20" s="7"/>
      <c r="JB20" s="7"/>
      <c r="JC20" s="7"/>
      <c r="JD20" s="7"/>
      <c r="JE20" s="7"/>
      <c r="JF20" s="7"/>
      <c r="JG20" s="7"/>
      <c r="JH20" s="7"/>
      <c r="JI20" s="7"/>
      <c r="JJ20" s="7"/>
      <c r="JK20" s="7"/>
      <c r="JL20" s="7"/>
      <c r="JM20" s="7"/>
      <c r="JN20" s="7"/>
      <c r="JO20" s="7"/>
      <c r="JP20" s="7"/>
      <c r="JQ20" s="7"/>
      <c r="JR20" s="7"/>
      <c r="JS20" s="7"/>
      <c r="JT20" s="7"/>
      <c r="JU20" s="7"/>
      <c r="JV20" s="7"/>
      <c r="JW20" s="7"/>
      <c r="JX20" s="7"/>
      <c r="JY20" s="7"/>
      <c r="JZ20" s="7"/>
      <c r="KA20" s="7"/>
      <c r="KB20" s="7"/>
      <c r="KC20" s="7"/>
      <c r="KD20" s="7"/>
      <c r="KE20" s="7"/>
      <c r="KF20" s="7"/>
      <c r="KG20" s="7"/>
      <c r="KH20" s="7"/>
      <c r="KI20" s="7"/>
      <c r="KJ20" s="7"/>
      <c r="KK20" s="7"/>
      <c r="KL20" s="7"/>
      <c r="KM20" s="7"/>
      <c r="KN20" s="7"/>
      <c r="KO20" s="7"/>
      <c r="KP20" s="7"/>
      <c r="KQ20" s="7"/>
      <c r="KR20" s="7"/>
      <c r="KS20" s="7"/>
      <c r="KT20" s="7"/>
      <c r="KU20" s="7"/>
      <c r="KV20" s="7"/>
      <c r="KW20" s="7"/>
      <c r="KX20" s="7"/>
      <c r="KY20" s="7"/>
      <c r="KZ20" s="7"/>
      <c r="LA20" s="7"/>
      <c r="LB20" s="7"/>
      <c r="LC20" s="7"/>
      <c r="LD20" s="7"/>
      <c r="LE20" s="7"/>
      <c r="LF20" s="7"/>
      <c r="LG20" s="7"/>
      <c r="LH20" s="7"/>
      <c r="LI20" s="7"/>
      <c r="LJ20" s="7"/>
      <c r="LK20" s="7"/>
      <c r="LL20" s="7"/>
      <c r="LM20" s="7"/>
      <c r="LN20" s="7"/>
      <c r="LO20" s="7"/>
      <c r="LP20" s="7"/>
      <c r="LQ20" s="7"/>
      <c r="LR20" s="7"/>
      <c r="LS20" s="7"/>
      <c r="LT20" s="7"/>
      <c r="LU20" s="7"/>
      <c r="LV20" s="7"/>
      <c r="LW20" s="7"/>
      <c r="LX20" s="7"/>
      <c r="LY20" s="7"/>
      <c r="LZ20" s="7"/>
      <c r="MA20" s="7"/>
      <c r="MB20" s="7"/>
      <c r="MC20" s="7"/>
      <c r="MD20" s="7"/>
      <c r="ME20" s="7"/>
      <c r="MF20" s="7"/>
      <c r="MG20" s="7"/>
      <c r="MH20" s="7"/>
      <c r="MI20" s="7"/>
      <c r="MJ20" s="7"/>
      <c r="MK20" s="7"/>
      <c r="ML20" s="7"/>
      <c r="MM20" s="7"/>
      <c r="MN20" s="7"/>
      <c r="MO20" s="7"/>
      <c r="MP20" s="7"/>
      <c r="MQ20" s="7"/>
      <c r="MR20" s="7"/>
      <c r="MS20" s="7"/>
      <c r="MT20" s="7"/>
      <c r="MU20" s="7"/>
      <c r="MV20" s="7"/>
      <c r="MW20" s="7"/>
      <c r="MX20" s="7"/>
      <c r="MY20" s="7"/>
      <c r="MZ20" s="7"/>
      <c r="NA20" s="7"/>
      <c r="NB20" s="7"/>
      <c r="NC20" s="7"/>
      <c r="ND20" s="7"/>
      <c r="NE20" s="7"/>
      <c r="NF20" s="7"/>
      <c r="NG20" s="7"/>
      <c r="NH20" s="7"/>
      <c r="NI20" s="7"/>
      <c r="NJ20" s="7"/>
      <c r="NK20" s="7"/>
      <c r="NL20" s="7"/>
      <c r="NM20" s="7"/>
      <c r="NN20" s="7"/>
      <c r="NO20" s="7"/>
      <c r="NP20" s="7"/>
      <c r="NQ20" s="7"/>
      <c r="NR20" s="7"/>
      <c r="NS20" s="7"/>
      <c r="NT20" s="7"/>
      <c r="NU20" s="7"/>
      <c r="NV20" s="7"/>
      <c r="NW20" s="7"/>
      <c r="NX20" s="7"/>
      <c r="NY20" s="7"/>
      <c r="NZ20" s="7"/>
      <c r="OA20" s="7"/>
      <c r="OB20" s="7"/>
      <c r="OC20" s="7"/>
      <c r="OD20" s="7"/>
      <c r="OE20" s="7"/>
      <c r="OF20" s="7"/>
      <c r="OG20" s="7"/>
      <c r="OH20" s="7"/>
      <c r="OI20" s="7"/>
      <c r="OJ20" s="7"/>
      <c r="OK20" s="7"/>
      <c r="OL20" s="7"/>
      <c r="OM20" s="7"/>
      <c r="ON20" s="7"/>
      <c r="OO20" s="7"/>
      <c r="OP20" s="7"/>
      <c r="OQ20" s="7"/>
      <c r="OR20" s="7"/>
      <c r="OS20" s="7"/>
      <c r="OT20" s="7"/>
      <c r="OU20" s="7"/>
      <c r="OV20" s="7"/>
      <c r="OW20" s="7"/>
      <c r="OX20" s="7"/>
      <c r="OY20" s="7"/>
      <c r="OZ20" s="7"/>
      <c r="PA20" s="7"/>
      <c r="PB20" s="7"/>
      <c r="PC20" s="7"/>
      <c r="PD20" s="7"/>
      <c r="PE20" s="7"/>
      <c r="PF20" s="7"/>
      <c r="PG20" s="7"/>
      <c r="PH20" s="7"/>
      <c r="PI20" s="7"/>
      <c r="PJ20" s="7"/>
      <c r="PK20" s="7"/>
      <c r="PL20" s="7"/>
      <c r="PM20" s="7"/>
      <c r="PN20" s="7"/>
      <c r="PO20" s="7"/>
      <c r="PP20" s="7"/>
      <c r="PQ20" s="7"/>
      <c r="PR20" s="7"/>
      <c r="PS20" s="7"/>
      <c r="PT20" s="7"/>
      <c r="PU20" s="7"/>
      <c r="PV20" s="7"/>
      <c r="PW20" s="7"/>
      <c r="PX20" s="7"/>
      <c r="PY20" s="7"/>
      <c r="PZ20" s="7"/>
      <c r="QA20" s="7"/>
      <c r="QB20" s="7"/>
      <c r="QC20" s="7"/>
      <c r="QD20" s="7"/>
      <c r="QE20" s="7"/>
      <c r="QF20" s="7"/>
      <c r="QG20" s="7"/>
      <c r="QH20" s="7"/>
      <c r="QI20" s="7"/>
      <c r="QJ20" s="7"/>
      <c r="QK20" s="7"/>
      <c r="QL20" s="7"/>
      <c r="QM20" s="7"/>
      <c r="QN20" s="7"/>
      <c r="QO20" s="7"/>
      <c r="QP20" s="7"/>
      <c r="QQ20" s="7"/>
      <c r="QR20" s="7"/>
      <c r="QS20" s="7"/>
      <c r="QT20" s="7"/>
      <c r="QU20" s="7"/>
      <c r="QV20" s="7"/>
      <c r="QW20" s="7"/>
      <c r="QX20" s="7"/>
      <c r="QY20" s="7"/>
      <c r="QZ20" s="7"/>
      <c r="RA20" s="7"/>
      <c r="RB20" s="7"/>
      <c r="RC20" s="7"/>
      <c r="RD20" s="7"/>
      <c r="RE20" s="7"/>
      <c r="RF20" s="7"/>
      <c r="RG20" s="7"/>
      <c r="RH20" s="7"/>
      <c r="RI20" s="7"/>
      <c r="RJ20" s="7"/>
      <c r="RK20" s="7"/>
      <c r="RL20" s="7"/>
      <c r="RM20" s="7"/>
      <c r="RN20" s="7"/>
      <c r="RO20" s="7"/>
      <c r="RP20" s="7"/>
      <c r="RQ20" s="7"/>
      <c r="RR20" s="7"/>
      <c r="RS20" s="7"/>
      <c r="RT20" s="7"/>
      <c r="RU20" s="7"/>
      <c r="RV20" s="7"/>
      <c r="RW20" s="7"/>
      <c r="RX20" s="7"/>
      <c r="RY20" s="7"/>
      <c r="RZ20" s="7"/>
      <c r="SA20" s="7"/>
      <c r="SB20" s="7"/>
      <c r="SC20" s="7"/>
      <c r="SD20" s="7"/>
      <c r="SE20" s="7"/>
      <c r="SF20" s="7"/>
      <c r="SG20" s="7"/>
      <c r="SH20" s="7"/>
      <c r="SI20" s="7"/>
      <c r="SJ20" s="7"/>
      <c r="SK20" s="7"/>
      <c r="SL20" s="7"/>
      <c r="SM20" s="7"/>
      <c r="SN20" s="7"/>
      <c r="SO20" s="7"/>
      <c r="SP20" s="7"/>
      <c r="SQ20" s="7"/>
      <c r="SR20" s="7"/>
      <c r="SS20" s="7"/>
      <c r="ST20" s="7"/>
      <c r="SU20" s="7"/>
      <c r="SV20" s="7"/>
      <c r="SW20" s="7"/>
      <c r="SX20" s="7"/>
      <c r="SY20" s="7"/>
      <c r="SZ20" s="7"/>
      <c r="TA20" s="7"/>
      <c r="TB20" s="7"/>
      <c r="TC20" s="7"/>
      <c r="TD20" s="7"/>
      <c r="TE20" s="7"/>
      <c r="TF20" s="7"/>
      <c r="TG20" s="7"/>
      <c r="TH20" s="7"/>
      <c r="TI20" s="7"/>
      <c r="TJ20" s="7"/>
      <c r="TK20" s="7"/>
      <c r="TL20" s="7"/>
      <c r="TM20" s="7"/>
      <c r="TN20" s="7"/>
      <c r="TO20" s="7"/>
      <c r="TP20" s="7"/>
      <c r="TQ20" s="7"/>
      <c r="TR20" s="7"/>
      <c r="TS20" s="7"/>
      <c r="TT20" s="7"/>
      <c r="TU20" s="7"/>
      <c r="TV20" s="7"/>
      <c r="TW20" s="7"/>
      <c r="TX20" s="7"/>
      <c r="TY20" s="7"/>
      <c r="TZ20" s="7"/>
      <c r="UA20" s="7"/>
      <c r="UB20" s="7"/>
      <c r="UC20" s="7"/>
      <c r="UD20" s="7"/>
      <c r="UE20" s="7"/>
      <c r="UF20" s="7"/>
      <c r="UG20" s="7"/>
      <c r="UH20" s="7"/>
      <c r="UI20" s="7"/>
      <c r="UJ20" s="7"/>
      <c r="UK20" s="7"/>
      <c r="UL20" s="7"/>
      <c r="UM20" s="7"/>
      <c r="UN20" s="7"/>
      <c r="UO20" s="7"/>
      <c r="UP20" s="7"/>
      <c r="UQ20" s="7"/>
      <c r="UR20" s="7"/>
      <c r="US20" s="7"/>
      <c r="UT20" s="7"/>
      <c r="UU20" s="7"/>
      <c r="UV20" s="7"/>
      <c r="UW20" s="7"/>
      <c r="UX20" s="7"/>
      <c r="UY20" s="7"/>
      <c r="UZ20" s="7"/>
      <c r="VA20" s="7"/>
      <c r="VB20" s="7"/>
      <c r="VC20" s="7"/>
      <c r="VD20" s="7"/>
      <c r="VE20" s="7"/>
      <c r="VF20" s="7"/>
      <c r="VG20" s="7"/>
      <c r="VH20" s="7"/>
      <c r="VI20" s="7"/>
      <c r="VJ20" s="7"/>
      <c r="VK20" s="7"/>
      <c r="VL20" s="7"/>
      <c r="VM20" s="7"/>
      <c r="VN20" s="7"/>
      <c r="VO20" s="7"/>
      <c r="VP20" s="7"/>
      <c r="VQ20" s="7"/>
      <c r="VR20" s="7"/>
      <c r="VS20" s="7"/>
      <c r="VT20" s="7"/>
      <c r="VU20" s="7"/>
      <c r="VV20" s="7"/>
      <c r="VW20" s="7"/>
      <c r="VX20" s="7"/>
      <c r="VY20" s="7"/>
      <c r="VZ20" s="7"/>
      <c r="WA20" s="7"/>
      <c r="WB20" s="7"/>
      <c r="WC20" s="7"/>
      <c r="WD20" s="7"/>
      <c r="WE20" s="7"/>
      <c r="WF20" s="7"/>
      <c r="WG20" s="7"/>
      <c r="WH20" s="7"/>
      <c r="WI20" s="7"/>
      <c r="WJ20" s="7"/>
      <c r="WK20" s="7"/>
      <c r="WL20" s="7"/>
      <c r="WM20" s="7"/>
      <c r="WN20" s="7"/>
      <c r="WO20" s="7"/>
      <c r="WP20" s="7"/>
      <c r="WQ20" s="7"/>
      <c r="WR20" s="7"/>
      <c r="WS20" s="7"/>
      <c r="WT20" s="7"/>
      <c r="WU20" s="7"/>
      <c r="WV20" s="7"/>
      <c r="WW20" s="7"/>
      <c r="WX20" s="7"/>
      <c r="WY20" s="7"/>
      <c r="WZ20" s="7"/>
      <c r="XA20" s="7"/>
      <c r="XB20" s="7"/>
      <c r="XC20" s="7"/>
      <c r="XD20" s="7"/>
      <c r="XE20" s="7"/>
      <c r="XF20" s="7"/>
      <c r="XG20" s="7"/>
      <c r="XH20" s="7"/>
      <c r="XI20" s="7"/>
      <c r="XJ20" s="7"/>
      <c r="XK20" s="7"/>
      <c r="XL20" s="7"/>
      <c r="XM20" s="7"/>
      <c r="XN20" s="7"/>
      <c r="XO20" s="7"/>
      <c r="XP20" s="7"/>
      <c r="XQ20" s="7"/>
      <c r="XR20" s="7"/>
      <c r="XS20" s="7"/>
      <c r="XT20" s="7"/>
      <c r="XU20" s="7"/>
      <c r="XV20" s="7"/>
      <c r="XW20" s="7"/>
      <c r="XX20" s="7"/>
      <c r="XY20" s="7"/>
      <c r="XZ20" s="7"/>
      <c r="YA20" s="7"/>
      <c r="YB20" s="7"/>
      <c r="YC20" s="7"/>
      <c r="YD20" s="7"/>
      <c r="YE20" s="7"/>
      <c r="YF20" s="7"/>
      <c r="YG20" s="7"/>
      <c r="YH20" s="7"/>
      <c r="YI20" s="7"/>
      <c r="YJ20" s="7"/>
      <c r="YK20" s="7"/>
      <c r="YL20" s="7"/>
      <c r="YM20" s="7"/>
      <c r="YN20" s="7"/>
      <c r="YO20" s="7"/>
      <c r="YP20" s="7"/>
      <c r="YQ20" s="7"/>
      <c r="YR20" s="7"/>
      <c r="YS20" s="7"/>
      <c r="YT20" s="7"/>
      <c r="YU20" s="7"/>
      <c r="YV20" s="7"/>
      <c r="YW20" s="7"/>
      <c r="YX20" s="7"/>
      <c r="YY20" s="7"/>
      <c r="YZ20" s="7"/>
      <c r="ZA20" s="7"/>
      <c r="ZB20" s="7"/>
      <c r="ZC20" s="7"/>
      <c r="ZD20" s="7"/>
      <c r="ZE20" s="7"/>
      <c r="ZF20" s="7"/>
      <c r="ZG20" s="7"/>
      <c r="ZH20" s="7"/>
      <c r="ZI20" s="7"/>
      <c r="ZJ20" s="7"/>
      <c r="ZK20" s="7"/>
      <c r="ZL20" s="7"/>
      <c r="ZM20" s="7"/>
      <c r="ZN20" s="7"/>
      <c r="ZO20" s="7"/>
      <c r="ZP20" s="7"/>
      <c r="ZQ20" s="7"/>
      <c r="ZR20" s="7"/>
      <c r="ZS20" s="7"/>
      <c r="ZT20" s="7"/>
      <c r="ZU20" s="7"/>
      <c r="ZV20" s="7"/>
      <c r="ZW20" s="7"/>
      <c r="ZX20" s="7"/>
      <c r="ZY20" s="7"/>
      <c r="ZZ20" s="7"/>
      <c r="AAA20" s="7"/>
      <c r="AAB20" s="7"/>
      <c r="AAC20" s="7"/>
      <c r="AAD20" s="7"/>
      <c r="AAE20" s="7"/>
      <c r="AAF20" s="7"/>
      <c r="AAG20" s="7"/>
      <c r="AAH20" s="7"/>
      <c r="AAI20" s="7"/>
      <c r="AAJ20" s="7"/>
      <c r="AAK20" s="7"/>
      <c r="AAL20" s="7"/>
      <c r="AAM20" s="7"/>
      <c r="AAN20" s="7"/>
      <c r="AAO20" s="7"/>
      <c r="AAP20" s="7"/>
      <c r="AAQ20" s="7"/>
      <c r="AAR20" s="7"/>
      <c r="AAS20" s="7"/>
      <c r="AAT20" s="7"/>
      <c r="AAU20" s="7"/>
      <c r="AAV20" s="7"/>
      <c r="AAW20" s="7"/>
      <c r="AAX20" s="7"/>
      <c r="AAY20" s="7"/>
      <c r="AAZ20" s="7"/>
      <c r="ABA20" s="7"/>
      <c r="ABB20" s="7"/>
      <c r="ABC20" s="7"/>
      <c r="ABD20" s="7"/>
      <c r="ABE20" s="7"/>
      <c r="ABF20" s="7"/>
      <c r="ABG20" s="7"/>
      <c r="ABH20" s="7"/>
      <c r="ABI20" s="7"/>
      <c r="ABJ20" s="7"/>
      <c r="ABK20" s="7"/>
      <c r="ABL20" s="7"/>
      <c r="ABM20" s="7"/>
      <c r="ABN20" s="7"/>
      <c r="ABO20" s="7"/>
      <c r="ABP20" s="7"/>
      <c r="ABQ20" s="7"/>
      <c r="ABR20" s="7"/>
      <c r="ABS20" s="7"/>
      <c r="ABT20" s="7"/>
      <c r="ABU20" s="7"/>
      <c r="ABV20" s="7"/>
      <c r="ABW20" s="7"/>
      <c r="ABX20" s="7"/>
      <c r="ABY20" s="7"/>
      <c r="ABZ20" s="7"/>
      <c r="ACA20" s="7"/>
      <c r="ACB20" s="7"/>
      <c r="ACC20" s="7"/>
      <c r="ACD20" s="7"/>
      <c r="ACE20" s="7"/>
      <c r="ACF20" s="7"/>
      <c r="ACG20" s="7"/>
      <c r="ACH20" s="7"/>
      <c r="ACI20" s="7"/>
      <c r="ACJ20" s="7"/>
      <c r="ACK20" s="7"/>
      <c r="ACL20" s="7"/>
      <c r="ACM20" s="7"/>
      <c r="ACN20" s="7"/>
      <c r="ACO20" s="7"/>
      <c r="ACP20" s="7"/>
      <c r="ACQ20" s="7"/>
      <c r="ACR20" s="7"/>
      <c r="ACS20" s="7"/>
      <c r="ACT20" s="7"/>
      <c r="ACU20" s="7"/>
      <c r="ACV20" s="7"/>
      <c r="ACW20" s="7"/>
      <c r="ACX20" s="7"/>
      <c r="ACY20" s="7"/>
      <c r="ACZ20" s="7"/>
      <c r="ADA20" s="7"/>
      <c r="ADB20" s="7"/>
      <c r="ADC20" s="7"/>
      <c r="ADD20" s="7"/>
      <c r="ADE20" s="7"/>
      <c r="ADF20" s="7"/>
      <c r="ADG20" s="7"/>
      <c r="ADH20" s="7"/>
      <c r="ADI20" s="7"/>
      <c r="ADJ20" s="7"/>
      <c r="ADK20" s="7"/>
      <c r="ADL20" s="7"/>
      <c r="ADM20" s="7"/>
      <c r="ADN20" s="7"/>
      <c r="ADO20" s="7"/>
      <c r="ADP20" s="7"/>
      <c r="ADQ20" s="7"/>
      <c r="ADR20" s="7"/>
      <c r="ADS20" s="7"/>
      <c r="ADT20" s="7"/>
      <c r="ADU20" s="7"/>
      <c r="ADV20" s="7"/>
      <c r="ADW20" s="7"/>
      <c r="ADX20" s="7"/>
      <c r="ADY20" s="7"/>
      <c r="ADZ20" s="7"/>
      <c r="AEA20" s="7"/>
      <c r="AEB20" s="7"/>
      <c r="AEC20" s="7"/>
      <c r="AED20" s="7"/>
      <c r="AEE20" s="7"/>
      <c r="AEF20" s="7"/>
      <c r="AEG20" s="7"/>
      <c r="AEH20" s="7"/>
      <c r="AEI20" s="7"/>
      <c r="AEJ20" s="7"/>
      <c r="AEK20" s="7"/>
      <c r="AEL20" s="7"/>
      <c r="AEM20" s="7"/>
      <c r="AEN20" s="7"/>
      <c r="AEO20" s="7"/>
      <c r="AEP20" s="7"/>
      <c r="AEQ20" s="7"/>
      <c r="AER20" s="7"/>
      <c r="AES20" s="7"/>
      <c r="AET20" s="7"/>
      <c r="AEU20" s="7"/>
      <c r="AEV20" s="7"/>
      <c r="AEW20" s="7"/>
      <c r="AEX20" s="7"/>
      <c r="AEY20" s="7"/>
      <c r="AEZ20" s="7"/>
      <c r="AFA20" s="7"/>
      <c r="AFB20" s="7"/>
      <c r="AFC20" s="7"/>
      <c r="AFD20" s="7"/>
      <c r="AFE20" s="7"/>
      <c r="AFF20" s="7"/>
      <c r="AFG20" s="7"/>
      <c r="AFH20" s="7"/>
      <c r="AFI20" s="7"/>
      <c r="AFJ20" s="7"/>
      <c r="AFK20" s="7"/>
      <c r="AFL20" s="7"/>
      <c r="AFM20" s="7"/>
      <c r="AFN20" s="7"/>
      <c r="AFO20" s="7"/>
      <c r="AFP20" s="7"/>
      <c r="AFQ20" s="7"/>
      <c r="AFR20" s="7"/>
      <c r="AFS20" s="7"/>
      <c r="AFT20" s="7"/>
      <c r="AFU20" s="7"/>
      <c r="AFV20" s="7"/>
      <c r="AFW20" s="7"/>
      <c r="AFX20" s="7"/>
      <c r="AFY20" s="7"/>
      <c r="AFZ20" s="7"/>
      <c r="AGA20" s="7"/>
      <c r="AGB20" s="7"/>
      <c r="AGC20" s="7"/>
      <c r="AGD20" s="7"/>
      <c r="AGE20" s="7"/>
      <c r="AGF20" s="7"/>
      <c r="AGG20" s="7"/>
      <c r="AGH20" s="7"/>
      <c r="AGI20" s="7"/>
      <c r="AGJ20" s="7"/>
      <c r="AGK20" s="7"/>
      <c r="AGL20" s="7"/>
      <c r="AGM20" s="7"/>
      <c r="AGN20" s="7"/>
      <c r="AGO20" s="7"/>
      <c r="AGP20" s="7"/>
      <c r="AGQ20" s="7"/>
      <c r="AGR20" s="7"/>
      <c r="AGS20" s="7"/>
      <c r="AGT20" s="7"/>
      <c r="AGU20" s="7"/>
      <c r="AGV20" s="7"/>
      <c r="AGW20" s="7"/>
      <c r="AGX20" s="7"/>
      <c r="AGY20" s="7"/>
      <c r="AGZ20" s="7"/>
      <c r="AHA20" s="7"/>
      <c r="AHB20" s="7"/>
      <c r="AHC20" s="7"/>
      <c r="AHD20" s="7"/>
      <c r="AHE20" s="7"/>
      <c r="AHF20" s="7"/>
      <c r="AHG20" s="7"/>
      <c r="AHH20" s="7"/>
      <c r="AHI20" s="7"/>
      <c r="AHJ20" s="7"/>
      <c r="AHK20" s="7"/>
      <c r="AHL20" s="7"/>
      <c r="AHM20" s="7"/>
      <c r="AHN20" s="7"/>
      <c r="AHO20" s="7"/>
      <c r="AHP20" s="7"/>
      <c r="AHQ20" s="7"/>
      <c r="AHR20" s="7"/>
      <c r="AHS20" s="7"/>
      <c r="AHT20" s="7"/>
      <c r="AHU20" s="7"/>
      <c r="AHV20" s="7"/>
      <c r="AHW20" s="7"/>
      <c r="AHX20" s="7"/>
      <c r="AHY20" s="7"/>
      <c r="AHZ20" s="7"/>
      <c r="AIA20" s="7"/>
      <c r="AIB20" s="7"/>
      <c r="AIC20" s="7"/>
      <c r="AID20" s="7"/>
      <c r="AIE20" s="7"/>
      <c r="AIF20" s="7"/>
      <c r="AIG20" s="7"/>
      <c r="AIH20" s="7"/>
      <c r="AII20" s="7"/>
      <c r="AIJ20" s="7"/>
      <c r="AIK20" s="7"/>
      <c r="AIL20" s="7"/>
      <c r="AIM20" s="7"/>
      <c r="AIN20" s="7"/>
      <c r="AIO20" s="7"/>
      <c r="AIP20" s="7"/>
      <c r="AIQ20" s="7"/>
      <c r="AIR20" s="7"/>
      <c r="AIS20" s="7"/>
      <c r="AIT20" s="7"/>
      <c r="AIU20" s="7"/>
      <c r="AIV20" s="7"/>
      <c r="AIW20" s="7"/>
      <c r="AIX20" s="7"/>
      <c r="AIY20" s="7"/>
      <c r="AIZ20" s="7"/>
      <c r="AJA20" s="7"/>
      <c r="AJB20" s="7"/>
      <c r="AJC20" s="7"/>
      <c r="AJD20" s="7"/>
      <c r="AJE20" s="7"/>
      <c r="AJF20" s="7"/>
      <c r="AJG20" s="7"/>
      <c r="AJH20" s="7"/>
      <c r="AJI20" s="7"/>
      <c r="AJJ20" s="7"/>
      <c r="AJK20" s="7"/>
      <c r="AJL20" s="7"/>
      <c r="AJM20" s="7"/>
      <c r="AJN20" s="7"/>
      <c r="AJO20" s="7"/>
      <c r="AJP20" s="7"/>
      <c r="AJQ20" s="7"/>
      <c r="AJR20" s="7"/>
      <c r="AJS20" s="7"/>
      <c r="AJT20" s="7"/>
      <c r="AJU20" s="7"/>
      <c r="AJV20" s="7"/>
      <c r="AJW20" s="7"/>
      <c r="AJX20" s="7"/>
      <c r="AJY20" s="7"/>
      <c r="AJZ20" s="7"/>
      <c r="AKA20" s="7"/>
      <c r="AKB20" s="7"/>
      <c r="AKC20" s="7"/>
      <c r="AKD20" s="7"/>
      <c r="AKE20" s="7"/>
      <c r="AKF20" s="7"/>
      <c r="AKG20" s="7"/>
      <c r="AKH20" s="7"/>
      <c r="AKI20" s="7"/>
      <c r="AKJ20" s="7"/>
      <c r="AKK20" s="7"/>
      <c r="AKL20" s="7"/>
      <c r="AKM20" s="7"/>
      <c r="AKN20" s="7"/>
      <c r="AKO20" s="7"/>
      <c r="AKP20" s="7"/>
      <c r="AKQ20" s="7"/>
      <c r="AKR20" s="7"/>
      <c r="AKS20" s="7"/>
      <c r="AKT20" s="7"/>
      <c r="AKU20" s="7"/>
      <c r="AKV20" s="7"/>
      <c r="AKW20" s="7"/>
      <c r="AKX20" s="7"/>
      <c r="AKY20" s="7"/>
      <c r="AKZ20" s="7"/>
      <c r="ALA20" s="7"/>
      <c r="ALB20" s="7"/>
      <c r="ALC20" s="7"/>
      <c r="ALD20" s="7"/>
      <c r="ALE20" s="7"/>
      <c r="ALF20" s="7"/>
      <c r="ALG20" s="7"/>
      <c r="ALH20" s="7"/>
      <c r="ALI20" s="7"/>
      <c r="ALJ20" s="7"/>
      <c r="ALK20" s="7"/>
      <c r="ALL20" s="7"/>
      <c r="ALM20" s="7"/>
      <c r="ALN20" s="7"/>
      <c r="ALO20" s="7"/>
      <c r="ALP20" s="7"/>
      <c r="ALQ20" s="7"/>
      <c r="ALR20" s="7"/>
      <c r="ALS20" s="7"/>
      <c r="ALT20" s="7"/>
      <c r="ALU20" s="7"/>
      <c r="ALV20" s="7"/>
      <c r="ALW20" s="7"/>
      <c r="ALX20" s="7"/>
      <c r="ALY20" s="7"/>
      <c r="ALZ20" s="7"/>
      <c r="AMA20" s="7"/>
      <c r="AMB20" s="7"/>
      <c r="AMC20" s="7"/>
      <c r="AMD20" s="7"/>
      <c r="AME20" s="7"/>
      <c r="AMF20" s="7"/>
      <c r="AMG20" s="7"/>
      <c r="AMH20" s="7"/>
      <c r="AMI20" s="7"/>
      <c r="AMJ20" s="7"/>
      <c r="AMK20" s="7"/>
      <c r="AML20" s="7"/>
      <c r="AMM20" s="7"/>
      <c r="AMN20" s="7"/>
      <c r="AMO20" s="7"/>
      <c r="AMP20" s="7"/>
      <c r="AMQ20" s="7"/>
      <c r="AMR20" s="7"/>
      <c r="AMS20" s="7"/>
      <c r="AMT20" s="7"/>
      <c r="AMU20" s="7"/>
      <c r="AMV20" s="7"/>
      <c r="AMW20" s="7"/>
      <c r="AMX20" s="7"/>
      <c r="AMY20" s="7"/>
      <c r="AMZ20" s="7"/>
      <c r="ANA20" s="7"/>
      <c r="ANB20" s="7"/>
      <c r="ANC20" s="7"/>
      <c r="AND20" s="7"/>
      <c r="ANE20" s="7"/>
      <c r="ANF20" s="7"/>
      <c r="ANG20" s="7"/>
      <c r="ANH20" s="7"/>
      <c r="ANI20" s="7"/>
      <c r="ANJ20" s="7"/>
      <c r="ANK20" s="7"/>
      <c r="ANL20" s="7"/>
      <c r="ANM20" s="7"/>
      <c r="ANN20" s="7"/>
      <c r="ANO20" s="7"/>
      <c r="ANP20" s="7"/>
      <c r="ANQ20" s="7"/>
      <c r="ANR20" s="7"/>
      <c r="ANS20" s="7"/>
      <c r="ANT20" s="7"/>
      <c r="ANU20" s="7"/>
      <c r="ANV20" s="7"/>
      <c r="ANW20" s="7"/>
      <c r="ANX20" s="7"/>
      <c r="ANY20" s="7"/>
      <c r="ANZ20" s="7"/>
      <c r="AOA20" s="7"/>
      <c r="AOB20" s="7"/>
      <c r="AOC20" s="7"/>
      <c r="AOD20" s="7"/>
      <c r="AOE20" s="7"/>
      <c r="AOF20" s="7"/>
      <c r="AOG20" s="7"/>
      <c r="AOH20" s="7"/>
      <c r="AOI20" s="7"/>
      <c r="AOJ20" s="7"/>
      <c r="AOK20" s="7"/>
      <c r="AOL20" s="7"/>
      <c r="AOM20" s="7"/>
      <c r="AON20" s="7"/>
      <c r="AOO20" s="7"/>
      <c r="AOP20" s="7"/>
      <c r="AOQ20" s="7"/>
      <c r="AOR20" s="7"/>
      <c r="AOS20" s="7"/>
      <c r="AOT20" s="7"/>
      <c r="AOU20" s="7"/>
      <c r="AOV20" s="7"/>
      <c r="AOW20" s="7"/>
      <c r="AOX20" s="7"/>
      <c r="AOY20" s="7"/>
      <c r="AOZ20" s="7"/>
      <c r="APA20" s="7"/>
      <c r="APB20" s="7"/>
      <c r="APC20" s="7"/>
      <c r="APD20" s="7"/>
      <c r="APE20" s="7"/>
      <c r="APF20" s="7"/>
      <c r="APG20" s="7"/>
      <c r="APH20" s="7"/>
      <c r="API20" s="7"/>
      <c r="APJ20" s="7"/>
      <c r="APK20" s="7"/>
      <c r="APL20" s="7"/>
      <c r="APM20" s="7"/>
      <c r="APN20" s="7"/>
      <c r="APO20" s="7"/>
      <c r="APP20" s="7"/>
      <c r="APQ20" s="7"/>
      <c r="APR20" s="7"/>
      <c r="APS20" s="7"/>
      <c r="APT20" s="7"/>
      <c r="APU20" s="7"/>
      <c r="APV20" s="7"/>
      <c r="APW20" s="7"/>
      <c r="APX20" s="7"/>
      <c r="APY20" s="7"/>
      <c r="APZ20" s="7"/>
      <c r="AQA20" s="7"/>
      <c r="AQB20" s="7"/>
      <c r="AQC20" s="7"/>
      <c r="AQD20" s="7"/>
      <c r="AQE20" s="7"/>
      <c r="AQF20" s="7"/>
      <c r="AQG20" s="7"/>
      <c r="AQH20" s="7"/>
      <c r="AQI20" s="7"/>
      <c r="AQJ20" s="7"/>
      <c r="AQK20" s="7"/>
      <c r="AQL20" s="7"/>
      <c r="AQM20" s="7"/>
      <c r="AQN20" s="7"/>
      <c r="AQO20" s="7"/>
      <c r="AQP20" s="7"/>
      <c r="AQQ20" s="7"/>
      <c r="AQR20" s="7"/>
      <c r="AQS20" s="7"/>
      <c r="AQT20" s="7"/>
      <c r="AQU20" s="7"/>
      <c r="AQV20" s="7"/>
      <c r="AQW20" s="7"/>
      <c r="AQX20" s="7"/>
      <c r="AQY20" s="7"/>
      <c r="AQZ20" s="7"/>
      <c r="ARA20" s="7"/>
      <c r="ARB20" s="7"/>
      <c r="ARC20" s="7"/>
      <c r="ARD20" s="7"/>
      <c r="ARE20" s="7"/>
      <c r="ARF20" s="7"/>
      <c r="ARG20" s="7"/>
      <c r="ARH20" s="7"/>
      <c r="ARI20" s="7"/>
      <c r="ARJ20" s="7"/>
      <c r="ARK20" s="7"/>
      <c r="ARL20" s="7"/>
      <c r="ARM20" s="7"/>
      <c r="ARN20" s="7"/>
      <c r="ARO20" s="7"/>
      <c r="ARP20" s="7"/>
      <c r="ARQ20" s="7"/>
      <c r="ARR20" s="7"/>
      <c r="ARS20" s="7"/>
      <c r="ART20" s="7"/>
      <c r="ARU20" s="7"/>
      <c r="ARV20" s="7"/>
      <c r="ARW20" s="7"/>
      <c r="ARX20" s="7"/>
      <c r="ARY20" s="7"/>
      <c r="ARZ20" s="7"/>
      <c r="ASA20" s="7"/>
      <c r="ASB20" s="7"/>
      <c r="ASC20" s="7"/>
      <c r="ASD20" s="7"/>
      <c r="ASE20" s="7"/>
      <c r="ASF20" s="7"/>
      <c r="ASG20" s="7"/>
      <c r="ASH20" s="7"/>
      <c r="ASI20" s="7"/>
      <c r="ASJ20" s="7"/>
      <c r="ASK20" s="7"/>
      <c r="ASL20" s="7"/>
      <c r="ASM20" s="7"/>
      <c r="ASN20" s="7"/>
      <c r="ASO20" s="7"/>
      <c r="ASP20" s="7"/>
      <c r="ASQ20" s="7"/>
      <c r="ASR20" s="7"/>
      <c r="ASS20" s="7"/>
      <c r="AST20" s="7"/>
      <c r="ASU20" s="7"/>
      <c r="ASV20" s="7"/>
      <c r="ASW20" s="7"/>
      <c r="ASX20" s="7"/>
      <c r="ASY20" s="7"/>
      <c r="ASZ20" s="7"/>
      <c r="ATA20" s="7"/>
      <c r="ATB20" s="7"/>
      <c r="ATC20" s="7"/>
      <c r="ATD20" s="7"/>
      <c r="ATE20" s="7"/>
      <c r="ATF20" s="7"/>
      <c r="ATG20" s="7"/>
      <c r="ATH20" s="7"/>
      <c r="ATI20" s="7"/>
      <c r="ATJ20" s="7"/>
      <c r="ATK20" s="7"/>
      <c r="ATL20" s="7"/>
      <c r="ATM20" s="7"/>
      <c r="ATN20" s="7"/>
      <c r="ATO20" s="7"/>
      <c r="ATP20" s="7"/>
      <c r="ATQ20" s="7"/>
      <c r="ATR20" s="7"/>
      <c r="ATS20" s="7"/>
      <c r="ATT20" s="7"/>
      <c r="ATU20" s="7"/>
      <c r="ATV20" s="7"/>
      <c r="ATW20" s="7"/>
      <c r="ATX20" s="7"/>
      <c r="ATY20" s="7"/>
      <c r="ATZ20" s="7"/>
      <c r="AUA20" s="7"/>
      <c r="AUB20" s="7"/>
      <c r="AUC20" s="7"/>
      <c r="AUD20" s="7"/>
      <c r="AUE20" s="7"/>
      <c r="AUF20" s="7"/>
      <c r="AUG20" s="7"/>
      <c r="AUH20" s="7"/>
      <c r="AUI20" s="7"/>
      <c r="AUJ20" s="7"/>
      <c r="AUK20" s="7"/>
      <c r="AUL20" s="7"/>
      <c r="AUM20" s="7"/>
      <c r="AUN20" s="7"/>
      <c r="AUO20" s="7"/>
      <c r="AUP20" s="7"/>
      <c r="AUQ20" s="7"/>
      <c r="AUR20" s="7"/>
      <c r="AUS20" s="7"/>
      <c r="AUT20" s="7"/>
      <c r="AUU20" s="7"/>
      <c r="AUV20" s="7"/>
      <c r="AUW20" s="7"/>
      <c r="AUX20" s="7"/>
      <c r="AUY20" s="7"/>
      <c r="AUZ20" s="7"/>
      <c r="AVA20" s="7"/>
      <c r="AVB20" s="7"/>
      <c r="AVC20" s="7"/>
      <c r="AVD20" s="7"/>
      <c r="AVE20" s="7"/>
      <c r="AVF20" s="7"/>
      <c r="AVG20" s="7"/>
      <c r="AVH20" s="7"/>
      <c r="AVI20" s="7"/>
      <c r="AVJ20" s="7"/>
      <c r="AVK20" s="7"/>
      <c r="AVL20" s="7"/>
      <c r="AVM20" s="7"/>
      <c r="AVN20" s="7"/>
      <c r="AVO20" s="7"/>
      <c r="AVP20" s="7"/>
      <c r="AVQ20" s="7"/>
      <c r="AVR20" s="7"/>
      <c r="AVS20" s="7"/>
      <c r="AVT20" s="7"/>
      <c r="AVU20" s="7"/>
      <c r="AVV20" s="7"/>
      <c r="AVW20" s="7"/>
      <c r="AVX20" s="7"/>
      <c r="AVY20" s="7"/>
      <c r="AVZ20" s="7"/>
      <c r="AWA20" s="7"/>
      <c r="AWB20" s="7"/>
      <c r="AWC20" s="7"/>
      <c r="AWD20" s="7"/>
      <c r="AWE20" s="7"/>
      <c r="AWF20" s="7"/>
      <c r="AWG20" s="7"/>
      <c r="AWH20" s="7"/>
      <c r="AWI20" s="7"/>
      <c r="AWJ20" s="7"/>
      <c r="AWK20" s="7"/>
      <c r="AWL20" s="7"/>
      <c r="AWM20" s="7"/>
      <c r="AWN20" s="7"/>
      <c r="AWO20" s="7"/>
      <c r="AWP20" s="7"/>
      <c r="AWQ20" s="7"/>
      <c r="AWR20" s="7"/>
      <c r="AWS20" s="7"/>
      <c r="AWT20" s="7"/>
      <c r="AWU20" s="7"/>
      <c r="AWV20" s="7"/>
      <c r="AWW20" s="7"/>
      <c r="AWX20" s="7"/>
      <c r="AWY20" s="7"/>
      <c r="AWZ20" s="7"/>
      <c r="AXA20" s="7"/>
      <c r="AXB20" s="7"/>
      <c r="AXC20" s="7"/>
      <c r="AXD20" s="7"/>
      <c r="AXE20" s="7"/>
      <c r="AXF20" s="7"/>
      <c r="AXG20" s="7"/>
      <c r="AXH20" s="7"/>
      <c r="AXI20" s="7"/>
      <c r="AXJ20" s="7"/>
      <c r="AXK20" s="7"/>
      <c r="AXL20" s="7"/>
      <c r="AXM20" s="7"/>
      <c r="AXN20" s="7"/>
      <c r="AXO20" s="7"/>
      <c r="AXP20" s="7"/>
      <c r="AXQ20" s="7"/>
      <c r="AXR20" s="7"/>
      <c r="AXS20" s="7"/>
      <c r="AXT20" s="7"/>
      <c r="AXU20" s="7"/>
      <c r="AXV20" s="7"/>
      <c r="AXW20" s="7"/>
      <c r="AXX20" s="7"/>
      <c r="AXY20" s="7"/>
      <c r="AXZ20" s="7"/>
      <c r="AYA20" s="7"/>
      <c r="AYB20" s="7"/>
      <c r="AYC20" s="7"/>
      <c r="AYD20" s="7"/>
      <c r="AYE20" s="7"/>
      <c r="AYF20" s="7"/>
      <c r="AYG20" s="7"/>
      <c r="AYH20" s="7"/>
      <c r="AYI20" s="7"/>
      <c r="AYJ20" s="7"/>
      <c r="AYK20" s="7"/>
      <c r="AYL20" s="7"/>
      <c r="AYM20" s="7"/>
      <c r="AYN20" s="7"/>
      <c r="AYO20" s="7"/>
      <c r="AYP20" s="7"/>
      <c r="AYQ20" s="7"/>
      <c r="AYR20" s="7"/>
      <c r="AYS20" s="7"/>
      <c r="AYT20" s="7"/>
      <c r="AYU20" s="7"/>
      <c r="AYV20" s="7"/>
      <c r="AYW20" s="7"/>
      <c r="AYX20" s="7"/>
      <c r="AYY20" s="7"/>
      <c r="AYZ20" s="7"/>
      <c r="AZA20" s="7"/>
      <c r="AZB20" s="7"/>
      <c r="AZC20" s="7"/>
      <c r="AZD20" s="7"/>
      <c r="AZE20" s="7"/>
      <c r="AZF20" s="7"/>
      <c r="AZG20" s="7"/>
      <c r="AZH20" s="7"/>
      <c r="AZI20" s="7"/>
      <c r="AZJ20" s="7"/>
      <c r="AZK20" s="7"/>
      <c r="AZL20" s="7"/>
      <c r="AZM20" s="7"/>
      <c r="AZN20" s="7"/>
      <c r="AZO20" s="7"/>
      <c r="AZP20" s="7"/>
      <c r="AZQ20" s="7"/>
      <c r="AZR20" s="7"/>
      <c r="AZS20" s="7"/>
      <c r="AZT20" s="7"/>
      <c r="AZU20" s="7"/>
      <c r="AZV20" s="7"/>
      <c r="AZW20" s="7"/>
      <c r="AZX20" s="7"/>
      <c r="AZY20" s="7"/>
      <c r="AZZ20" s="7"/>
      <c r="BAA20" s="7"/>
      <c r="BAB20" s="7"/>
      <c r="BAC20" s="7"/>
      <c r="BAD20" s="7"/>
      <c r="BAE20" s="7"/>
      <c r="BAF20" s="7"/>
      <c r="BAG20" s="7"/>
      <c r="BAH20" s="7"/>
      <c r="BAI20" s="7"/>
      <c r="BAJ20" s="7"/>
      <c r="BAK20" s="7"/>
      <c r="BAL20" s="7"/>
      <c r="BAM20" s="7"/>
      <c r="BAN20" s="7"/>
      <c r="BAO20" s="7"/>
      <c r="BAP20" s="7"/>
      <c r="BAQ20" s="7"/>
      <c r="BAR20" s="7"/>
      <c r="BAS20" s="7"/>
      <c r="BAT20" s="7"/>
      <c r="BAU20" s="7"/>
      <c r="BAV20" s="7"/>
      <c r="BAW20" s="7"/>
      <c r="BAX20" s="7"/>
      <c r="BAY20" s="7"/>
      <c r="BAZ20" s="7"/>
      <c r="BBA20" s="7"/>
      <c r="BBB20" s="7"/>
      <c r="BBC20" s="7"/>
      <c r="BBD20" s="7"/>
      <c r="BBE20" s="7"/>
      <c r="BBF20" s="7"/>
      <c r="BBG20" s="7"/>
      <c r="BBH20" s="7"/>
      <c r="BBI20" s="7"/>
      <c r="BBJ20" s="7"/>
      <c r="BBK20" s="7"/>
      <c r="BBL20" s="7"/>
      <c r="BBM20" s="7"/>
      <c r="BBN20" s="7"/>
      <c r="BBO20" s="7"/>
      <c r="BBP20" s="7"/>
      <c r="BBQ20" s="7"/>
      <c r="BBR20" s="7"/>
      <c r="BBS20" s="7"/>
      <c r="BBT20" s="7"/>
      <c r="BBU20" s="7"/>
      <c r="BBV20" s="7"/>
      <c r="BBW20" s="7"/>
      <c r="BBX20" s="7"/>
      <c r="BBY20" s="7"/>
      <c r="BBZ20" s="7"/>
      <c r="BCA20" s="7"/>
      <c r="BCB20" s="7"/>
      <c r="BCC20" s="7"/>
      <c r="BCD20" s="7"/>
      <c r="BCE20" s="7"/>
      <c r="BCF20" s="7"/>
      <c r="BCG20" s="7"/>
      <c r="BCH20" s="7"/>
      <c r="BCI20" s="7"/>
      <c r="BCJ20" s="7"/>
      <c r="BCK20" s="7"/>
      <c r="BCL20" s="7"/>
      <c r="BCM20" s="7"/>
      <c r="BCN20" s="7"/>
      <c r="BCO20" s="7"/>
      <c r="BCP20" s="7"/>
      <c r="BCQ20" s="7"/>
      <c r="BCR20" s="7"/>
      <c r="BCS20" s="7"/>
      <c r="BCT20" s="7"/>
      <c r="BCU20" s="7"/>
      <c r="BCV20" s="7"/>
      <c r="BCW20" s="7"/>
      <c r="BCX20" s="7"/>
      <c r="BCY20" s="7"/>
      <c r="BCZ20" s="7"/>
      <c r="BDA20" s="7"/>
      <c r="BDB20" s="7"/>
      <c r="BDC20" s="7"/>
      <c r="BDD20" s="7"/>
      <c r="BDE20" s="7"/>
      <c r="BDF20" s="7"/>
      <c r="BDG20" s="7"/>
      <c r="BDH20" s="7"/>
      <c r="BDI20" s="7"/>
      <c r="BDJ20" s="7"/>
      <c r="BDK20" s="7"/>
      <c r="BDL20" s="7"/>
      <c r="BDM20" s="7"/>
      <c r="BDN20" s="7"/>
      <c r="BDO20" s="7"/>
      <c r="BDP20" s="7"/>
      <c r="BDQ20" s="7"/>
      <c r="BDR20" s="7"/>
      <c r="BDS20" s="7"/>
      <c r="BDT20" s="7"/>
      <c r="BDU20" s="7"/>
      <c r="BDV20" s="7"/>
      <c r="BDW20" s="7"/>
      <c r="BDX20" s="7"/>
      <c r="BDY20" s="7"/>
      <c r="BDZ20" s="7"/>
      <c r="BEA20" s="7"/>
      <c r="BEB20" s="7"/>
      <c r="BEC20" s="7"/>
      <c r="BED20" s="7"/>
      <c r="BEE20" s="7"/>
      <c r="BEF20" s="7"/>
      <c r="BEG20" s="7"/>
      <c r="BEH20" s="7"/>
      <c r="BEI20" s="7"/>
      <c r="BEJ20" s="7"/>
      <c r="BEK20" s="7"/>
      <c r="BEL20" s="7"/>
      <c r="BEM20" s="7"/>
      <c r="BEN20" s="7"/>
      <c r="BEO20" s="7"/>
      <c r="BEP20" s="7"/>
      <c r="BEQ20" s="7"/>
      <c r="BER20" s="7"/>
      <c r="BES20" s="7"/>
      <c r="BET20" s="7"/>
      <c r="BEU20" s="7"/>
      <c r="BEV20" s="7"/>
      <c r="BEW20" s="7"/>
      <c r="BEX20" s="7"/>
      <c r="BEY20" s="7"/>
      <c r="BEZ20" s="7"/>
      <c r="BFA20" s="7"/>
      <c r="BFB20" s="7"/>
      <c r="BFC20" s="7"/>
      <c r="BFD20" s="7"/>
      <c r="BFE20" s="7"/>
      <c r="BFF20" s="7"/>
      <c r="BFG20" s="7"/>
      <c r="BFH20" s="7"/>
      <c r="BFI20" s="7"/>
      <c r="BFJ20" s="7"/>
      <c r="BFK20" s="7"/>
      <c r="BFL20" s="7"/>
      <c r="BFM20" s="7"/>
      <c r="BFN20" s="7"/>
      <c r="BFO20" s="7"/>
      <c r="BFP20" s="7"/>
      <c r="BFQ20" s="7"/>
      <c r="BFR20" s="7"/>
      <c r="BFS20" s="7"/>
      <c r="BFT20" s="7"/>
      <c r="BFU20" s="7"/>
      <c r="BFV20" s="7"/>
      <c r="BFW20" s="7"/>
      <c r="BFX20" s="7"/>
      <c r="BFY20" s="7"/>
      <c r="BFZ20" s="7"/>
      <c r="BGA20" s="7"/>
      <c r="BGB20" s="7"/>
      <c r="BGC20" s="7"/>
      <c r="BGD20" s="7"/>
      <c r="BGE20" s="7"/>
      <c r="BGF20" s="7"/>
      <c r="BGG20" s="7"/>
      <c r="BGH20" s="7"/>
      <c r="BGI20" s="7"/>
      <c r="BGJ20" s="7"/>
      <c r="BGK20" s="7"/>
      <c r="BGL20" s="7"/>
      <c r="BGM20" s="7"/>
      <c r="BGN20" s="7"/>
      <c r="BGO20" s="7"/>
      <c r="BGP20" s="7"/>
      <c r="BGQ20" s="7"/>
      <c r="BGR20" s="7"/>
      <c r="BGS20" s="7"/>
      <c r="BGT20" s="7"/>
      <c r="BGU20" s="7"/>
      <c r="BGV20" s="7"/>
      <c r="BGW20" s="7"/>
      <c r="BGX20" s="7"/>
      <c r="BGY20" s="7"/>
      <c r="BGZ20" s="7"/>
      <c r="BHA20" s="7"/>
      <c r="BHB20" s="7"/>
      <c r="BHC20" s="7"/>
      <c r="BHD20" s="7"/>
      <c r="BHE20" s="7"/>
      <c r="BHF20" s="7"/>
      <c r="BHG20" s="7"/>
      <c r="BHH20" s="7"/>
      <c r="BHI20" s="7"/>
      <c r="BHJ20" s="7"/>
      <c r="BHK20" s="7"/>
      <c r="BHL20" s="7"/>
      <c r="BHM20" s="7"/>
      <c r="BHN20" s="7"/>
      <c r="BHO20" s="7"/>
      <c r="BHP20" s="7"/>
      <c r="BHQ20" s="7"/>
      <c r="BHR20" s="7"/>
      <c r="BHS20" s="7"/>
      <c r="BHT20" s="7"/>
      <c r="BHU20" s="7"/>
      <c r="BHV20" s="7"/>
      <c r="BHW20" s="7"/>
      <c r="BHX20" s="7"/>
      <c r="BHY20" s="7"/>
      <c r="BHZ20" s="7"/>
      <c r="BIA20" s="7"/>
      <c r="BIB20" s="7"/>
      <c r="BIC20" s="7"/>
      <c r="BID20" s="7"/>
      <c r="BIE20" s="7"/>
      <c r="BIF20" s="7"/>
      <c r="BIG20" s="7"/>
      <c r="BIH20" s="7"/>
      <c r="BII20" s="7"/>
      <c r="BIJ20" s="7"/>
      <c r="BIK20" s="7"/>
      <c r="BIL20" s="7"/>
      <c r="BIM20" s="7"/>
      <c r="BIN20" s="7"/>
      <c r="BIO20" s="7"/>
      <c r="BIP20" s="7"/>
      <c r="BIQ20" s="7"/>
      <c r="BIR20" s="7"/>
      <c r="BIS20" s="7"/>
      <c r="BIT20" s="7"/>
      <c r="BIU20" s="7"/>
      <c r="BIV20" s="7"/>
      <c r="BIW20" s="7"/>
      <c r="BIX20" s="7"/>
      <c r="BIY20" s="7"/>
      <c r="BIZ20" s="7"/>
      <c r="BJA20" s="7"/>
      <c r="BJB20" s="7"/>
      <c r="BJC20" s="7"/>
      <c r="BJD20" s="7"/>
      <c r="BJE20" s="7"/>
      <c r="BJF20" s="7"/>
      <c r="BJG20" s="7"/>
      <c r="BJH20" s="7"/>
      <c r="BJI20" s="7"/>
      <c r="BJJ20" s="7"/>
      <c r="BJK20" s="7"/>
      <c r="BJL20" s="7"/>
      <c r="BJM20" s="7"/>
      <c r="BJN20" s="7"/>
      <c r="BJO20" s="7"/>
      <c r="BJP20" s="7"/>
      <c r="BJQ20" s="7"/>
      <c r="BJR20" s="7"/>
      <c r="BJS20" s="7"/>
      <c r="BJT20" s="7"/>
      <c r="BJU20" s="7"/>
      <c r="BJV20" s="7"/>
      <c r="BJW20" s="7"/>
      <c r="BJX20" s="7"/>
      <c r="BJY20" s="7"/>
      <c r="BJZ20" s="7"/>
      <c r="BKA20" s="7"/>
      <c r="BKB20" s="7"/>
      <c r="BKC20" s="7"/>
      <c r="BKD20" s="7"/>
      <c r="BKE20" s="7"/>
      <c r="BKF20" s="7"/>
      <c r="BKG20" s="7"/>
      <c r="BKH20" s="7"/>
      <c r="BKI20" s="7"/>
      <c r="BKJ20" s="7"/>
      <c r="BKK20" s="7"/>
      <c r="BKL20" s="7"/>
      <c r="BKM20" s="7"/>
      <c r="BKN20" s="7"/>
      <c r="BKO20" s="7"/>
      <c r="BKP20" s="7"/>
      <c r="BKQ20" s="7"/>
      <c r="BKR20" s="7"/>
      <c r="BKS20" s="7"/>
      <c r="BKT20" s="7"/>
      <c r="BKU20" s="7"/>
      <c r="BKV20" s="7"/>
      <c r="BKW20" s="7"/>
      <c r="BKX20" s="7"/>
      <c r="BKY20" s="7"/>
      <c r="BKZ20" s="7"/>
      <c r="BLA20" s="7"/>
      <c r="BLB20" s="7"/>
      <c r="BLC20" s="7"/>
      <c r="BLD20" s="7"/>
      <c r="BLE20" s="7"/>
      <c r="BLF20" s="7"/>
      <c r="BLG20" s="7"/>
      <c r="BLH20" s="7"/>
      <c r="BLI20" s="7"/>
      <c r="BLJ20" s="7"/>
      <c r="BLK20" s="7"/>
      <c r="BLL20" s="7"/>
      <c r="BLM20" s="7"/>
      <c r="BLN20" s="7"/>
      <c r="BLO20" s="7"/>
      <c r="BLP20" s="7"/>
      <c r="BLQ20" s="7"/>
      <c r="BLR20" s="7"/>
      <c r="BLS20" s="7"/>
      <c r="BLT20" s="7"/>
      <c r="BLU20" s="7"/>
      <c r="BLV20" s="7"/>
      <c r="BLW20" s="7"/>
      <c r="BLX20" s="7"/>
      <c r="BLY20" s="7"/>
      <c r="BLZ20" s="7"/>
      <c r="BMA20" s="7"/>
      <c r="BMB20" s="7"/>
      <c r="BMC20" s="7"/>
      <c r="BMD20" s="7"/>
      <c r="BME20" s="7"/>
      <c r="BMF20" s="7"/>
      <c r="BMG20" s="7"/>
      <c r="BMH20" s="7"/>
      <c r="BMI20" s="7"/>
      <c r="BMJ20" s="7"/>
      <c r="BMK20" s="7"/>
      <c r="BML20" s="7"/>
      <c r="BMM20" s="7"/>
      <c r="BMN20" s="7"/>
      <c r="BMO20" s="7"/>
      <c r="BMP20" s="7"/>
      <c r="BMQ20" s="7"/>
      <c r="BMR20" s="7"/>
      <c r="BMS20" s="7"/>
      <c r="BMT20" s="7"/>
      <c r="BMU20" s="7"/>
      <c r="BMV20" s="7"/>
      <c r="BMW20" s="7"/>
      <c r="BMX20" s="7"/>
      <c r="BMY20" s="7"/>
      <c r="BMZ20" s="7"/>
      <c r="BNA20" s="7"/>
      <c r="BNB20" s="7"/>
      <c r="BNC20" s="7"/>
      <c r="BND20" s="7"/>
      <c r="BNE20" s="7"/>
      <c r="BNF20" s="7"/>
      <c r="BNG20" s="7"/>
      <c r="BNH20" s="7"/>
      <c r="BNI20" s="7"/>
      <c r="BNJ20" s="7"/>
      <c r="BNK20" s="7"/>
      <c r="BNL20" s="7"/>
      <c r="BNM20" s="7"/>
      <c r="BNN20" s="7"/>
      <c r="BNO20" s="7"/>
      <c r="BNP20" s="7"/>
      <c r="BNQ20" s="7"/>
      <c r="BNR20" s="7"/>
      <c r="BNS20" s="7"/>
      <c r="BNT20" s="7"/>
      <c r="BNU20" s="7"/>
      <c r="BNV20" s="7"/>
      <c r="BNW20" s="7"/>
      <c r="BNX20" s="7"/>
      <c r="BNY20" s="7"/>
      <c r="BNZ20" s="7"/>
      <c r="BOA20" s="7"/>
      <c r="BOB20" s="7"/>
      <c r="BOC20" s="7"/>
      <c r="BOD20" s="7"/>
      <c r="BOE20" s="7"/>
      <c r="BOF20" s="7"/>
      <c r="BOG20" s="7"/>
      <c r="BOH20" s="7"/>
      <c r="BOI20" s="7"/>
      <c r="BOJ20" s="7"/>
      <c r="BOK20" s="7"/>
      <c r="BOL20" s="7"/>
      <c r="BOM20" s="7"/>
      <c r="BON20" s="7"/>
      <c r="BOO20" s="7"/>
      <c r="BOP20" s="7"/>
      <c r="BOQ20" s="7"/>
      <c r="BOR20" s="7"/>
      <c r="BOS20" s="7"/>
      <c r="BOT20" s="7"/>
      <c r="BOU20" s="7"/>
      <c r="BOV20" s="7"/>
      <c r="BOW20" s="7"/>
      <c r="BOX20" s="7"/>
      <c r="BOY20" s="7"/>
      <c r="BOZ20" s="7"/>
      <c r="BPA20" s="7"/>
      <c r="BPB20" s="7"/>
      <c r="BPC20" s="7"/>
      <c r="BPD20" s="7"/>
      <c r="BPE20" s="7"/>
      <c r="BPF20" s="7"/>
      <c r="BPG20" s="7"/>
      <c r="BPH20" s="7"/>
      <c r="BPI20" s="7"/>
      <c r="BPJ20" s="7"/>
      <c r="BPK20" s="7"/>
      <c r="BPL20" s="7"/>
      <c r="BPM20" s="7"/>
      <c r="BPN20" s="7"/>
      <c r="BPO20" s="7"/>
      <c r="BPP20" s="7"/>
      <c r="BPQ20" s="7"/>
      <c r="BPR20" s="7"/>
      <c r="BPS20" s="7"/>
      <c r="BPT20" s="7"/>
      <c r="BPU20" s="7"/>
      <c r="BPV20" s="7"/>
      <c r="BPW20" s="7"/>
      <c r="BPX20" s="7"/>
      <c r="BPY20" s="7"/>
      <c r="BPZ20" s="7"/>
      <c r="BQA20" s="7"/>
      <c r="BQB20" s="7"/>
      <c r="BQC20" s="7"/>
      <c r="BQD20" s="7"/>
      <c r="BQE20" s="7"/>
      <c r="BQF20" s="7"/>
      <c r="BQG20" s="7"/>
      <c r="BQH20" s="7"/>
      <c r="BQI20" s="7"/>
      <c r="BQJ20" s="7"/>
      <c r="BQK20" s="7"/>
      <c r="BQL20" s="7"/>
      <c r="BQM20" s="7"/>
      <c r="BQN20" s="7"/>
      <c r="BQO20" s="7"/>
      <c r="BQP20" s="7"/>
      <c r="BQQ20" s="7"/>
      <c r="BQR20" s="7"/>
      <c r="BQS20" s="7"/>
      <c r="BQT20" s="7"/>
      <c r="BQU20" s="7"/>
      <c r="BQV20" s="7"/>
      <c r="BQW20" s="7"/>
      <c r="BQX20" s="7"/>
      <c r="BQY20" s="7"/>
      <c r="BQZ20" s="7"/>
      <c r="BRA20" s="7"/>
      <c r="BRB20" s="7"/>
      <c r="BRC20" s="7"/>
      <c r="BRD20" s="7"/>
      <c r="BRE20" s="7"/>
      <c r="BRF20" s="7"/>
      <c r="BRG20" s="7"/>
      <c r="BRH20" s="7"/>
      <c r="BRI20" s="7"/>
      <c r="BRJ20" s="7"/>
      <c r="BRK20" s="7"/>
      <c r="BRL20" s="7"/>
      <c r="BRM20" s="7"/>
      <c r="BRN20" s="7"/>
      <c r="BRO20" s="7"/>
      <c r="BRP20" s="7"/>
      <c r="BRQ20" s="7"/>
      <c r="BRR20" s="7"/>
      <c r="BRS20" s="7"/>
      <c r="BRT20" s="7"/>
      <c r="BRU20" s="7"/>
      <c r="BRV20" s="7"/>
      <c r="BRW20" s="7"/>
      <c r="BRX20" s="7"/>
      <c r="BRY20" s="7"/>
      <c r="BRZ20" s="7"/>
      <c r="BSA20" s="7"/>
      <c r="BSB20" s="7"/>
      <c r="BSC20" s="7"/>
      <c r="BSD20" s="7"/>
      <c r="BSE20" s="7"/>
      <c r="BSF20" s="7"/>
      <c r="BSG20" s="7"/>
      <c r="BSH20" s="7"/>
      <c r="BSI20" s="7"/>
      <c r="BSJ20" s="7"/>
      <c r="BSK20" s="7"/>
      <c r="BSL20" s="7"/>
      <c r="BSM20" s="7"/>
      <c r="BSN20" s="7"/>
      <c r="BSO20" s="7"/>
      <c r="BSP20" s="7"/>
      <c r="BSQ20" s="7"/>
      <c r="BSR20" s="7"/>
      <c r="BSS20" s="7"/>
      <c r="BST20" s="7"/>
      <c r="BSU20" s="7"/>
      <c r="BSV20" s="7"/>
      <c r="BSW20" s="7"/>
      <c r="BSX20" s="7"/>
      <c r="BSY20" s="7"/>
      <c r="BSZ20" s="7"/>
      <c r="BTA20" s="7"/>
      <c r="BTB20" s="7"/>
      <c r="BTC20" s="7"/>
      <c r="BTD20" s="7"/>
      <c r="BTE20" s="7"/>
      <c r="BTF20" s="7"/>
      <c r="BTG20" s="7"/>
      <c r="BTH20" s="7"/>
      <c r="BTI20" s="7"/>
      <c r="BTJ20" s="7"/>
      <c r="BTK20" s="7"/>
      <c r="BTL20" s="7"/>
      <c r="BTM20" s="7"/>
      <c r="BTN20" s="7"/>
      <c r="BTO20" s="7"/>
      <c r="BTP20" s="7"/>
      <c r="BTQ20" s="7"/>
      <c r="BTR20" s="7"/>
      <c r="BTS20" s="7"/>
      <c r="BTT20" s="7"/>
      <c r="BTU20" s="7"/>
      <c r="BTV20" s="7"/>
      <c r="BTW20" s="7"/>
      <c r="BTX20" s="7"/>
      <c r="BTY20" s="7"/>
      <c r="BTZ20" s="7"/>
      <c r="BUA20" s="7"/>
      <c r="BUB20" s="7"/>
      <c r="BUC20" s="7"/>
      <c r="BUD20" s="7"/>
      <c r="BUE20" s="7"/>
      <c r="BUF20" s="7"/>
      <c r="BUG20" s="7"/>
      <c r="BUH20" s="7"/>
      <c r="BUI20" s="7"/>
      <c r="BUJ20" s="7"/>
      <c r="BUK20" s="7"/>
      <c r="BUL20" s="7"/>
      <c r="BUM20" s="7"/>
      <c r="BUN20" s="7"/>
      <c r="BUO20" s="7"/>
      <c r="BUP20" s="7"/>
      <c r="BUQ20" s="7"/>
      <c r="BUR20" s="7"/>
      <c r="BUS20" s="7"/>
      <c r="BUT20" s="7"/>
      <c r="BUU20" s="7"/>
      <c r="BUV20" s="7"/>
      <c r="BUW20" s="7"/>
      <c r="BUX20" s="7"/>
      <c r="BUY20" s="7"/>
      <c r="BUZ20" s="7"/>
      <c r="BVA20" s="7"/>
      <c r="BVB20" s="7"/>
      <c r="BVC20" s="7"/>
      <c r="BVD20" s="7"/>
      <c r="BVE20" s="7"/>
      <c r="BVF20" s="7"/>
      <c r="BVG20" s="7"/>
      <c r="BVH20" s="7"/>
      <c r="BVI20" s="7"/>
      <c r="BVJ20" s="7"/>
      <c r="BVK20" s="7"/>
      <c r="BVL20" s="7"/>
      <c r="BVM20" s="7"/>
      <c r="BVN20" s="7"/>
      <c r="BVO20" s="7"/>
      <c r="BVP20" s="7"/>
      <c r="BVQ20" s="7"/>
      <c r="BVR20" s="7"/>
      <c r="BVS20" s="7"/>
      <c r="BVT20" s="7"/>
      <c r="BVU20" s="7"/>
      <c r="BVV20" s="7"/>
      <c r="BVW20" s="7"/>
      <c r="BVX20" s="7"/>
      <c r="BVY20" s="7"/>
      <c r="BVZ20" s="7"/>
      <c r="BWA20" s="7"/>
      <c r="BWB20" s="7"/>
      <c r="BWC20" s="7"/>
      <c r="BWD20" s="7"/>
      <c r="BWE20" s="7"/>
      <c r="BWF20" s="7"/>
      <c r="BWG20" s="7"/>
      <c r="BWH20" s="7"/>
      <c r="BWI20" s="7"/>
      <c r="BWJ20" s="7"/>
      <c r="BWK20" s="7"/>
      <c r="BWL20" s="7"/>
      <c r="BWM20" s="7"/>
      <c r="BWN20" s="7"/>
      <c r="BWO20" s="7"/>
      <c r="BWP20" s="7"/>
      <c r="BWQ20" s="7"/>
      <c r="BWR20" s="7"/>
      <c r="BWS20" s="7"/>
      <c r="BWT20" s="7"/>
      <c r="BWU20" s="7"/>
      <c r="BWV20" s="7"/>
      <c r="BWW20" s="7"/>
      <c r="BWX20" s="7"/>
      <c r="BWY20" s="7"/>
      <c r="BWZ20" s="7"/>
      <c r="BXA20" s="7"/>
      <c r="BXB20" s="7"/>
      <c r="BXC20" s="7"/>
      <c r="BXD20" s="7"/>
      <c r="BXE20" s="7"/>
      <c r="BXF20" s="7"/>
      <c r="BXG20" s="7"/>
      <c r="BXH20" s="7"/>
      <c r="BXI20" s="7"/>
      <c r="BXJ20" s="7"/>
      <c r="BXK20" s="7"/>
      <c r="BXL20" s="7"/>
      <c r="BXM20" s="7"/>
      <c r="BXN20" s="7"/>
      <c r="BXO20" s="7"/>
      <c r="BXP20" s="7"/>
      <c r="BXQ20" s="7"/>
      <c r="BXR20" s="7"/>
      <c r="BXS20" s="7"/>
      <c r="BXT20" s="7"/>
      <c r="BXU20" s="7"/>
      <c r="BXV20" s="7"/>
      <c r="BXW20" s="7"/>
      <c r="BXX20" s="7"/>
      <c r="BXY20" s="7"/>
      <c r="BXZ20" s="7"/>
      <c r="BYA20" s="7"/>
      <c r="BYB20" s="7"/>
      <c r="BYC20" s="7"/>
      <c r="BYD20" s="7"/>
      <c r="BYE20" s="7"/>
      <c r="BYF20" s="7"/>
      <c r="BYG20" s="7"/>
      <c r="BYH20" s="7"/>
      <c r="BYI20" s="7"/>
      <c r="BYJ20" s="7"/>
      <c r="BYK20" s="7"/>
      <c r="BYL20" s="7"/>
      <c r="BYM20" s="7"/>
      <c r="BYN20" s="7"/>
      <c r="BYO20" s="7"/>
      <c r="BYP20" s="7"/>
      <c r="BYQ20" s="7"/>
      <c r="BYR20" s="7"/>
      <c r="BYS20" s="7"/>
      <c r="BYT20" s="7"/>
      <c r="BYU20" s="7"/>
      <c r="BYV20" s="7"/>
      <c r="BYW20" s="7"/>
      <c r="BYX20" s="7"/>
      <c r="BYY20" s="7"/>
      <c r="BYZ20" s="7"/>
      <c r="BZA20" s="7"/>
      <c r="BZB20" s="7"/>
      <c r="BZC20" s="7"/>
      <c r="BZD20" s="7"/>
      <c r="BZE20" s="7"/>
      <c r="BZF20" s="7"/>
      <c r="BZG20" s="7"/>
      <c r="BZH20" s="7"/>
      <c r="BZI20" s="7"/>
      <c r="BZJ20" s="7"/>
      <c r="BZK20" s="7"/>
      <c r="BZL20" s="7"/>
      <c r="BZM20" s="7"/>
      <c r="BZN20" s="7"/>
      <c r="BZO20" s="7"/>
      <c r="BZP20" s="7"/>
      <c r="BZQ20" s="7"/>
      <c r="BZR20" s="7"/>
      <c r="BZS20" s="7"/>
      <c r="BZT20" s="7"/>
      <c r="BZU20" s="7"/>
      <c r="BZV20" s="7"/>
      <c r="BZW20" s="7"/>
      <c r="BZX20" s="7"/>
      <c r="BZY20" s="7"/>
      <c r="BZZ20" s="7"/>
      <c r="CAA20" s="7"/>
      <c r="CAB20" s="7"/>
      <c r="CAC20" s="7"/>
      <c r="CAD20" s="7"/>
      <c r="CAE20" s="7"/>
      <c r="CAF20" s="7"/>
      <c r="CAG20" s="7"/>
      <c r="CAH20" s="7"/>
      <c r="CAI20" s="7"/>
      <c r="CAJ20" s="7"/>
      <c r="CAK20" s="7"/>
      <c r="CAL20" s="7"/>
      <c r="CAM20" s="7"/>
      <c r="CAN20" s="7"/>
      <c r="CAO20" s="7"/>
      <c r="CAP20" s="7"/>
      <c r="CAQ20" s="7"/>
      <c r="CAR20" s="7"/>
      <c r="CAS20" s="7"/>
      <c r="CAT20" s="7"/>
      <c r="CAU20" s="7"/>
      <c r="CAV20" s="7"/>
      <c r="CAW20" s="7"/>
      <c r="CAX20" s="7"/>
      <c r="CAY20" s="7"/>
      <c r="CAZ20" s="7"/>
      <c r="CBA20" s="7"/>
      <c r="CBB20" s="7"/>
      <c r="CBC20" s="7"/>
      <c r="CBD20" s="7"/>
      <c r="CBE20" s="7"/>
      <c r="CBF20" s="7"/>
      <c r="CBG20" s="7"/>
      <c r="CBH20" s="7"/>
      <c r="CBI20" s="7"/>
      <c r="CBJ20" s="7"/>
      <c r="CBK20" s="7"/>
      <c r="CBL20" s="7"/>
      <c r="CBM20" s="7"/>
      <c r="CBN20" s="7"/>
      <c r="CBO20" s="7"/>
      <c r="CBP20" s="7"/>
      <c r="CBQ20" s="7"/>
      <c r="CBR20" s="7"/>
      <c r="CBS20" s="7"/>
      <c r="CBT20" s="7"/>
      <c r="CBU20" s="7"/>
      <c r="CBV20" s="7"/>
      <c r="CBW20" s="7"/>
      <c r="CBX20" s="7"/>
      <c r="CBY20" s="7"/>
      <c r="CBZ20" s="7"/>
      <c r="CCA20" s="7"/>
      <c r="CCB20" s="7"/>
      <c r="CCC20" s="7"/>
      <c r="CCD20" s="7"/>
      <c r="CCE20" s="7"/>
      <c r="CCF20" s="7"/>
      <c r="CCG20" s="7"/>
      <c r="CCH20" s="7"/>
      <c r="CCI20" s="7"/>
      <c r="CCJ20" s="7"/>
      <c r="CCK20" s="7"/>
      <c r="CCL20" s="7"/>
      <c r="CCM20" s="7"/>
      <c r="CCN20" s="7"/>
      <c r="CCO20" s="7"/>
      <c r="CCP20" s="7"/>
      <c r="CCQ20" s="7"/>
      <c r="CCR20" s="7"/>
      <c r="CCS20" s="7"/>
      <c r="CCT20" s="7"/>
      <c r="CCU20" s="7"/>
      <c r="CCV20" s="7"/>
      <c r="CCW20" s="7"/>
      <c r="CCX20" s="7"/>
      <c r="CCY20" s="7"/>
      <c r="CCZ20" s="7"/>
      <c r="CDA20" s="7"/>
      <c r="CDB20" s="7"/>
      <c r="CDC20" s="7"/>
      <c r="CDD20" s="7"/>
      <c r="CDE20" s="7"/>
      <c r="CDF20" s="7"/>
      <c r="CDG20" s="7"/>
      <c r="CDH20" s="7"/>
      <c r="CDI20" s="7"/>
      <c r="CDJ20" s="7"/>
      <c r="CDK20" s="7"/>
      <c r="CDL20" s="7"/>
      <c r="CDM20" s="7"/>
      <c r="CDN20" s="7"/>
      <c r="CDO20" s="7"/>
      <c r="CDP20" s="7"/>
      <c r="CDQ20" s="7"/>
      <c r="CDR20" s="7"/>
      <c r="CDS20" s="7"/>
      <c r="CDT20" s="7"/>
      <c r="CDU20" s="7"/>
      <c r="CDV20" s="7"/>
      <c r="CDW20" s="7"/>
      <c r="CDX20" s="7"/>
      <c r="CDY20" s="7"/>
      <c r="CDZ20" s="7"/>
      <c r="CEA20" s="7"/>
      <c r="CEB20" s="7"/>
      <c r="CEC20" s="7"/>
      <c r="CED20" s="7"/>
      <c r="CEE20" s="7"/>
      <c r="CEF20" s="7"/>
      <c r="CEG20" s="7"/>
      <c r="CEH20" s="7"/>
      <c r="CEI20" s="7"/>
      <c r="CEJ20" s="7"/>
      <c r="CEK20" s="7"/>
      <c r="CEL20" s="7"/>
      <c r="CEM20" s="7"/>
      <c r="CEN20" s="7"/>
      <c r="CEO20" s="7"/>
      <c r="CEP20" s="7"/>
      <c r="CEQ20" s="7"/>
      <c r="CER20" s="7"/>
      <c r="CES20" s="7"/>
      <c r="CET20" s="7"/>
      <c r="CEU20" s="7"/>
      <c r="CEV20" s="7"/>
      <c r="CEW20" s="7"/>
      <c r="CEX20" s="7"/>
      <c r="CEY20" s="7"/>
      <c r="CEZ20" s="7"/>
      <c r="CFA20" s="7"/>
      <c r="CFB20" s="7"/>
      <c r="CFC20" s="7"/>
      <c r="CFD20" s="7"/>
      <c r="CFE20" s="7"/>
      <c r="CFF20" s="7"/>
      <c r="CFG20" s="7"/>
      <c r="CFH20" s="7"/>
      <c r="CFI20" s="7"/>
      <c r="CFJ20" s="7"/>
      <c r="CFK20" s="7"/>
      <c r="CFL20" s="7"/>
      <c r="CFM20" s="7"/>
      <c r="CFN20" s="7"/>
      <c r="CFO20" s="7"/>
      <c r="CFP20" s="7"/>
      <c r="CFQ20" s="7"/>
      <c r="CFR20" s="7"/>
      <c r="CFS20" s="7"/>
      <c r="CFT20" s="7"/>
      <c r="CFU20" s="7"/>
      <c r="CFV20" s="7"/>
      <c r="CFW20" s="7"/>
      <c r="CFX20" s="7"/>
      <c r="CFY20" s="7"/>
      <c r="CFZ20" s="7"/>
      <c r="CGA20" s="7"/>
      <c r="CGB20" s="7"/>
      <c r="CGC20" s="7"/>
      <c r="CGD20" s="7"/>
      <c r="CGE20" s="7"/>
      <c r="CGF20" s="7"/>
      <c r="CGG20" s="7"/>
      <c r="CGH20" s="7"/>
      <c r="CGI20" s="7"/>
      <c r="CGJ20" s="7"/>
      <c r="CGK20" s="7"/>
      <c r="CGL20" s="7"/>
      <c r="CGM20" s="7"/>
      <c r="CGN20" s="7"/>
      <c r="CGO20" s="7"/>
      <c r="CGP20" s="7"/>
      <c r="CGQ20" s="7"/>
      <c r="CGR20" s="7"/>
      <c r="CGS20" s="7"/>
      <c r="CGT20" s="7"/>
      <c r="CGU20" s="7"/>
      <c r="CGV20" s="7"/>
      <c r="CGW20" s="7"/>
      <c r="CGX20" s="7"/>
      <c r="CGY20" s="7"/>
      <c r="CGZ20" s="7"/>
      <c r="CHA20" s="7"/>
      <c r="CHB20" s="7"/>
      <c r="CHC20" s="7"/>
      <c r="CHD20" s="7"/>
      <c r="CHE20" s="7"/>
      <c r="CHF20" s="7"/>
      <c r="CHG20" s="7"/>
      <c r="CHH20" s="7"/>
      <c r="CHI20" s="7"/>
      <c r="CHJ20" s="7"/>
      <c r="CHK20" s="7"/>
      <c r="CHL20" s="7"/>
      <c r="CHM20" s="7"/>
      <c r="CHN20" s="7"/>
      <c r="CHO20" s="7"/>
      <c r="CHP20" s="7"/>
      <c r="CHQ20" s="7"/>
      <c r="CHR20" s="7"/>
      <c r="CHS20" s="7"/>
      <c r="CHT20" s="7"/>
      <c r="CHU20" s="7"/>
      <c r="CHV20" s="7"/>
      <c r="CHW20" s="7"/>
      <c r="CHX20" s="7"/>
      <c r="CHY20" s="7"/>
      <c r="CHZ20" s="7"/>
      <c r="CIA20" s="7"/>
      <c r="CIB20" s="7"/>
      <c r="CIC20" s="7"/>
      <c r="CID20" s="7"/>
      <c r="CIE20" s="7"/>
      <c r="CIF20" s="7"/>
      <c r="CIG20" s="7"/>
      <c r="CIH20" s="7"/>
      <c r="CII20" s="7"/>
      <c r="CIJ20" s="7"/>
      <c r="CIK20" s="7"/>
      <c r="CIL20" s="7"/>
      <c r="CIM20" s="7"/>
      <c r="CIN20" s="7"/>
      <c r="CIO20" s="7"/>
      <c r="CIP20" s="7"/>
      <c r="CIQ20" s="7"/>
      <c r="CIR20" s="7"/>
      <c r="CIS20" s="7"/>
      <c r="CIT20" s="7"/>
      <c r="CIU20" s="7"/>
      <c r="CIV20" s="7"/>
      <c r="CIW20" s="7"/>
      <c r="CIX20" s="7"/>
      <c r="CIY20" s="7"/>
      <c r="CIZ20" s="7"/>
      <c r="CJA20" s="7"/>
      <c r="CJB20" s="7"/>
      <c r="CJC20" s="7"/>
      <c r="CJD20" s="7"/>
      <c r="CJE20" s="7"/>
      <c r="CJF20" s="7"/>
      <c r="CJG20" s="7"/>
      <c r="CJH20" s="7"/>
      <c r="CJI20" s="7"/>
      <c r="CJJ20" s="7"/>
      <c r="CJK20" s="7"/>
      <c r="CJL20" s="7"/>
      <c r="CJM20" s="7"/>
      <c r="CJN20" s="7"/>
      <c r="CJO20" s="7"/>
      <c r="CJP20" s="7"/>
      <c r="CJQ20" s="7"/>
      <c r="CJR20" s="7"/>
      <c r="CJS20" s="7"/>
      <c r="CJT20" s="7"/>
      <c r="CJU20" s="7"/>
      <c r="CJV20" s="7"/>
      <c r="CJW20" s="7"/>
      <c r="CJX20" s="7"/>
      <c r="CJY20" s="7"/>
      <c r="CJZ20" s="7"/>
      <c r="CKA20" s="7"/>
      <c r="CKB20" s="7"/>
      <c r="CKC20" s="7"/>
      <c r="CKD20" s="7"/>
      <c r="CKE20" s="7"/>
      <c r="CKF20" s="7"/>
      <c r="CKG20" s="7"/>
      <c r="CKH20" s="7"/>
      <c r="CKI20" s="7"/>
      <c r="CKJ20" s="7"/>
      <c r="CKK20" s="7"/>
      <c r="CKL20" s="7"/>
      <c r="CKM20" s="7"/>
      <c r="CKN20" s="7"/>
      <c r="CKO20" s="7"/>
      <c r="CKP20" s="7"/>
      <c r="CKQ20" s="7"/>
      <c r="CKR20" s="7"/>
      <c r="CKS20" s="7"/>
      <c r="CKT20" s="7"/>
      <c r="CKU20" s="7"/>
      <c r="CKV20" s="7"/>
      <c r="CKW20" s="7"/>
      <c r="CKX20" s="7"/>
      <c r="CKY20" s="7"/>
      <c r="CKZ20" s="7"/>
      <c r="CLA20" s="7"/>
      <c r="CLB20" s="7"/>
      <c r="CLC20" s="7"/>
      <c r="CLD20" s="7"/>
      <c r="CLE20" s="7"/>
      <c r="CLF20" s="7"/>
      <c r="CLG20" s="7"/>
      <c r="CLH20" s="7"/>
      <c r="CLI20" s="7"/>
      <c r="CLJ20" s="7"/>
      <c r="CLK20" s="7"/>
      <c r="CLL20" s="7"/>
      <c r="CLM20" s="7"/>
      <c r="CLN20" s="7"/>
      <c r="CLO20" s="7"/>
      <c r="CLP20" s="7"/>
      <c r="CLQ20" s="7"/>
      <c r="CLR20" s="7"/>
      <c r="CLS20" s="7"/>
      <c r="CLT20" s="7"/>
      <c r="CLU20" s="7"/>
      <c r="CLV20" s="7"/>
      <c r="CLW20" s="7"/>
      <c r="CLX20" s="7"/>
      <c r="CLY20" s="7"/>
      <c r="CLZ20" s="7"/>
      <c r="CMA20" s="7"/>
      <c r="CMB20" s="7"/>
      <c r="CMC20" s="7"/>
      <c r="CMD20" s="7"/>
      <c r="CME20" s="7"/>
      <c r="CMF20" s="7"/>
      <c r="CMG20" s="7"/>
      <c r="CMH20" s="7"/>
      <c r="CMI20" s="7"/>
      <c r="CMJ20" s="7"/>
      <c r="CMK20" s="7"/>
      <c r="CML20" s="7"/>
      <c r="CMM20" s="7"/>
      <c r="CMN20" s="7"/>
      <c r="CMO20" s="7"/>
      <c r="CMP20" s="7"/>
      <c r="CMQ20" s="7"/>
      <c r="CMR20" s="7"/>
      <c r="CMS20" s="7"/>
      <c r="CMT20" s="7"/>
      <c r="CMU20" s="7"/>
      <c r="CMV20" s="7"/>
      <c r="CMW20" s="7"/>
      <c r="CMX20" s="7"/>
      <c r="CMY20" s="7"/>
      <c r="CMZ20" s="7"/>
      <c r="CNA20" s="7"/>
      <c r="CNB20" s="7"/>
      <c r="CNC20" s="7"/>
      <c r="CND20" s="7"/>
      <c r="CNE20" s="7"/>
      <c r="CNF20" s="7"/>
      <c r="CNG20" s="7"/>
      <c r="CNH20" s="7"/>
      <c r="CNI20" s="7"/>
      <c r="CNJ20" s="7"/>
      <c r="CNK20" s="7"/>
      <c r="CNL20" s="7"/>
      <c r="CNM20" s="7"/>
      <c r="CNN20" s="7"/>
      <c r="CNO20" s="7"/>
      <c r="CNP20" s="7"/>
      <c r="CNQ20" s="7"/>
      <c r="CNR20" s="7"/>
      <c r="CNS20" s="7"/>
      <c r="CNT20" s="7"/>
      <c r="CNU20" s="7"/>
      <c r="CNV20" s="7"/>
      <c r="CNW20" s="7"/>
      <c r="CNX20" s="7"/>
      <c r="CNY20" s="7"/>
      <c r="CNZ20" s="7"/>
      <c r="COA20" s="7"/>
      <c r="COB20" s="7"/>
      <c r="COC20" s="7"/>
      <c r="COD20" s="7"/>
      <c r="COE20" s="7"/>
      <c r="COF20" s="7"/>
      <c r="COG20" s="7"/>
      <c r="COH20" s="7"/>
      <c r="COI20" s="7"/>
      <c r="COJ20" s="7"/>
      <c r="COK20" s="7"/>
      <c r="COL20" s="7"/>
      <c r="COM20" s="7"/>
      <c r="CON20" s="7"/>
      <c r="COO20" s="7"/>
      <c r="COP20" s="7"/>
      <c r="COQ20" s="7"/>
      <c r="COR20" s="7"/>
      <c r="COS20" s="7"/>
      <c r="COT20" s="7"/>
      <c r="COU20" s="7"/>
      <c r="COV20" s="7"/>
      <c r="COW20" s="7"/>
      <c r="COX20" s="7"/>
      <c r="COY20" s="7"/>
      <c r="COZ20" s="7"/>
      <c r="CPA20" s="7"/>
      <c r="CPB20" s="7"/>
      <c r="CPC20" s="7"/>
      <c r="CPD20" s="7"/>
      <c r="CPE20" s="7"/>
      <c r="CPF20" s="7"/>
      <c r="CPG20" s="7"/>
      <c r="CPH20" s="7"/>
      <c r="CPI20" s="7"/>
      <c r="CPJ20" s="7"/>
      <c r="CPK20" s="7"/>
      <c r="CPL20" s="7"/>
      <c r="CPM20" s="7"/>
      <c r="CPN20" s="7"/>
      <c r="CPO20" s="7"/>
      <c r="CPP20" s="7"/>
      <c r="CPQ20" s="7"/>
      <c r="CPR20" s="7"/>
      <c r="CPS20" s="7"/>
      <c r="CPT20" s="7"/>
      <c r="CPU20" s="7"/>
      <c r="CPV20" s="7"/>
      <c r="CPW20" s="7"/>
      <c r="CPX20" s="7"/>
      <c r="CPY20" s="7"/>
      <c r="CPZ20" s="7"/>
      <c r="CQA20" s="7"/>
      <c r="CQB20" s="7"/>
      <c r="CQC20" s="7"/>
      <c r="CQD20" s="7"/>
      <c r="CQE20" s="7"/>
      <c r="CQF20" s="7"/>
      <c r="CQG20" s="7"/>
      <c r="CQH20" s="7"/>
      <c r="CQI20" s="7"/>
      <c r="CQJ20" s="7"/>
      <c r="CQK20" s="7"/>
      <c r="CQL20" s="7"/>
      <c r="CQM20" s="7"/>
      <c r="CQN20" s="7"/>
      <c r="CQO20" s="7"/>
      <c r="CQP20" s="7"/>
      <c r="CQQ20" s="7"/>
      <c r="CQR20" s="7"/>
      <c r="CQS20" s="7"/>
      <c r="CQT20" s="7"/>
      <c r="CQU20" s="7"/>
      <c r="CQV20" s="7"/>
      <c r="CQW20" s="7"/>
      <c r="CQX20" s="7"/>
      <c r="CQY20" s="7"/>
      <c r="CQZ20" s="7"/>
      <c r="CRA20" s="7"/>
      <c r="CRB20" s="7"/>
      <c r="CRC20" s="7"/>
      <c r="CRD20" s="7"/>
      <c r="CRE20" s="7"/>
      <c r="CRF20" s="7"/>
      <c r="CRG20" s="7"/>
      <c r="CRH20" s="7"/>
      <c r="CRI20" s="7"/>
      <c r="CRJ20" s="7"/>
      <c r="CRK20" s="7"/>
      <c r="CRL20" s="7"/>
      <c r="CRM20" s="7"/>
      <c r="CRN20" s="7"/>
      <c r="CRO20" s="7"/>
      <c r="CRP20" s="7"/>
      <c r="CRQ20" s="7"/>
      <c r="CRR20" s="7"/>
      <c r="CRS20" s="7"/>
      <c r="CRT20" s="7"/>
      <c r="CRU20" s="7"/>
      <c r="CRV20" s="7"/>
      <c r="CRW20" s="7"/>
      <c r="CRX20" s="7"/>
      <c r="CRY20" s="7"/>
      <c r="CRZ20" s="7"/>
      <c r="CSA20" s="7"/>
      <c r="CSB20" s="7"/>
      <c r="CSC20" s="7"/>
      <c r="CSD20" s="7"/>
      <c r="CSE20" s="7"/>
      <c r="CSF20" s="7"/>
      <c r="CSG20" s="7"/>
      <c r="CSH20" s="7"/>
      <c r="CSI20" s="7"/>
      <c r="CSJ20" s="7"/>
      <c r="CSK20" s="7"/>
      <c r="CSL20" s="7"/>
      <c r="CSM20" s="7"/>
      <c r="CSN20" s="7"/>
      <c r="CSO20" s="7"/>
      <c r="CSP20" s="7"/>
      <c r="CSQ20" s="7"/>
      <c r="CSR20" s="7"/>
      <c r="CSS20" s="7"/>
      <c r="CST20" s="7"/>
      <c r="CSU20" s="7"/>
      <c r="CSV20" s="7"/>
      <c r="CSW20" s="7"/>
      <c r="CSX20" s="7"/>
      <c r="CSY20" s="7"/>
      <c r="CSZ20" s="7"/>
      <c r="CTA20" s="7"/>
      <c r="CTB20" s="7"/>
      <c r="CTC20" s="7"/>
      <c r="CTD20" s="7"/>
      <c r="CTE20" s="7"/>
      <c r="CTF20" s="7"/>
      <c r="CTG20" s="7"/>
      <c r="CTH20" s="7"/>
      <c r="CTI20" s="7"/>
      <c r="CTJ20" s="7"/>
      <c r="CTK20" s="7"/>
      <c r="CTL20" s="7"/>
      <c r="CTM20" s="7"/>
      <c r="CTN20" s="7"/>
      <c r="CTO20" s="7"/>
      <c r="CTP20" s="7"/>
      <c r="CTQ20" s="7"/>
      <c r="CTR20" s="7"/>
      <c r="CTS20" s="7"/>
      <c r="CTT20" s="7"/>
      <c r="CTU20" s="7"/>
      <c r="CTV20" s="7"/>
      <c r="CTW20" s="7"/>
      <c r="CTX20" s="7"/>
      <c r="CTY20" s="7"/>
      <c r="CTZ20" s="7"/>
      <c r="CUA20" s="7"/>
      <c r="CUB20" s="7"/>
      <c r="CUC20" s="7"/>
      <c r="CUD20" s="7"/>
      <c r="CUE20" s="7"/>
      <c r="CUF20" s="7"/>
      <c r="CUG20" s="7"/>
      <c r="CUH20" s="7"/>
      <c r="CUI20" s="7"/>
      <c r="CUJ20" s="7"/>
      <c r="CUK20" s="7"/>
      <c r="CUL20" s="7"/>
      <c r="CUM20" s="7"/>
      <c r="CUN20" s="7"/>
      <c r="CUO20" s="7"/>
      <c r="CUP20" s="7"/>
      <c r="CUQ20" s="7"/>
      <c r="CUR20" s="7"/>
      <c r="CUS20" s="7"/>
      <c r="CUT20" s="7"/>
      <c r="CUU20" s="7"/>
      <c r="CUV20" s="7"/>
      <c r="CUW20" s="7"/>
      <c r="CUX20" s="7"/>
      <c r="CUY20" s="7"/>
      <c r="CUZ20" s="7"/>
      <c r="CVA20" s="7"/>
      <c r="CVB20" s="7"/>
      <c r="CVC20" s="7"/>
      <c r="CVD20" s="7"/>
      <c r="CVE20" s="7"/>
      <c r="CVF20" s="7"/>
      <c r="CVG20" s="7"/>
      <c r="CVH20" s="7"/>
      <c r="CVI20" s="7"/>
      <c r="CVJ20" s="7"/>
      <c r="CVK20" s="7"/>
      <c r="CVL20" s="7"/>
      <c r="CVM20" s="7"/>
      <c r="CVN20" s="7"/>
      <c r="CVO20" s="7"/>
      <c r="CVP20" s="7"/>
      <c r="CVQ20" s="7"/>
      <c r="CVR20" s="7"/>
      <c r="CVS20" s="7"/>
      <c r="CVT20" s="7"/>
      <c r="CVU20" s="7"/>
      <c r="CVV20" s="7"/>
      <c r="CVW20" s="7"/>
      <c r="CVX20" s="7"/>
      <c r="CVY20" s="7"/>
      <c r="CVZ20" s="7"/>
      <c r="CWA20" s="7"/>
      <c r="CWB20" s="7"/>
      <c r="CWC20" s="7"/>
      <c r="CWD20" s="7"/>
      <c r="CWE20" s="7"/>
      <c r="CWF20" s="7"/>
      <c r="CWG20" s="7"/>
      <c r="CWH20" s="7"/>
      <c r="CWI20" s="7"/>
      <c r="CWJ20" s="7"/>
      <c r="CWK20" s="7"/>
      <c r="CWL20" s="7"/>
      <c r="CWM20" s="7"/>
      <c r="CWN20" s="7"/>
      <c r="CWO20" s="7"/>
      <c r="CWP20" s="7"/>
      <c r="CWQ20" s="7"/>
      <c r="CWR20" s="7"/>
      <c r="CWS20" s="7"/>
      <c r="CWT20" s="7"/>
      <c r="CWU20" s="7"/>
      <c r="CWV20" s="7"/>
      <c r="CWW20" s="7"/>
      <c r="CWX20" s="7"/>
      <c r="CWY20" s="7"/>
      <c r="CWZ20" s="7"/>
      <c r="CXA20" s="7"/>
      <c r="CXB20" s="7"/>
      <c r="CXC20" s="7"/>
      <c r="CXD20" s="7"/>
      <c r="CXE20" s="7"/>
      <c r="CXF20" s="7"/>
      <c r="CXG20" s="7"/>
      <c r="CXH20" s="7"/>
      <c r="CXI20" s="7"/>
      <c r="CXJ20" s="7"/>
      <c r="CXK20" s="7"/>
      <c r="CXL20" s="7"/>
      <c r="CXM20" s="7"/>
      <c r="CXN20" s="7"/>
      <c r="CXO20" s="7"/>
      <c r="CXP20" s="7"/>
      <c r="CXQ20" s="7"/>
      <c r="CXR20" s="7"/>
      <c r="CXS20" s="7"/>
      <c r="CXT20" s="7"/>
      <c r="CXU20" s="7"/>
      <c r="CXV20" s="7"/>
      <c r="CXW20" s="7"/>
      <c r="CXX20" s="7"/>
      <c r="CXY20" s="7"/>
      <c r="CXZ20" s="7"/>
      <c r="CYA20" s="7"/>
      <c r="CYB20" s="7"/>
      <c r="CYC20" s="7"/>
      <c r="CYD20" s="7"/>
      <c r="CYE20" s="7"/>
      <c r="CYF20" s="7"/>
      <c r="CYG20" s="7"/>
      <c r="CYH20" s="7"/>
      <c r="CYI20" s="7"/>
      <c r="CYJ20" s="7"/>
      <c r="CYK20" s="7"/>
      <c r="CYL20" s="7"/>
      <c r="CYM20" s="7"/>
      <c r="CYN20" s="7"/>
      <c r="CYO20" s="7"/>
      <c r="CYP20" s="7"/>
      <c r="CYQ20" s="7"/>
      <c r="CYR20" s="7"/>
      <c r="CYS20" s="7"/>
      <c r="CYT20" s="7"/>
      <c r="CYU20" s="7"/>
      <c r="CYV20" s="7"/>
      <c r="CYW20" s="7"/>
      <c r="CYX20" s="7"/>
      <c r="CYY20" s="7"/>
      <c r="CYZ20" s="7"/>
      <c r="CZA20" s="7"/>
      <c r="CZB20" s="7"/>
      <c r="CZC20" s="7"/>
      <c r="CZD20" s="7"/>
      <c r="CZE20" s="7"/>
      <c r="CZF20" s="7"/>
      <c r="CZG20" s="7"/>
      <c r="CZH20" s="7"/>
      <c r="CZI20" s="7"/>
      <c r="CZJ20" s="7"/>
      <c r="CZK20" s="7"/>
      <c r="CZL20" s="7"/>
      <c r="CZM20" s="7"/>
      <c r="CZN20" s="7"/>
      <c r="CZO20" s="7"/>
      <c r="CZP20" s="7"/>
      <c r="CZQ20" s="7"/>
      <c r="CZR20" s="7"/>
      <c r="CZS20" s="7"/>
      <c r="CZT20" s="7"/>
      <c r="CZU20" s="7"/>
      <c r="CZV20" s="7"/>
      <c r="CZW20" s="7"/>
      <c r="CZX20" s="7"/>
      <c r="CZY20" s="7"/>
      <c r="CZZ20" s="7"/>
      <c r="DAA20" s="7"/>
      <c r="DAB20" s="7"/>
      <c r="DAC20" s="7"/>
      <c r="DAD20" s="7"/>
      <c r="DAE20" s="7"/>
      <c r="DAF20" s="7"/>
      <c r="DAG20" s="7"/>
      <c r="DAH20" s="7"/>
      <c r="DAI20" s="7"/>
      <c r="DAJ20" s="7"/>
      <c r="DAK20" s="7"/>
      <c r="DAL20" s="7"/>
      <c r="DAM20" s="7"/>
      <c r="DAN20" s="7"/>
      <c r="DAO20" s="7"/>
      <c r="DAP20" s="7"/>
      <c r="DAQ20" s="7"/>
      <c r="DAR20" s="7"/>
      <c r="DAS20" s="7"/>
      <c r="DAT20" s="7"/>
      <c r="DAU20" s="7"/>
      <c r="DAV20" s="7"/>
      <c r="DAW20" s="7"/>
      <c r="DAX20" s="7"/>
      <c r="DAY20" s="7"/>
      <c r="DAZ20" s="7"/>
      <c r="DBA20" s="7"/>
      <c r="DBB20" s="7"/>
      <c r="DBC20" s="7"/>
      <c r="DBD20" s="7"/>
      <c r="DBE20" s="7"/>
      <c r="DBF20" s="7"/>
      <c r="DBG20" s="7"/>
      <c r="DBH20" s="7"/>
      <c r="DBI20" s="7"/>
      <c r="DBJ20" s="7"/>
      <c r="DBK20" s="7"/>
      <c r="DBL20" s="7"/>
      <c r="DBM20" s="7"/>
      <c r="DBN20" s="7"/>
      <c r="DBO20" s="7"/>
      <c r="DBP20" s="7"/>
      <c r="DBQ20" s="7"/>
      <c r="DBR20" s="7"/>
      <c r="DBS20" s="7"/>
      <c r="DBT20" s="7"/>
      <c r="DBU20" s="7"/>
      <c r="DBV20" s="7"/>
      <c r="DBW20" s="7"/>
      <c r="DBX20" s="7"/>
      <c r="DBY20" s="7"/>
      <c r="DBZ20" s="7"/>
      <c r="DCA20" s="7"/>
      <c r="DCB20" s="7"/>
      <c r="DCC20" s="7"/>
      <c r="DCD20" s="7"/>
      <c r="DCE20" s="7"/>
      <c r="DCF20" s="7"/>
      <c r="DCG20" s="7"/>
      <c r="DCH20" s="7"/>
      <c r="DCI20" s="7"/>
      <c r="DCJ20" s="7"/>
      <c r="DCK20" s="7"/>
      <c r="DCL20" s="7"/>
      <c r="DCM20" s="7"/>
      <c r="DCN20" s="7"/>
      <c r="DCO20" s="7"/>
      <c r="DCP20" s="7"/>
      <c r="DCQ20" s="7"/>
      <c r="DCR20" s="7"/>
      <c r="DCS20" s="7"/>
      <c r="DCT20" s="7"/>
      <c r="DCU20" s="7"/>
      <c r="DCV20" s="7"/>
      <c r="DCW20" s="7"/>
      <c r="DCX20" s="7"/>
      <c r="DCY20" s="7"/>
      <c r="DCZ20" s="7"/>
      <c r="DDA20" s="7"/>
      <c r="DDB20" s="7"/>
      <c r="DDC20" s="7"/>
      <c r="DDD20" s="7"/>
      <c r="DDE20" s="7"/>
      <c r="DDF20" s="7"/>
      <c r="DDG20" s="7"/>
      <c r="DDH20" s="7"/>
      <c r="DDI20" s="7"/>
      <c r="DDJ20" s="7"/>
      <c r="DDK20" s="7"/>
      <c r="DDL20" s="7"/>
      <c r="DDM20" s="7"/>
      <c r="DDN20" s="7"/>
      <c r="DDO20" s="7"/>
      <c r="DDP20" s="7"/>
      <c r="DDQ20" s="7"/>
      <c r="DDR20" s="7"/>
      <c r="DDS20" s="7"/>
      <c r="DDT20" s="7"/>
      <c r="DDU20" s="7"/>
      <c r="DDV20" s="7"/>
      <c r="DDW20" s="7"/>
      <c r="DDX20" s="7"/>
      <c r="DDY20" s="7"/>
      <c r="DDZ20" s="7"/>
      <c r="DEA20" s="7"/>
      <c r="DEB20" s="7"/>
      <c r="DEC20" s="7"/>
      <c r="DED20" s="7"/>
      <c r="DEE20" s="7"/>
      <c r="DEF20" s="7"/>
      <c r="DEG20" s="7"/>
      <c r="DEH20" s="7"/>
      <c r="DEI20" s="7"/>
      <c r="DEJ20" s="7"/>
      <c r="DEK20" s="7"/>
      <c r="DEL20" s="7"/>
      <c r="DEM20" s="7"/>
      <c r="DEN20" s="7"/>
      <c r="DEO20" s="7"/>
      <c r="DEP20" s="7"/>
      <c r="DEQ20" s="7"/>
      <c r="DER20" s="7"/>
      <c r="DES20" s="7"/>
      <c r="DET20" s="7"/>
      <c r="DEU20" s="7"/>
      <c r="DEV20" s="7"/>
      <c r="DEW20" s="7"/>
      <c r="DEX20" s="7"/>
      <c r="DEY20" s="7"/>
      <c r="DEZ20" s="7"/>
      <c r="DFA20" s="7"/>
      <c r="DFB20" s="7"/>
      <c r="DFC20" s="7"/>
      <c r="DFD20" s="7"/>
      <c r="DFE20" s="7"/>
      <c r="DFF20" s="7"/>
      <c r="DFG20" s="7"/>
      <c r="DFH20" s="7"/>
      <c r="DFI20" s="7"/>
      <c r="DFJ20" s="7"/>
      <c r="DFK20" s="7"/>
      <c r="DFL20" s="7"/>
      <c r="DFM20" s="7"/>
      <c r="DFN20" s="7"/>
      <c r="DFO20" s="7"/>
      <c r="DFP20" s="7"/>
      <c r="DFQ20" s="7"/>
      <c r="DFR20" s="7"/>
      <c r="DFS20" s="7"/>
      <c r="DFT20" s="7"/>
      <c r="DFU20" s="7"/>
      <c r="DFV20" s="7"/>
      <c r="DFW20" s="7"/>
      <c r="DFX20" s="7"/>
      <c r="DFY20" s="7"/>
      <c r="DFZ20" s="7"/>
      <c r="DGA20" s="7"/>
      <c r="DGB20" s="7"/>
      <c r="DGC20" s="7"/>
      <c r="DGD20" s="7"/>
      <c r="DGE20" s="7"/>
      <c r="DGF20" s="7"/>
      <c r="DGG20" s="7"/>
      <c r="DGH20" s="7"/>
      <c r="DGI20" s="7"/>
      <c r="DGJ20" s="7"/>
      <c r="DGK20" s="7"/>
      <c r="DGL20" s="7"/>
      <c r="DGM20" s="7"/>
      <c r="DGN20" s="7"/>
      <c r="DGO20" s="7"/>
      <c r="DGP20" s="7"/>
      <c r="DGQ20" s="7"/>
      <c r="DGR20" s="7"/>
      <c r="DGS20" s="7"/>
      <c r="DGT20" s="7"/>
      <c r="DGU20" s="7"/>
      <c r="DGV20" s="7"/>
      <c r="DGW20" s="7"/>
      <c r="DGX20" s="7"/>
      <c r="DGY20" s="7"/>
      <c r="DGZ20" s="7"/>
      <c r="DHA20" s="7"/>
      <c r="DHB20" s="7"/>
      <c r="DHC20" s="7"/>
      <c r="DHD20" s="7"/>
      <c r="DHE20" s="7"/>
      <c r="DHF20" s="7"/>
      <c r="DHG20" s="7"/>
      <c r="DHH20" s="7"/>
      <c r="DHI20" s="7"/>
      <c r="DHJ20" s="7"/>
      <c r="DHK20" s="7"/>
      <c r="DHL20" s="7"/>
      <c r="DHM20" s="7"/>
      <c r="DHN20" s="7"/>
      <c r="DHO20" s="7"/>
      <c r="DHP20" s="7"/>
      <c r="DHQ20" s="7"/>
      <c r="DHR20" s="7"/>
      <c r="DHS20" s="7"/>
      <c r="DHT20" s="7"/>
      <c r="DHU20" s="7"/>
      <c r="DHV20" s="7"/>
      <c r="DHW20" s="7"/>
      <c r="DHX20" s="7"/>
      <c r="DHY20" s="7"/>
      <c r="DHZ20" s="7"/>
      <c r="DIA20" s="7"/>
      <c r="DIB20" s="7"/>
      <c r="DIC20" s="7"/>
      <c r="DID20" s="7"/>
      <c r="DIE20" s="7"/>
      <c r="DIF20" s="7"/>
      <c r="DIG20" s="7"/>
      <c r="DIH20" s="7"/>
      <c r="DII20" s="7"/>
      <c r="DIJ20" s="7"/>
      <c r="DIK20" s="7"/>
      <c r="DIL20" s="7"/>
      <c r="DIM20" s="7"/>
      <c r="DIN20" s="7"/>
      <c r="DIO20" s="7"/>
      <c r="DIP20" s="7"/>
      <c r="DIQ20" s="7"/>
      <c r="DIR20" s="7"/>
      <c r="DIS20" s="7"/>
      <c r="DIT20" s="7"/>
      <c r="DIU20" s="7"/>
      <c r="DIV20" s="7"/>
      <c r="DIW20" s="7"/>
      <c r="DIX20" s="7"/>
      <c r="DIY20" s="7"/>
      <c r="DIZ20" s="7"/>
      <c r="DJA20" s="7"/>
      <c r="DJB20" s="7"/>
      <c r="DJC20" s="7"/>
      <c r="DJD20" s="7"/>
      <c r="DJE20" s="7"/>
      <c r="DJF20" s="7"/>
      <c r="DJG20" s="7"/>
      <c r="DJH20" s="7"/>
      <c r="DJI20" s="7"/>
      <c r="DJJ20" s="7"/>
      <c r="DJK20" s="7"/>
      <c r="DJL20" s="7"/>
      <c r="DJM20" s="7"/>
      <c r="DJN20" s="7"/>
      <c r="DJO20" s="7"/>
      <c r="DJP20" s="7"/>
      <c r="DJQ20" s="7"/>
      <c r="DJR20" s="7"/>
      <c r="DJS20" s="7"/>
      <c r="DJT20" s="7"/>
      <c r="DJU20" s="7"/>
      <c r="DJV20" s="7"/>
      <c r="DJW20" s="7"/>
      <c r="DJX20" s="7"/>
      <c r="DJY20" s="7"/>
      <c r="DJZ20" s="7"/>
      <c r="DKA20" s="7"/>
      <c r="DKB20" s="7"/>
      <c r="DKC20" s="7"/>
      <c r="DKD20" s="7"/>
      <c r="DKE20" s="7"/>
      <c r="DKF20" s="7"/>
      <c r="DKG20" s="7"/>
      <c r="DKH20" s="7"/>
      <c r="DKI20" s="7"/>
      <c r="DKJ20" s="7"/>
      <c r="DKK20" s="7"/>
      <c r="DKL20" s="7"/>
      <c r="DKM20" s="7"/>
      <c r="DKN20" s="7"/>
      <c r="DKO20" s="7"/>
      <c r="DKP20" s="7"/>
      <c r="DKQ20" s="7"/>
      <c r="DKR20" s="7"/>
      <c r="DKS20" s="7"/>
      <c r="DKT20" s="7"/>
      <c r="DKU20" s="7"/>
      <c r="DKV20" s="7"/>
      <c r="DKW20" s="7"/>
      <c r="DKX20" s="7"/>
      <c r="DKY20" s="7"/>
      <c r="DKZ20" s="7"/>
      <c r="DLA20" s="7"/>
      <c r="DLB20" s="7"/>
      <c r="DLC20" s="7"/>
      <c r="DLD20" s="7"/>
      <c r="DLE20" s="7"/>
      <c r="DLF20" s="7"/>
      <c r="DLG20" s="7"/>
      <c r="DLH20" s="7"/>
      <c r="DLI20" s="7"/>
      <c r="DLJ20" s="7"/>
      <c r="DLK20" s="7"/>
      <c r="DLL20" s="7"/>
      <c r="DLM20" s="7"/>
      <c r="DLN20" s="7"/>
      <c r="DLO20" s="7"/>
      <c r="DLP20" s="7"/>
      <c r="DLQ20" s="7"/>
      <c r="DLR20" s="7"/>
      <c r="DLS20" s="7"/>
      <c r="DLT20" s="7"/>
      <c r="DLU20" s="7"/>
      <c r="DLV20" s="7"/>
      <c r="DLW20" s="7"/>
      <c r="DLX20" s="7"/>
      <c r="DLY20" s="7"/>
      <c r="DLZ20" s="7"/>
      <c r="DMA20" s="7"/>
      <c r="DMB20" s="7"/>
      <c r="DMC20" s="7"/>
      <c r="DMD20" s="7"/>
      <c r="DME20" s="7"/>
      <c r="DMF20" s="7"/>
      <c r="DMG20" s="7"/>
      <c r="DMH20" s="7"/>
      <c r="DMI20" s="7"/>
      <c r="DMJ20" s="7"/>
      <c r="DMK20" s="7"/>
      <c r="DML20" s="7"/>
      <c r="DMM20" s="7"/>
      <c r="DMN20" s="7"/>
      <c r="DMO20" s="7"/>
      <c r="DMP20" s="7"/>
      <c r="DMQ20" s="7"/>
      <c r="DMR20" s="7"/>
      <c r="DMS20" s="7"/>
      <c r="DMT20" s="7"/>
      <c r="DMU20" s="7"/>
      <c r="DMV20" s="7"/>
      <c r="DMW20" s="7"/>
      <c r="DMX20" s="7"/>
      <c r="DMY20" s="7"/>
      <c r="DMZ20" s="7"/>
      <c r="DNA20" s="7"/>
      <c r="DNB20" s="7"/>
      <c r="DNC20" s="7"/>
      <c r="DND20" s="7"/>
      <c r="DNE20" s="7"/>
      <c r="DNF20" s="7"/>
      <c r="DNG20" s="7"/>
      <c r="DNH20" s="7"/>
      <c r="DNI20" s="7"/>
      <c r="DNJ20" s="7"/>
      <c r="DNK20" s="7"/>
      <c r="DNL20" s="7"/>
      <c r="DNM20" s="7"/>
      <c r="DNN20" s="7"/>
      <c r="DNO20" s="7"/>
      <c r="DNP20" s="7"/>
      <c r="DNQ20" s="7"/>
      <c r="DNR20" s="7"/>
      <c r="DNS20" s="7"/>
      <c r="DNT20" s="7"/>
      <c r="DNU20" s="7"/>
      <c r="DNV20" s="7"/>
      <c r="DNW20" s="7"/>
      <c r="DNX20" s="7"/>
      <c r="DNY20" s="7"/>
      <c r="DNZ20" s="7"/>
      <c r="DOA20" s="7"/>
      <c r="DOB20" s="7"/>
      <c r="DOC20" s="7"/>
      <c r="DOD20" s="7"/>
      <c r="DOE20" s="7"/>
      <c r="DOF20" s="7"/>
      <c r="DOG20" s="7"/>
      <c r="DOH20" s="7"/>
      <c r="DOI20" s="7"/>
      <c r="DOJ20" s="7"/>
      <c r="DOK20" s="7"/>
      <c r="DOL20" s="7"/>
      <c r="DOM20" s="7"/>
      <c r="DON20" s="7"/>
      <c r="DOO20" s="7"/>
      <c r="DOP20" s="7"/>
      <c r="DOQ20" s="7"/>
      <c r="DOR20" s="7"/>
      <c r="DOS20" s="7"/>
      <c r="DOT20" s="7"/>
      <c r="DOU20" s="7"/>
      <c r="DOV20" s="7"/>
      <c r="DOW20" s="7"/>
      <c r="DOX20" s="7"/>
      <c r="DOY20" s="7"/>
      <c r="DOZ20" s="7"/>
      <c r="DPA20" s="7"/>
      <c r="DPB20" s="7"/>
      <c r="DPC20" s="7"/>
      <c r="DPD20" s="7"/>
      <c r="DPE20" s="7"/>
      <c r="DPF20" s="7"/>
      <c r="DPG20" s="7"/>
      <c r="DPH20" s="7"/>
      <c r="DPI20" s="7"/>
      <c r="DPJ20" s="7"/>
      <c r="DPK20" s="7"/>
      <c r="DPL20" s="7"/>
      <c r="DPM20" s="7"/>
      <c r="DPN20" s="7"/>
      <c r="DPO20" s="7"/>
      <c r="DPP20" s="7"/>
      <c r="DPQ20" s="7"/>
      <c r="DPR20" s="7"/>
      <c r="DPS20" s="7"/>
      <c r="DPT20" s="7"/>
      <c r="DPU20" s="7"/>
      <c r="DPV20" s="7"/>
      <c r="DPW20" s="7"/>
      <c r="DPX20" s="7"/>
      <c r="DPY20" s="7"/>
      <c r="DPZ20" s="7"/>
      <c r="DQA20" s="7"/>
      <c r="DQB20" s="7"/>
      <c r="DQC20" s="7"/>
      <c r="DQD20" s="7"/>
      <c r="DQE20" s="7"/>
      <c r="DQF20" s="7"/>
      <c r="DQG20" s="7"/>
      <c r="DQH20" s="7"/>
      <c r="DQI20" s="7"/>
      <c r="DQJ20" s="7"/>
      <c r="DQK20" s="7"/>
      <c r="DQL20" s="7"/>
      <c r="DQM20" s="7"/>
      <c r="DQN20" s="7"/>
      <c r="DQO20" s="7"/>
      <c r="DQP20" s="7"/>
      <c r="DQQ20" s="7"/>
      <c r="DQR20" s="7"/>
      <c r="DQS20" s="7"/>
      <c r="DQT20" s="7"/>
      <c r="DQU20" s="7"/>
      <c r="DQV20" s="7"/>
      <c r="DQW20" s="7"/>
      <c r="DQX20" s="7"/>
      <c r="DQY20" s="7"/>
      <c r="DQZ20" s="7"/>
      <c r="DRA20" s="7"/>
      <c r="DRB20" s="7"/>
      <c r="DRC20" s="7"/>
      <c r="DRD20" s="7"/>
      <c r="DRE20" s="7"/>
      <c r="DRF20" s="7"/>
      <c r="DRG20" s="7"/>
      <c r="DRH20" s="7"/>
      <c r="DRI20" s="7"/>
      <c r="DRJ20" s="7"/>
      <c r="DRK20" s="7"/>
      <c r="DRL20" s="7"/>
      <c r="DRM20" s="7"/>
      <c r="DRN20" s="7"/>
      <c r="DRO20" s="7"/>
      <c r="DRP20" s="7"/>
      <c r="DRQ20" s="7"/>
      <c r="DRR20" s="7"/>
      <c r="DRS20" s="7"/>
      <c r="DRT20" s="7"/>
      <c r="DRU20" s="7"/>
      <c r="DRV20" s="7"/>
      <c r="DRW20" s="7"/>
      <c r="DRX20" s="7"/>
      <c r="DRY20" s="7"/>
      <c r="DRZ20" s="7"/>
      <c r="DSA20" s="7"/>
      <c r="DSB20" s="7"/>
      <c r="DSC20" s="7"/>
      <c r="DSD20" s="7"/>
      <c r="DSE20" s="7"/>
      <c r="DSF20" s="7"/>
      <c r="DSG20" s="7"/>
      <c r="DSH20" s="7"/>
      <c r="DSI20" s="7"/>
      <c r="DSJ20" s="7"/>
      <c r="DSK20" s="7"/>
      <c r="DSL20" s="7"/>
      <c r="DSM20" s="7"/>
      <c r="DSN20" s="7"/>
      <c r="DSO20" s="7"/>
      <c r="DSP20" s="7"/>
      <c r="DSQ20" s="7"/>
      <c r="DSR20" s="7"/>
      <c r="DSS20" s="7"/>
      <c r="DST20" s="7"/>
      <c r="DSU20" s="7"/>
      <c r="DSV20" s="7"/>
      <c r="DSW20" s="7"/>
      <c r="DSX20" s="7"/>
      <c r="DSY20" s="7"/>
      <c r="DSZ20" s="7"/>
      <c r="DTA20" s="7"/>
      <c r="DTB20" s="7"/>
      <c r="DTC20" s="7"/>
      <c r="DTD20" s="7"/>
      <c r="DTE20" s="7"/>
      <c r="DTF20" s="7"/>
      <c r="DTG20" s="7"/>
      <c r="DTH20" s="7"/>
      <c r="DTI20" s="7"/>
      <c r="DTJ20" s="7"/>
      <c r="DTK20" s="7"/>
      <c r="DTL20" s="7"/>
      <c r="DTM20" s="7"/>
      <c r="DTN20" s="7"/>
      <c r="DTO20" s="7"/>
      <c r="DTP20" s="7"/>
      <c r="DTQ20" s="7"/>
      <c r="DTR20" s="7"/>
      <c r="DTS20" s="7"/>
      <c r="DTT20" s="7"/>
      <c r="DTU20" s="7"/>
      <c r="DTV20" s="7"/>
      <c r="DTW20" s="7"/>
      <c r="DTX20" s="7"/>
      <c r="DTY20" s="7"/>
      <c r="DTZ20" s="7"/>
      <c r="DUA20" s="7"/>
      <c r="DUB20" s="7"/>
      <c r="DUC20" s="7"/>
      <c r="DUD20" s="7"/>
      <c r="DUE20" s="7"/>
      <c r="DUF20" s="7"/>
      <c r="DUG20" s="7"/>
      <c r="DUH20" s="7"/>
      <c r="DUI20" s="7"/>
      <c r="DUJ20" s="7"/>
      <c r="DUK20" s="7"/>
      <c r="DUL20" s="7"/>
      <c r="DUM20" s="7"/>
      <c r="DUN20" s="7"/>
      <c r="DUO20" s="7"/>
      <c r="DUP20" s="7"/>
      <c r="DUQ20" s="7"/>
      <c r="DUR20" s="7"/>
      <c r="DUS20" s="7"/>
      <c r="DUT20" s="7"/>
      <c r="DUU20" s="7"/>
      <c r="DUV20" s="7"/>
      <c r="DUW20" s="7"/>
      <c r="DUX20" s="7"/>
      <c r="DUY20" s="7"/>
      <c r="DUZ20" s="7"/>
      <c r="DVA20" s="7"/>
      <c r="DVB20" s="7"/>
      <c r="DVC20" s="7"/>
      <c r="DVD20" s="7"/>
      <c r="DVE20" s="7"/>
      <c r="DVF20" s="7"/>
      <c r="DVG20" s="7"/>
      <c r="DVH20" s="7"/>
      <c r="DVI20" s="7"/>
      <c r="DVJ20" s="7"/>
      <c r="DVK20" s="7"/>
      <c r="DVL20" s="7"/>
      <c r="DVM20" s="7"/>
      <c r="DVN20" s="7"/>
      <c r="DVO20" s="7"/>
      <c r="DVP20" s="7"/>
      <c r="DVQ20" s="7"/>
      <c r="DVR20" s="7"/>
      <c r="DVS20" s="7"/>
      <c r="DVT20" s="7"/>
      <c r="DVU20" s="7"/>
      <c r="DVV20" s="7"/>
      <c r="DVW20" s="7"/>
      <c r="DVX20" s="7"/>
      <c r="DVY20" s="7"/>
      <c r="DVZ20" s="7"/>
      <c r="DWA20" s="7"/>
      <c r="DWB20" s="7"/>
      <c r="DWC20" s="7"/>
      <c r="DWD20" s="7"/>
      <c r="DWE20" s="7"/>
      <c r="DWF20" s="7"/>
      <c r="DWG20" s="7"/>
      <c r="DWH20" s="7"/>
      <c r="DWI20" s="7"/>
      <c r="DWJ20" s="7"/>
      <c r="DWK20" s="7"/>
      <c r="DWL20" s="7"/>
      <c r="DWM20" s="7"/>
      <c r="DWN20" s="7"/>
      <c r="DWO20" s="7"/>
      <c r="DWP20" s="7"/>
      <c r="DWQ20" s="7"/>
      <c r="DWR20" s="7"/>
      <c r="DWS20" s="7"/>
      <c r="DWT20" s="7"/>
      <c r="DWU20" s="7"/>
      <c r="DWV20" s="7"/>
      <c r="DWW20" s="7"/>
      <c r="DWX20" s="7"/>
      <c r="DWY20" s="7"/>
      <c r="DWZ20" s="7"/>
      <c r="DXA20" s="7"/>
      <c r="DXB20" s="7"/>
      <c r="DXC20" s="7"/>
      <c r="DXD20" s="7"/>
      <c r="DXE20" s="7"/>
      <c r="DXF20" s="7"/>
      <c r="DXG20" s="7"/>
      <c r="DXH20" s="7"/>
      <c r="DXI20" s="7"/>
      <c r="DXJ20" s="7"/>
      <c r="DXK20" s="7"/>
      <c r="DXL20" s="7"/>
      <c r="DXM20" s="7"/>
      <c r="DXN20" s="7"/>
      <c r="DXO20" s="7"/>
      <c r="DXP20" s="7"/>
      <c r="DXQ20" s="7"/>
      <c r="DXR20" s="7"/>
      <c r="DXS20" s="7"/>
      <c r="DXT20" s="7"/>
      <c r="DXU20" s="7"/>
      <c r="DXV20" s="7"/>
      <c r="DXW20" s="7"/>
      <c r="DXX20" s="7"/>
      <c r="DXY20" s="7"/>
      <c r="DXZ20" s="7"/>
      <c r="DYA20" s="7"/>
      <c r="DYB20" s="7"/>
      <c r="DYC20" s="7"/>
      <c r="DYD20" s="7"/>
      <c r="DYE20" s="7"/>
      <c r="DYF20" s="7"/>
      <c r="DYG20" s="7"/>
      <c r="DYH20" s="7"/>
      <c r="DYI20" s="7"/>
      <c r="DYJ20" s="7"/>
      <c r="DYK20" s="7"/>
      <c r="DYL20" s="7"/>
      <c r="DYM20" s="7"/>
      <c r="DYN20" s="7"/>
      <c r="DYO20" s="7"/>
      <c r="DYP20" s="7"/>
      <c r="DYQ20" s="7"/>
      <c r="DYR20" s="7"/>
      <c r="DYS20" s="7"/>
      <c r="DYT20" s="7"/>
      <c r="DYU20" s="7"/>
      <c r="DYV20" s="7"/>
      <c r="DYW20" s="7"/>
      <c r="DYX20" s="7"/>
      <c r="DYY20" s="7"/>
      <c r="DYZ20" s="7"/>
      <c r="DZA20" s="7"/>
      <c r="DZB20" s="7"/>
      <c r="DZC20" s="7"/>
      <c r="DZD20" s="7"/>
      <c r="DZE20" s="7"/>
      <c r="DZF20" s="7"/>
      <c r="DZG20" s="7"/>
      <c r="DZH20" s="7"/>
      <c r="DZI20" s="7"/>
      <c r="DZJ20" s="7"/>
      <c r="DZK20" s="7"/>
      <c r="DZL20" s="7"/>
      <c r="DZM20" s="7"/>
      <c r="DZN20" s="7"/>
      <c r="DZO20" s="7"/>
      <c r="DZP20" s="7"/>
      <c r="DZQ20" s="7"/>
      <c r="DZR20" s="7"/>
      <c r="DZS20" s="7"/>
      <c r="DZT20" s="7"/>
      <c r="DZU20" s="7"/>
      <c r="DZV20" s="7"/>
      <c r="DZW20" s="7"/>
      <c r="DZX20" s="7"/>
      <c r="DZY20" s="7"/>
      <c r="DZZ20" s="7"/>
      <c r="EAA20" s="7"/>
      <c r="EAB20" s="7"/>
      <c r="EAC20" s="7"/>
      <c r="EAD20" s="7"/>
      <c r="EAE20" s="7"/>
      <c r="EAF20" s="7"/>
      <c r="EAG20" s="7"/>
      <c r="EAH20" s="7"/>
      <c r="EAI20" s="7"/>
      <c r="EAJ20" s="7"/>
      <c r="EAK20" s="7"/>
      <c r="EAL20" s="7"/>
      <c r="EAM20" s="7"/>
      <c r="EAN20" s="7"/>
      <c r="EAO20" s="7"/>
      <c r="EAP20" s="7"/>
      <c r="EAQ20" s="7"/>
      <c r="EAR20" s="7"/>
      <c r="EAS20" s="7"/>
      <c r="EAT20" s="7"/>
      <c r="EAU20" s="7"/>
      <c r="EAV20" s="7"/>
      <c r="EAW20" s="7"/>
      <c r="EAX20" s="7"/>
      <c r="EAY20" s="7"/>
      <c r="EAZ20" s="7"/>
      <c r="EBA20" s="7"/>
      <c r="EBB20" s="7"/>
      <c r="EBC20" s="7"/>
      <c r="EBD20" s="7"/>
      <c r="EBE20" s="7"/>
      <c r="EBF20" s="7"/>
      <c r="EBG20" s="7"/>
      <c r="EBH20" s="7"/>
      <c r="EBI20" s="7"/>
      <c r="EBJ20" s="7"/>
      <c r="EBK20" s="7"/>
      <c r="EBL20" s="7"/>
      <c r="EBM20" s="7"/>
      <c r="EBN20" s="7"/>
      <c r="EBO20" s="7"/>
      <c r="EBP20" s="7"/>
      <c r="EBQ20" s="7"/>
      <c r="EBR20" s="7"/>
      <c r="EBS20" s="7"/>
      <c r="EBT20" s="7"/>
      <c r="EBU20" s="7"/>
      <c r="EBV20" s="7"/>
      <c r="EBW20" s="7"/>
      <c r="EBX20" s="7"/>
      <c r="EBY20" s="7"/>
      <c r="EBZ20" s="7"/>
      <c r="ECA20" s="7"/>
      <c r="ECB20" s="7"/>
      <c r="ECC20" s="7"/>
      <c r="ECD20" s="7"/>
      <c r="ECE20" s="7"/>
      <c r="ECF20" s="7"/>
      <c r="ECG20" s="7"/>
      <c r="ECH20" s="7"/>
      <c r="ECI20" s="7"/>
      <c r="ECJ20" s="7"/>
      <c r="ECK20" s="7"/>
      <c r="ECL20" s="7"/>
      <c r="ECM20" s="7"/>
      <c r="ECN20" s="7"/>
      <c r="ECO20" s="7"/>
      <c r="ECP20" s="7"/>
      <c r="ECQ20" s="7"/>
      <c r="ECR20" s="7"/>
      <c r="ECS20" s="7"/>
      <c r="ECT20" s="7"/>
      <c r="ECU20" s="7"/>
      <c r="ECV20" s="7"/>
      <c r="ECW20" s="7"/>
      <c r="ECX20" s="7"/>
      <c r="ECY20" s="7"/>
      <c r="ECZ20" s="7"/>
      <c r="EDA20" s="7"/>
      <c r="EDB20" s="7"/>
      <c r="EDC20" s="7"/>
      <c r="EDD20" s="7"/>
      <c r="EDE20" s="7"/>
      <c r="EDF20" s="7"/>
      <c r="EDG20" s="7"/>
      <c r="EDH20" s="7"/>
      <c r="EDI20" s="7"/>
      <c r="EDJ20" s="7"/>
      <c r="EDK20" s="7"/>
      <c r="EDL20" s="7"/>
      <c r="EDM20" s="7"/>
      <c r="EDN20" s="7"/>
      <c r="EDO20" s="7"/>
      <c r="EDP20" s="7"/>
      <c r="EDQ20" s="7"/>
      <c r="EDR20" s="7"/>
      <c r="EDS20" s="7"/>
      <c r="EDT20" s="7"/>
      <c r="EDU20" s="7"/>
      <c r="EDV20" s="7"/>
      <c r="EDW20" s="7"/>
      <c r="EDX20" s="7"/>
      <c r="EDY20" s="7"/>
      <c r="EDZ20" s="7"/>
      <c r="EEA20" s="7"/>
      <c r="EEB20" s="7"/>
      <c r="EEC20" s="7"/>
      <c r="EED20" s="7"/>
      <c r="EEE20" s="7"/>
      <c r="EEF20" s="7"/>
      <c r="EEG20" s="7"/>
      <c r="EEH20" s="7"/>
      <c r="EEI20" s="7"/>
      <c r="EEJ20" s="7"/>
      <c r="EEK20" s="7"/>
      <c r="EEL20" s="7"/>
      <c r="EEM20" s="7"/>
      <c r="EEN20" s="7"/>
      <c r="EEO20" s="7"/>
      <c r="EEP20" s="7"/>
      <c r="EEQ20" s="7"/>
      <c r="EER20" s="7"/>
      <c r="EES20" s="7"/>
      <c r="EET20" s="7"/>
      <c r="EEU20" s="7"/>
      <c r="EEV20" s="7"/>
      <c r="EEW20" s="7"/>
      <c r="EEX20" s="7"/>
      <c r="EEY20" s="7"/>
      <c r="EEZ20" s="7"/>
      <c r="EFA20" s="7"/>
      <c r="EFB20" s="7"/>
      <c r="EFC20" s="7"/>
      <c r="EFD20" s="7"/>
      <c r="EFE20" s="7"/>
      <c r="EFF20" s="7"/>
      <c r="EFG20" s="7"/>
      <c r="EFH20" s="7"/>
      <c r="EFI20" s="7"/>
      <c r="EFJ20" s="7"/>
      <c r="EFK20" s="7"/>
      <c r="EFL20" s="7"/>
      <c r="EFM20" s="7"/>
      <c r="EFN20" s="7"/>
      <c r="EFO20" s="7"/>
      <c r="EFP20" s="7"/>
      <c r="EFQ20" s="7"/>
      <c r="EFR20" s="7"/>
      <c r="EFS20" s="7"/>
      <c r="EFT20" s="7"/>
      <c r="EFU20" s="7"/>
      <c r="EFV20" s="7"/>
      <c r="EFW20" s="7"/>
      <c r="EFX20" s="7"/>
      <c r="EFY20" s="7"/>
      <c r="EFZ20" s="7"/>
      <c r="EGA20" s="7"/>
      <c r="EGB20" s="7"/>
      <c r="EGC20" s="7"/>
      <c r="EGD20" s="7"/>
      <c r="EGE20" s="7"/>
      <c r="EGF20" s="7"/>
      <c r="EGG20" s="7"/>
      <c r="EGH20" s="7"/>
      <c r="EGI20" s="7"/>
      <c r="EGJ20" s="7"/>
      <c r="EGK20" s="7"/>
      <c r="EGL20" s="7"/>
      <c r="EGM20" s="7"/>
      <c r="EGN20" s="7"/>
      <c r="EGO20" s="7"/>
      <c r="EGP20" s="7"/>
      <c r="EGQ20" s="7"/>
      <c r="EGR20" s="7"/>
      <c r="EGS20" s="7"/>
      <c r="EGT20" s="7"/>
      <c r="EGU20" s="7"/>
      <c r="EGV20" s="7"/>
      <c r="EGW20" s="7"/>
      <c r="EGX20" s="7"/>
      <c r="EGY20" s="7"/>
      <c r="EGZ20" s="7"/>
      <c r="EHA20" s="7"/>
      <c r="EHB20" s="7"/>
      <c r="EHC20" s="7"/>
      <c r="EHD20" s="7"/>
      <c r="EHE20" s="7"/>
      <c r="EHF20" s="7"/>
      <c r="EHG20" s="7"/>
      <c r="EHH20" s="7"/>
      <c r="EHI20" s="7"/>
      <c r="EHJ20" s="7"/>
      <c r="EHK20" s="7"/>
      <c r="EHL20" s="7"/>
      <c r="EHM20" s="7"/>
      <c r="EHN20" s="7"/>
      <c r="EHO20" s="7"/>
      <c r="EHP20" s="7"/>
      <c r="EHQ20" s="7"/>
      <c r="EHR20" s="7"/>
      <c r="EHS20" s="7"/>
      <c r="EHT20" s="7"/>
      <c r="EHU20" s="7"/>
      <c r="EHV20" s="7"/>
      <c r="EHW20" s="7"/>
      <c r="EHX20" s="7"/>
      <c r="EHY20" s="7"/>
      <c r="EHZ20" s="7"/>
      <c r="EIA20" s="7"/>
      <c r="EIB20" s="7"/>
      <c r="EIC20" s="7"/>
      <c r="EID20" s="7"/>
      <c r="EIE20" s="7"/>
      <c r="EIF20" s="7"/>
      <c r="EIG20" s="7"/>
      <c r="EIH20" s="7"/>
      <c r="EII20" s="7"/>
      <c r="EIJ20" s="7"/>
      <c r="EIK20" s="7"/>
      <c r="EIL20" s="7"/>
      <c r="EIM20" s="7"/>
      <c r="EIN20" s="7"/>
      <c r="EIO20" s="7"/>
      <c r="EIP20" s="7"/>
      <c r="EIQ20" s="7"/>
      <c r="EIR20" s="7"/>
      <c r="EIS20" s="7"/>
      <c r="EIT20" s="7"/>
      <c r="EIU20" s="7"/>
      <c r="EIV20" s="7"/>
      <c r="EIW20" s="7"/>
      <c r="EIX20" s="7"/>
      <c r="EIY20" s="7"/>
      <c r="EIZ20" s="7"/>
      <c r="EJA20" s="7"/>
      <c r="EJB20" s="7"/>
      <c r="EJC20" s="7"/>
      <c r="EJD20" s="7"/>
      <c r="EJE20" s="7"/>
      <c r="EJF20" s="7"/>
      <c r="EJG20" s="7"/>
      <c r="EJH20" s="7"/>
      <c r="EJI20" s="7"/>
      <c r="EJJ20" s="7"/>
      <c r="EJK20" s="7"/>
      <c r="EJL20" s="7"/>
      <c r="EJM20" s="7"/>
      <c r="EJN20" s="7"/>
      <c r="EJO20" s="7"/>
      <c r="EJP20" s="7"/>
      <c r="EJQ20" s="7"/>
      <c r="EJR20" s="7"/>
      <c r="EJS20" s="7"/>
      <c r="EJT20" s="7"/>
      <c r="EJU20" s="7"/>
      <c r="EJV20" s="7"/>
      <c r="EJW20" s="7"/>
      <c r="EJX20" s="7"/>
      <c r="EJY20" s="7"/>
      <c r="EJZ20" s="7"/>
      <c r="EKA20" s="7"/>
      <c r="EKB20" s="7"/>
      <c r="EKC20" s="7"/>
      <c r="EKD20" s="7"/>
      <c r="EKE20" s="7"/>
      <c r="EKF20" s="7"/>
      <c r="EKG20" s="7"/>
      <c r="EKH20" s="7"/>
      <c r="EKI20" s="7"/>
      <c r="EKJ20" s="7"/>
      <c r="EKK20" s="7"/>
      <c r="EKL20" s="7"/>
      <c r="EKM20" s="7"/>
      <c r="EKN20" s="7"/>
      <c r="EKO20" s="7"/>
      <c r="EKP20" s="7"/>
      <c r="EKQ20" s="7"/>
      <c r="EKR20" s="7"/>
      <c r="EKS20" s="7"/>
      <c r="EKT20" s="7"/>
      <c r="EKU20" s="7"/>
      <c r="EKV20" s="7"/>
      <c r="EKW20" s="7"/>
      <c r="EKX20" s="7"/>
      <c r="EKY20" s="7"/>
      <c r="EKZ20" s="7"/>
      <c r="ELA20" s="7"/>
      <c r="ELB20" s="7"/>
      <c r="ELC20" s="7"/>
      <c r="ELD20" s="7"/>
      <c r="ELE20" s="7"/>
      <c r="ELF20" s="7"/>
      <c r="ELG20" s="7"/>
      <c r="ELH20" s="7"/>
      <c r="ELI20" s="7"/>
      <c r="ELJ20" s="7"/>
      <c r="ELK20" s="7"/>
      <c r="ELL20" s="7"/>
      <c r="ELM20" s="7"/>
      <c r="ELN20" s="7"/>
      <c r="ELO20" s="7"/>
      <c r="ELP20" s="7"/>
      <c r="ELQ20" s="7"/>
      <c r="ELR20" s="7"/>
      <c r="ELS20" s="7"/>
      <c r="ELT20" s="7"/>
      <c r="ELU20" s="7"/>
      <c r="ELV20" s="7"/>
      <c r="ELW20" s="7"/>
      <c r="ELX20" s="7"/>
      <c r="ELY20" s="7"/>
      <c r="ELZ20" s="7"/>
      <c r="EMA20" s="7"/>
      <c r="EMB20" s="7"/>
      <c r="EMC20" s="7"/>
      <c r="EMD20" s="7"/>
      <c r="EME20" s="7"/>
      <c r="EMF20" s="7"/>
      <c r="EMG20" s="7"/>
      <c r="EMH20" s="7"/>
      <c r="EMI20" s="7"/>
      <c r="EMJ20" s="7"/>
      <c r="EMK20" s="7"/>
      <c r="EML20" s="7"/>
      <c r="EMM20" s="7"/>
      <c r="EMN20" s="7"/>
      <c r="EMO20" s="7"/>
      <c r="EMP20" s="7"/>
      <c r="EMQ20" s="7"/>
      <c r="EMR20" s="7"/>
      <c r="EMS20" s="7"/>
      <c r="EMT20" s="7"/>
      <c r="EMU20" s="7"/>
      <c r="EMV20" s="7"/>
      <c r="EMW20" s="7"/>
      <c r="EMX20" s="7"/>
      <c r="EMY20" s="7"/>
      <c r="EMZ20" s="7"/>
      <c r="ENA20" s="7"/>
      <c r="ENB20" s="7"/>
      <c r="ENC20" s="7"/>
      <c r="END20" s="7"/>
      <c r="ENE20" s="7"/>
      <c r="ENF20" s="7"/>
      <c r="ENG20" s="7"/>
      <c r="ENH20" s="7"/>
      <c r="ENI20" s="7"/>
      <c r="ENJ20" s="7"/>
      <c r="ENK20" s="7"/>
      <c r="ENL20" s="7"/>
      <c r="ENM20" s="7"/>
      <c r="ENN20" s="7"/>
      <c r="ENO20" s="7"/>
      <c r="ENP20" s="7"/>
      <c r="ENQ20" s="7"/>
      <c r="ENR20" s="7"/>
      <c r="ENS20" s="7"/>
      <c r="ENT20" s="7"/>
      <c r="ENU20" s="7"/>
      <c r="ENV20" s="7"/>
      <c r="ENW20" s="7"/>
      <c r="ENX20" s="7"/>
      <c r="ENY20" s="7"/>
      <c r="ENZ20" s="7"/>
      <c r="EOA20" s="7"/>
      <c r="EOB20" s="7"/>
      <c r="EOC20" s="7"/>
      <c r="EOD20" s="7"/>
      <c r="EOE20" s="7"/>
      <c r="EOF20" s="7"/>
      <c r="EOG20" s="7"/>
      <c r="EOH20" s="7"/>
      <c r="EOI20" s="7"/>
      <c r="EOJ20" s="7"/>
      <c r="EOK20" s="7"/>
      <c r="EOL20" s="7"/>
      <c r="EOM20" s="7"/>
      <c r="EON20" s="7"/>
      <c r="EOO20" s="7"/>
      <c r="EOP20" s="7"/>
      <c r="EOQ20" s="7"/>
      <c r="EOR20" s="7"/>
      <c r="EOS20" s="7"/>
      <c r="EOT20" s="7"/>
      <c r="EOU20" s="7"/>
      <c r="EOV20" s="7"/>
      <c r="EOW20" s="7"/>
      <c r="EOX20" s="7"/>
      <c r="EOY20" s="7"/>
      <c r="EOZ20" s="7"/>
      <c r="EPA20" s="7"/>
      <c r="EPB20" s="7"/>
      <c r="EPC20" s="7"/>
      <c r="EPD20" s="7"/>
      <c r="EPE20" s="7"/>
      <c r="EPF20" s="7"/>
      <c r="EPG20" s="7"/>
      <c r="EPH20" s="7"/>
      <c r="EPI20" s="7"/>
      <c r="EPJ20" s="7"/>
      <c r="EPK20" s="7"/>
      <c r="EPL20" s="7"/>
      <c r="EPM20" s="7"/>
      <c r="EPN20" s="7"/>
      <c r="EPO20" s="7"/>
      <c r="EPP20" s="7"/>
      <c r="EPQ20" s="7"/>
      <c r="EPR20" s="7"/>
      <c r="EPS20" s="7"/>
      <c r="EPT20" s="7"/>
      <c r="EPU20" s="7"/>
      <c r="EPV20" s="7"/>
      <c r="EPW20" s="7"/>
      <c r="EPX20" s="7"/>
      <c r="EPY20" s="7"/>
      <c r="EPZ20" s="7"/>
      <c r="EQA20" s="7"/>
      <c r="EQB20" s="7"/>
      <c r="EQC20" s="7"/>
      <c r="EQD20" s="7"/>
      <c r="EQE20" s="7"/>
      <c r="EQF20" s="7"/>
      <c r="EQG20" s="7"/>
      <c r="EQH20" s="7"/>
      <c r="EQI20" s="7"/>
      <c r="EQJ20" s="7"/>
      <c r="EQK20" s="7"/>
      <c r="EQL20" s="7"/>
      <c r="EQM20" s="7"/>
      <c r="EQN20" s="7"/>
      <c r="EQO20" s="7"/>
      <c r="EQP20" s="7"/>
      <c r="EQQ20" s="7"/>
      <c r="EQR20" s="7"/>
      <c r="EQS20" s="7"/>
      <c r="EQT20" s="7"/>
      <c r="EQU20" s="7"/>
      <c r="EQV20" s="7"/>
      <c r="EQW20" s="7"/>
      <c r="EQX20" s="7"/>
      <c r="EQY20" s="7"/>
      <c r="EQZ20" s="7"/>
      <c r="ERA20" s="7"/>
      <c r="ERB20" s="7"/>
      <c r="ERC20" s="7"/>
      <c r="ERD20" s="7"/>
      <c r="ERE20" s="7"/>
      <c r="ERF20" s="7"/>
      <c r="ERG20" s="7"/>
      <c r="ERH20" s="7"/>
      <c r="ERI20" s="7"/>
      <c r="ERJ20" s="7"/>
      <c r="ERK20" s="7"/>
      <c r="ERL20" s="7"/>
      <c r="ERM20" s="7"/>
      <c r="ERN20" s="7"/>
      <c r="ERO20" s="7"/>
      <c r="ERP20" s="7"/>
      <c r="ERQ20" s="7"/>
      <c r="ERR20" s="7"/>
      <c r="ERS20" s="7"/>
      <c r="ERT20" s="7"/>
      <c r="ERU20" s="7"/>
      <c r="ERV20" s="7"/>
      <c r="ERW20" s="7"/>
      <c r="ERX20" s="7"/>
      <c r="ERY20" s="7"/>
      <c r="ERZ20" s="7"/>
      <c r="ESA20" s="7"/>
      <c r="ESB20" s="7"/>
      <c r="ESC20" s="7"/>
      <c r="ESD20" s="7"/>
      <c r="ESE20" s="7"/>
      <c r="ESF20" s="7"/>
      <c r="ESG20" s="7"/>
      <c r="ESH20" s="7"/>
      <c r="ESI20" s="7"/>
      <c r="ESJ20" s="7"/>
      <c r="ESK20" s="7"/>
      <c r="ESL20" s="7"/>
      <c r="ESM20" s="7"/>
      <c r="ESN20" s="7"/>
      <c r="ESO20" s="7"/>
      <c r="ESP20" s="7"/>
      <c r="ESQ20" s="7"/>
      <c r="ESR20" s="7"/>
      <c r="ESS20" s="7"/>
      <c r="EST20" s="7"/>
      <c r="ESU20" s="7"/>
      <c r="ESV20" s="7"/>
      <c r="ESW20" s="7"/>
      <c r="ESX20" s="7"/>
      <c r="ESY20" s="7"/>
      <c r="ESZ20" s="7"/>
      <c r="ETA20" s="7"/>
      <c r="ETB20" s="7"/>
      <c r="ETC20" s="7"/>
      <c r="ETD20" s="7"/>
      <c r="ETE20" s="7"/>
      <c r="ETF20" s="7"/>
      <c r="ETG20" s="7"/>
      <c r="ETH20" s="7"/>
      <c r="ETI20" s="7"/>
      <c r="ETJ20" s="7"/>
      <c r="ETK20" s="7"/>
      <c r="ETL20" s="7"/>
      <c r="ETM20" s="7"/>
      <c r="ETN20" s="7"/>
      <c r="ETO20" s="7"/>
      <c r="ETP20" s="7"/>
      <c r="ETQ20" s="7"/>
      <c r="ETR20" s="7"/>
      <c r="ETS20" s="7"/>
      <c r="ETT20" s="7"/>
      <c r="ETU20" s="7"/>
      <c r="ETV20" s="7"/>
      <c r="ETW20" s="7"/>
      <c r="ETX20" s="7"/>
      <c r="ETY20" s="7"/>
      <c r="ETZ20" s="7"/>
      <c r="EUA20" s="7"/>
      <c r="EUB20" s="7"/>
      <c r="EUC20" s="7"/>
      <c r="EUD20" s="7"/>
      <c r="EUE20" s="7"/>
      <c r="EUF20" s="7"/>
      <c r="EUG20" s="7"/>
      <c r="EUH20" s="7"/>
      <c r="EUI20" s="7"/>
      <c r="EUJ20" s="7"/>
      <c r="EUK20" s="7"/>
      <c r="EUL20" s="7"/>
      <c r="EUM20" s="7"/>
      <c r="EUN20" s="7"/>
      <c r="EUO20" s="7"/>
      <c r="EUP20" s="7"/>
      <c r="EUQ20" s="7"/>
      <c r="EUR20" s="7"/>
      <c r="EUS20" s="7"/>
      <c r="EUT20" s="7"/>
      <c r="EUU20" s="7"/>
      <c r="EUV20" s="7"/>
      <c r="EUW20" s="7"/>
      <c r="EUX20" s="7"/>
      <c r="EUY20" s="7"/>
      <c r="EUZ20" s="7"/>
      <c r="EVA20" s="7"/>
      <c r="EVB20" s="7"/>
      <c r="EVC20" s="7"/>
      <c r="EVD20" s="7"/>
      <c r="EVE20" s="7"/>
      <c r="EVF20" s="7"/>
      <c r="EVG20" s="7"/>
      <c r="EVH20" s="7"/>
      <c r="EVI20" s="7"/>
      <c r="EVJ20" s="7"/>
      <c r="EVK20" s="7"/>
      <c r="EVL20" s="7"/>
      <c r="EVM20" s="7"/>
      <c r="EVN20" s="7"/>
      <c r="EVO20" s="7"/>
      <c r="EVP20" s="7"/>
      <c r="EVQ20" s="7"/>
      <c r="EVR20" s="7"/>
      <c r="EVS20" s="7"/>
      <c r="EVT20" s="7"/>
      <c r="EVU20" s="7"/>
      <c r="EVV20" s="7"/>
      <c r="EVW20" s="7"/>
      <c r="EVX20" s="7"/>
      <c r="EVY20" s="7"/>
      <c r="EVZ20" s="7"/>
      <c r="EWA20" s="7"/>
      <c r="EWB20" s="7"/>
      <c r="EWC20" s="7"/>
      <c r="EWD20" s="7"/>
      <c r="EWE20" s="7"/>
      <c r="EWF20" s="7"/>
      <c r="EWG20" s="7"/>
      <c r="EWH20" s="7"/>
      <c r="EWI20" s="7"/>
      <c r="EWJ20" s="7"/>
      <c r="EWK20" s="7"/>
      <c r="EWL20" s="7"/>
      <c r="EWM20" s="7"/>
      <c r="EWN20" s="7"/>
      <c r="EWO20" s="7"/>
      <c r="EWP20" s="7"/>
      <c r="EWQ20" s="7"/>
      <c r="EWR20" s="7"/>
      <c r="EWS20" s="7"/>
      <c r="EWT20" s="7"/>
      <c r="EWU20" s="7"/>
      <c r="EWV20" s="7"/>
      <c r="EWW20" s="7"/>
      <c r="EWX20" s="7"/>
      <c r="EWY20" s="7"/>
      <c r="EWZ20" s="7"/>
      <c r="EXA20" s="7"/>
      <c r="EXB20" s="7"/>
      <c r="EXC20" s="7"/>
      <c r="EXD20" s="7"/>
      <c r="EXE20" s="7"/>
      <c r="EXF20" s="7"/>
      <c r="EXG20" s="7"/>
      <c r="EXH20" s="7"/>
      <c r="EXI20" s="7"/>
      <c r="EXJ20" s="7"/>
      <c r="EXK20" s="7"/>
      <c r="EXL20" s="7"/>
      <c r="EXM20" s="7"/>
      <c r="EXN20" s="7"/>
      <c r="EXO20" s="7"/>
      <c r="EXP20" s="7"/>
      <c r="EXQ20" s="7"/>
      <c r="EXR20" s="7"/>
      <c r="EXS20" s="7"/>
      <c r="EXT20" s="7"/>
      <c r="EXU20" s="7"/>
      <c r="EXV20" s="7"/>
      <c r="EXW20" s="7"/>
      <c r="EXX20" s="7"/>
      <c r="EXY20" s="7"/>
      <c r="EXZ20" s="7"/>
      <c r="EYA20" s="7"/>
      <c r="EYB20" s="7"/>
      <c r="EYC20" s="7"/>
      <c r="EYD20" s="7"/>
      <c r="EYE20" s="7"/>
      <c r="EYF20" s="7"/>
      <c r="EYG20" s="7"/>
      <c r="EYH20" s="7"/>
      <c r="EYI20" s="7"/>
      <c r="EYJ20" s="7"/>
      <c r="EYK20" s="7"/>
      <c r="EYL20" s="7"/>
      <c r="EYM20" s="7"/>
      <c r="EYN20" s="7"/>
      <c r="EYO20" s="7"/>
      <c r="EYP20" s="7"/>
      <c r="EYQ20" s="7"/>
      <c r="EYR20" s="7"/>
      <c r="EYS20" s="7"/>
      <c r="EYT20" s="7"/>
      <c r="EYU20" s="7"/>
      <c r="EYV20" s="7"/>
      <c r="EYW20" s="7"/>
      <c r="EYX20" s="7"/>
      <c r="EYY20" s="7"/>
      <c r="EYZ20" s="7"/>
      <c r="EZA20" s="7"/>
      <c r="EZB20" s="7"/>
      <c r="EZC20" s="7"/>
      <c r="EZD20" s="7"/>
      <c r="EZE20" s="7"/>
      <c r="EZF20" s="7"/>
      <c r="EZG20" s="7"/>
      <c r="EZH20" s="7"/>
      <c r="EZI20" s="7"/>
      <c r="EZJ20" s="7"/>
      <c r="EZK20" s="7"/>
      <c r="EZL20" s="7"/>
      <c r="EZM20" s="7"/>
      <c r="EZN20" s="7"/>
      <c r="EZO20" s="7"/>
      <c r="EZP20" s="7"/>
      <c r="EZQ20" s="7"/>
      <c r="EZR20" s="7"/>
      <c r="EZS20" s="7"/>
      <c r="EZT20" s="7"/>
      <c r="EZU20" s="7"/>
      <c r="EZV20" s="7"/>
      <c r="EZW20" s="7"/>
      <c r="EZX20" s="7"/>
      <c r="EZY20" s="7"/>
      <c r="EZZ20" s="7"/>
      <c r="FAA20" s="7"/>
      <c r="FAB20" s="7"/>
      <c r="FAC20" s="7"/>
      <c r="FAD20" s="7"/>
      <c r="FAE20" s="7"/>
      <c r="FAF20" s="7"/>
      <c r="FAG20" s="7"/>
      <c r="FAH20" s="7"/>
      <c r="FAI20" s="7"/>
      <c r="FAJ20" s="7"/>
      <c r="FAK20" s="7"/>
      <c r="FAL20" s="7"/>
      <c r="FAM20" s="7"/>
      <c r="FAN20" s="7"/>
      <c r="FAO20" s="7"/>
      <c r="FAP20" s="7"/>
      <c r="FAQ20" s="7"/>
      <c r="FAR20" s="7"/>
      <c r="FAS20" s="7"/>
      <c r="FAT20" s="7"/>
      <c r="FAU20" s="7"/>
      <c r="FAV20" s="7"/>
      <c r="FAW20" s="7"/>
      <c r="FAX20" s="7"/>
      <c r="FAY20" s="7"/>
      <c r="FAZ20" s="7"/>
      <c r="FBA20" s="7"/>
      <c r="FBB20" s="7"/>
      <c r="FBC20" s="7"/>
      <c r="FBD20" s="7"/>
      <c r="FBE20" s="7"/>
      <c r="FBF20" s="7"/>
      <c r="FBG20" s="7"/>
      <c r="FBH20" s="7"/>
      <c r="FBI20" s="7"/>
      <c r="FBJ20" s="7"/>
      <c r="FBK20" s="7"/>
      <c r="FBL20" s="7"/>
      <c r="FBM20" s="7"/>
      <c r="FBN20" s="7"/>
      <c r="FBO20" s="7"/>
      <c r="FBP20" s="7"/>
      <c r="FBQ20" s="7"/>
      <c r="FBR20" s="7"/>
      <c r="FBS20" s="7"/>
      <c r="FBT20" s="7"/>
      <c r="FBU20" s="7"/>
      <c r="FBV20" s="7"/>
      <c r="FBW20" s="7"/>
      <c r="FBX20" s="7"/>
      <c r="FBY20" s="7"/>
      <c r="FBZ20" s="7"/>
      <c r="FCA20" s="7"/>
      <c r="FCB20" s="7"/>
      <c r="FCC20" s="7"/>
      <c r="FCD20" s="7"/>
      <c r="FCE20" s="7"/>
      <c r="FCF20" s="7"/>
      <c r="FCG20" s="7"/>
      <c r="FCH20" s="7"/>
      <c r="FCI20" s="7"/>
      <c r="FCJ20" s="7"/>
      <c r="FCK20" s="7"/>
      <c r="FCL20" s="7"/>
      <c r="FCM20" s="7"/>
      <c r="FCN20" s="7"/>
      <c r="FCO20" s="7"/>
      <c r="FCP20" s="7"/>
      <c r="FCQ20" s="7"/>
      <c r="FCR20" s="7"/>
      <c r="FCS20" s="7"/>
      <c r="FCT20" s="7"/>
      <c r="FCU20" s="7"/>
      <c r="FCV20" s="7"/>
      <c r="FCW20" s="7"/>
      <c r="FCX20" s="7"/>
      <c r="FCY20" s="7"/>
      <c r="FCZ20" s="7"/>
      <c r="FDA20" s="7"/>
      <c r="FDB20" s="7"/>
      <c r="FDC20" s="7"/>
      <c r="FDD20" s="7"/>
      <c r="FDE20" s="7"/>
      <c r="FDF20" s="7"/>
      <c r="FDG20" s="7"/>
      <c r="FDH20" s="7"/>
      <c r="FDI20" s="7"/>
      <c r="FDJ20" s="7"/>
      <c r="FDK20" s="7"/>
      <c r="FDL20" s="7"/>
      <c r="FDM20" s="7"/>
      <c r="FDN20" s="7"/>
      <c r="FDO20" s="7"/>
      <c r="FDP20" s="7"/>
      <c r="FDQ20" s="7"/>
      <c r="FDR20" s="7"/>
      <c r="FDS20" s="7"/>
      <c r="FDT20" s="7"/>
      <c r="FDU20" s="7"/>
      <c r="FDV20" s="7"/>
      <c r="FDW20" s="7"/>
      <c r="FDX20" s="7"/>
      <c r="FDY20" s="7"/>
      <c r="FDZ20" s="7"/>
      <c r="FEA20" s="7"/>
      <c r="FEB20" s="7"/>
      <c r="FEC20" s="7"/>
      <c r="FED20" s="7"/>
      <c r="FEE20" s="7"/>
      <c r="FEF20" s="7"/>
      <c r="FEG20" s="7"/>
      <c r="FEH20" s="7"/>
      <c r="FEI20" s="7"/>
      <c r="FEJ20" s="7"/>
      <c r="FEK20" s="7"/>
      <c r="FEL20" s="7"/>
      <c r="FEM20" s="7"/>
      <c r="FEN20" s="7"/>
      <c r="FEO20" s="7"/>
      <c r="FEP20" s="7"/>
      <c r="FEQ20" s="7"/>
      <c r="FER20" s="7"/>
      <c r="FES20" s="7"/>
      <c r="FET20" s="7"/>
      <c r="FEU20" s="7"/>
      <c r="FEV20" s="7"/>
      <c r="FEW20" s="7"/>
      <c r="FEX20" s="7"/>
      <c r="FEY20" s="7"/>
      <c r="FEZ20" s="7"/>
      <c r="FFA20" s="7"/>
      <c r="FFB20" s="7"/>
      <c r="FFC20" s="7"/>
      <c r="FFD20" s="7"/>
      <c r="FFE20" s="7"/>
      <c r="FFF20" s="7"/>
      <c r="FFG20" s="7"/>
      <c r="FFH20" s="7"/>
      <c r="FFI20" s="7"/>
      <c r="FFJ20" s="7"/>
      <c r="FFK20" s="7"/>
      <c r="FFL20" s="7"/>
      <c r="FFM20" s="7"/>
      <c r="FFN20" s="7"/>
      <c r="FFO20" s="7"/>
      <c r="FFP20" s="7"/>
      <c r="FFQ20" s="7"/>
      <c r="FFR20" s="7"/>
      <c r="FFS20" s="7"/>
      <c r="FFT20" s="7"/>
      <c r="FFU20" s="7"/>
      <c r="FFV20" s="7"/>
      <c r="FFW20" s="7"/>
      <c r="FFX20" s="7"/>
      <c r="FFY20" s="7"/>
      <c r="FFZ20" s="7"/>
      <c r="FGA20" s="7"/>
      <c r="FGB20" s="7"/>
      <c r="FGC20" s="7"/>
      <c r="FGD20" s="7"/>
      <c r="FGE20" s="7"/>
      <c r="FGF20" s="7"/>
      <c r="FGG20" s="7"/>
      <c r="FGH20" s="7"/>
      <c r="FGI20" s="7"/>
      <c r="FGJ20" s="7"/>
      <c r="FGK20" s="7"/>
      <c r="FGL20" s="7"/>
      <c r="FGM20" s="7"/>
      <c r="FGN20" s="7"/>
      <c r="FGO20" s="7"/>
      <c r="FGP20" s="7"/>
      <c r="FGQ20" s="7"/>
      <c r="FGR20" s="7"/>
      <c r="FGS20" s="7"/>
      <c r="FGT20" s="7"/>
      <c r="FGU20" s="7"/>
      <c r="FGV20" s="7"/>
      <c r="FGW20" s="7"/>
      <c r="FGX20" s="7"/>
      <c r="FGY20" s="7"/>
      <c r="FGZ20" s="7"/>
      <c r="FHA20" s="7"/>
      <c r="FHB20" s="7"/>
      <c r="FHC20" s="7"/>
      <c r="FHD20" s="7"/>
      <c r="FHE20" s="7"/>
      <c r="FHF20" s="7"/>
      <c r="FHG20" s="7"/>
      <c r="FHH20" s="7"/>
      <c r="FHI20" s="7"/>
      <c r="FHJ20" s="7"/>
      <c r="FHK20" s="7"/>
      <c r="FHL20" s="7"/>
      <c r="FHM20" s="7"/>
      <c r="FHN20" s="7"/>
      <c r="FHO20" s="7"/>
      <c r="FHP20" s="7"/>
      <c r="FHQ20" s="7"/>
      <c r="FHR20" s="7"/>
      <c r="FHS20" s="7"/>
      <c r="FHT20" s="7"/>
      <c r="FHU20" s="7"/>
      <c r="FHV20" s="7"/>
      <c r="FHW20" s="7"/>
      <c r="FHX20" s="7"/>
      <c r="FHY20" s="7"/>
      <c r="FHZ20" s="7"/>
      <c r="FIA20" s="7"/>
      <c r="FIB20" s="7"/>
      <c r="FIC20" s="7"/>
      <c r="FID20" s="7"/>
      <c r="FIE20" s="7"/>
      <c r="FIF20" s="7"/>
      <c r="FIG20" s="7"/>
      <c r="FIH20" s="7"/>
      <c r="FII20" s="7"/>
      <c r="FIJ20" s="7"/>
      <c r="FIK20" s="7"/>
      <c r="FIL20" s="7"/>
      <c r="FIM20" s="7"/>
      <c r="FIN20" s="7"/>
      <c r="FIO20" s="7"/>
      <c r="FIP20" s="7"/>
      <c r="FIQ20" s="7"/>
      <c r="FIR20" s="7"/>
      <c r="FIS20" s="7"/>
      <c r="FIT20" s="7"/>
      <c r="FIU20" s="7"/>
      <c r="FIV20" s="7"/>
      <c r="FIW20" s="7"/>
      <c r="FIX20" s="7"/>
      <c r="FIY20" s="7"/>
      <c r="FIZ20" s="7"/>
      <c r="FJA20" s="7"/>
      <c r="FJB20" s="7"/>
      <c r="FJC20" s="7"/>
      <c r="FJD20" s="7"/>
      <c r="FJE20" s="7"/>
      <c r="FJF20" s="7"/>
      <c r="FJG20" s="7"/>
      <c r="FJH20" s="7"/>
      <c r="FJI20" s="7"/>
      <c r="FJJ20" s="7"/>
      <c r="FJK20" s="7"/>
      <c r="FJL20" s="7"/>
      <c r="FJM20" s="7"/>
      <c r="FJN20" s="7"/>
      <c r="FJO20" s="7"/>
      <c r="FJP20" s="7"/>
      <c r="FJQ20" s="7"/>
      <c r="FJR20" s="7"/>
      <c r="FJS20" s="7"/>
      <c r="FJT20" s="7"/>
      <c r="FJU20" s="7"/>
      <c r="FJV20" s="7"/>
      <c r="FJW20" s="7"/>
      <c r="FJX20" s="7"/>
      <c r="FJY20" s="7"/>
      <c r="FJZ20" s="7"/>
      <c r="FKA20" s="7"/>
      <c r="FKB20" s="7"/>
      <c r="FKC20" s="7"/>
      <c r="FKD20" s="7"/>
      <c r="FKE20" s="7"/>
      <c r="FKF20" s="7"/>
      <c r="FKG20" s="7"/>
      <c r="FKH20" s="7"/>
      <c r="FKI20" s="7"/>
      <c r="FKJ20" s="7"/>
      <c r="FKK20" s="7"/>
      <c r="FKL20" s="7"/>
      <c r="FKM20" s="7"/>
      <c r="FKN20" s="7"/>
      <c r="FKO20" s="7"/>
      <c r="FKP20" s="7"/>
      <c r="FKQ20" s="7"/>
      <c r="FKR20" s="7"/>
      <c r="FKS20" s="7"/>
      <c r="FKT20" s="7"/>
      <c r="FKU20" s="7"/>
      <c r="FKV20" s="7"/>
      <c r="FKW20" s="7"/>
      <c r="FKX20" s="7"/>
      <c r="FKY20" s="7"/>
      <c r="FKZ20" s="7"/>
      <c r="FLA20" s="7"/>
      <c r="FLB20" s="7"/>
      <c r="FLC20" s="7"/>
      <c r="FLD20" s="7"/>
      <c r="FLE20" s="7"/>
      <c r="FLF20" s="7"/>
      <c r="FLG20" s="7"/>
      <c r="FLH20" s="7"/>
      <c r="FLI20" s="7"/>
      <c r="FLJ20" s="7"/>
      <c r="FLK20" s="7"/>
      <c r="FLL20" s="7"/>
      <c r="FLM20" s="7"/>
      <c r="FLN20" s="7"/>
      <c r="FLO20" s="7"/>
      <c r="FLP20" s="7"/>
      <c r="FLQ20" s="7"/>
      <c r="FLR20" s="7"/>
      <c r="FLS20" s="7"/>
      <c r="FLT20" s="7"/>
      <c r="FLU20" s="7"/>
      <c r="FLV20" s="7"/>
      <c r="FLW20" s="7"/>
      <c r="FLX20" s="7"/>
      <c r="FLY20" s="7"/>
      <c r="FLZ20" s="7"/>
      <c r="FMA20" s="7"/>
      <c r="FMB20" s="7"/>
      <c r="FMC20" s="7"/>
      <c r="FMD20" s="7"/>
      <c r="FME20" s="7"/>
      <c r="FMF20" s="7"/>
      <c r="FMG20" s="7"/>
      <c r="FMH20" s="7"/>
      <c r="FMI20" s="7"/>
      <c r="FMJ20" s="7"/>
      <c r="FMK20" s="7"/>
      <c r="FML20" s="7"/>
      <c r="FMM20" s="7"/>
      <c r="FMN20" s="7"/>
      <c r="FMO20" s="7"/>
      <c r="FMP20" s="7"/>
      <c r="FMQ20" s="7"/>
      <c r="FMR20" s="7"/>
      <c r="FMS20" s="7"/>
      <c r="FMT20" s="7"/>
      <c r="FMU20" s="7"/>
      <c r="FMV20" s="7"/>
      <c r="FMW20" s="7"/>
      <c r="FMX20" s="7"/>
      <c r="FMY20" s="7"/>
      <c r="FMZ20" s="7"/>
      <c r="FNA20" s="7"/>
      <c r="FNB20" s="7"/>
      <c r="FNC20" s="7"/>
      <c r="FND20" s="7"/>
      <c r="FNE20" s="7"/>
      <c r="FNF20" s="7"/>
      <c r="FNG20" s="7"/>
      <c r="FNH20" s="7"/>
      <c r="FNI20" s="7"/>
      <c r="FNJ20" s="7"/>
      <c r="FNK20" s="7"/>
      <c r="FNL20" s="7"/>
      <c r="FNM20" s="7"/>
      <c r="FNN20" s="7"/>
      <c r="FNO20" s="7"/>
      <c r="FNP20" s="7"/>
      <c r="FNQ20" s="7"/>
      <c r="FNR20" s="7"/>
      <c r="FNS20" s="7"/>
      <c r="FNT20" s="7"/>
      <c r="FNU20" s="7"/>
      <c r="FNV20" s="7"/>
      <c r="FNW20" s="7"/>
      <c r="FNX20" s="7"/>
      <c r="FNY20" s="7"/>
      <c r="FNZ20" s="7"/>
      <c r="FOA20" s="7"/>
      <c r="FOB20" s="7"/>
      <c r="FOC20" s="7"/>
      <c r="FOD20" s="7"/>
      <c r="FOE20" s="7"/>
      <c r="FOF20" s="7"/>
      <c r="FOG20" s="7"/>
      <c r="FOH20" s="7"/>
      <c r="FOI20" s="7"/>
      <c r="FOJ20" s="7"/>
      <c r="FOK20" s="7"/>
      <c r="FOL20" s="7"/>
      <c r="FOM20" s="7"/>
      <c r="FON20" s="7"/>
      <c r="FOO20" s="7"/>
      <c r="FOP20" s="7"/>
      <c r="FOQ20" s="7"/>
      <c r="FOR20" s="7"/>
      <c r="FOS20" s="7"/>
      <c r="FOT20" s="7"/>
      <c r="FOU20" s="7"/>
      <c r="FOV20" s="7"/>
      <c r="FOW20" s="7"/>
      <c r="FOX20" s="7"/>
      <c r="FOY20" s="7"/>
      <c r="FOZ20" s="7"/>
      <c r="FPA20" s="7"/>
      <c r="FPB20" s="7"/>
      <c r="FPC20" s="7"/>
      <c r="FPD20" s="7"/>
      <c r="FPE20" s="7"/>
      <c r="FPF20" s="7"/>
      <c r="FPG20" s="7"/>
      <c r="FPH20" s="7"/>
      <c r="FPI20" s="7"/>
      <c r="FPJ20" s="7"/>
      <c r="FPK20" s="7"/>
      <c r="FPL20" s="7"/>
      <c r="FPM20" s="7"/>
      <c r="FPN20" s="7"/>
      <c r="FPO20" s="7"/>
      <c r="FPP20" s="7"/>
      <c r="FPQ20" s="7"/>
      <c r="FPR20" s="7"/>
      <c r="FPS20" s="7"/>
      <c r="FPT20" s="7"/>
      <c r="FPU20" s="7"/>
      <c r="FPV20" s="7"/>
      <c r="FPW20" s="7"/>
      <c r="FPX20" s="7"/>
      <c r="FPY20" s="7"/>
      <c r="FPZ20" s="7"/>
      <c r="FQA20" s="7"/>
      <c r="FQB20" s="7"/>
      <c r="FQC20" s="7"/>
      <c r="FQD20" s="7"/>
      <c r="FQE20" s="7"/>
      <c r="FQF20" s="7"/>
      <c r="FQG20" s="7"/>
      <c r="FQH20" s="7"/>
      <c r="FQI20" s="7"/>
      <c r="FQJ20" s="7"/>
      <c r="FQK20" s="7"/>
      <c r="FQL20" s="7"/>
      <c r="FQM20" s="7"/>
      <c r="FQN20" s="7"/>
      <c r="FQO20" s="7"/>
      <c r="FQP20" s="7"/>
      <c r="FQQ20" s="7"/>
      <c r="FQR20" s="7"/>
      <c r="FQS20" s="7"/>
      <c r="FQT20" s="7"/>
      <c r="FQU20" s="7"/>
      <c r="FQV20" s="7"/>
      <c r="FQW20" s="7"/>
      <c r="FQX20" s="7"/>
      <c r="FQY20" s="7"/>
      <c r="FQZ20" s="7"/>
      <c r="FRA20" s="7"/>
      <c r="FRB20" s="7"/>
      <c r="FRC20" s="7"/>
      <c r="FRD20" s="7"/>
      <c r="FRE20" s="7"/>
      <c r="FRF20" s="7"/>
      <c r="FRG20" s="7"/>
      <c r="FRH20" s="7"/>
      <c r="FRI20" s="7"/>
      <c r="FRJ20" s="7"/>
      <c r="FRK20" s="7"/>
      <c r="FRL20" s="7"/>
      <c r="FRM20" s="7"/>
      <c r="FRN20" s="7"/>
      <c r="FRO20" s="7"/>
      <c r="FRP20" s="7"/>
      <c r="FRQ20" s="7"/>
      <c r="FRR20" s="7"/>
      <c r="FRS20" s="7"/>
      <c r="FRT20" s="7"/>
      <c r="FRU20" s="7"/>
      <c r="FRV20" s="7"/>
      <c r="FRW20" s="7"/>
      <c r="FRX20" s="7"/>
      <c r="FRY20" s="7"/>
      <c r="FRZ20" s="7"/>
      <c r="FSA20" s="7"/>
      <c r="FSB20" s="7"/>
      <c r="FSC20" s="7"/>
      <c r="FSD20" s="7"/>
      <c r="FSE20" s="7"/>
      <c r="FSF20" s="7"/>
      <c r="FSG20" s="7"/>
      <c r="FSH20" s="7"/>
      <c r="FSI20" s="7"/>
      <c r="FSJ20" s="7"/>
      <c r="FSK20" s="7"/>
      <c r="FSL20" s="7"/>
      <c r="FSM20" s="7"/>
      <c r="FSN20" s="7"/>
      <c r="FSO20" s="7"/>
      <c r="FSP20" s="7"/>
      <c r="FSQ20" s="7"/>
      <c r="FSR20" s="7"/>
      <c r="FSS20" s="7"/>
      <c r="FST20" s="7"/>
      <c r="FSU20" s="7"/>
      <c r="FSV20" s="7"/>
      <c r="FSW20" s="7"/>
      <c r="FSX20" s="7"/>
      <c r="FSY20" s="7"/>
      <c r="FSZ20" s="7"/>
      <c r="FTA20" s="7"/>
      <c r="FTB20" s="7"/>
      <c r="FTC20" s="7"/>
      <c r="FTD20" s="7"/>
      <c r="FTE20" s="7"/>
      <c r="FTF20" s="7"/>
      <c r="FTG20" s="7"/>
      <c r="FTH20" s="7"/>
      <c r="FTI20" s="7"/>
      <c r="FTJ20" s="7"/>
      <c r="FTK20" s="7"/>
      <c r="FTL20" s="7"/>
      <c r="FTM20" s="7"/>
      <c r="FTN20" s="7"/>
      <c r="FTO20" s="7"/>
      <c r="FTP20" s="7"/>
      <c r="FTQ20" s="7"/>
      <c r="FTR20" s="7"/>
      <c r="FTS20" s="7"/>
      <c r="FTT20" s="7"/>
      <c r="FTU20" s="7"/>
      <c r="FTV20" s="7"/>
      <c r="FTW20" s="7"/>
      <c r="FTX20" s="7"/>
      <c r="FTY20" s="7"/>
      <c r="FTZ20" s="7"/>
      <c r="FUA20" s="7"/>
      <c r="FUB20" s="7"/>
      <c r="FUC20" s="7"/>
      <c r="FUD20" s="7"/>
      <c r="FUE20" s="7"/>
      <c r="FUF20" s="7"/>
      <c r="FUG20" s="7"/>
      <c r="FUH20" s="7"/>
      <c r="FUI20" s="7"/>
      <c r="FUJ20" s="7"/>
      <c r="FUK20" s="7"/>
      <c r="FUL20" s="7"/>
      <c r="FUM20" s="7"/>
      <c r="FUN20" s="7"/>
      <c r="FUO20" s="7"/>
      <c r="FUP20" s="7"/>
      <c r="FUQ20" s="7"/>
      <c r="FUR20" s="7"/>
      <c r="FUS20" s="7"/>
      <c r="FUT20" s="7"/>
      <c r="FUU20" s="7"/>
      <c r="FUV20" s="7"/>
      <c r="FUW20" s="7"/>
      <c r="FUX20" s="7"/>
      <c r="FUY20" s="7"/>
      <c r="FUZ20" s="7"/>
      <c r="FVA20" s="7"/>
      <c r="FVB20" s="7"/>
      <c r="FVC20" s="7"/>
      <c r="FVD20" s="7"/>
      <c r="FVE20" s="7"/>
      <c r="FVF20" s="7"/>
      <c r="FVG20" s="7"/>
      <c r="FVH20" s="7"/>
      <c r="FVI20" s="7"/>
      <c r="FVJ20" s="7"/>
      <c r="FVK20" s="7"/>
      <c r="FVL20" s="7"/>
      <c r="FVM20" s="7"/>
      <c r="FVN20" s="7"/>
      <c r="FVO20" s="7"/>
      <c r="FVP20" s="7"/>
      <c r="FVQ20" s="7"/>
      <c r="FVR20" s="7"/>
      <c r="FVS20" s="7"/>
      <c r="FVT20" s="7"/>
      <c r="FVU20" s="7"/>
      <c r="FVV20" s="7"/>
      <c r="FVW20" s="7"/>
      <c r="FVX20" s="7"/>
      <c r="FVY20" s="7"/>
      <c r="FVZ20" s="7"/>
      <c r="FWA20" s="7"/>
      <c r="FWB20" s="7"/>
      <c r="FWC20" s="7"/>
      <c r="FWD20" s="7"/>
      <c r="FWE20" s="7"/>
      <c r="FWF20" s="7"/>
      <c r="FWG20" s="7"/>
      <c r="FWH20" s="7"/>
      <c r="FWI20" s="7"/>
      <c r="FWJ20" s="7"/>
      <c r="FWK20" s="7"/>
      <c r="FWL20" s="7"/>
      <c r="FWM20" s="7"/>
      <c r="FWN20" s="7"/>
      <c r="FWO20" s="7"/>
      <c r="FWP20" s="7"/>
      <c r="FWQ20" s="7"/>
      <c r="FWR20" s="7"/>
      <c r="FWS20" s="7"/>
      <c r="FWT20" s="7"/>
      <c r="FWU20" s="7"/>
      <c r="FWV20" s="7"/>
      <c r="FWW20" s="7"/>
      <c r="FWX20" s="7"/>
      <c r="FWY20" s="7"/>
      <c r="FWZ20" s="7"/>
      <c r="FXA20" s="7"/>
      <c r="FXB20" s="7"/>
      <c r="FXC20" s="7"/>
      <c r="FXD20" s="7"/>
      <c r="FXE20" s="7"/>
      <c r="FXF20" s="7"/>
      <c r="FXG20" s="7"/>
      <c r="FXH20" s="7"/>
      <c r="FXI20" s="7"/>
      <c r="FXJ20" s="7"/>
      <c r="FXK20" s="7"/>
      <c r="FXL20" s="7"/>
      <c r="FXM20" s="7"/>
      <c r="FXN20" s="7"/>
      <c r="FXO20" s="7"/>
      <c r="FXP20" s="7"/>
      <c r="FXQ20" s="7"/>
      <c r="FXR20" s="7"/>
      <c r="FXS20" s="7"/>
      <c r="FXT20" s="7"/>
      <c r="FXU20" s="7"/>
      <c r="FXV20" s="7"/>
      <c r="FXW20" s="7"/>
      <c r="FXX20" s="7"/>
      <c r="FXY20" s="7"/>
      <c r="FXZ20" s="7"/>
      <c r="FYA20" s="7"/>
      <c r="FYB20" s="7"/>
      <c r="FYC20" s="7"/>
      <c r="FYD20" s="7"/>
      <c r="FYE20" s="7"/>
      <c r="FYF20" s="7"/>
      <c r="FYG20" s="7"/>
      <c r="FYH20" s="7"/>
      <c r="FYI20" s="7"/>
      <c r="FYJ20" s="7"/>
      <c r="FYK20" s="7"/>
      <c r="FYL20" s="7"/>
      <c r="FYM20" s="7"/>
      <c r="FYN20" s="7"/>
      <c r="FYO20" s="7"/>
      <c r="FYP20" s="7"/>
      <c r="FYQ20" s="7"/>
      <c r="FYR20" s="7"/>
      <c r="FYS20" s="7"/>
      <c r="FYT20" s="7"/>
      <c r="FYU20" s="7"/>
      <c r="FYV20" s="7"/>
      <c r="FYW20" s="7"/>
      <c r="FYX20" s="7"/>
      <c r="FYY20" s="7"/>
      <c r="FYZ20" s="7"/>
      <c r="FZA20" s="7"/>
      <c r="FZB20" s="7"/>
      <c r="FZC20" s="7"/>
      <c r="FZD20" s="7"/>
      <c r="FZE20" s="7"/>
      <c r="FZF20" s="7"/>
      <c r="FZG20" s="7"/>
      <c r="FZH20" s="7"/>
      <c r="FZI20" s="7"/>
      <c r="FZJ20" s="7"/>
      <c r="FZK20" s="7"/>
      <c r="FZL20" s="7"/>
      <c r="FZM20" s="7"/>
      <c r="FZN20" s="7"/>
      <c r="FZO20" s="7"/>
      <c r="FZP20" s="7"/>
      <c r="FZQ20" s="7"/>
      <c r="FZR20" s="7"/>
      <c r="FZS20" s="7"/>
      <c r="FZT20" s="7"/>
      <c r="FZU20" s="7"/>
      <c r="FZV20" s="7"/>
      <c r="FZW20" s="7"/>
      <c r="FZX20" s="7"/>
      <c r="FZY20" s="7"/>
      <c r="FZZ20" s="7"/>
      <c r="GAA20" s="7"/>
      <c r="GAB20" s="7"/>
      <c r="GAC20" s="7"/>
      <c r="GAD20" s="7"/>
      <c r="GAE20" s="7"/>
      <c r="GAF20" s="7"/>
      <c r="GAG20" s="7"/>
      <c r="GAH20" s="7"/>
      <c r="GAI20" s="7"/>
      <c r="GAJ20" s="7"/>
      <c r="GAK20" s="7"/>
      <c r="GAL20" s="7"/>
      <c r="GAM20" s="7"/>
      <c r="GAN20" s="7"/>
      <c r="GAO20" s="7"/>
      <c r="GAP20" s="7"/>
      <c r="GAQ20" s="7"/>
      <c r="GAR20" s="7"/>
      <c r="GAS20" s="7"/>
      <c r="GAT20" s="7"/>
      <c r="GAU20" s="7"/>
      <c r="GAV20" s="7"/>
      <c r="GAW20" s="7"/>
      <c r="GAX20" s="7"/>
      <c r="GAY20" s="7"/>
      <c r="GAZ20" s="7"/>
      <c r="GBA20" s="7"/>
      <c r="GBB20" s="7"/>
      <c r="GBC20" s="7"/>
      <c r="GBD20" s="7"/>
      <c r="GBE20" s="7"/>
      <c r="GBF20" s="7"/>
      <c r="GBG20" s="7"/>
      <c r="GBH20" s="7"/>
      <c r="GBI20" s="7"/>
      <c r="GBJ20" s="7"/>
      <c r="GBK20" s="7"/>
      <c r="GBL20" s="7"/>
      <c r="GBM20" s="7"/>
      <c r="GBN20" s="7"/>
      <c r="GBO20" s="7"/>
      <c r="GBP20" s="7"/>
      <c r="GBQ20" s="7"/>
      <c r="GBR20" s="7"/>
      <c r="GBS20" s="7"/>
      <c r="GBT20" s="7"/>
      <c r="GBU20" s="7"/>
      <c r="GBV20" s="7"/>
      <c r="GBW20" s="7"/>
      <c r="GBX20" s="7"/>
      <c r="GBY20" s="7"/>
      <c r="GBZ20" s="7"/>
      <c r="GCA20" s="7"/>
      <c r="GCB20" s="7"/>
      <c r="GCC20" s="7"/>
      <c r="GCD20" s="7"/>
      <c r="GCE20" s="7"/>
      <c r="GCF20" s="7"/>
      <c r="GCG20" s="7"/>
      <c r="GCH20" s="7"/>
      <c r="GCI20" s="7"/>
      <c r="GCJ20" s="7"/>
      <c r="GCK20" s="7"/>
      <c r="GCL20" s="7"/>
      <c r="GCM20" s="7"/>
      <c r="GCN20" s="7"/>
      <c r="GCO20" s="7"/>
      <c r="GCP20" s="7"/>
      <c r="GCQ20" s="7"/>
      <c r="GCR20" s="7"/>
      <c r="GCS20" s="7"/>
      <c r="GCT20" s="7"/>
      <c r="GCU20" s="7"/>
      <c r="GCV20" s="7"/>
      <c r="GCW20" s="7"/>
      <c r="GCX20" s="7"/>
      <c r="GCY20" s="7"/>
      <c r="GCZ20" s="7"/>
      <c r="GDA20" s="7"/>
      <c r="GDB20" s="7"/>
      <c r="GDC20" s="7"/>
      <c r="GDD20" s="7"/>
      <c r="GDE20" s="7"/>
      <c r="GDF20" s="7"/>
      <c r="GDG20" s="7"/>
      <c r="GDH20" s="7"/>
      <c r="GDI20" s="7"/>
      <c r="GDJ20" s="7"/>
      <c r="GDK20" s="7"/>
      <c r="GDL20" s="7"/>
      <c r="GDM20" s="7"/>
      <c r="GDN20" s="7"/>
      <c r="GDO20" s="7"/>
      <c r="GDP20" s="7"/>
      <c r="GDQ20" s="7"/>
      <c r="GDR20" s="7"/>
      <c r="GDS20" s="7"/>
      <c r="GDT20" s="7"/>
      <c r="GDU20" s="7"/>
      <c r="GDV20" s="7"/>
      <c r="GDW20" s="7"/>
      <c r="GDX20" s="7"/>
      <c r="GDY20" s="7"/>
      <c r="GDZ20" s="7"/>
      <c r="GEA20" s="7"/>
      <c r="GEB20" s="7"/>
      <c r="GEC20" s="7"/>
      <c r="GED20" s="7"/>
      <c r="GEE20" s="7"/>
      <c r="GEF20" s="7"/>
      <c r="GEG20" s="7"/>
      <c r="GEH20" s="7"/>
      <c r="GEI20" s="7"/>
      <c r="GEJ20" s="7"/>
      <c r="GEK20" s="7"/>
      <c r="GEL20" s="7"/>
      <c r="GEM20" s="7"/>
      <c r="GEN20" s="7"/>
      <c r="GEO20" s="7"/>
      <c r="GEP20" s="7"/>
      <c r="GEQ20" s="7"/>
      <c r="GER20" s="7"/>
      <c r="GES20" s="7"/>
      <c r="GET20" s="7"/>
      <c r="GEU20" s="7"/>
      <c r="GEV20" s="7"/>
      <c r="GEW20" s="7"/>
      <c r="GEX20" s="7"/>
      <c r="GEY20" s="7"/>
      <c r="GEZ20" s="7"/>
      <c r="GFA20" s="7"/>
      <c r="GFB20" s="7"/>
      <c r="GFC20" s="7"/>
      <c r="GFD20" s="7"/>
      <c r="GFE20" s="7"/>
      <c r="GFF20" s="7"/>
      <c r="GFG20" s="7"/>
      <c r="GFH20" s="7"/>
      <c r="GFI20" s="7"/>
      <c r="GFJ20" s="7"/>
      <c r="GFK20" s="7"/>
      <c r="GFL20" s="7"/>
      <c r="GFM20" s="7"/>
      <c r="GFN20" s="7"/>
      <c r="GFO20" s="7"/>
      <c r="GFP20" s="7"/>
      <c r="GFQ20" s="7"/>
      <c r="GFR20" s="7"/>
      <c r="GFS20" s="7"/>
      <c r="GFT20" s="7"/>
      <c r="GFU20" s="7"/>
      <c r="GFV20" s="7"/>
      <c r="GFW20" s="7"/>
      <c r="GFX20" s="7"/>
      <c r="GFY20" s="7"/>
      <c r="GFZ20" s="7"/>
      <c r="GGA20" s="7"/>
      <c r="GGB20" s="7"/>
      <c r="GGC20" s="7"/>
      <c r="GGD20" s="7"/>
      <c r="GGE20" s="7"/>
      <c r="GGF20" s="7"/>
      <c r="GGG20" s="7"/>
      <c r="GGH20" s="7"/>
      <c r="GGI20" s="7"/>
      <c r="GGJ20" s="7"/>
      <c r="GGK20" s="7"/>
      <c r="GGL20" s="7"/>
      <c r="GGM20" s="7"/>
      <c r="GGN20" s="7"/>
      <c r="GGO20" s="7"/>
      <c r="GGP20" s="7"/>
      <c r="GGQ20" s="7"/>
      <c r="GGR20" s="7"/>
      <c r="GGS20" s="7"/>
      <c r="GGT20" s="7"/>
      <c r="GGU20" s="7"/>
      <c r="GGV20" s="7"/>
      <c r="GGW20" s="7"/>
      <c r="GGX20" s="7"/>
      <c r="GGY20" s="7"/>
      <c r="GGZ20" s="7"/>
      <c r="GHA20" s="7"/>
      <c r="GHB20" s="7"/>
      <c r="GHC20" s="7"/>
      <c r="GHD20" s="7"/>
      <c r="GHE20" s="7"/>
      <c r="GHF20" s="7"/>
      <c r="GHG20" s="7"/>
      <c r="GHH20" s="7"/>
      <c r="GHI20" s="7"/>
      <c r="GHJ20" s="7"/>
      <c r="GHK20" s="7"/>
      <c r="GHL20" s="7"/>
      <c r="GHM20" s="7"/>
      <c r="GHN20" s="7"/>
      <c r="GHO20" s="7"/>
      <c r="GHP20" s="7"/>
      <c r="GHQ20" s="7"/>
      <c r="GHR20" s="7"/>
      <c r="GHS20" s="7"/>
      <c r="GHT20" s="7"/>
      <c r="GHU20" s="7"/>
      <c r="GHV20" s="7"/>
      <c r="GHW20" s="7"/>
      <c r="GHX20" s="7"/>
      <c r="GHY20" s="7"/>
      <c r="GHZ20" s="7"/>
      <c r="GIA20" s="7"/>
      <c r="GIB20" s="7"/>
      <c r="GIC20" s="7"/>
      <c r="GID20" s="7"/>
      <c r="GIE20" s="7"/>
      <c r="GIF20" s="7"/>
      <c r="GIG20" s="7"/>
      <c r="GIH20" s="7"/>
      <c r="GII20" s="7"/>
      <c r="GIJ20" s="7"/>
      <c r="GIK20" s="7"/>
      <c r="GIL20" s="7"/>
      <c r="GIM20" s="7"/>
      <c r="GIN20" s="7"/>
      <c r="GIO20" s="7"/>
      <c r="GIP20" s="7"/>
      <c r="GIQ20" s="7"/>
      <c r="GIR20" s="7"/>
      <c r="GIS20" s="7"/>
      <c r="GIT20" s="7"/>
      <c r="GIU20" s="7"/>
      <c r="GIV20" s="7"/>
      <c r="GIW20" s="7"/>
      <c r="GIX20" s="7"/>
      <c r="GIY20" s="7"/>
      <c r="GIZ20" s="7"/>
      <c r="GJA20" s="7"/>
      <c r="GJB20" s="7"/>
      <c r="GJC20" s="7"/>
      <c r="GJD20" s="7"/>
      <c r="GJE20" s="7"/>
      <c r="GJF20" s="7"/>
      <c r="GJG20" s="7"/>
      <c r="GJH20" s="7"/>
      <c r="GJI20" s="7"/>
      <c r="GJJ20" s="7"/>
      <c r="GJK20" s="7"/>
      <c r="GJL20" s="7"/>
      <c r="GJM20" s="7"/>
      <c r="GJN20" s="7"/>
      <c r="GJO20" s="7"/>
      <c r="GJP20" s="7"/>
      <c r="GJQ20" s="7"/>
      <c r="GJR20" s="7"/>
      <c r="GJS20" s="7"/>
      <c r="GJT20" s="7"/>
      <c r="GJU20" s="7"/>
      <c r="GJV20" s="7"/>
      <c r="GJW20" s="7"/>
      <c r="GJX20" s="7"/>
      <c r="GJY20" s="7"/>
      <c r="GJZ20" s="7"/>
      <c r="GKA20" s="7"/>
      <c r="GKB20" s="7"/>
      <c r="GKC20" s="7"/>
      <c r="GKD20" s="7"/>
      <c r="GKE20" s="7"/>
      <c r="GKF20" s="7"/>
      <c r="GKG20" s="7"/>
      <c r="GKH20" s="7"/>
      <c r="GKI20" s="7"/>
      <c r="GKJ20" s="7"/>
      <c r="GKK20" s="7"/>
      <c r="GKL20" s="7"/>
      <c r="GKM20" s="7"/>
      <c r="GKN20" s="7"/>
      <c r="GKO20" s="7"/>
      <c r="GKP20" s="7"/>
      <c r="GKQ20" s="7"/>
      <c r="GKR20" s="7"/>
      <c r="GKS20" s="7"/>
      <c r="GKT20" s="7"/>
      <c r="GKU20" s="7"/>
      <c r="GKV20" s="7"/>
      <c r="GKW20" s="7"/>
      <c r="GKX20" s="7"/>
      <c r="GKY20" s="7"/>
      <c r="GKZ20" s="7"/>
      <c r="GLA20" s="7"/>
      <c r="GLB20" s="7"/>
      <c r="GLC20" s="7"/>
      <c r="GLD20" s="7"/>
      <c r="GLE20" s="7"/>
      <c r="GLF20" s="7"/>
      <c r="GLG20" s="7"/>
      <c r="GLH20" s="7"/>
      <c r="GLI20" s="7"/>
      <c r="GLJ20" s="7"/>
      <c r="GLK20" s="7"/>
      <c r="GLL20" s="7"/>
      <c r="GLM20" s="7"/>
      <c r="GLN20" s="7"/>
      <c r="GLO20" s="7"/>
      <c r="GLP20" s="7"/>
      <c r="GLQ20" s="7"/>
      <c r="GLR20" s="7"/>
      <c r="GLS20" s="7"/>
      <c r="GLT20" s="7"/>
      <c r="GLU20" s="7"/>
      <c r="GLV20" s="7"/>
      <c r="GLW20" s="7"/>
      <c r="GLX20" s="7"/>
      <c r="GLY20" s="7"/>
      <c r="GLZ20" s="7"/>
      <c r="GMA20" s="7"/>
      <c r="GMB20" s="7"/>
      <c r="GMC20" s="7"/>
      <c r="GMD20" s="7"/>
      <c r="GME20" s="7"/>
      <c r="GMF20" s="7"/>
      <c r="GMG20" s="7"/>
      <c r="GMH20" s="7"/>
      <c r="GMI20" s="7"/>
      <c r="GMJ20" s="7"/>
      <c r="GMK20" s="7"/>
      <c r="GML20" s="7"/>
      <c r="GMM20" s="7"/>
      <c r="GMN20" s="7"/>
      <c r="GMO20" s="7"/>
      <c r="GMP20" s="7"/>
      <c r="GMQ20" s="7"/>
      <c r="GMR20" s="7"/>
      <c r="GMS20" s="7"/>
      <c r="GMT20" s="7"/>
      <c r="GMU20" s="7"/>
      <c r="GMV20" s="7"/>
      <c r="GMW20" s="7"/>
      <c r="GMX20" s="7"/>
      <c r="GMY20" s="7"/>
      <c r="GMZ20" s="7"/>
      <c r="GNA20" s="7"/>
      <c r="GNB20" s="7"/>
      <c r="GNC20" s="7"/>
      <c r="GND20" s="7"/>
      <c r="GNE20" s="7"/>
      <c r="GNF20" s="7"/>
      <c r="GNG20" s="7"/>
      <c r="GNH20" s="7"/>
      <c r="GNI20" s="7"/>
      <c r="GNJ20" s="7"/>
      <c r="GNK20" s="7"/>
      <c r="GNL20" s="7"/>
      <c r="GNM20" s="7"/>
      <c r="GNN20" s="7"/>
      <c r="GNO20" s="7"/>
      <c r="GNP20" s="7"/>
      <c r="GNQ20" s="7"/>
      <c r="GNR20" s="7"/>
      <c r="GNS20" s="7"/>
      <c r="GNT20" s="7"/>
      <c r="GNU20" s="7"/>
      <c r="GNV20" s="7"/>
      <c r="GNW20" s="7"/>
      <c r="GNX20" s="7"/>
      <c r="GNY20" s="7"/>
      <c r="GNZ20" s="7"/>
      <c r="GOA20" s="7"/>
      <c r="GOB20" s="7"/>
      <c r="GOC20" s="7"/>
      <c r="GOD20" s="7"/>
      <c r="GOE20" s="7"/>
      <c r="GOF20" s="7"/>
      <c r="GOG20" s="7"/>
      <c r="GOH20" s="7"/>
      <c r="GOI20" s="7"/>
      <c r="GOJ20" s="7"/>
      <c r="GOK20" s="7"/>
      <c r="GOL20" s="7"/>
      <c r="GOM20" s="7"/>
      <c r="GON20" s="7"/>
      <c r="GOO20" s="7"/>
      <c r="GOP20" s="7"/>
      <c r="GOQ20" s="7"/>
      <c r="GOR20" s="7"/>
      <c r="GOS20" s="7"/>
      <c r="GOT20" s="7"/>
      <c r="GOU20" s="7"/>
      <c r="GOV20" s="7"/>
      <c r="GOW20" s="7"/>
      <c r="GOX20" s="7"/>
      <c r="GOY20" s="7"/>
      <c r="GOZ20" s="7"/>
      <c r="GPA20" s="7"/>
      <c r="GPB20" s="7"/>
      <c r="GPC20" s="7"/>
      <c r="GPD20" s="7"/>
      <c r="GPE20" s="7"/>
      <c r="GPF20" s="7"/>
      <c r="GPG20" s="7"/>
      <c r="GPH20" s="7"/>
      <c r="GPI20" s="7"/>
      <c r="GPJ20" s="7"/>
      <c r="GPK20" s="7"/>
      <c r="GPL20" s="7"/>
      <c r="GPM20" s="7"/>
      <c r="GPN20" s="7"/>
      <c r="GPO20" s="7"/>
      <c r="GPP20" s="7"/>
      <c r="GPQ20" s="7"/>
      <c r="GPR20" s="7"/>
      <c r="GPS20" s="7"/>
      <c r="GPT20" s="7"/>
      <c r="GPU20" s="7"/>
      <c r="GPV20" s="7"/>
      <c r="GPW20" s="7"/>
      <c r="GPX20" s="7"/>
      <c r="GPY20" s="7"/>
      <c r="GPZ20" s="7"/>
      <c r="GQA20" s="7"/>
      <c r="GQB20" s="7"/>
      <c r="GQC20" s="7"/>
      <c r="GQD20" s="7"/>
      <c r="GQE20" s="7"/>
      <c r="GQF20" s="7"/>
      <c r="GQG20" s="7"/>
      <c r="GQH20" s="7"/>
      <c r="GQI20" s="7"/>
      <c r="GQJ20" s="7"/>
      <c r="GQK20" s="7"/>
      <c r="GQL20" s="7"/>
      <c r="GQM20" s="7"/>
      <c r="GQN20" s="7"/>
      <c r="GQO20" s="7"/>
      <c r="GQP20" s="7"/>
      <c r="GQQ20" s="7"/>
      <c r="GQR20" s="7"/>
      <c r="GQS20" s="7"/>
      <c r="GQT20" s="7"/>
      <c r="GQU20" s="7"/>
      <c r="GQV20" s="7"/>
      <c r="GQW20" s="7"/>
      <c r="GQX20" s="7"/>
      <c r="GQY20" s="7"/>
      <c r="GQZ20" s="7"/>
      <c r="GRA20" s="7"/>
      <c r="GRB20" s="7"/>
      <c r="GRC20" s="7"/>
      <c r="GRD20" s="7"/>
      <c r="GRE20" s="7"/>
      <c r="GRF20" s="7"/>
      <c r="GRG20" s="7"/>
      <c r="GRH20" s="7"/>
      <c r="GRI20" s="7"/>
      <c r="GRJ20" s="7"/>
      <c r="GRK20" s="7"/>
      <c r="GRL20" s="7"/>
      <c r="GRM20" s="7"/>
      <c r="GRN20" s="7"/>
      <c r="GRO20" s="7"/>
      <c r="GRP20" s="7"/>
      <c r="GRQ20" s="7"/>
      <c r="GRR20" s="7"/>
      <c r="GRS20" s="7"/>
      <c r="GRT20" s="7"/>
      <c r="GRU20" s="7"/>
      <c r="GRV20" s="7"/>
      <c r="GRW20" s="7"/>
      <c r="GRX20" s="7"/>
      <c r="GRY20" s="7"/>
      <c r="GRZ20" s="7"/>
      <c r="GSA20" s="7"/>
      <c r="GSB20" s="7"/>
      <c r="GSC20" s="7"/>
      <c r="GSD20" s="7"/>
      <c r="GSE20" s="7"/>
      <c r="GSF20" s="7"/>
      <c r="GSG20" s="7"/>
      <c r="GSH20" s="7"/>
      <c r="GSI20" s="7"/>
      <c r="GSJ20" s="7"/>
      <c r="GSK20" s="7"/>
      <c r="GSL20" s="7"/>
      <c r="GSM20" s="7"/>
      <c r="GSN20" s="7"/>
      <c r="GSO20" s="7"/>
      <c r="GSP20" s="7"/>
      <c r="GSQ20" s="7"/>
      <c r="GSR20" s="7"/>
      <c r="GSS20" s="7"/>
      <c r="GST20" s="7"/>
      <c r="GSU20" s="7"/>
      <c r="GSV20" s="7"/>
      <c r="GSW20" s="7"/>
      <c r="GSX20" s="7"/>
      <c r="GSY20" s="7"/>
      <c r="GSZ20" s="7"/>
      <c r="GTA20" s="7"/>
      <c r="GTB20" s="7"/>
      <c r="GTC20" s="7"/>
      <c r="GTD20" s="7"/>
      <c r="GTE20" s="7"/>
      <c r="GTF20" s="7"/>
      <c r="GTG20" s="7"/>
      <c r="GTH20" s="7"/>
      <c r="GTI20" s="7"/>
      <c r="GTJ20" s="7"/>
      <c r="GTK20" s="7"/>
      <c r="GTL20" s="7"/>
      <c r="GTM20" s="7"/>
      <c r="GTN20" s="7"/>
      <c r="GTO20" s="7"/>
      <c r="GTP20" s="7"/>
      <c r="GTQ20" s="7"/>
      <c r="GTR20" s="7"/>
      <c r="GTS20" s="7"/>
      <c r="GTT20" s="7"/>
      <c r="GTU20" s="7"/>
      <c r="GTV20" s="7"/>
      <c r="GTW20" s="7"/>
      <c r="GTX20" s="7"/>
      <c r="GTY20" s="7"/>
      <c r="GTZ20" s="7"/>
      <c r="GUA20" s="7"/>
      <c r="GUB20" s="7"/>
      <c r="GUC20" s="7"/>
      <c r="GUD20" s="7"/>
      <c r="GUE20" s="7"/>
      <c r="GUF20" s="7"/>
      <c r="GUG20" s="7"/>
      <c r="GUH20" s="7"/>
      <c r="GUI20" s="7"/>
      <c r="GUJ20" s="7"/>
      <c r="GUK20" s="7"/>
      <c r="GUL20" s="7"/>
      <c r="GUM20" s="7"/>
      <c r="GUN20" s="7"/>
      <c r="GUO20" s="7"/>
      <c r="GUP20" s="7"/>
      <c r="GUQ20" s="7"/>
      <c r="GUR20" s="7"/>
      <c r="GUS20" s="7"/>
      <c r="GUT20" s="7"/>
      <c r="GUU20" s="7"/>
      <c r="GUV20" s="7"/>
      <c r="GUW20" s="7"/>
      <c r="GUX20" s="7"/>
      <c r="GUY20" s="7"/>
      <c r="GUZ20" s="7"/>
      <c r="GVA20" s="7"/>
      <c r="GVB20" s="7"/>
      <c r="GVC20" s="7"/>
      <c r="GVD20" s="7"/>
      <c r="GVE20" s="7"/>
      <c r="GVF20" s="7"/>
      <c r="GVG20" s="7"/>
      <c r="GVH20" s="7"/>
      <c r="GVI20" s="7"/>
      <c r="GVJ20" s="7"/>
      <c r="GVK20" s="7"/>
      <c r="GVL20" s="7"/>
      <c r="GVM20" s="7"/>
      <c r="GVN20" s="7"/>
      <c r="GVO20" s="7"/>
      <c r="GVP20" s="7"/>
      <c r="GVQ20" s="7"/>
      <c r="GVR20" s="7"/>
      <c r="GVS20" s="7"/>
      <c r="GVT20" s="7"/>
      <c r="GVU20" s="7"/>
      <c r="GVV20" s="7"/>
      <c r="GVW20" s="7"/>
      <c r="GVX20" s="7"/>
      <c r="GVY20" s="7"/>
      <c r="GVZ20" s="7"/>
      <c r="GWA20" s="7"/>
      <c r="GWB20" s="7"/>
      <c r="GWC20" s="7"/>
      <c r="GWD20" s="7"/>
      <c r="GWE20" s="7"/>
      <c r="GWF20" s="7"/>
      <c r="GWG20" s="7"/>
      <c r="GWH20" s="7"/>
      <c r="GWI20" s="7"/>
      <c r="GWJ20" s="7"/>
      <c r="GWK20" s="7"/>
      <c r="GWL20" s="7"/>
      <c r="GWM20" s="7"/>
      <c r="GWN20" s="7"/>
      <c r="GWO20" s="7"/>
      <c r="GWP20" s="7"/>
      <c r="GWQ20" s="7"/>
      <c r="GWR20" s="7"/>
      <c r="GWS20" s="7"/>
      <c r="GWT20" s="7"/>
      <c r="GWU20" s="7"/>
      <c r="GWV20" s="7"/>
      <c r="GWW20" s="7"/>
      <c r="GWX20" s="7"/>
      <c r="GWY20" s="7"/>
      <c r="GWZ20" s="7"/>
      <c r="GXA20" s="7"/>
      <c r="GXB20" s="7"/>
      <c r="GXC20" s="7"/>
      <c r="GXD20" s="7"/>
      <c r="GXE20" s="7"/>
      <c r="GXF20" s="7"/>
      <c r="GXG20" s="7"/>
      <c r="GXH20" s="7"/>
      <c r="GXI20" s="7"/>
      <c r="GXJ20" s="7"/>
      <c r="GXK20" s="7"/>
      <c r="GXL20" s="7"/>
      <c r="GXM20" s="7"/>
      <c r="GXN20" s="7"/>
      <c r="GXO20" s="7"/>
      <c r="GXP20" s="7"/>
      <c r="GXQ20" s="7"/>
      <c r="GXR20" s="7"/>
      <c r="GXS20" s="7"/>
      <c r="GXT20" s="7"/>
      <c r="GXU20" s="7"/>
      <c r="GXV20" s="7"/>
      <c r="GXW20" s="7"/>
      <c r="GXX20" s="7"/>
      <c r="GXY20" s="7"/>
      <c r="GXZ20" s="7"/>
      <c r="GYA20" s="7"/>
      <c r="GYB20" s="7"/>
      <c r="GYC20" s="7"/>
      <c r="GYD20" s="7"/>
      <c r="GYE20" s="7"/>
      <c r="GYF20" s="7"/>
      <c r="GYG20" s="7"/>
      <c r="GYH20" s="7"/>
      <c r="GYI20" s="7"/>
      <c r="GYJ20" s="7"/>
      <c r="GYK20" s="7"/>
      <c r="GYL20" s="7"/>
      <c r="GYM20" s="7"/>
      <c r="GYN20" s="7"/>
      <c r="GYO20" s="7"/>
      <c r="GYP20" s="7"/>
      <c r="GYQ20" s="7"/>
      <c r="GYR20" s="7"/>
      <c r="GYS20" s="7"/>
      <c r="GYT20" s="7"/>
      <c r="GYU20" s="7"/>
      <c r="GYV20" s="7"/>
      <c r="GYW20" s="7"/>
      <c r="GYX20" s="7"/>
      <c r="GYY20" s="7"/>
      <c r="GYZ20" s="7"/>
      <c r="GZA20" s="7"/>
      <c r="GZB20" s="7"/>
      <c r="GZC20" s="7"/>
      <c r="GZD20" s="7"/>
      <c r="GZE20" s="7"/>
      <c r="GZF20" s="7"/>
      <c r="GZG20" s="7"/>
      <c r="GZH20" s="7"/>
      <c r="GZI20" s="7"/>
      <c r="GZJ20" s="7"/>
      <c r="GZK20" s="7"/>
      <c r="GZL20" s="7"/>
      <c r="GZM20" s="7"/>
      <c r="GZN20" s="7"/>
      <c r="GZO20" s="7"/>
      <c r="GZP20" s="7"/>
      <c r="GZQ20" s="7"/>
      <c r="GZR20" s="7"/>
      <c r="GZS20" s="7"/>
      <c r="GZT20" s="7"/>
      <c r="GZU20" s="7"/>
      <c r="GZV20" s="7"/>
      <c r="GZW20" s="7"/>
      <c r="GZX20" s="7"/>
      <c r="GZY20" s="7"/>
      <c r="GZZ20" s="7"/>
      <c r="HAA20" s="7"/>
      <c r="HAB20" s="7"/>
      <c r="HAC20" s="7"/>
      <c r="HAD20" s="7"/>
      <c r="HAE20" s="7"/>
      <c r="HAF20" s="7"/>
      <c r="HAG20" s="7"/>
      <c r="HAH20" s="7"/>
      <c r="HAI20" s="7"/>
      <c r="HAJ20" s="7"/>
      <c r="HAK20" s="7"/>
      <c r="HAL20" s="7"/>
      <c r="HAM20" s="7"/>
      <c r="HAN20" s="7"/>
      <c r="HAO20" s="7"/>
      <c r="HAP20" s="7"/>
      <c r="HAQ20" s="7"/>
      <c r="HAR20" s="7"/>
      <c r="HAS20" s="7"/>
      <c r="HAT20" s="7"/>
      <c r="HAU20" s="7"/>
      <c r="HAV20" s="7"/>
      <c r="HAW20" s="7"/>
      <c r="HAX20" s="7"/>
      <c r="HAY20" s="7"/>
      <c r="HAZ20" s="7"/>
      <c r="HBA20" s="7"/>
      <c r="HBB20" s="7"/>
      <c r="HBC20" s="7"/>
      <c r="HBD20" s="7"/>
      <c r="HBE20" s="7"/>
      <c r="HBF20" s="7"/>
      <c r="HBG20" s="7"/>
      <c r="HBH20" s="7"/>
      <c r="HBI20" s="7"/>
      <c r="HBJ20" s="7"/>
      <c r="HBK20" s="7"/>
      <c r="HBL20" s="7"/>
      <c r="HBM20" s="7"/>
      <c r="HBN20" s="7"/>
      <c r="HBO20" s="7"/>
      <c r="HBP20" s="7"/>
      <c r="HBQ20" s="7"/>
      <c r="HBR20" s="7"/>
      <c r="HBS20" s="7"/>
      <c r="HBT20" s="7"/>
      <c r="HBU20" s="7"/>
      <c r="HBV20" s="7"/>
      <c r="HBW20" s="7"/>
      <c r="HBX20" s="7"/>
      <c r="HBY20" s="7"/>
      <c r="HBZ20" s="7"/>
      <c r="HCA20" s="7"/>
      <c r="HCB20" s="7"/>
      <c r="HCC20" s="7"/>
      <c r="HCD20" s="7"/>
      <c r="HCE20" s="7"/>
      <c r="HCF20" s="7"/>
      <c r="HCG20" s="7"/>
      <c r="HCH20" s="7"/>
      <c r="HCI20" s="7"/>
      <c r="HCJ20" s="7"/>
      <c r="HCK20" s="7"/>
      <c r="HCL20" s="7"/>
      <c r="HCM20" s="7"/>
      <c r="HCN20" s="7"/>
      <c r="HCO20" s="7"/>
      <c r="HCP20" s="7"/>
      <c r="HCQ20" s="7"/>
      <c r="HCR20" s="7"/>
      <c r="HCS20" s="7"/>
      <c r="HCT20" s="7"/>
      <c r="HCU20" s="7"/>
      <c r="HCV20" s="7"/>
      <c r="HCW20" s="7"/>
      <c r="HCX20" s="7"/>
      <c r="HCY20" s="7"/>
      <c r="HCZ20" s="7"/>
      <c r="HDA20" s="7"/>
      <c r="HDB20" s="7"/>
      <c r="HDC20" s="7"/>
      <c r="HDD20" s="7"/>
      <c r="HDE20" s="7"/>
      <c r="HDF20" s="7"/>
      <c r="HDG20" s="7"/>
      <c r="HDH20" s="7"/>
      <c r="HDI20" s="7"/>
      <c r="HDJ20" s="7"/>
      <c r="HDK20" s="7"/>
      <c r="HDL20" s="7"/>
      <c r="HDM20" s="7"/>
      <c r="HDN20" s="7"/>
      <c r="HDO20" s="7"/>
      <c r="HDP20" s="7"/>
      <c r="HDQ20" s="7"/>
      <c r="HDR20" s="7"/>
      <c r="HDS20" s="7"/>
      <c r="HDT20" s="7"/>
      <c r="HDU20" s="7"/>
      <c r="HDV20" s="7"/>
      <c r="HDW20" s="7"/>
      <c r="HDX20" s="7"/>
      <c r="HDY20" s="7"/>
      <c r="HDZ20" s="7"/>
      <c r="HEA20" s="7"/>
      <c r="HEB20" s="7"/>
      <c r="HEC20" s="7"/>
      <c r="HED20" s="7"/>
      <c r="HEE20" s="7"/>
      <c r="HEF20" s="7"/>
      <c r="HEG20" s="7"/>
      <c r="HEH20" s="7"/>
      <c r="HEI20" s="7"/>
      <c r="HEJ20" s="7"/>
      <c r="HEK20" s="7"/>
      <c r="HEL20" s="7"/>
      <c r="HEM20" s="7"/>
      <c r="HEN20" s="7"/>
      <c r="HEO20" s="7"/>
      <c r="HEP20" s="7"/>
      <c r="HEQ20" s="7"/>
      <c r="HER20" s="7"/>
      <c r="HES20" s="7"/>
      <c r="HET20" s="7"/>
      <c r="HEU20" s="7"/>
      <c r="HEV20" s="7"/>
      <c r="HEW20" s="7"/>
      <c r="HEX20" s="7"/>
      <c r="HEY20" s="7"/>
      <c r="HEZ20" s="7"/>
      <c r="HFA20" s="7"/>
      <c r="HFB20" s="7"/>
      <c r="HFC20" s="7"/>
      <c r="HFD20" s="7"/>
      <c r="HFE20" s="7"/>
      <c r="HFF20" s="7"/>
      <c r="HFG20" s="7"/>
      <c r="HFH20" s="7"/>
      <c r="HFI20" s="7"/>
      <c r="HFJ20" s="7"/>
      <c r="HFK20" s="7"/>
      <c r="HFL20" s="7"/>
      <c r="HFM20" s="7"/>
      <c r="HFN20" s="7"/>
      <c r="HFO20" s="7"/>
      <c r="HFP20" s="7"/>
      <c r="HFQ20" s="7"/>
      <c r="HFR20" s="7"/>
      <c r="HFS20" s="7"/>
      <c r="HFT20" s="7"/>
      <c r="HFU20" s="7"/>
      <c r="HFV20" s="7"/>
      <c r="HFW20" s="7"/>
      <c r="HFX20" s="7"/>
      <c r="HFY20" s="7"/>
      <c r="HFZ20" s="7"/>
      <c r="HGA20" s="7"/>
      <c r="HGB20" s="7"/>
      <c r="HGC20" s="7"/>
      <c r="HGD20" s="7"/>
      <c r="HGE20" s="7"/>
      <c r="HGF20" s="7"/>
      <c r="HGG20" s="7"/>
      <c r="HGH20" s="7"/>
      <c r="HGI20" s="7"/>
      <c r="HGJ20" s="7"/>
      <c r="HGK20" s="7"/>
      <c r="HGL20" s="7"/>
      <c r="HGM20" s="7"/>
      <c r="HGN20" s="7"/>
      <c r="HGO20" s="7"/>
      <c r="HGP20" s="7"/>
      <c r="HGQ20" s="7"/>
      <c r="HGR20" s="7"/>
      <c r="HGS20" s="7"/>
      <c r="HGT20" s="7"/>
      <c r="HGU20" s="7"/>
      <c r="HGV20" s="7"/>
      <c r="HGW20" s="7"/>
      <c r="HGX20" s="7"/>
      <c r="HGY20" s="7"/>
      <c r="HGZ20" s="7"/>
      <c r="HHA20" s="7"/>
      <c r="HHB20" s="7"/>
      <c r="HHC20" s="7"/>
      <c r="HHD20" s="7"/>
      <c r="HHE20" s="7"/>
      <c r="HHF20" s="7"/>
      <c r="HHG20" s="7"/>
      <c r="HHH20" s="7"/>
      <c r="HHI20" s="7"/>
      <c r="HHJ20" s="7"/>
      <c r="HHK20" s="7"/>
      <c r="HHL20" s="7"/>
      <c r="HHM20" s="7"/>
      <c r="HHN20" s="7"/>
      <c r="HHO20" s="7"/>
      <c r="HHP20" s="7"/>
      <c r="HHQ20" s="7"/>
      <c r="HHR20" s="7"/>
      <c r="HHS20" s="7"/>
      <c r="HHT20" s="7"/>
      <c r="HHU20" s="7"/>
      <c r="HHV20" s="7"/>
      <c r="HHW20" s="7"/>
      <c r="HHX20" s="7"/>
      <c r="HHY20" s="7"/>
      <c r="HHZ20" s="7"/>
      <c r="HIA20" s="7"/>
      <c r="HIB20" s="7"/>
      <c r="HIC20" s="7"/>
      <c r="HID20" s="7"/>
      <c r="HIE20" s="7"/>
      <c r="HIF20" s="7"/>
      <c r="HIG20" s="7"/>
      <c r="HIH20" s="7"/>
      <c r="HII20" s="7"/>
      <c r="HIJ20" s="7"/>
      <c r="HIK20" s="7"/>
      <c r="HIL20" s="7"/>
      <c r="HIM20" s="7"/>
      <c r="HIN20" s="7"/>
      <c r="HIO20" s="7"/>
      <c r="HIP20" s="7"/>
      <c r="HIQ20" s="7"/>
      <c r="HIR20" s="7"/>
      <c r="HIS20" s="7"/>
      <c r="HIT20" s="7"/>
      <c r="HIU20" s="7"/>
      <c r="HIV20" s="7"/>
      <c r="HIW20" s="7"/>
      <c r="HIX20" s="7"/>
      <c r="HIY20" s="7"/>
      <c r="HIZ20" s="7"/>
      <c r="HJA20" s="7"/>
      <c r="HJB20" s="7"/>
      <c r="HJC20" s="7"/>
      <c r="HJD20" s="7"/>
      <c r="HJE20" s="7"/>
      <c r="HJF20" s="7"/>
      <c r="HJG20" s="7"/>
      <c r="HJH20" s="7"/>
      <c r="HJI20" s="7"/>
      <c r="HJJ20" s="7"/>
      <c r="HJK20" s="7"/>
      <c r="HJL20" s="7"/>
      <c r="HJM20" s="7"/>
      <c r="HJN20" s="7"/>
      <c r="HJO20" s="7"/>
      <c r="HJP20" s="7"/>
      <c r="HJQ20" s="7"/>
      <c r="HJR20" s="7"/>
      <c r="HJS20" s="7"/>
      <c r="HJT20" s="7"/>
      <c r="HJU20" s="7"/>
      <c r="HJV20" s="7"/>
      <c r="HJW20" s="7"/>
      <c r="HJX20" s="7"/>
      <c r="HJY20" s="7"/>
      <c r="HJZ20" s="7"/>
      <c r="HKA20" s="7"/>
      <c r="HKB20" s="7"/>
      <c r="HKC20" s="7"/>
      <c r="HKD20" s="7"/>
      <c r="HKE20" s="7"/>
      <c r="HKF20" s="7"/>
      <c r="HKG20" s="7"/>
      <c r="HKH20" s="7"/>
      <c r="HKI20" s="7"/>
      <c r="HKJ20" s="7"/>
      <c r="HKK20" s="7"/>
      <c r="HKL20" s="7"/>
      <c r="HKM20" s="7"/>
      <c r="HKN20" s="7"/>
      <c r="HKO20" s="7"/>
      <c r="HKP20" s="7"/>
      <c r="HKQ20" s="7"/>
      <c r="HKR20" s="7"/>
      <c r="HKS20" s="7"/>
      <c r="HKT20" s="7"/>
      <c r="HKU20" s="7"/>
      <c r="HKV20" s="7"/>
      <c r="HKW20" s="7"/>
      <c r="HKX20" s="7"/>
      <c r="HKY20" s="7"/>
      <c r="HKZ20" s="7"/>
      <c r="HLA20" s="7"/>
      <c r="HLB20" s="7"/>
      <c r="HLC20" s="7"/>
      <c r="HLD20" s="7"/>
      <c r="HLE20" s="7"/>
      <c r="HLF20" s="7"/>
      <c r="HLG20" s="7"/>
      <c r="HLH20" s="7"/>
      <c r="HLI20" s="7"/>
      <c r="HLJ20" s="7"/>
      <c r="HLK20" s="7"/>
      <c r="HLL20" s="7"/>
      <c r="HLM20" s="7"/>
      <c r="HLN20" s="7"/>
      <c r="HLO20" s="7"/>
      <c r="HLP20" s="7"/>
      <c r="HLQ20" s="7"/>
      <c r="HLR20" s="7"/>
      <c r="HLS20" s="7"/>
      <c r="HLT20" s="7"/>
      <c r="HLU20" s="7"/>
      <c r="HLV20" s="7"/>
      <c r="HLW20" s="7"/>
      <c r="HLX20" s="7"/>
      <c r="HLY20" s="7"/>
      <c r="HLZ20" s="7"/>
      <c r="HMA20" s="7"/>
      <c r="HMB20" s="7"/>
      <c r="HMC20" s="7"/>
      <c r="HMD20" s="7"/>
      <c r="HME20" s="7"/>
      <c r="HMF20" s="7"/>
      <c r="HMG20" s="7"/>
      <c r="HMH20" s="7"/>
      <c r="HMI20" s="7"/>
      <c r="HMJ20" s="7"/>
      <c r="HMK20" s="7"/>
      <c r="HML20" s="7"/>
      <c r="HMM20" s="7"/>
      <c r="HMN20" s="7"/>
      <c r="HMO20" s="7"/>
      <c r="HMP20" s="7"/>
      <c r="HMQ20" s="7"/>
      <c r="HMR20" s="7"/>
      <c r="HMS20" s="7"/>
      <c r="HMT20" s="7"/>
      <c r="HMU20" s="7"/>
      <c r="HMV20" s="7"/>
      <c r="HMW20" s="7"/>
      <c r="HMX20" s="7"/>
      <c r="HMY20" s="7"/>
      <c r="HMZ20" s="7"/>
      <c r="HNA20" s="7"/>
      <c r="HNB20" s="7"/>
      <c r="HNC20" s="7"/>
      <c r="HND20" s="7"/>
      <c r="HNE20" s="7"/>
      <c r="HNF20" s="7"/>
      <c r="HNG20" s="7"/>
      <c r="HNH20" s="7"/>
      <c r="HNI20" s="7"/>
      <c r="HNJ20" s="7"/>
      <c r="HNK20" s="7"/>
      <c r="HNL20" s="7"/>
      <c r="HNM20" s="7"/>
      <c r="HNN20" s="7"/>
      <c r="HNO20" s="7"/>
      <c r="HNP20" s="7"/>
      <c r="HNQ20" s="7"/>
      <c r="HNR20" s="7"/>
      <c r="HNS20" s="7"/>
      <c r="HNT20" s="7"/>
      <c r="HNU20" s="7"/>
      <c r="HNV20" s="7"/>
      <c r="HNW20" s="7"/>
      <c r="HNX20" s="7"/>
      <c r="HNY20" s="7"/>
      <c r="HNZ20" s="7"/>
      <c r="HOA20" s="7"/>
      <c r="HOB20" s="7"/>
      <c r="HOC20" s="7"/>
      <c r="HOD20" s="7"/>
      <c r="HOE20" s="7"/>
      <c r="HOF20" s="7"/>
      <c r="HOG20" s="7"/>
      <c r="HOH20" s="7"/>
      <c r="HOI20" s="7"/>
      <c r="HOJ20" s="7"/>
      <c r="HOK20" s="7"/>
      <c r="HOL20" s="7"/>
      <c r="HOM20" s="7"/>
      <c r="HON20" s="7"/>
      <c r="HOO20" s="7"/>
      <c r="HOP20" s="7"/>
      <c r="HOQ20" s="7"/>
      <c r="HOR20" s="7"/>
      <c r="HOS20" s="7"/>
      <c r="HOT20" s="7"/>
      <c r="HOU20" s="7"/>
      <c r="HOV20" s="7"/>
      <c r="HOW20" s="7"/>
      <c r="HOX20" s="7"/>
      <c r="HOY20" s="7"/>
      <c r="HOZ20" s="7"/>
      <c r="HPA20" s="7"/>
      <c r="HPB20" s="7"/>
      <c r="HPC20" s="7"/>
      <c r="HPD20" s="7"/>
      <c r="HPE20" s="7"/>
      <c r="HPF20" s="7"/>
      <c r="HPG20" s="7"/>
      <c r="HPH20" s="7"/>
      <c r="HPI20" s="7"/>
      <c r="HPJ20" s="7"/>
      <c r="HPK20" s="7"/>
      <c r="HPL20" s="7"/>
      <c r="HPM20" s="7"/>
      <c r="HPN20" s="7"/>
      <c r="HPO20" s="7"/>
      <c r="HPP20" s="7"/>
      <c r="HPQ20" s="7"/>
      <c r="HPR20" s="7"/>
      <c r="HPS20" s="7"/>
      <c r="HPT20" s="7"/>
      <c r="HPU20" s="7"/>
      <c r="HPV20" s="7"/>
      <c r="HPW20" s="7"/>
      <c r="HPX20" s="7"/>
      <c r="HPY20" s="7"/>
      <c r="HPZ20" s="7"/>
      <c r="HQA20" s="7"/>
      <c r="HQB20" s="7"/>
      <c r="HQC20" s="7"/>
      <c r="HQD20" s="7"/>
      <c r="HQE20" s="7"/>
      <c r="HQF20" s="7"/>
      <c r="HQG20" s="7"/>
      <c r="HQH20" s="7"/>
      <c r="HQI20" s="7"/>
      <c r="HQJ20" s="7"/>
      <c r="HQK20" s="7"/>
      <c r="HQL20" s="7"/>
      <c r="HQM20" s="7"/>
      <c r="HQN20" s="7"/>
      <c r="HQO20" s="7"/>
      <c r="HQP20" s="7"/>
      <c r="HQQ20" s="7"/>
      <c r="HQR20" s="7"/>
      <c r="HQS20" s="7"/>
      <c r="HQT20" s="7"/>
      <c r="HQU20" s="7"/>
      <c r="HQV20" s="7"/>
      <c r="HQW20" s="7"/>
      <c r="HQX20" s="7"/>
      <c r="HQY20" s="7"/>
      <c r="HQZ20" s="7"/>
      <c r="HRA20" s="7"/>
      <c r="HRB20" s="7"/>
      <c r="HRC20" s="7"/>
      <c r="HRD20" s="7"/>
      <c r="HRE20" s="7"/>
      <c r="HRF20" s="7"/>
      <c r="HRG20" s="7"/>
      <c r="HRH20" s="7"/>
      <c r="HRI20" s="7"/>
      <c r="HRJ20" s="7"/>
      <c r="HRK20" s="7"/>
      <c r="HRL20" s="7"/>
      <c r="HRM20" s="7"/>
      <c r="HRN20" s="7"/>
      <c r="HRO20" s="7"/>
      <c r="HRP20" s="7"/>
      <c r="HRQ20" s="7"/>
      <c r="HRR20" s="7"/>
      <c r="HRS20" s="7"/>
      <c r="HRT20" s="7"/>
      <c r="HRU20" s="7"/>
      <c r="HRV20" s="7"/>
      <c r="HRW20" s="7"/>
      <c r="HRX20" s="7"/>
      <c r="HRY20" s="7"/>
      <c r="HRZ20" s="7"/>
      <c r="HSA20" s="7"/>
      <c r="HSB20" s="7"/>
      <c r="HSC20" s="7"/>
      <c r="HSD20" s="7"/>
      <c r="HSE20" s="7"/>
      <c r="HSF20" s="7"/>
      <c r="HSG20" s="7"/>
      <c r="HSH20" s="7"/>
      <c r="HSI20" s="7"/>
      <c r="HSJ20" s="7"/>
      <c r="HSK20" s="7"/>
      <c r="HSL20" s="7"/>
      <c r="HSM20" s="7"/>
      <c r="HSN20" s="7"/>
      <c r="HSO20" s="7"/>
      <c r="HSP20" s="7"/>
      <c r="HSQ20" s="7"/>
      <c r="HSR20" s="7"/>
      <c r="HSS20" s="7"/>
      <c r="HST20" s="7"/>
      <c r="HSU20" s="7"/>
      <c r="HSV20" s="7"/>
      <c r="HSW20" s="7"/>
      <c r="HSX20" s="7"/>
      <c r="HSY20" s="7"/>
      <c r="HSZ20" s="7"/>
      <c r="HTA20" s="7"/>
      <c r="HTB20" s="7"/>
      <c r="HTC20" s="7"/>
      <c r="HTD20" s="7"/>
      <c r="HTE20" s="7"/>
      <c r="HTF20" s="7"/>
      <c r="HTG20" s="7"/>
      <c r="HTH20" s="7"/>
      <c r="HTI20" s="7"/>
      <c r="HTJ20" s="7"/>
      <c r="HTK20" s="7"/>
      <c r="HTL20" s="7"/>
      <c r="HTM20" s="7"/>
      <c r="HTN20" s="7"/>
      <c r="HTO20" s="7"/>
      <c r="HTP20" s="7"/>
      <c r="HTQ20" s="7"/>
      <c r="HTR20" s="7"/>
      <c r="HTS20" s="7"/>
      <c r="HTT20" s="7"/>
      <c r="HTU20" s="7"/>
      <c r="HTV20" s="7"/>
      <c r="HTW20" s="7"/>
      <c r="HTX20" s="7"/>
      <c r="HTY20" s="7"/>
      <c r="HTZ20" s="7"/>
      <c r="HUA20" s="7"/>
      <c r="HUB20" s="7"/>
      <c r="HUC20" s="7"/>
      <c r="HUD20" s="7"/>
      <c r="HUE20" s="7"/>
      <c r="HUF20" s="7"/>
      <c r="HUG20" s="7"/>
      <c r="HUH20" s="7"/>
      <c r="HUI20" s="7"/>
      <c r="HUJ20" s="7"/>
      <c r="HUK20" s="7"/>
      <c r="HUL20" s="7"/>
      <c r="HUM20" s="7"/>
      <c r="HUN20" s="7"/>
      <c r="HUO20" s="7"/>
      <c r="HUP20" s="7"/>
      <c r="HUQ20" s="7"/>
      <c r="HUR20" s="7"/>
      <c r="HUS20" s="7"/>
      <c r="HUT20" s="7"/>
      <c r="HUU20" s="7"/>
      <c r="HUV20" s="7"/>
      <c r="HUW20" s="7"/>
      <c r="HUX20" s="7"/>
      <c r="HUY20" s="7"/>
      <c r="HUZ20" s="7"/>
      <c r="HVA20" s="7"/>
      <c r="HVB20" s="7"/>
      <c r="HVC20" s="7"/>
      <c r="HVD20" s="7"/>
      <c r="HVE20" s="7"/>
      <c r="HVF20" s="7"/>
      <c r="HVG20" s="7"/>
      <c r="HVH20" s="7"/>
      <c r="HVI20" s="7"/>
      <c r="HVJ20" s="7"/>
      <c r="HVK20" s="7"/>
      <c r="HVL20" s="7"/>
      <c r="HVM20" s="7"/>
      <c r="HVN20" s="7"/>
      <c r="HVO20" s="7"/>
      <c r="HVP20" s="7"/>
      <c r="HVQ20" s="7"/>
      <c r="HVR20" s="7"/>
      <c r="HVS20" s="7"/>
      <c r="HVT20" s="7"/>
      <c r="HVU20" s="7"/>
      <c r="HVV20" s="7"/>
      <c r="HVW20" s="7"/>
      <c r="HVX20" s="7"/>
      <c r="HVY20" s="7"/>
      <c r="HVZ20" s="7"/>
      <c r="HWA20" s="7"/>
      <c r="HWB20" s="7"/>
      <c r="HWC20" s="7"/>
      <c r="HWD20" s="7"/>
      <c r="HWE20" s="7"/>
      <c r="HWF20" s="7"/>
      <c r="HWG20" s="7"/>
      <c r="HWH20" s="7"/>
      <c r="HWI20" s="7"/>
      <c r="HWJ20" s="7"/>
      <c r="HWK20" s="7"/>
      <c r="HWL20" s="7"/>
      <c r="HWM20" s="7"/>
      <c r="HWN20" s="7"/>
      <c r="HWO20" s="7"/>
      <c r="HWP20" s="7"/>
      <c r="HWQ20" s="7"/>
      <c r="HWR20" s="7"/>
      <c r="HWS20" s="7"/>
      <c r="HWT20" s="7"/>
      <c r="HWU20" s="7"/>
      <c r="HWV20" s="7"/>
      <c r="HWW20" s="7"/>
      <c r="HWX20" s="7"/>
      <c r="HWY20" s="7"/>
      <c r="HWZ20" s="7"/>
      <c r="HXA20" s="7"/>
      <c r="HXB20" s="7"/>
      <c r="HXC20" s="7"/>
      <c r="HXD20" s="7"/>
      <c r="HXE20" s="7"/>
      <c r="HXF20" s="7"/>
      <c r="HXG20" s="7"/>
      <c r="HXH20" s="7"/>
      <c r="HXI20" s="7"/>
      <c r="HXJ20" s="7"/>
      <c r="HXK20" s="7"/>
      <c r="HXL20" s="7"/>
      <c r="HXM20" s="7"/>
      <c r="HXN20" s="7"/>
      <c r="HXO20" s="7"/>
      <c r="HXP20" s="7"/>
      <c r="HXQ20" s="7"/>
      <c r="HXR20" s="7"/>
      <c r="HXS20" s="7"/>
      <c r="HXT20" s="7"/>
      <c r="HXU20" s="7"/>
      <c r="HXV20" s="7"/>
      <c r="HXW20" s="7"/>
      <c r="HXX20" s="7"/>
      <c r="HXY20" s="7"/>
      <c r="HXZ20" s="7"/>
      <c r="HYA20" s="7"/>
      <c r="HYB20" s="7"/>
      <c r="HYC20" s="7"/>
      <c r="HYD20" s="7"/>
      <c r="HYE20" s="7"/>
      <c r="HYF20" s="7"/>
      <c r="HYG20" s="7"/>
      <c r="HYH20" s="7"/>
      <c r="HYI20" s="7"/>
      <c r="HYJ20" s="7"/>
      <c r="HYK20" s="7"/>
      <c r="HYL20" s="7"/>
      <c r="HYM20" s="7"/>
      <c r="HYN20" s="7"/>
      <c r="HYO20" s="7"/>
      <c r="HYP20" s="7"/>
      <c r="HYQ20" s="7"/>
      <c r="HYR20" s="7"/>
      <c r="HYS20" s="7"/>
      <c r="HYT20" s="7"/>
      <c r="HYU20" s="7"/>
      <c r="HYV20" s="7"/>
      <c r="HYW20" s="7"/>
      <c r="HYX20" s="7"/>
      <c r="HYY20" s="7"/>
      <c r="HYZ20" s="7"/>
      <c r="HZA20" s="7"/>
      <c r="HZB20" s="7"/>
      <c r="HZC20" s="7"/>
      <c r="HZD20" s="7"/>
      <c r="HZE20" s="7"/>
      <c r="HZF20" s="7"/>
      <c r="HZG20" s="7"/>
      <c r="HZH20" s="7"/>
      <c r="HZI20" s="7"/>
      <c r="HZJ20" s="7"/>
      <c r="HZK20" s="7"/>
      <c r="HZL20" s="7"/>
      <c r="HZM20" s="7"/>
      <c r="HZN20" s="7"/>
      <c r="HZO20" s="7"/>
      <c r="HZP20" s="7"/>
      <c r="HZQ20" s="7"/>
      <c r="HZR20" s="7"/>
      <c r="HZS20" s="7"/>
      <c r="HZT20" s="7"/>
      <c r="HZU20" s="7"/>
      <c r="HZV20" s="7"/>
      <c r="HZW20" s="7"/>
      <c r="HZX20" s="7"/>
      <c r="HZY20" s="7"/>
      <c r="HZZ20" s="7"/>
      <c r="IAA20" s="7"/>
      <c r="IAB20" s="7"/>
      <c r="IAC20" s="7"/>
      <c r="IAD20" s="7"/>
      <c r="IAE20" s="7"/>
      <c r="IAF20" s="7"/>
      <c r="IAG20" s="7"/>
      <c r="IAH20" s="7"/>
      <c r="IAI20" s="7"/>
      <c r="IAJ20" s="7"/>
      <c r="IAK20" s="7"/>
      <c r="IAL20" s="7"/>
      <c r="IAM20" s="7"/>
      <c r="IAN20" s="7"/>
      <c r="IAO20" s="7"/>
      <c r="IAP20" s="7"/>
      <c r="IAQ20" s="7"/>
      <c r="IAR20" s="7"/>
      <c r="IAS20" s="7"/>
      <c r="IAT20" s="7"/>
      <c r="IAU20" s="7"/>
      <c r="IAV20" s="7"/>
      <c r="IAW20" s="7"/>
      <c r="IAX20" s="7"/>
      <c r="IAY20" s="7"/>
      <c r="IAZ20" s="7"/>
      <c r="IBA20" s="7"/>
      <c r="IBB20" s="7"/>
      <c r="IBC20" s="7"/>
      <c r="IBD20" s="7"/>
      <c r="IBE20" s="7"/>
      <c r="IBF20" s="7"/>
      <c r="IBG20" s="7"/>
      <c r="IBH20" s="7"/>
      <c r="IBI20" s="7"/>
      <c r="IBJ20" s="7"/>
      <c r="IBK20" s="7"/>
      <c r="IBL20" s="7"/>
      <c r="IBM20" s="7"/>
      <c r="IBN20" s="7"/>
      <c r="IBO20" s="7"/>
      <c r="IBP20" s="7"/>
      <c r="IBQ20" s="7"/>
      <c r="IBR20" s="7"/>
      <c r="IBS20" s="7"/>
      <c r="IBT20" s="7"/>
      <c r="IBU20" s="7"/>
      <c r="IBV20" s="7"/>
      <c r="IBW20" s="7"/>
      <c r="IBX20" s="7"/>
      <c r="IBY20" s="7"/>
      <c r="IBZ20" s="7"/>
      <c r="ICA20" s="7"/>
      <c r="ICB20" s="7"/>
      <c r="ICC20" s="7"/>
      <c r="ICD20" s="7"/>
      <c r="ICE20" s="7"/>
      <c r="ICF20" s="7"/>
      <c r="ICG20" s="7"/>
      <c r="ICH20" s="7"/>
      <c r="ICI20" s="7"/>
      <c r="ICJ20" s="7"/>
      <c r="ICK20" s="7"/>
      <c r="ICL20" s="7"/>
      <c r="ICM20" s="7"/>
      <c r="ICN20" s="7"/>
      <c r="ICO20" s="7"/>
      <c r="ICP20" s="7"/>
      <c r="ICQ20" s="7"/>
      <c r="ICR20" s="7"/>
      <c r="ICS20" s="7"/>
      <c r="ICT20" s="7"/>
      <c r="ICU20" s="7"/>
      <c r="ICV20" s="7"/>
      <c r="ICW20" s="7"/>
      <c r="ICX20" s="7"/>
      <c r="ICY20" s="7"/>
      <c r="ICZ20" s="7"/>
      <c r="IDA20" s="7"/>
      <c r="IDB20" s="7"/>
      <c r="IDC20" s="7"/>
      <c r="IDD20" s="7"/>
      <c r="IDE20" s="7"/>
      <c r="IDF20" s="7"/>
      <c r="IDG20" s="7"/>
      <c r="IDH20" s="7"/>
      <c r="IDI20" s="7"/>
      <c r="IDJ20" s="7"/>
      <c r="IDK20" s="7"/>
      <c r="IDL20" s="7"/>
      <c r="IDM20" s="7"/>
      <c r="IDN20" s="7"/>
      <c r="IDO20" s="7"/>
      <c r="IDP20" s="7"/>
      <c r="IDQ20" s="7"/>
      <c r="IDR20" s="7"/>
      <c r="IDS20" s="7"/>
      <c r="IDT20" s="7"/>
      <c r="IDU20" s="7"/>
      <c r="IDV20" s="7"/>
      <c r="IDW20" s="7"/>
      <c r="IDX20" s="7"/>
      <c r="IDY20" s="7"/>
      <c r="IDZ20" s="7"/>
      <c r="IEA20" s="7"/>
      <c r="IEB20" s="7"/>
      <c r="IEC20" s="7"/>
      <c r="IED20" s="7"/>
      <c r="IEE20" s="7"/>
      <c r="IEF20" s="7"/>
      <c r="IEG20" s="7"/>
      <c r="IEH20" s="7"/>
      <c r="IEI20" s="7"/>
      <c r="IEJ20" s="7"/>
      <c r="IEK20" s="7"/>
      <c r="IEL20" s="7"/>
      <c r="IEM20" s="7"/>
      <c r="IEN20" s="7"/>
      <c r="IEO20" s="7"/>
      <c r="IEP20" s="7"/>
      <c r="IEQ20" s="7"/>
      <c r="IER20" s="7"/>
      <c r="IES20" s="7"/>
      <c r="IET20" s="7"/>
      <c r="IEU20" s="7"/>
      <c r="IEV20" s="7"/>
      <c r="IEW20" s="7"/>
      <c r="IEX20" s="7"/>
      <c r="IEY20" s="7"/>
      <c r="IEZ20" s="7"/>
      <c r="IFA20" s="7"/>
      <c r="IFB20" s="7"/>
      <c r="IFC20" s="7"/>
      <c r="IFD20" s="7"/>
      <c r="IFE20" s="7"/>
      <c r="IFF20" s="7"/>
      <c r="IFG20" s="7"/>
      <c r="IFH20" s="7"/>
      <c r="IFI20" s="7"/>
      <c r="IFJ20" s="7"/>
      <c r="IFK20" s="7"/>
      <c r="IFL20" s="7"/>
      <c r="IFM20" s="7"/>
      <c r="IFN20" s="7"/>
      <c r="IFO20" s="7"/>
      <c r="IFP20" s="7"/>
      <c r="IFQ20" s="7"/>
      <c r="IFR20" s="7"/>
      <c r="IFS20" s="7"/>
      <c r="IFT20" s="7"/>
      <c r="IFU20" s="7"/>
      <c r="IFV20" s="7"/>
      <c r="IFW20" s="7"/>
      <c r="IFX20" s="7"/>
      <c r="IFY20" s="7"/>
      <c r="IFZ20" s="7"/>
      <c r="IGA20" s="7"/>
      <c r="IGB20" s="7"/>
      <c r="IGC20" s="7"/>
      <c r="IGD20" s="7"/>
      <c r="IGE20" s="7"/>
      <c r="IGF20" s="7"/>
      <c r="IGG20" s="7"/>
      <c r="IGH20" s="7"/>
      <c r="IGI20" s="7"/>
      <c r="IGJ20" s="7"/>
      <c r="IGK20" s="7"/>
      <c r="IGL20" s="7"/>
      <c r="IGM20" s="7"/>
      <c r="IGN20" s="7"/>
      <c r="IGO20" s="7"/>
      <c r="IGP20" s="7"/>
      <c r="IGQ20" s="7"/>
      <c r="IGR20" s="7"/>
      <c r="IGS20" s="7"/>
      <c r="IGT20" s="7"/>
      <c r="IGU20" s="7"/>
      <c r="IGV20" s="7"/>
      <c r="IGW20" s="7"/>
      <c r="IGX20" s="7"/>
      <c r="IGY20" s="7"/>
      <c r="IGZ20" s="7"/>
      <c r="IHA20" s="7"/>
      <c r="IHB20" s="7"/>
      <c r="IHC20" s="7"/>
      <c r="IHD20" s="7"/>
      <c r="IHE20" s="7"/>
      <c r="IHF20" s="7"/>
      <c r="IHG20" s="7"/>
      <c r="IHH20" s="7"/>
      <c r="IHI20" s="7"/>
      <c r="IHJ20" s="7"/>
      <c r="IHK20" s="7"/>
      <c r="IHL20" s="7"/>
      <c r="IHM20" s="7"/>
      <c r="IHN20" s="7"/>
      <c r="IHO20" s="7"/>
      <c r="IHP20" s="7"/>
      <c r="IHQ20" s="7"/>
      <c r="IHR20" s="7"/>
      <c r="IHS20" s="7"/>
      <c r="IHT20" s="7"/>
      <c r="IHU20" s="7"/>
      <c r="IHV20" s="7"/>
      <c r="IHW20" s="7"/>
      <c r="IHX20" s="7"/>
      <c r="IHY20" s="7"/>
      <c r="IHZ20" s="7"/>
      <c r="IIA20" s="7"/>
      <c r="IIB20" s="7"/>
      <c r="IIC20" s="7"/>
      <c r="IID20" s="7"/>
      <c r="IIE20" s="7"/>
      <c r="IIF20" s="7"/>
      <c r="IIG20" s="7"/>
      <c r="IIH20" s="7"/>
      <c r="III20" s="7"/>
      <c r="IIJ20" s="7"/>
      <c r="IIK20" s="7"/>
      <c r="IIL20" s="7"/>
      <c r="IIM20" s="7"/>
      <c r="IIN20" s="7"/>
      <c r="IIO20" s="7"/>
      <c r="IIP20" s="7"/>
      <c r="IIQ20" s="7"/>
      <c r="IIR20" s="7"/>
      <c r="IIS20" s="7"/>
      <c r="IIT20" s="7"/>
      <c r="IIU20" s="7"/>
      <c r="IIV20" s="7"/>
      <c r="IIW20" s="7"/>
      <c r="IIX20" s="7"/>
      <c r="IIY20" s="7"/>
      <c r="IIZ20" s="7"/>
      <c r="IJA20" s="7"/>
      <c r="IJB20" s="7"/>
      <c r="IJC20" s="7"/>
      <c r="IJD20" s="7"/>
      <c r="IJE20" s="7"/>
      <c r="IJF20" s="7"/>
      <c r="IJG20" s="7"/>
      <c r="IJH20" s="7"/>
      <c r="IJI20" s="7"/>
      <c r="IJJ20" s="7"/>
      <c r="IJK20" s="7"/>
      <c r="IJL20" s="7"/>
      <c r="IJM20" s="7"/>
      <c r="IJN20" s="7"/>
      <c r="IJO20" s="7"/>
      <c r="IJP20" s="7"/>
      <c r="IJQ20" s="7"/>
      <c r="IJR20" s="7"/>
      <c r="IJS20" s="7"/>
      <c r="IJT20" s="7"/>
      <c r="IJU20" s="7"/>
      <c r="IJV20" s="7"/>
      <c r="IJW20" s="7"/>
      <c r="IJX20" s="7"/>
      <c r="IJY20" s="7"/>
      <c r="IJZ20" s="7"/>
      <c r="IKA20" s="7"/>
      <c r="IKB20" s="7"/>
      <c r="IKC20" s="7"/>
      <c r="IKD20" s="7"/>
      <c r="IKE20" s="7"/>
      <c r="IKF20" s="7"/>
      <c r="IKG20" s="7"/>
      <c r="IKH20" s="7"/>
      <c r="IKI20" s="7"/>
      <c r="IKJ20" s="7"/>
      <c r="IKK20" s="7"/>
      <c r="IKL20" s="7"/>
      <c r="IKM20" s="7"/>
      <c r="IKN20" s="7"/>
      <c r="IKO20" s="7"/>
      <c r="IKP20" s="7"/>
      <c r="IKQ20" s="7"/>
      <c r="IKR20" s="7"/>
      <c r="IKS20" s="7"/>
      <c r="IKT20" s="7"/>
      <c r="IKU20" s="7"/>
      <c r="IKV20" s="7"/>
      <c r="IKW20" s="7"/>
      <c r="IKX20" s="7"/>
      <c r="IKY20" s="7"/>
      <c r="IKZ20" s="7"/>
      <c r="ILA20" s="7"/>
      <c r="ILB20" s="7"/>
      <c r="ILC20" s="7"/>
      <c r="ILD20" s="7"/>
      <c r="ILE20" s="7"/>
      <c r="ILF20" s="7"/>
      <c r="ILG20" s="7"/>
      <c r="ILH20" s="7"/>
      <c r="ILI20" s="7"/>
      <c r="ILJ20" s="7"/>
      <c r="ILK20" s="7"/>
      <c r="ILL20" s="7"/>
      <c r="ILM20" s="7"/>
      <c r="ILN20" s="7"/>
      <c r="ILO20" s="7"/>
      <c r="ILP20" s="7"/>
      <c r="ILQ20" s="7"/>
      <c r="ILR20" s="7"/>
      <c r="ILS20" s="7"/>
      <c r="ILT20" s="7"/>
      <c r="ILU20" s="7"/>
      <c r="ILV20" s="7"/>
      <c r="ILW20" s="7"/>
      <c r="ILX20" s="7"/>
      <c r="ILY20" s="7"/>
      <c r="ILZ20" s="7"/>
      <c r="IMA20" s="7"/>
      <c r="IMB20" s="7"/>
      <c r="IMC20" s="7"/>
      <c r="IMD20" s="7"/>
      <c r="IME20" s="7"/>
      <c r="IMF20" s="7"/>
      <c r="IMG20" s="7"/>
      <c r="IMH20" s="7"/>
      <c r="IMI20" s="7"/>
      <c r="IMJ20" s="7"/>
      <c r="IMK20" s="7"/>
      <c r="IML20" s="7"/>
      <c r="IMM20" s="7"/>
      <c r="IMN20" s="7"/>
      <c r="IMO20" s="7"/>
      <c r="IMP20" s="7"/>
      <c r="IMQ20" s="7"/>
      <c r="IMR20" s="7"/>
      <c r="IMS20" s="7"/>
      <c r="IMT20" s="7"/>
      <c r="IMU20" s="7"/>
      <c r="IMV20" s="7"/>
      <c r="IMW20" s="7"/>
      <c r="IMX20" s="7"/>
      <c r="IMY20" s="7"/>
      <c r="IMZ20" s="7"/>
      <c r="INA20" s="7"/>
      <c r="INB20" s="7"/>
      <c r="INC20" s="7"/>
      <c r="IND20" s="7"/>
      <c r="INE20" s="7"/>
      <c r="INF20" s="7"/>
      <c r="ING20" s="7"/>
      <c r="INH20" s="7"/>
      <c r="INI20" s="7"/>
      <c r="INJ20" s="7"/>
      <c r="INK20" s="7"/>
      <c r="INL20" s="7"/>
      <c r="INM20" s="7"/>
      <c r="INN20" s="7"/>
      <c r="INO20" s="7"/>
      <c r="INP20" s="7"/>
      <c r="INQ20" s="7"/>
      <c r="INR20" s="7"/>
      <c r="INS20" s="7"/>
      <c r="INT20" s="7"/>
      <c r="INU20" s="7"/>
      <c r="INV20" s="7"/>
      <c r="INW20" s="7"/>
      <c r="INX20" s="7"/>
      <c r="INY20" s="7"/>
      <c r="INZ20" s="7"/>
      <c r="IOA20" s="7"/>
      <c r="IOB20" s="7"/>
      <c r="IOC20" s="7"/>
      <c r="IOD20" s="7"/>
      <c r="IOE20" s="7"/>
      <c r="IOF20" s="7"/>
      <c r="IOG20" s="7"/>
      <c r="IOH20" s="7"/>
      <c r="IOI20" s="7"/>
      <c r="IOJ20" s="7"/>
      <c r="IOK20" s="7"/>
      <c r="IOL20" s="7"/>
      <c r="IOM20" s="7"/>
      <c r="ION20" s="7"/>
      <c r="IOO20" s="7"/>
      <c r="IOP20" s="7"/>
      <c r="IOQ20" s="7"/>
      <c r="IOR20" s="7"/>
      <c r="IOS20" s="7"/>
      <c r="IOT20" s="7"/>
      <c r="IOU20" s="7"/>
      <c r="IOV20" s="7"/>
      <c r="IOW20" s="7"/>
      <c r="IOX20" s="7"/>
      <c r="IOY20" s="7"/>
      <c r="IOZ20" s="7"/>
      <c r="IPA20" s="7"/>
      <c r="IPB20" s="7"/>
      <c r="IPC20" s="7"/>
      <c r="IPD20" s="7"/>
      <c r="IPE20" s="7"/>
      <c r="IPF20" s="7"/>
      <c r="IPG20" s="7"/>
      <c r="IPH20" s="7"/>
      <c r="IPI20" s="7"/>
      <c r="IPJ20" s="7"/>
      <c r="IPK20" s="7"/>
      <c r="IPL20" s="7"/>
      <c r="IPM20" s="7"/>
      <c r="IPN20" s="7"/>
      <c r="IPO20" s="7"/>
      <c r="IPP20" s="7"/>
      <c r="IPQ20" s="7"/>
      <c r="IPR20" s="7"/>
      <c r="IPS20" s="7"/>
      <c r="IPT20" s="7"/>
      <c r="IPU20" s="7"/>
      <c r="IPV20" s="7"/>
      <c r="IPW20" s="7"/>
      <c r="IPX20" s="7"/>
      <c r="IPY20" s="7"/>
      <c r="IPZ20" s="7"/>
      <c r="IQA20" s="7"/>
      <c r="IQB20" s="7"/>
      <c r="IQC20" s="7"/>
      <c r="IQD20" s="7"/>
      <c r="IQE20" s="7"/>
      <c r="IQF20" s="7"/>
      <c r="IQG20" s="7"/>
      <c r="IQH20" s="7"/>
      <c r="IQI20" s="7"/>
      <c r="IQJ20" s="7"/>
      <c r="IQK20" s="7"/>
      <c r="IQL20" s="7"/>
      <c r="IQM20" s="7"/>
      <c r="IQN20" s="7"/>
      <c r="IQO20" s="7"/>
      <c r="IQP20" s="7"/>
      <c r="IQQ20" s="7"/>
      <c r="IQR20" s="7"/>
      <c r="IQS20" s="7"/>
      <c r="IQT20" s="7"/>
      <c r="IQU20" s="7"/>
      <c r="IQV20" s="7"/>
      <c r="IQW20" s="7"/>
      <c r="IQX20" s="7"/>
      <c r="IQY20" s="7"/>
      <c r="IQZ20" s="7"/>
      <c r="IRA20" s="7"/>
      <c r="IRB20" s="7"/>
      <c r="IRC20" s="7"/>
      <c r="IRD20" s="7"/>
      <c r="IRE20" s="7"/>
      <c r="IRF20" s="7"/>
      <c r="IRG20" s="7"/>
      <c r="IRH20" s="7"/>
      <c r="IRI20" s="7"/>
      <c r="IRJ20" s="7"/>
      <c r="IRK20" s="7"/>
      <c r="IRL20" s="7"/>
      <c r="IRM20" s="7"/>
      <c r="IRN20" s="7"/>
      <c r="IRO20" s="7"/>
      <c r="IRP20" s="7"/>
      <c r="IRQ20" s="7"/>
      <c r="IRR20" s="7"/>
      <c r="IRS20" s="7"/>
      <c r="IRT20" s="7"/>
      <c r="IRU20" s="7"/>
      <c r="IRV20" s="7"/>
      <c r="IRW20" s="7"/>
      <c r="IRX20" s="7"/>
      <c r="IRY20" s="7"/>
      <c r="IRZ20" s="7"/>
      <c r="ISA20" s="7"/>
      <c r="ISB20" s="7"/>
      <c r="ISC20" s="7"/>
      <c r="ISD20" s="7"/>
      <c r="ISE20" s="7"/>
      <c r="ISF20" s="7"/>
      <c r="ISG20" s="7"/>
      <c r="ISH20" s="7"/>
      <c r="ISI20" s="7"/>
      <c r="ISJ20" s="7"/>
      <c r="ISK20" s="7"/>
      <c r="ISL20" s="7"/>
      <c r="ISM20" s="7"/>
      <c r="ISN20" s="7"/>
      <c r="ISO20" s="7"/>
      <c r="ISP20" s="7"/>
      <c r="ISQ20" s="7"/>
      <c r="ISR20" s="7"/>
      <c r="ISS20" s="7"/>
      <c r="IST20" s="7"/>
      <c r="ISU20" s="7"/>
      <c r="ISV20" s="7"/>
      <c r="ISW20" s="7"/>
      <c r="ISX20" s="7"/>
      <c r="ISY20" s="7"/>
      <c r="ISZ20" s="7"/>
      <c r="ITA20" s="7"/>
      <c r="ITB20" s="7"/>
      <c r="ITC20" s="7"/>
      <c r="ITD20" s="7"/>
      <c r="ITE20" s="7"/>
      <c r="ITF20" s="7"/>
      <c r="ITG20" s="7"/>
      <c r="ITH20" s="7"/>
      <c r="ITI20" s="7"/>
      <c r="ITJ20" s="7"/>
      <c r="ITK20" s="7"/>
      <c r="ITL20" s="7"/>
      <c r="ITM20" s="7"/>
      <c r="ITN20" s="7"/>
      <c r="ITO20" s="7"/>
      <c r="ITP20" s="7"/>
      <c r="ITQ20" s="7"/>
      <c r="ITR20" s="7"/>
      <c r="ITS20" s="7"/>
      <c r="ITT20" s="7"/>
      <c r="ITU20" s="7"/>
      <c r="ITV20" s="7"/>
      <c r="ITW20" s="7"/>
      <c r="ITX20" s="7"/>
      <c r="ITY20" s="7"/>
      <c r="ITZ20" s="7"/>
      <c r="IUA20" s="7"/>
      <c r="IUB20" s="7"/>
      <c r="IUC20" s="7"/>
      <c r="IUD20" s="7"/>
      <c r="IUE20" s="7"/>
      <c r="IUF20" s="7"/>
      <c r="IUG20" s="7"/>
      <c r="IUH20" s="7"/>
      <c r="IUI20" s="7"/>
      <c r="IUJ20" s="7"/>
      <c r="IUK20" s="7"/>
      <c r="IUL20" s="7"/>
      <c r="IUM20" s="7"/>
      <c r="IUN20" s="7"/>
      <c r="IUO20" s="7"/>
      <c r="IUP20" s="7"/>
      <c r="IUQ20" s="7"/>
      <c r="IUR20" s="7"/>
      <c r="IUS20" s="7"/>
      <c r="IUT20" s="7"/>
      <c r="IUU20" s="7"/>
      <c r="IUV20" s="7"/>
      <c r="IUW20" s="7"/>
      <c r="IUX20" s="7"/>
      <c r="IUY20" s="7"/>
      <c r="IUZ20" s="7"/>
      <c r="IVA20" s="7"/>
      <c r="IVB20" s="7"/>
      <c r="IVC20" s="7"/>
      <c r="IVD20" s="7"/>
      <c r="IVE20" s="7"/>
      <c r="IVF20" s="7"/>
      <c r="IVG20" s="7"/>
      <c r="IVH20" s="7"/>
      <c r="IVI20" s="7"/>
      <c r="IVJ20" s="7"/>
      <c r="IVK20" s="7"/>
      <c r="IVL20" s="7"/>
      <c r="IVM20" s="7"/>
      <c r="IVN20" s="7"/>
      <c r="IVO20" s="7"/>
      <c r="IVP20" s="7"/>
      <c r="IVQ20" s="7"/>
      <c r="IVR20" s="7"/>
      <c r="IVS20" s="7"/>
      <c r="IVT20" s="7"/>
      <c r="IVU20" s="7"/>
      <c r="IVV20" s="7"/>
      <c r="IVW20" s="7"/>
      <c r="IVX20" s="7"/>
      <c r="IVY20" s="7"/>
      <c r="IVZ20" s="7"/>
      <c r="IWA20" s="7"/>
      <c r="IWB20" s="7"/>
      <c r="IWC20" s="7"/>
      <c r="IWD20" s="7"/>
      <c r="IWE20" s="7"/>
      <c r="IWF20" s="7"/>
      <c r="IWG20" s="7"/>
      <c r="IWH20" s="7"/>
      <c r="IWI20" s="7"/>
      <c r="IWJ20" s="7"/>
      <c r="IWK20" s="7"/>
      <c r="IWL20" s="7"/>
      <c r="IWM20" s="7"/>
      <c r="IWN20" s="7"/>
      <c r="IWO20" s="7"/>
      <c r="IWP20" s="7"/>
      <c r="IWQ20" s="7"/>
      <c r="IWR20" s="7"/>
      <c r="IWS20" s="7"/>
      <c r="IWT20" s="7"/>
      <c r="IWU20" s="7"/>
      <c r="IWV20" s="7"/>
      <c r="IWW20" s="7"/>
      <c r="IWX20" s="7"/>
      <c r="IWY20" s="7"/>
      <c r="IWZ20" s="7"/>
      <c r="IXA20" s="7"/>
      <c r="IXB20" s="7"/>
      <c r="IXC20" s="7"/>
      <c r="IXD20" s="7"/>
      <c r="IXE20" s="7"/>
      <c r="IXF20" s="7"/>
      <c r="IXG20" s="7"/>
      <c r="IXH20" s="7"/>
      <c r="IXI20" s="7"/>
      <c r="IXJ20" s="7"/>
      <c r="IXK20" s="7"/>
      <c r="IXL20" s="7"/>
      <c r="IXM20" s="7"/>
      <c r="IXN20" s="7"/>
      <c r="IXO20" s="7"/>
      <c r="IXP20" s="7"/>
      <c r="IXQ20" s="7"/>
      <c r="IXR20" s="7"/>
      <c r="IXS20" s="7"/>
      <c r="IXT20" s="7"/>
      <c r="IXU20" s="7"/>
      <c r="IXV20" s="7"/>
      <c r="IXW20" s="7"/>
      <c r="IXX20" s="7"/>
      <c r="IXY20" s="7"/>
      <c r="IXZ20" s="7"/>
      <c r="IYA20" s="7"/>
      <c r="IYB20" s="7"/>
      <c r="IYC20" s="7"/>
      <c r="IYD20" s="7"/>
      <c r="IYE20" s="7"/>
      <c r="IYF20" s="7"/>
      <c r="IYG20" s="7"/>
      <c r="IYH20" s="7"/>
      <c r="IYI20" s="7"/>
      <c r="IYJ20" s="7"/>
      <c r="IYK20" s="7"/>
      <c r="IYL20" s="7"/>
      <c r="IYM20" s="7"/>
      <c r="IYN20" s="7"/>
      <c r="IYO20" s="7"/>
      <c r="IYP20" s="7"/>
      <c r="IYQ20" s="7"/>
      <c r="IYR20" s="7"/>
      <c r="IYS20" s="7"/>
      <c r="IYT20" s="7"/>
      <c r="IYU20" s="7"/>
      <c r="IYV20" s="7"/>
      <c r="IYW20" s="7"/>
      <c r="IYX20" s="7"/>
      <c r="IYY20" s="7"/>
      <c r="IYZ20" s="7"/>
      <c r="IZA20" s="7"/>
      <c r="IZB20" s="7"/>
      <c r="IZC20" s="7"/>
      <c r="IZD20" s="7"/>
      <c r="IZE20" s="7"/>
      <c r="IZF20" s="7"/>
      <c r="IZG20" s="7"/>
      <c r="IZH20" s="7"/>
      <c r="IZI20" s="7"/>
      <c r="IZJ20" s="7"/>
      <c r="IZK20" s="7"/>
      <c r="IZL20" s="7"/>
      <c r="IZM20" s="7"/>
      <c r="IZN20" s="7"/>
      <c r="IZO20" s="7"/>
      <c r="IZP20" s="7"/>
      <c r="IZQ20" s="7"/>
      <c r="IZR20" s="7"/>
      <c r="IZS20" s="7"/>
      <c r="IZT20" s="7"/>
      <c r="IZU20" s="7"/>
      <c r="IZV20" s="7"/>
      <c r="IZW20" s="7"/>
      <c r="IZX20" s="7"/>
      <c r="IZY20" s="7"/>
      <c r="IZZ20" s="7"/>
      <c r="JAA20" s="7"/>
      <c r="JAB20" s="7"/>
      <c r="JAC20" s="7"/>
      <c r="JAD20" s="7"/>
      <c r="JAE20" s="7"/>
      <c r="JAF20" s="7"/>
      <c r="JAG20" s="7"/>
      <c r="JAH20" s="7"/>
      <c r="JAI20" s="7"/>
      <c r="JAJ20" s="7"/>
      <c r="JAK20" s="7"/>
      <c r="JAL20" s="7"/>
      <c r="JAM20" s="7"/>
      <c r="JAN20" s="7"/>
      <c r="JAO20" s="7"/>
      <c r="JAP20" s="7"/>
      <c r="JAQ20" s="7"/>
      <c r="JAR20" s="7"/>
      <c r="JAS20" s="7"/>
      <c r="JAT20" s="7"/>
      <c r="JAU20" s="7"/>
      <c r="JAV20" s="7"/>
      <c r="JAW20" s="7"/>
      <c r="JAX20" s="7"/>
      <c r="JAY20" s="7"/>
      <c r="JAZ20" s="7"/>
      <c r="JBA20" s="7"/>
      <c r="JBB20" s="7"/>
      <c r="JBC20" s="7"/>
      <c r="JBD20" s="7"/>
      <c r="JBE20" s="7"/>
      <c r="JBF20" s="7"/>
      <c r="JBG20" s="7"/>
      <c r="JBH20" s="7"/>
      <c r="JBI20" s="7"/>
      <c r="JBJ20" s="7"/>
      <c r="JBK20" s="7"/>
      <c r="JBL20" s="7"/>
      <c r="JBM20" s="7"/>
      <c r="JBN20" s="7"/>
      <c r="JBO20" s="7"/>
      <c r="JBP20" s="7"/>
      <c r="JBQ20" s="7"/>
      <c r="JBR20" s="7"/>
      <c r="JBS20" s="7"/>
      <c r="JBT20" s="7"/>
      <c r="JBU20" s="7"/>
      <c r="JBV20" s="7"/>
      <c r="JBW20" s="7"/>
      <c r="JBX20" s="7"/>
      <c r="JBY20" s="7"/>
      <c r="JBZ20" s="7"/>
      <c r="JCA20" s="7"/>
      <c r="JCB20" s="7"/>
      <c r="JCC20" s="7"/>
      <c r="JCD20" s="7"/>
      <c r="JCE20" s="7"/>
      <c r="JCF20" s="7"/>
      <c r="JCG20" s="7"/>
      <c r="JCH20" s="7"/>
      <c r="JCI20" s="7"/>
      <c r="JCJ20" s="7"/>
      <c r="JCK20" s="7"/>
      <c r="JCL20" s="7"/>
      <c r="JCM20" s="7"/>
      <c r="JCN20" s="7"/>
      <c r="JCO20" s="7"/>
      <c r="JCP20" s="7"/>
      <c r="JCQ20" s="7"/>
      <c r="JCR20" s="7"/>
      <c r="JCS20" s="7"/>
      <c r="JCT20" s="7"/>
      <c r="JCU20" s="7"/>
      <c r="JCV20" s="7"/>
      <c r="JCW20" s="7"/>
      <c r="JCX20" s="7"/>
      <c r="JCY20" s="7"/>
      <c r="JCZ20" s="7"/>
      <c r="JDA20" s="7"/>
      <c r="JDB20" s="7"/>
      <c r="JDC20" s="7"/>
      <c r="JDD20" s="7"/>
      <c r="JDE20" s="7"/>
      <c r="JDF20" s="7"/>
      <c r="JDG20" s="7"/>
      <c r="JDH20" s="7"/>
      <c r="JDI20" s="7"/>
      <c r="JDJ20" s="7"/>
      <c r="JDK20" s="7"/>
      <c r="JDL20" s="7"/>
      <c r="JDM20" s="7"/>
      <c r="JDN20" s="7"/>
      <c r="JDO20" s="7"/>
      <c r="JDP20" s="7"/>
      <c r="JDQ20" s="7"/>
      <c r="JDR20" s="7"/>
      <c r="JDS20" s="7"/>
      <c r="JDT20" s="7"/>
      <c r="JDU20" s="7"/>
      <c r="JDV20" s="7"/>
      <c r="JDW20" s="7"/>
      <c r="JDX20" s="7"/>
      <c r="JDY20" s="7"/>
      <c r="JDZ20" s="7"/>
      <c r="JEA20" s="7"/>
      <c r="JEB20" s="7"/>
      <c r="JEC20" s="7"/>
      <c r="JED20" s="7"/>
      <c r="JEE20" s="7"/>
      <c r="JEF20" s="7"/>
      <c r="JEG20" s="7"/>
      <c r="JEH20" s="7"/>
      <c r="JEI20" s="7"/>
      <c r="JEJ20" s="7"/>
      <c r="JEK20" s="7"/>
      <c r="JEL20" s="7"/>
      <c r="JEM20" s="7"/>
      <c r="JEN20" s="7"/>
      <c r="JEO20" s="7"/>
      <c r="JEP20" s="7"/>
      <c r="JEQ20" s="7"/>
      <c r="JER20" s="7"/>
      <c r="JES20" s="7"/>
      <c r="JET20" s="7"/>
      <c r="JEU20" s="7"/>
      <c r="JEV20" s="7"/>
      <c r="JEW20" s="7"/>
      <c r="JEX20" s="7"/>
      <c r="JEY20" s="7"/>
      <c r="JEZ20" s="7"/>
      <c r="JFA20" s="7"/>
      <c r="JFB20" s="7"/>
      <c r="JFC20" s="7"/>
      <c r="JFD20" s="7"/>
      <c r="JFE20" s="7"/>
      <c r="JFF20" s="7"/>
      <c r="JFG20" s="7"/>
      <c r="JFH20" s="7"/>
      <c r="JFI20" s="7"/>
      <c r="JFJ20" s="7"/>
      <c r="JFK20" s="7"/>
      <c r="JFL20" s="7"/>
      <c r="JFM20" s="7"/>
      <c r="JFN20" s="7"/>
      <c r="JFO20" s="7"/>
      <c r="JFP20" s="7"/>
      <c r="JFQ20" s="7"/>
      <c r="JFR20" s="7"/>
      <c r="JFS20" s="7"/>
      <c r="JFT20" s="7"/>
      <c r="JFU20" s="7"/>
      <c r="JFV20" s="7"/>
      <c r="JFW20" s="7"/>
      <c r="JFX20" s="7"/>
      <c r="JFY20" s="7"/>
      <c r="JFZ20" s="7"/>
      <c r="JGA20" s="7"/>
      <c r="JGB20" s="7"/>
      <c r="JGC20" s="7"/>
      <c r="JGD20" s="7"/>
      <c r="JGE20" s="7"/>
      <c r="JGF20" s="7"/>
      <c r="JGG20" s="7"/>
      <c r="JGH20" s="7"/>
      <c r="JGI20" s="7"/>
      <c r="JGJ20" s="7"/>
      <c r="JGK20" s="7"/>
      <c r="JGL20" s="7"/>
      <c r="JGM20" s="7"/>
      <c r="JGN20" s="7"/>
      <c r="JGO20" s="7"/>
      <c r="JGP20" s="7"/>
      <c r="JGQ20" s="7"/>
      <c r="JGR20" s="7"/>
      <c r="JGS20" s="7"/>
      <c r="JGT20" s="7"/>
      <c r="JGU20" s="7"/>
      <c r="JGV20" s="7"/>
      <c r="JGW20" s="7"/>
      <c r="JGX20" s="7"/>
      <c r="JGY20" s="7"/>
      <c r="JGZ20" s="7"/>
      <c r="JHA20" s="7"/>
      <c r="JHB20" s="7"/>
      <c r="JHC20" s="7"/>
      <c r="JHD20" s="7"/>
      <c r="JHE20" s="7"/>
      <c r="JHF20" s="7"/>
      <c r="JHG20" s="7"/>
      <c r="JHH20" s="7"/>
      <c r="JHI20" s="7"/>
      <c r="JHJ20" s="7"/>
      <c r="JHK20" s="7"/>
      <c r="JHL20" s="7"/>
      <c r="JHM20" s="7"/>
      <c r="JHN20" s="7"/>
      <c r="JHO20" s="7"/>
      <c r="JHP20" s="7"/>
      <c r="JHQ20" s="7"/>
      <c r="JHR20" s="7"/>
      <c r="JHS20" s="7"/>
      <c r="JHT20" s="7"/>
      <c r="JHU20" s="7"/>
      <c r="JHV20" s="7"/>
      <c r="JHW20" s="7"/>
      <c r="JHX20" s="7"/>
      <c r="JHY20" s="7"/>
      <c r="JHZ20" s="7"/>
      <c r="JIA20" s="7"/>
      <c r="JIB20" s="7"/>
      <c r="JIC20" s="7"/>
      <c r="JID20" s="7"/>
      <c r="JIE20" s="7"/>
      <c r="JIF20" s="7"/>
      <c r="JIG20" s="7"/>
      <c r="JIH20" s="7"/>
      <c r="JII20" s="7"/>
      <c r="JIJ20" s="7"/>
      <c r="JIK20" s="7"/>
      <c r="JIL20" s="7"/>
      <c r="JIM20" s="7"/>
      <c r="JIN20" s="7"/>
      <c r="JIO20" s="7"/>
      <c r="JIP20" s="7"/>
      <c r="JIQ20" s="7"/>
      <c r="JIR20" s="7"/>
      <c r="JIS20" s="7"/>
      <c r="JIT20" s="7"/>
      <c r="JIU20" s="7"/>
      <c r="JIV20" s="7"/>
      <c r="JIW20" s="7"/>
      <c r="JIX20" s="7"/>
      <c r="JIY20" s="7"/>
      <c r="JIZ20" s="7"/>
      <c r="JJA20" s="7"/>
      <c r="JJB20" s="7"/>
      <c r="JJC20" s="7"/>
      <c r="JJD20" s="7"/>
      <c r="JJE20" s="7"/>
      <c r="JJF20" s="7"/>
      <c r="JJG20" s="7"/>
      <c r="JJH20" s="7"/>
      <c r="JJI20" s="7"/>
      <c r="JJJ20" s="7"/>
      <c r="JJK20" s="7"/>
      <c r="JJL20" s="7"/>
      <c r="JJM20" s="7"/>
      <c r="JJN20" s="7"/>
      <c r="JJO20" s="7"/>
      <c r="JJP20" s="7"/>
      <c r="JJQ20" s="7"/>
      <c r="JJR20" s="7"/>
      <c r="JJS20" s="7"/>
      <c r="JJT20" s="7"/>
      <c r="JJU20" s="7"/>
      <c r="JJV20" s="7"/>
      <c r="JJW20" s="7"/>
      <c r="JJX20" s="7"/>
      <c r="JJY20" s="7"/>
      <c r="JJZ20" s="7"/>
      <c r="JKA20" s="7"/>
      <c r="JKB20" s="7"/>
      <c r="JKC20" s="7"/>
      <c r="JKD20" s="7"/>
      <c r="JKE20" s="7"/>
      <c r="JKF20" s="7"/>
      <c r="JKG20" s="7"/>
      <c r="JKH20" s="7"/>
      <c r="JKI20" s="7"/>
      <c r="JKJ20" s="7"/>
      <c r="JKK20" s="7"/>
      <c r="JKL20" s="7"/>
      <c r="JKM20" s="7"/>
      <c r="JKN20" s="7"/>
      <c r="JKO20" s="7"/>
      <c r="JKP20" s="7"/>
      <c r="JKQ20" s="7"/>
      <c r="JKR20" s="7"/>
      <c r="JKS20" s="7"/>
      <c r="JKT20" s="7"/>
      <c r="JKU20" s="7"/>
      <c r="JKV20" s="7"/>
      <c r="JKW20" s="7"/>
      <c r="JKX20" s="7"/>
      <c r="JKY20" s="7"/>
      <c r="JKZ20" s="7"/>
      <c r="JLA20" s="7"/>
      <c r="JLB20" s="7"/>
      <c r="JLC20" s="7"/>
      <c r="JLD20" s="7"/>
      <c r="JLE20" s="7"/>
      <c r="JLF20" s="7"/>
      <c r="JLG20" s="7"/>
      <c r="JLH20" s="7"/>
      <c r="JLI20" s="7"/>
      <c r="JLJ20" s="7"/>
      <c r="JLK20" s="7"/>
      <c r="JLL20" s="7"/>
      <c r="JLM20" s="7"/>
      <c r="JLN20" s="7"/>
      <c r="JLO20" s="7"/>
      <c r="JLP20" s="7"/>
      <c r="JLQ20" s="7"/>
      <c r="JLR20" s="7"/>
      <c r="JLS20" s="7"/>
      <c r="JLT20" s="7"/>
      <c r="JLU20" s="7"/>
      <c r="JLV20" s="7"/>
      <c r="JLW20" s="7"/>
      <c r="JLX20" s="7"/>
      <c r="JLY20" s="7"/>
      <c r="JLZ20" s="7"/>
      <c r="JMA20" s="7"/>
      <c r="JMB20" s="7"/>
      <c r="JMC20" s="7"/>
      <c r="JMD20" s="7"/>
      <c r="JME20" s="7"/>
      <c r="JMF20" s="7"/>
      <c r="JMG20" s="7"/>
      <c r="JMH20" s="7"/>
      <c r="JMI20" s="7"/>
      <c r="JMJ20" s="7"/>
      <c r="JMK20" s="7"/>
      <c r="JML20" s="7"/>
      <c r="JMM20" s="7"/>
      <c r="JMN20" s="7"/>
      <c r="JMO20" s="7"/>
      <c r="JMP20" s="7"/>
      <c r="JMQ20" s="7"/>
      <c r="JMR20" s="7"/>
      <c r="JMS20" s="7"/>
      <c r="JMT20" s="7"/>
      <c r="JMU20" s="7"/>
      <c r="JMV20" s="7"/>
      <c r="JMW20" s="7"/>
      <c r="JMX20" s="7"/>
      <c r="JMY20" s="7"/>
      <c r="JMZ20" s="7"/>
      <c r="JNA20" s="7"/>
      <c r="JNB20" s="7"/>
      <c r="JNC20" s="7"/>
      <c r="JND20" s="7"/>
      <c r="JNE20" s="7"/>
      <c r="JNF20" s="7"/>
      <c r="JNG20" s="7"/>
      <c r="JNH20" s="7"/>
      <c r="JNI20" s="7"/>
      <c r="JNJ20" s="7"/>
      <c r="JNK20" s="7"/>
      <c r="JNL20" s="7"/>
      <c r="JNM20" s="7"/>
      <c r="JNN20" s="7"/>
      <c r="JNO20" s="7"/>
      <c r="JNP20" s="7"/>
      <c r="JNQ20" s="7"/>
      <c r="JNR20" s="7"/>
      <c r="JNS20" s="7"/>
      <c r="JNT20" s="7"/>
      <c r="JNU20" s="7"/>
      <c r="JNV20" s="7"/>
      <c r="JNW20" s="7"/>
      <c r="JNX20" s="7"/>
      <c r="JNY20" s="7"/>
      <c r="JNZ20" s="7"/>
      <c r="JOA20" s="7"/>
      <c r="JOB20" s="7"/>
      <c r="JOC20" s="7"/>
      <c r="JOD20" s="7"/>
      <c r="JOE20" s="7"/>
      <c r="JOF20" s="7"/>
      <c r="JOG20" s="7"/>
      <c r="JOH20" s="7"/>
      <c r="JOI20" s="7"/>
      <c r="JOJ20" s="7"/>
      <c r="JOK20" s="7"/>
      <c r="JOL20" s="7"/>
      <c r="JOM20" s="7"/>
      <c r="JON20" s="7"/>
      <c r="JOO20" s="7"/>
      <c r="JOP20" s="7"/>
      <c r="JOQ20" s="7"/>
      <c r="JOR20" s="7"/>
      <c r="JOS20" s="7"/>
      <c r="JOT20" s="7"/>
      <c r="JOU20" s="7"/>
      <c r="JOV20" s="7"/>
      <c r="JOW20" s="7"/>
      <c r="JOX20" s="7"/>
      <c r="JOY20" s="7"/>
      <c r="JOZ20" s="7"/>
      <c r="JPA20" s="7"/>
      <c r="JPB20" s="7"/>
      <c r="JPC20" s="7"/>
      <c r="JPD20" s="7"/>
      <c r="JPE20" s="7"/>
      <c r="JPF20" s="7"/>
      <c r="JPG20" s="7"/>
      <c r="JPH20" s="7"/>
      <c r="JPI20" s="7"/>
      <c r="JPJ20" s="7"/>
      <c r="JPK20" s="7"/>
      <c r="JPL20" s="7"/>
      <c r="JPM20" s="7"/>
      <c r="JPN20" s="7"/>
      <c r="JPO20" s="7"/>
      <c r="JPP20" s="7"/>
      <c r="JPQ20" s="7"/>
      <c r="JPR20" s="7"/>
      <c r="JPS20" s="7"/>
      <c r="JPT20" s="7"/>
      <c r="JPU20" s="7"/>
      <c r="JPV20" s="7"/>
      <c r="JPW20" s="7"/>
      <c r="JPX20" s="7"/>
      <c r="JPY20" s="7"/>
      <c r="JPZ20" s="7"/>
      <c r="JQA20" s="7"/>
      <c r="JQB20" s="7"/>
      <c r="JQC20" s="7"/>
      <c r="JQD20" s="7"/>
      <c r="JQE20" s="7"/>
      <c r="JQF20" s="7"/>
      <c r="JQG20" s="7"/>
      <c r="JQH20" s="7"/>
      <c r="JQI20" s="7"/>
      <c r="JQJ20" s="7"/>
      <c r="JQK20" s="7"/>
      <c r="JQL20" s="7"/>
      <c r="JQM20" s="7"/>
      <c r="JQN20" s="7"/>
      <c r="JQO20" s="7"/>
      <c r="JQP20" s="7"/>
      <c r="JQQ20" s="7"/>
      <c r="JQR20" s="7"/>
      <c r="JQS20" s="7"/>
      <c r="JQT20" s="7"/>
      <c r="JQU20" s="7"/>
      <c r="JQV20" s="7"/>
      <c r="JQW20" s="7"/>
      <c r="JQX20" s="7"/>
      <c r="JQY20" s="7"/>
      <c r="JQZ20" s="7"/>
      <c r="JRA20" s="7"/>
      <c r="JRB20" s="7"/>
      <c r="JRC20" s="7"/>
      <c r="JRD20" s="7"/>
      <c r="JRE20" s="7"/>
      <c r="JRF20" s="7"/>
      <c r="JRG20" s="7"/>
      <c r="JRH20" s="7"/>
      <c r="JRI20" s="7"/>
      <c r="JRJ20" s="7"/>
      <c r="JRK20" s="7"/>
      <c r="JRL20" s="7"/>
      <c r="JRM20" s="7"/>
      <c r="JRN20" s="7"/>
      <c r="JRO20" s="7"/>
      <c r="JRP20" s="7"/>
      <c r="JRQ20" s="7"/>
      <c r="JRR20" s="7"/>
      <c r="JRS20" s="7"/>
      <c r="JRT20" s="7"/>
      <c r="JRU20" s="7"/>
      <c r="JRV20" s="7"/>
      <c r="JRW20" s="7"/>
      <c r="JRX20" s="7"/>
      <c r="JRY20" s="7"/>
      <c r="JRZ20" s="7"/>
      <c r="JSA20" s="7"/>
      <c r="JSB20" s="7"/>
      <c r="JSC20" s="7"/>
      <c r="JSD20" s="7"/>
      <c r="JSE20" s="7"/>
      <c r="JSF20" s="7"/>
      <c r="JSG20" s="7"/>
      <c r="JSH20" s="7"/>
      <c r="JSI20" s="7"/>
      <c r="JSJ20" s="7"/>
      <c r="JSK20" s="7"/>
      <c r="JSL20" s="7"/>
      <c r="JSM20" s="7"/>
      <c r="JSN20" s="7"/>
      <c r="JSO20" s="7"/>
      <c r="JSP20" s="7"/>
      <c r="JSQ20" s="7"/>
      <c r="JSR20" s="7"/>
      <c r="JSS20" s="7"/>
      <c r="JST20" s="7"/>
      <c r="JSU20" s="7"/>
      <c r="JSV20" s="7"/>
      <c r="JSW20" s="7"/>
      <c r="JSX20" s="7"/>
      <c r="JSY20" s="7"/>
      <c r="JSZ20" s="7"/>
      <c r="JTA20" s="7"/>
      <c r="JTB20" s="7"/>
      <c r="JTC20" s="7"/>
      <c r="JTD20" s="7"/>
      <c r="JTE20" s="7"/>
      <c r="JTF20" s="7"/>
      <c r="JTG20" s="7"/>
      <c r="JTH20" s="7"/>
      <c r="JTI20" s="7"/>
      <c r="JTJ20" s="7"/>
      <c r="JTK20" s="7"/>
      <c r="JTL20" s="7"/>
      <c r="JTM20" s="7"/>
      <c r="JTN20" s="7"/>
      <c r="JTO20" s="7"/>
      <c r="JTP20" s="7"/>
      <c r="JTQ20" s="7"/>
      <c r="JTR20" s="7"/>
      <c r="JTS20" s="7"/>
      <c r="JTT20" s="7"/>
      <c r="JTU20" s="7"/>
      <c r="JTV20" s="7"/>
      <c r="JTW20" s="7"/>
      <c r="JTX20" s="7"/>
      <c r="JTY20" s="7"/>
      <c r="JTZ20" s="7"/>
      <c r="JUA20" s="7"/>
      <c r="JUB20" s="7"/>
      <c r="JUC20" s="7"/>
      <c r="JUD20" s="7"/>
      <c r="JUE20" s="7"/>
      <c r="JUF20" s="7"/>
      <c r="JUG20" s="7"/>
      <c r="JUH20" s="7"/>
      <c r="JUI20" s="7"/>
      <c r="JUJ20" s="7"/>
      <c r="JUK20" s="7"/>
      <c r="JUL20" s="7"/>
      <c r="JUM20" s="7"/>
      <c r="JUN20" s="7"/>
      <c r="JUO20" s="7"/>
      <c r="JUP20" s="7"/>
      <c r="JUQ20" s="7"/>
      <c r="JUR20" s="7"/>
      <c r="JUS20" s="7"/>
      <c r="JUT20" s="7"/>
      <c r="JUU20" s="7"/>
      <c r="JUV20" s="7"/>
      <c r="JUW20" s="7"/>
      <c r="JUX20" s="7"/>
      <c r="JUY20" s="7"/>
      <c r="JUZ20" s="7"/>
      <c r="JVA20" s="7"/>
      <c r="JVB20" s="7"/>
      <c r="JVC20" s="7"/>
      <c r="JVD20" s="7"/>
      <c r="JVE20" s="7"/>
      <c r="JVF20" s="7"/>
      <c r="JVG20" s="7"/>
      <c r="JVH20" s="7"/>
      <c r="JVI20" s="7"/>
      <c r="JVJ20" s="7"/>
      <c r="JVK20" s="7"/>
      <c r="JVL20" s="7"/>
      <c r="JVM20" s="7"/>
      <c r="JVN20" s="7"/>
      <c r="JVO20" s="7"/>
      <c r="JVP20" s="7"/>
      <c r="JVQ20" s="7"/>
      <c r="JVR20" s="7"/>
      <c r="JVS20" s="7"/>
      <c r="JVT20" s="7"/>
      <c r="JVU20" s="7"/>
      <c r="JVV20" s="7"/>
      <c r="JVW20" s="7"/>
      <c r="JVX20" s="7"/>
      <c r="JVY20" s="7"/>
      <c r="JVZ20" s="7"/>
      <c r="JWA20" s="7"/>
      <c r="JWB20" s="7"/>
      <c r="JWC20" s="7"/>
      <c r="JWD20" s="7"/>
      <c r="JWE20" s="7"/>
      <c r="JWF20" s="7"/>
      <c r="JWG20" s="7"/>
      <c r="JWH20" s="7"/>
      <c r="JWI20" s="7"/>
      <c r="JWJ20" s="7"/>
      <c r="JWK20" s="7"/>
      <c r="JWL20" s="7"/>
      <c r="JWM20" s="7"/>
      <c r="JWN20" s="7"/>
      <c r="JWO20" s="7"/>
      <c r="JWP20" s="7"/>
      <c r="JWQ20" s="7"/>
      <c r="JWR20" s="7"/>
      <c r="JWS20" s="7"/>
      <c r="JWT20" s="7"/>
      <c r="JWU20" s="7"/>
      <c r="JWV20" s="7"/>
      <c r="JWW20" s="7"/>
      <c r="JWX20" s="7"/>
      <c r="JWY20" s="7"/>
      <c r="JWZ20" s="7"/>
      <c r="JXA20" s="7"/>
      <c r="JXB20" s="7"/>
      <c r="JXC20" s="7"/>
      <c r="JXD20" s="7"/>
      <c r="JXE20" s="7"/>
      <c r="JXF20" s="7"/>
      <c r="JXG20" s="7"/>
      <c r="JXH20" s="7"/>
      <c r="JXI20" s="7"/>
      <c r="JXJ20" s="7"/>
      <c r="JXK20" s="7"/>
      <c r="JXL20" s="7"/>
      <c r="JXM20" s="7"/>
      <c r="JXN20" s="7"/>
      <c r="JXO20" s="7"/>
      <c r="JXP20" s="7"/>
      <c r="JXQ20" s="7"/>
      <c r="JXR20" s="7"/>
      <c r="JXS20" s="7"/>
      <c r="JXT20" s="7"/>
      <c r="JXU20" s="7"/>
      <c r="JXV20" s="7"/>
      <c r="JXW20" s="7"/>
      <c r="JXX20" s="7"/>
      <c r="JXY20" s="7"/>
      <c r="JXZ20" s="7"/>
      <c r="JYA20" s="7"/>
      <c r="JYB20" s="7"/>
      <c r="JYC20" s="7"/>
      <c r="JYD20" s="7"/>
      <c r="JYE20" s="7"/>
      <c r="JYF20" s="7"/>
      <c r="JYG20" s="7"/>
      <c r="JYH20" s="7"/>
      <c r="JYI20" s="7"/>
      <c r="JYJ20" s="7"/>
      <c r="JYK20" s="7"/>
      <c r="JYL20" s="7"/>
      <c r="JYM20" s="7"/>
      <c r="JYN20" s="7"/>
      <c r="JYO20" s="7"/>
      <c r="JYP20" s="7"/>
      <c r="JYQ20" s="7"/>
      <c r="JYR20" s="7"/>
      <c r="JYS20" s="7"/>
      <c r="JYT20" s="7"/>
      <c r="JYU20" s="7"/>
      <c r="JYV20" s="7"/>
      <c r="JYW20" s="7"/>
      <c r="JYX20" s="7"/>
      <c r="JYY20" s="7"/>
      <c r="JYZ20" s="7"/>
      <c r="JZA20" s="7"/>
      <c r="JZB20" s="7"/>
      <c r="JZC20" s="7"/>
      <c r="JZD20" s="7"/>
      <c r="JZE20" s="7"/>
      <c r="JZF20" s="7"/>
      <c r="JZG20" s="7"/>
      <c r="JZH20" s="7"/>
      <c r="JZI20" s="7"/>
      <c r="JZJ20" s="7"/>
      <c r="JZK20" s="7"/>
      <c r="JZL20" s="7"/>
      <c r="JZM20" s="7"/>
      <c r="JZN20" s="7"/>
      <c r="JZO20" s="7"/>
      <c r="JZP20" s="7"/>
      <c r="JZQ20" s="7"/>
      <c r="JZR20" s="7"/>
      <c r="JZS20" s="7"/>
      <c r="JZT20" s="7"/>
      <c r="JZU20" s="7"/>
      <c r="JZV20" s="7"/>
      <c r="JZW20" s="7"/>
      <c r="JZX20" s="7"/>
      <c r="JZY20" s="7"/>
      <c r="JZZ20" s="7"/>
      <c r="KAA20" s="7"/>
      <c r="KAB20" s="7"/>
      <c r="KAC20" s="7"/>
      <c r="KAD20" s="7"/>
      <c r="KAE20" s="7"/>
      <c r="KAF20" s="7"/>
      <c r="KAG20" s="7"/>
      <c r="KAH20" s="7"/>
      <c r="KAI20" s="7"/>
      <c r="KAJ20" s="7"/>
      <c r="KAK20" s="7"/>
      <c r="KAL20" s="7"/>
      <c r="KAM20" s="7"/>
      <c r="KAN20" s="7"/>
      <c r="KAO20" s="7"/>
      <c r="KAP20" s="7"/>
      <c r="KAQ20" s="7"/>
      <c r="KAR20" s="7"/>
      <c r="KAS20" s="7"/>
      <c r="KAT20" s="7"/>
      <c r="KAU20" s="7"/>
      <c r="KAV20" s="7"/>
      <c r="KAW20" s="7"/>
      <c r="KAX20" s="7"/>
      <c r="KAY20" s="7"/>
      <c r="KAZ20" s="7"/>
      <c r="KBA20" s="7"/>
      <c r="KBB20" s="7"/>
      <c r="KBC20" s="7"/>
      <c r="KBD20" s="7"/>
      <c r="KBE20" s="7"/>
      <c r="KBF20" s="7"/>
      <c r="KBG20" s="7"/>
      <c r="KBH20" s="7"/>
      <c r="KBI20" s="7"/>
      <c r="KBJ20" s="7"/>
      <c r="KBK20" s="7"/>
      <c r="KBL20" s="7"/>
      <c r="KBM20" s="7"/>
      <c r="KBN20" s="7"/>
      <c r="KBO20" s="7"/>
      <c r="KBP20" s="7"/>
      <c r="KBQ20" s="7"/>
      <c r="KBR20" s="7"/>
      <c r="KBS20" s="7"/>
      <c r="KBT20" s="7"/>
      <c r="KBU20" s="7"/>
      <c r="KBV20" s="7"/>
      <c r="KBW20" s="7"/>
      <c r="KBX20" s="7"/>
      <c r="KBY20" s="7"/>
      <c r="KBZ20" s="7"/>
      <c r="KCA20" s="7"/>
      <c r="KCB20" s="7"/>
      <c r="KCC20" s="7"/>
      <c r="KCD20" s="7"/>
      <c r="KCE20" s="7"/>
      <c r="KCF20" s="7"/>
      <c r="KCG20" s="7"/>
      <c r="KCH20" s="7"/>
      <c r="KCI20" s="7"/>
      <c r="KCJ20" s="7"/>
      <c r="KCK20" s="7"/>
      <c r="KCL20" s="7"/>
      <c r="KCM20" s="7"/>
      <c r="KCN20" s="7"/>
      <c r="KCO20" s="7"/>
      <c r="KCP20" s="7"/>
      <c r="KCQ20" s="7"/>
      <c r="KCR20" s="7"/>
      <c r="KCS20" s="7"/>
      <c r="KCT20" s="7"/>
      <c r="KCU20" s="7"/>
      <c r="KCV20" s="7"/>
      <c r="KCW20" s="7"/>
      <c r="KCX20" s="7"/>
      <c r="KCY20" s="7"/>
      <c r="KCZ20" s="7"/>
      <c r="KDA20" s="7"/>
      <c r="KDB20" s="7"/>
      <c r="KDC20" s="7"/>
      <c r="KDD20" s="7"/>
      <c r="KDE20" s="7"/>
      <c r="KDF20" s="7"/>
      <c r="KDG20" s="7"/>
      <c r="KDH20" s="7"/>
      <c r="KDI20" s="7"/>
      <c r="KDJ20" s="7"/>
      <c r="KDK20" s="7"/>
      <c r="KDL20" s="7"/>
      <c r="KDM20" s="7"/>
      <c r="KDN20" s="7"/>
      <c r="KDO20" s="7"/>
      <c r="KDP20" s="7"/>
      <c r="KDQ20" s="7"/>
      <c r="KDR20" s="7"/>
      <c r="KDS20" s="7"/>
      <c r="KDT20" s="7"/>
      <c r="KDU20" s="7"/>
      <c r="KDV20" s="7"/>
      <c r="KDW20" s="7"/>
      <c r="KDX20" s="7"/>
      <c r="KDY20" s="7"/>
      <c r="KDZ20" s="7"/>
      <c r="KEA20" s="7"/>
      <c r="KEB20" s="7"/>
      <c r="KEC20" s="7"/>
      <c r="KED20" s="7"/>
      <c r="KEE20" s="7"/>
      <c r="KEF20" s="7"/>
      <c r="KEG20" s="7"/>
      <c r="KEH20" s="7"/>
      <c r="KEI20" s="7"/>
      <c r="KEJ20" s="7"/>
      <c r="KEK20" s="7"/>
      <c r="KEL20" s="7"/>
      <c r="KEM20" s="7"/>
      <c r="KEN20" s="7"/>
      <c r="KEO20" s="7"/>
      <c r="KEP20" s="7"/>
      <c r="KEQ20" s="7"/>
      <c r="KER20" s="7"/>
      <c r="KES20" s="7"/>
      <c r="KET20" s="7"/>
      <c r="KEU20" s="7"/>
      <c r="KEV20" s="7"/>
      <c r="KEW20" s="7"/>
      <c r="KEX20" s="7"/>
      <c r="KEY20" s="7"/>
      <c r="KEZ20" s="7"/>
      <c r="KFA20" s="7"/>
      <c r="KFB20" s="7"/>
      <c r="KFC20" s="7"/>
      <c r="KFD20" s="7"/>
      <c r="KFE20" s="7"/>
      <c r="KFF20" s="7"/>
      <c r="KFG20" s="7"/>
      <c r="KFH20" s="7"/>
      <c r="KFI20" s="7"/>
      <c r="KFJ20" s="7"/>
      <c r="KFK20" s="7"/>
      <c r="KFL20" s="7"/>
      <c r="KFM20" s="7"/>
      <c r="KFN20" s="7"/>
      <c r="KFO20" s="7"/>
      <c r="KFP20" s="7"/>
      <c r="KFQ20" s="7"/>
      <c r="KFR20" s="7"/>
      <c r="KFS20" s="7"/>
      <c r="KFT20" s="7"/>
      <c r="KFU20" s="7"/>
      <c r="KFV20" s="7"/>
      <c r="KFW20" s="7"/>
      <c r="KFX20" s="7"/>
      <c r="KFY20" s="7"/>
      <c r="KFZ20" s="7"/>
      <c r="KGA20" s="7"/>
      <c r="KGB20" s="7"/>
      <c r="KGC20" s="7"/>
      <c r="KGD20" s="7"/>
      <c r="KGE20" s="7"/>
      <c r="KGF20" s="7"/>
      <c r="KGG20" s="7"/>
      <c r="KGH20" s="7"/>
      <c r="KGI20" s="7"/>
      <c r="KGJ20" s="7"/>
      <c r="KGK20" s="7"/>
      <c r="KGL20" s="7"/>
      <c r="KGM20" s="7"/>
      <c r="KGN20" s="7"/>
      <c r="KGO20" s="7"/>
      <c r="KGP20" s="7"/>
      <c r="KGQ20" s="7"/>
      <c r="KGR20" s="7"/>
      <c r="KGS20" s="7"/>
      <c r="KGT20" s="7"/>
      <c r="KGU20" s="7"/>
      <c r="KGV20" s="7"/>
      <c r="KGW20" s="7"/>
      <c r="KGX20" s="7"/>
      <c r="KGY20" s="7"/>
      <c r="KGZ20" s="7"/>
      <c r="KHA20" s="7"/>
      <c r="KHB20" s="7"/>
      <c r="KHC20" s="7"/>
      <c r="KHD20" s="7"/>
      <c r="KHE20" s="7"/>
      <c r="KHF20" s="7"/>
      <c r="KHG20" s="7"/>
      <c r="KHH20" s="7"/>
      <c r="KHI20" s="7"/>
      <c r="KHJ20" s="7"/>
      <c r="KHK20" s="7"/>
      <c r="KHL20" s="7"/>
      <c r="KHM20" s="7"/>
      <c r="KHN20" s="7"/>
      <c r="KHO20" s="7"/>
      <c r="KHP20" s="7"/>
      <c r="KHQ20" s="7"/>
      <c r="KHR20" s="7"/>
      <c r="KHS20" s="7"/>
      <c r="KHT20" s="7"/>
      <c r="KHU20" s="7"/>
      <c r="KHV20" s="7"/>
      <c r="KHW20" s="7"/>
      <c r="KHX20" s="7"/>
      <c r="KHY20" s="7"/>
      <c r="KHZ20" s="7"/>
      <c r="KIA20" s="7"/>
      <c r="KIB20" s="7"/>
      <c r="KIC20" s="7"/>
      <c r="KID20" s="7"/>
      <c r="KIE20" s="7"/>
      <c r="KIF20" s="7"/>
      <c r="KIG20" s="7"/>
      <c r="KIH20" s="7"/>
      <c r="KII20" s="7"/>
      <c r="KIJ20" s="7"/>
      <c r="KIK20" s="7"/>
      <c r="KIL20" s="7"/>
      <c r="KIM20" s="7"/>
      <c r="KIN20" s="7"/>
      <c r="KIO20" s="7"/>
      <c r="KIP20" s="7"/>
      <c r="KIQ20" s="7"/>
      <c r="KIR20" s="7"/>
      <c r="KIS20" s="7"/>
      <c r="KIT20" s="7"/>
      <c r="KIU20" s="7"/>
      <c r="KIV20" s="7"/>
      <c r="KIW20" s="7"/>
      <c r="KIX20" s="7"/>
      <c r="KIY20" s="7"/>
      <c r="KIZ20" s="7"/>
      <c r="KJA20" s="7"/>
      <c r="KJB20" s="7"/>
      <c r="KJC20" s="7"/>
      <c r="KJD20" s="7"/>
      <c r="KJE20" s="7"/>
      <c r="KJF20" s="7"/>
      <c r="KJG20" s="7"/>
      <c r="KJH20" s="7"/>
      <c r="KJI20" s="7"/>
      <c r="KJJ20" s="7"/>
      <c r="KJK20" s="7"/>
      <c r="KJL20" s="7"/>
      <c r="KJM20" s="7"/>
      <c r="KJN20" s="7"/>
      <c r="KJO20" s="7"/>
      <c r="KJP20" s="7"/>
      <c r="KJQ20" s="7"/>
      <c r="KJR20" s="7"/>
      <c r="KJS20" s="7"/>
      <c r="KJT20" s="7"/>
      <c r="KJU20" s="7"/>
      <c r="KJV20" s="7"/>
      <c r="KJW20" s="7"/>
      <c r="KJX20" s="7"/>
      <c r="KJY20" s="7"/>
      <c r="KJZ20" s="7"/>
      <c r="KKA20" s="7"/>
      <c r="KKB20" s="7"/>
      <c r="KKC20" s="7"/>
      <c r="KKD20" s="7"/>
      <c r="KKE20" s="7"/>
      <c r="KKF20" s="7"/>
      <c r="KKG20" s="7"/>
      <c r="KKH20" s="7"/>
      <c r="KKI20" s="7"/>
      <c r="KKJ20" s="7"/>
      <c r="KKK20" s="7"/>
      <c r="KKL20" s="7"/>
      <c r="KKM20" s="7"/>
      <c r="KKN20" s="7"/>
      <c r="KKO20" s="7"/>
      <c r="KKP20" s="7"/>
      <c r="KKQ20" s="7"/>
      <c r="KKR20" s="7"/>
      <c r="KKS20" s="7"/>
      <c r="KKT20" s="7"/>
      <c r="KKU20" s="7"/>
      <c r="KKV20" s="7"/>
      <c r="KKW20" s="7"/>
      <c r="KKX20" s="7"/>
      <c r="KKY20" s="7"/>
      <c r="KKZ20" s="7"/>
      <c r="KLA20" s="7"/>
      <c r="KLB20" s="7"/>
      <c r="KLC20" s="7"/>
      <c r="KLD20" s="7"/>
      <c r="KLE20" s="7"/>
      <c r="KLF20" s="7"/>
      <c r="KLG20" s="7"/>
      <c r="KLH20" s="7"/>
      <c r="KLI20" s="7"/>
      <c r="KLJ20" s="7"/>
      <c r="KLK20" s="7"/>
      <c r="KLL20" s="7"/>
      <c r="KLM20" s="7"/>
      <c r="KLN20" s="7"/>
      <c r="KLO20" s="7"/>
      <c r="KLP20" s="7"/>
      <c r="KLQ20" s="7"/>
      <c r="KLR20" s="7"/>
      <c r="KLS20" s="7"/>
      <c r="KLT20" s="7"/>
      <c r="KLU20" s="7"/>
      <c r="KLV20" s="7"/>
      <c r="KLW20" s="7"/>
      <c r="KLX20" s="7"/>
      <c r="KLY20" s="7"/>
      <c r="KLZ20" s="7"/>
      <c r="KMA20" s="7"/>
      <c r="KMB20" s="7"/>
      <c r="KMC20" s="7"/>
      <c r="KMD20" s="7"/>
      <c r="KME20" s="7"/>
      <c r="KMF20" s="7"/>
      <c r="KMG20" s="7"/>
      <c r="KMH20" s="7"/>
      <c r="KMI20" s="7"/>
      <c r="KMJ20" s="7"/>
      <c r="KMK20" s="7"/>
      <c r="KML20" s="7"/>
      <c r="KMM20" s="7"/>
      <c r="KMN20" s="7"/>
      <c r="KMO20" s="7"/>
      <c r="KMP20" s="7"/>
      <c r="KMQ20" s="7"/>
      <c r="KMR20" s="7"/>
      <c r="KMS20" s="7"/>
      <c r="KMT20" s="7"/>
      <c r="KMU20" s="7"/>
      <c r="KMV20" s="7"/>
      <c r="KMW20" s="7"/>
      <c r="KMX20" s="7"/>
      <c r="KMY20" s="7"/>
      <c r="KMZ20" s="7"/>
      <c r="KNA20" s="7"/>
      <c r="KNB20" s="7"/>
      <c r="KNC20" s="7"/>
      <c r="KND20" s="7"/>
      <c r="KNE20" s="7"/>
      <c r="KNF20" s="7"/>
      <c r="KNG20" s="7"/>
      <c r="KNH20" s="7"/>
      <c r="KNI20" s="7"/>
      <c r="KNJ20" s="7"/>
      <c r="KNK20" s="7"/>
      <c r="KNL20" s="7"/>
      <c r="KNM20" s="7"/>
      <c r="KNN20" s="7"/>
      <c r="KNO20" s="7"/>
      <c r="KNP20" s="7"/>
      <c r="KNQ20" s="7"/>
      <c r="KNR20" s="7"/>
      <c r="KNS20" s="7"/>
      <c r="KNT20" s="7"/>
      <c r="KNU20" s="7"/>
      <c r="KNV20" s="7"/>
      <c r="KNW20" s="7"/>
      <c r="KNX20" s="7"/>
      <c r="KNY20" s="7"/>
      <c r="KNZ20" s="7"/>
      <c r="KOA20" s="7"/>
      <c r="KOB20" s="7"/>
      <c r="KOC20" s="7"/>
      <c r="KOD20" s="7"/>
      <c r="KOE20" s="7"/>
      <c r="KOF20" s="7"/>
      <c r="KOG20" s="7"/>
      <c r="KOH20" s="7"/>
      <c r="KOI20" s="7"/>
      <c r="KOJ20" s="7"/>
      <c r="KOK20" s="7"/>
      <c r="KOL20" s="7"/>
      <c r="KOM20" s="7"/>
      <c r="KON20" s="7"/>
      <c r="KOO20" s="7"/>
      <c r="KOP20" s="7"/>
      <c r="KOQ20" s="7"/>
      <c r="KOR20" s="7"/>
      <c r="KOS20" s="7"/>
      <c r="KOT20" s="7"/>
      <c r="KOU20" s="7"/>
      <c r="KOV20" s="7"/>
      <c r="KOW20" s="7"/>
      <c r="KOX20" s="7"/>
      <c r="KOY20" s="7"/>
      <c r="KOZ20" s="7"/>
      <c r="KPA20" s="7"/>
      <c r="KPB20" s="7"/>
      <c r="KPC20" s="7"/>
      <c r="KPD20" s="7"/>
      <c r="KPE20" s="7"/>
      <c r="KPF20" s="7"/>
      <c r="KPG20" s="7"/>
      <c r="KPH20" s="7"/>
      <c r="KPI20" s="7"/>
      <c r="KPJ20" s="7"/>
      <c r="KPK20" s="7"/>
      <c r="KPL20" s="7"/>
      <c r="KPM20" s="7"/>
      <c r="KPN20" s="7"/>
      <c r="KPO20" s="7"/>
      <c r="KPP20" s="7"/>
      <c r="KPQ20" s="7"/>
      <c r="KPR20" s="7"/>
      <c r="KPS20" s="7"/>
      <c r="KPT20" s="7"/>
      <c r="KPU20" s="7"/>
      <c r="KPV20" s="7"/>
      <c r="KPW20" s="7"/>
      <c r="KPX20" s="7"/>
      <c r="KPY20" s="7"/>
      <c r="KPZ20" s="7"/>
      <c r="KQA20" s="7"/>
      <c r="KQB20" s="7"/>
      <c r="KQC20" s="7"/>
      <c r="KQD20" s="7"/>
      <c r="KQE20" s="7"/>
      <c r="KQF20" s="7"/>
      <c r="KQG20" s="7"/>
      <c r="KQH20" s="7"/>
      <c r="KQI20" s="7"/>
      <c r="KQJ20" s="7"/>
      <c r="KQK20" s="7"/>
      <c r="KQL20" s="7"/>
      <c r="KQM20" s="7"/>
      <c r="KQN20" s="7"/>
      <c r="KQO20" s="7"/>
      <c r="KQP20" s="7"/>
      <c r="KQQ20" s="7"/>
      <c r="KQR20" s="7"/>
      <c r="KQS20" s="7"/>
      <c r="KQT20" s="7"/>
      <c r="KQU20" s="7"/>
      <c r="KQV20" s="7"/>
      <c r="KQW20" s="7"/>
      <c r="KQX20" s="7"/>
      <c r="KQY20" s="7"/>
      <c r="KQZ20" s="7"/>
      <c r="KRA20" s="7"/>
      <c r="KRB20" s="7"/>
      <c r="KRC20" s="7"/>
      <c r="KRD20" s="7"/>
      <c r="KRE20" s="7"/>
      <c r="KRF20" s="7"/>
      <c r="KRG20" s="7"/>
      <c r="KRH20" s="7"/>
      <c r="KRI20" s="7"/>
      <c r="KRJ20" s="7"/>
      <c r="KRK20" s="7"/>
      <c r="KRL20" s="7"/>
      <c r="KRM20" s="7"/>
      <c r="KRN20" s="7"/>
      <c r="KRO20" s="7"/>
      <c r="KRP20" s="7"/>
      <c r="KRQ20" s="7"/>
      <c r="KRR20" s="7"/>
      <c r="KRS20" s="7"/>
      <c r="KRT20" s="7"/>
      <c r="KRU20" s="7"/>
      <c r="KRV20" s="7"/>
      <c r="KRW20" s="7"/>
      <c r="KRX20" s="7"/>
      <c r="KRY20" s="7"/>
      <c r="KRZ20" s="7"/>
      <c r="KSA20" s="7"/>
      <c r="KSB20" s="7"/>
      <c r="KSC20" s="7"/>
      <c r="KSD20" s="7"/>
      <c r="KSE20" s="7"/>
      <c r="KSF20" s="7"/>
      <c r="KSG20" s="7"/>
      <c r="KSH20" s="7"/>
      <c r="KSI20" s="7"/>
      <c r="KSJ20" s="7"/>
      <c r="KSK20" s="7"/>
      <c r="KSL20" s="7"/>
      <c r="KSM20" s="7"/>
      <c r="KSN20" s="7"/>
      <c r="KSO20" s="7"/>
      <c r="KSP20" s="7"/>
      <c r="KSQ20" s="7"/>
      <c r="KSR20" s="7"/>
      <c r="KSS20" s="7"/>
      <c r="KST20" s="7"/>
      <c r="KSU20" s="7"/>
      <c r="KSV20" s="7"/>
      <c r="KSW20" s="7"/>
      <c r="KSX20" s="7"/>
      <c r="KSY20" s="7"/>
      <c r="KSZ20" s="7"/>
      <c r="KTA20" s="7"/>
      <c r="KTB20" s="7"/>
      <c r="KTC20" s="7"/>
      <c r="KTD20" s="7"/>
      <c r="KTE20" s="7"/>
      <c r="KTF20" s="7"/>
      <c r="KTG20" s="7"/>
      <c r="KTH20" s="7"/>
      <c r="KTI20" s="7"/>
      <c r="KTJ20" s="7"/>
      <c r="KTK20" s="7"/>
      <c r="KTL20" s="7"/>
      <c r="KTM20" s="7"/>
      <c r="KTN20" s="7"/>
      <c r="KTO20" s="7"/>
      <c r="KTP20" s="7"/>
      <c r="KTQ20" s="7"/>
      <c r="KTR20" s="7"/>
      <c r="KTS20" s="7"/>
      <c r="KTT20" s="7"/>
      <c r="KTU20" s="7"/>
      <c r="KTV20" s="7"/>
      <c r="KTW20" s="7"/>
      <c r="KTX20" s="7"/>
      <c r="KTY20" s="7"/>
      <c r="KTZ20" s="7"/>
      <c r="KUA20" s="7"/>
      <c r="KUB20" s="7"/>
      <c r="KUC20" s="7"/>
      <c r="KUD20" s="7"/>
      <c r="KUE20" s="7"/>
      <c r="KUF20" s="7"/>
      <c r="KUG20" s="7"/>
      <c r="KUH20" s="7"/>
      <c r="KUI20" s="7"/>
      <c r="KUJ20" s="7"/>
      <c r="KUK20" s="7"/>
      <c r="KUL20" s="7"/>
      <c r="KUM20" s="7"/>
      <c r="KUN20" s="7"/>
      <c r="KUO20" s="7"/>
      <c r="KUP20" s="7"/>
      <c r="KUQ20" s="7"/>
      <c r="KUR20" s="7"/>
      <c r="KUS20" s="7"/>
      <c r="KUT20" s="7"/>
      <c r="KUU20" s="7"/>
      <c r="KUV20" s="7"/>
      <c r="KUW20" s="7"/>
      <c r="KUX20" s="7"/>
      <c r="KUY20" s="7"/>
      <c r="KUZ20" s="7"/>
      <c r="KVA20" s="7"/>
      <c r="KVB20" s="7"/>
      <c r="KVC20" s="7"/>
      <c r="KVD20" s="7"/>
      <c r="KVE20" s="7"/>
      <c r="KVF20" s="7"/>
      <c r="KVG20" s="7"/>
      <c r="KVH20" s="7"/>
      <c r="KVI20" s="7"/>
      <c r="KVJ20" s="7"/>
      <c r="KVK20" s="7"/>
      <c r="KVL20" s="7"/>
      <c r="KVM20" s="7"/>
      <c r="KVN20" s="7"/>
      <c r="KVO20" s="7"/>
      <c r="KVP20" s="7"/>
      <c r="KVQ20" s="7"/>
      <c r="KVR20" s="7"/>
      <c r="KVS20" s="7"/>
      <c r="KVT20" s="7"/>
      <c r="KVU20" s="7"/>
      <c r="KVV20" s="7"/>
      <c r="KVW20" s="7"/>
      <c r="KVX20" s="7"/>
      <c r="KVY20" s="7"/>
      <c r="KVZ20" s="7"/>
      <c r="KWA20" s="7"/>
      <c r="KWB20" s="7"/>
      <c r="KWC20" s="7"/>
      <c r="KWD20" s="7"/>
      <c r="KWE20" s="7"/>
      <c r="KWF20" s="7"/>
      <c r="KWG20" s="7"/>
      <c r="KWH20" s="7"/>
      <c r="KWI20" s="7"/>
      <c r="KWJ20" s="7"/>
      <c r="KWK20" s="7"/>
      <c r="KWL20" s="7"/>
      <c r="KWM20" s="7"/>
      <c r="KWN20" s="7"/>
      <c r="KWO20" s="7"/>
      <c r="KWP20" s="7"/>
      <c r="KWQ20" s="7"/>
      <c r="KWR20" s="7"/>
      <c r="KWS20" s="7"/>
      <c r="KWT20" s="7"/>
      <c r="KWU20" s="7"/>
      <c r="KWV20" s="7"/>
      <c r="KWW20" s="7"/>
      <c r="KWX20" s="7"/>
      <c r="KWY20" s="7"/>
      <c r="KWZ20" s="7"/>
      <c r="KXA20" s="7"/>
      <c r="KXB20" s="7"/>
      <c r="KXC20" s="7"/>
      <c r="KXD20" s="7"/>
      <c r="KXE20" s="7"/>
      <c r="KXF20" s="7"/>
      <c r="KXG20" s="7"/>
      <c r="KXH20" s="7"/>
      <c r="KXI20" s="7"/>
      <c r="KXJ20" s="7"/>
      <c r="KXK20" s="7"/>
      <c r="KXL20" s="7"/>
      <c r="KXM20" s="7"/>
      <c r="KXN20" s="7"/>
      <c r="KXO20" s="7"/>
      <c r="KXP20" s="7"/>
      <c r="KXQ20" s="7"/>
      <c r="KXR20" s="7"/>
      <c r="KXS20" s="7"/>
      <c r="KXT20" s="7"/>
      <c r="KXU20" s="7"/>
      <c r="KXV20" s="7"/>
      <c r="KXW20" s="7"/>
      <c r="KXX20" s="7"/>
      <c r="KXY20" s="7"/>
      <c r="KXZ20" s="7"/>
      <c r="KYA20" s="7"/>
      <c r="KYB20" s="7"/>
      <c r="KYC20" s="7"/>
      <c r="KYD20" s="7"/>
      <c r="KYE20" s="7"/>
      <c r="KYF20" s="7"/>
      <c r="KYG20" s="7"/>
      <c r="KYH20" s="7"/>
      <c r="KYI20" s="7"/>
      <c r="KYJ20" s="7"/>
      <c r="KYK20" s="7"/>
      <c r="KYL20" s="7"/>
      <c r="KYM20" s="7"/>
      <c r="KYN20" s="7"/>
      <c r="KYO20" s="7"/>
      <c r="KYP20" s="7"/>
      <c r="KYQ20" s="7"/>
      <c r="KYR20" s="7"/>
      <c r="KYS20" s="7"/>
      <c r="KYT20" s="7"/>
      <c r="KYU20" s="7"/>
      <c r="KYV20" s="7"/>
      <c r="KYW20" s="7"/>
      <c r="KYX20" s="7"/>
      <c r="KYY20" s="7"/>
      <c r="KYZ20" s="7"/>
      <c r="KZA20" s="7"/>
      <c r="KZB20" s="7"/>
      <c r="KZC20" s="7"/>
      <c r="KZD20" s="7"/>
      <c r="KZE20" s="7"/>
      <c r="KZF20" s="7"/>
      <c r="KZG20" s="7"/>
      <c r="KZH20" s="7"/>
      <c r="KZI20" s="7"/>
      <c r="KZJ20" s="7"/>
      <c r="KZK20" s="7"/>
      <c r="KZL20" s="7"/>
      <c r="KZM20" s="7"/>
      <c r="KZN20" s="7"/>
      <c r="KZO20" s="7"/>
      <c r="KZP20" s="7"/>
      <c r="KZQ20" s="7"/>
      <c r="KZR20" s="7"/>
      <c r="KZS20" s="7"/>
      <c r="KZT20" s="7"/>
      <c r="KZU20" s="7"/>
      <c r="KZV20" s="7"/>
      <c r="KZW20" s="7"/>
      <c r="KZX20" s="7"/>
      <c r="KZY20" s="7"/>
      <c r="KZZ20" s="7"/>
      <c r="LAA20" s="7"/>
      <c r="LAB20" s="7"/>
      <c r="LAC20" s="7"/>
      <c r="LAD20" s="7"/>
      <c r="LAE20" s="7"/>
      <c r="LAF20" s="7"/>
      <c r="LAG20" s="7"/>
      <c r="LAH20" s="7"/>
      <c r="LAI20" s="7"/>
      <c r="LAJ20" s="7"/>
      <c r="LAK20" s="7"/>
      <c r="LAL20" s="7"/>
      <c r="LAM20" s="7"/>
      <c r="LAN20" s="7"/>
      <c r="LAO20" s="7"/>
      <c r="LAP20" s="7"/>
      <c r="LAQ20" s="7"/>
      <c r="LAR20" s="7"/>
      <c r="LAS20" s="7"/>
      <c r="LAT20" s="7"/>
      <c r="LAU20" s="7"/>
      <c r="LAV20" s="7"/>
      <c r="LAW20" s="7"/>
      <c r="LAX20" s="7"/>
      <c r="LAY20" s="7"/>
      <c r="LAZ20" s="7"/>
      <c r="LBA20" s="7"/>
      <c r="LBB20" s="7"/>
      <c r="LBC20" s="7"/>
      <c r="LBD20" s="7"/>
      <c r="LBE20" s="7"/>
      <c r="LBF20" s="7"/>
      <c r="LBG20" s="7"/>
      <c r="LBH20" s="7"/>
      <c r="LBI20" s="7"/>
      <c r="LBJ20" s="7"/>
      <c r="LBK20" s="7"/>
      <c r="LBL20" s="7"/>
      <c r="LBM20" s="7"/>
      <c r="LBN20" s="7"/>
      <c r="LBO20" s="7"/>
      <c r="LBP20" s="7"/>
      <c r="LBQ20" s="7"/>
      <c r="LBR20" s="7"/>
      <c r="LBS20" s="7"/>
      <c r="LBT20" s="7"/>
      <c r="LBU20" s="7"/>
      <c r="LBV20" s="7"/>
      <c r="LBW20" s="7"/>
      <c r="LBX20" s="7"/>
      <c r="LBY20" s="7"/>
      <c r="LBZ20" s="7"/>
      <c r="LCA20" s="7"/>
      <c r="LCB20" s="7"/>
      <c r="LCC20" s="7"/>
      <c r="LCD20" s="7"/>
      <c r="LCE20" s="7"/>
      <c r="LCF20" s="7"/>
      <c r="LCG20" s="7"/>
      <c r="LCH20" s="7"/>
      <c r="LCI20" s="7"/>
      <c r="LCJ20" s="7"/>
      <c r="LCK20" s="7"/>
      <c r="LCL20" s="7"/>
      <c r="LCM20" s="7"/>
      <c r="LCN20" s="7"/>
      <c r="LCO20" s="7"/>
      <c r="LCP20" s="7"/>
      <c r="LCQ20" s="7"/>
      <c r="LCR20" s="7"/>
      <c r="LCS20" s="7"/>
      <c r="LCT20" s="7"/>
      <c r="LCU20" s="7"/>
      <c r="LCV20" s="7"/>
      <c r="LCW20" s="7"/>
      <c r="LCX20" s="7"/>
      <c r="LCY20" s="7"/>
      <c r="LCZ20" s="7"/>
      <c r="LDA20" s="7"/>
      <c r="LDB20" s="7"/>
      <c r="LDC20" s="7"/>
      <c r="LDD20" s="7"/>
      <c r="LDE20" s="7"/>
      <c r="LDF20" s="7"/>
      <c r="LDG20" s="7"/>
      <c r="LDH20" s="7"/>
      <c r="LDI20" s="7"/>
      <c r="LDJ20" s="7"/>
      <c r="LDK20" s="7"/>
      <c r="LDL20" s="7"/>
      <c r="LDM20" s="7"/>
      <c r="LDN20" s="7"/>
      <c r="LDO20" s="7"/>
      <c r="LDP20" s="7"/>
      <c r="LDQ20" s="7"/>
      <c r="LDR20" s="7"/>
      <c r="LDS20" s="7"/>
      <c r="LDT20" s="7"/>
      <c r="LDU20" s="7"/>
      <c r="LDV20" s="7"/>
      <c r="LDW20" s="7"/>
      <c r="LDX20" s="7"/>
      <c r="LDY20" s="7"/>
      <c r="LDZ20" s="7"/>
      <c r="LEA20" s="7"/>
      <c r="LEB20" s="7"/>
      <c r="LEC20" s="7"/>
      <c r="LED20" s="7"/>
      <c r="LEE20" s="7"/>
      <c r="LEF20" s="7"/>
      <c r="LEG20" s="7"/>
      <c r="LEH20" s="7"/>
      <c r="LEI20" s="7"/>
      <c r="LEJ20" s="7"/>
      <c r="LEK20" s="7"/>
      <c r="LEL20" s="7"/>
      <c r="LEM20" s="7"/>
      <c r="LEN20" s="7"/>
      <c r="LEO20" s="7"/>
      <c r="LEP20" s="7"/>
      <c r="LEQ20" s="7"/>
      <c r="LER20" s="7"/>
      <c r="LES20" s="7"/>
      <c r="LET20" s="7"/>
      <c r="LEU20" s="7"/>
      <c r="LEV20" s="7"/>
      <c r="LEW20" s="7"/>
      <c r="LEX20" s="7"/>
      <c r="LEY20" s="7"/>
      <c r="LEZ20" s="7"/>
      <c r="LFA20" s="7"/>
      <c r="LFB20" s="7"/>
      <c r="LFC20" s="7"/>
      <c r="LFD20" s="7"/>
      <c r="LFE20" s="7"/>
      <c r="LFF20" s="7"/>
      <c r="LFG20" s="7"/>
      <c r="LFH20" s="7"/>
      <c r="LFI20" s="7"/>
      <c r="LFJ20" s="7"/>
      <c r="LFK20" s="7"/>
      <c r="LFL20" s="7"/>
      <c r="LFM20" s="7"/>
      <c r="LFN20" s="7"/>
      <c r="LFO20" s="7"/>
      <c r="LFP20" s="7"/>
      <c r="LFQ20" s="7"/>
      <c r="LFR20" s="7"/>
      <c r="LFS20" s="7"/>
      <c r="LFT20" s="7"/>
      <c r="LFU20" s="7"/>
      <c r="LFV20" s="7"/>
      <c r="LFW20" s="7"/>
      <c r="LFX20" s="7"/>
      <c r="LFY20" s="7"/>
      <c r="LFZ20" s="7"/>
      <c r="LGA20" s="7"/>
      <c r="LGB20" s="7"/>
      <c r="LGC20" s="7"/>
      <c r="LGD20" s="7"/>
      <c r="LGE20" s="7"/>
      <c r="LGF20" s="7"/>
      <c r="LGG20" s="7"/>
      <c r="LGH20" s="7"/>
      <c r="LGI20" s="7"/>
      <c r="LGJ20" s="7"/>
      <c r="LGK20" s="7"/>
      <c r="LGL20" s="7"/>
      <c r="LGM20" s="7"/>
      <c r="LGN20" s="7"/>
      <c r="LGO20" s="7"/>
      <c r="LGP20" s="7"/>
      <c r="LGQ20" s="7"/>
      <c r="LGR20" s="7"/>
      <c r="LGS20" s="7"/>
      <c r="LGT20" s="7"/>
      <c r="LGU20" s="7"/>
      <c r="LGV20" s="7"/>
      <c r="LGW20" s="7"/>
      <c r="LGX20" s="7"/>
      <c r="LGY20" s="7"/>
      <c r="LGZ20" s="7"/>
      <c r="LHA20" s="7"/>
      <c r="LHB20" s="7"/>
      <c r="LHC20" s="7"/>
      <c r="LHD20" s="7"/>
      <c r="LHE20" s="7"/>
      <c r="LHF20" s="7"/>
      <c r="LHG20" s="7"/>
      <c r="LHH20" s="7"/>
      <c r="LHI20" s="7"/>
      <c r="LHJ20" s="7"/>
      <c r="LHK20" s="7"/>
      <c r="LHL20" s="7"/>
      <c r="LHM20" s="7"/>
      <c r="LHN20" s="7"/>
      <c r="LHO20" s="7"/>
      <c r="LHP20" s="7"/>
      <c r="LHQ20" s="7"/>
      <c r="LHR20" s="7"/>
      <c r="LHS20" s="7"/>
      <c r="LHT20" s="7"/>
      <c r="LHU20" s="7"/>
      <c r="LHV20" s="7"/>
      <c r="LHW20" s="7"/>
      <c r="LHX20" s="7"/>
      <c r="LHY20" s="7"/>
      <c r="LHZ20" s="7"/>
      <c r="LIA20" s="7"/>
      <c r="LIB20" s="7"/>
      <c r="LIC20" s="7"/>
      <c r="LID20" s="7"/>
      <c r="LIE20" s="7"/>
      <c r="LIF20" s="7"/>
      <c r="LIG20" s="7"/>
      <c r="LIH20" s="7"/>
      <c r="LII20" s="7"/>
      <c r="LIJ20" s="7"/>
      <c r="LIK20" s="7"/>
      <c r="LIL20" s="7"/>
      <c r="LIM20" s="7"/>
      <c r="LIN20" s="7"/>
      <c r="LIO20" s="7"/>
      <c r="LIP20" s="7"/>
      <c r="LIQ20" s="7"/>
      <c r="LIR20" s="7"/>
      <c r="LIS20" s="7"/>
      <c r="LIT20" s="7"/>
      <c r="LIU20" s="7"/>
      <c r="LIV20" s="7"/>
      <c r="LIW20" s="7"/>
      <c r="LIX20" s="7"/>
      <c r="LIY20" s="7"/>
      <c r="LIZ20" s="7"/>
      <c r="LJA20" s="7"/>
      <c r="LJB20" s="7"/>
      <c r="LJC20" s="7"/>
      <c r="LJD20" s="7"/>
      <c r="LJE20" s="7"/>
      <c r="LJF20" s="7"/>
      <c r="LJG20" s="7"/>
      <c r="LJH20" s="7"/>
      <c r="LJI20" s="7"/>
      <c r="LJJ20" s="7"/>
      <c r="LJK20" s="7"/>
      <c r="LJL20" s="7"/>
      <c r="LJM20" s="7"/>
      <c r="LJN20" s="7"/>
      <c r="LJO20" s="7"/>
      <c r="LJP20" s="7"/>
      <c r="LJQ20" s="7"/>
      <c r="LJR20" s="7"/>
      <c r="LJS20" s="7"/>
      <c r="LJT20" s="7"/>
      <c r="LJU20" s="7"/>
      <c r="LJV20" s="7"/>
      <c r="LJW20" s="7"/>
      <c r="LJX20" s="7"/>
      <c r="LJY20" s="7"/>
      <c r="LJZ20" s="7"/>
      <c r="LKA20" s="7"/>
      <c r="LKB20" s="7"/>
      <c r="LKC20" s="7"/>
      <c r="LKD20" s="7"/>
      <c r="LKE20" s="7"/>
      <c r="LKF20" s="7"/>
      <c r="LKG20" s="7"/>
      <c r="LKH20" s="7"/>
      <c r="LKI20" s="7"/>
      <c r="LKJ20" s="7"/>
      <c r="LKK20" s="7"/>
      <c r="LKL20" s="7"/>
      <c r="LKM20" s="7"/>
      <c r="LKN20" s="7"/>
      <c r="LKO20" s="7"/>
      <c r="LKP20" s="7"/>
      <c r="LKQ20" s="7"/>
      <c r="LKR20" s="7"/>
      <c r="LKS20" s="7"/>
      <c r="LKT20" s="7"/>
      <c r="LKU20" s="7"/>
      <c r="LKV20" s="7"/>
      <c r="LKW20" s="7"/>
      <c r="LKX20" s="7"/>
      <c r="LKY20" s="7"/>
      <c r="LKZ20" s="7"/>
      <c r="LLA20" s="7"/>
      <c r="LLB20" s="7"/>
      <c r="LLC20" s="7"/>
      <c r="LLD20" s="7"/>
      <c r="LLE20" s="7"/>
      <c r="LLF20" s="7"/>
      <c r="LLG20" s="7"/>
      <c r="LLH20" s="7"/>
      <c r="LLI20" s="7"/>
      <c r="LLJ20" s="7"/>
      <c r="LLK20" s="7"/>
      <c r="LLL20" s="7"/>
      <c r="LLM20" s="7"/>
      <c r="LLN20" s="7"/>
      <c r="LLO20" s="7"/>
      <c r="LLP20" s="7"/>
      <c r="LLQ20" s="7"/>
      <c r="LLR20" s="7"/>
      <c r="LLS20" s="7"/>
      <c r="LLT20" s="7"/>
      <c r="LLU20" s="7"/>
      <c r="LLV20" s="7"/>
      <c r="LLW20" s="7"/>
      <c r="LLX20" s="7"/>
      <c r="LLY20" s="7"/>
      <c r="LLZ20" s="7"/>
      <c r="LMA20" s="7"/>
      <c r="LMB20" s="7"/>
      <c r="LMC20" s="7"/>
      <c r="LMD20" s="7"/>
      <c r="LME20" s="7"/>
      <c r="LMF20" s="7"/>
      <c r="LMG20" s="7"/>
      <c r="LMH20" s="7"/>
      <c r="LMI20" s="7"/>
      <c r="LMJ20" s="7"/>
      <c r="LMK20" s="7"/>
      <c r="LML20" s="7"/>
      <c r="LMM20" s="7"/>
      <c r="LMN20" s="7"/>
      <c r="LMO20" s="7"/>
      <c r="LMP20" s="7"/>
      <c r="LMQ20" s="7"/>
      <c r="LMR20" s="7"/>
      <c r="LMS20" s="7"/>
      <c r="LMT20" s="7"/>
      <c r="LMU20" s="7"/>
      <c r="LMV20" s="7"/>
      <c r="LMW20" s="7"/>
      <c r="LMX20" s="7"/>
      <c r="LMY20" s="7"/>
      <c r="LMZ20" s="7"/>
      <c r="LNA20" s="7"/>
      <c r="LNB20" s="7"/>
      <c r="LNC20" s="7"/>
      <c r="LND20" s="7"/>
      <c r="LNE20" s="7"/>
      <c r="LNF20" s="7"/>
      <c r="LNG20" s="7"/>
      <c r="LNH20" s="7"/>
      <c r="LNI20" s="7"/>
      <c r="LNJ20" s="7"/>
      <c r="LNK20" s="7"/>
      <c r="LNL20" s="7"/>
      <c r="LNM20" s="7"/>
      <c r="LNN20" s="7"/>
      <c r="LNO20" s="7"/>
      <c r="LNP20" s="7"/>
      <c r="LNQ20" s="7"/>
      <c r="LNR20" s="7"/>
      <c r="LNS20" s="7"/>
      <c r="LNT20" s="7"/>
      <c r="LNU20" s="7"/>
      <c r="LNV20" s="7"/>
      <c r="LNW20" s="7"/>
      <c r="LNX20" s="7"/>
      <c r="LNY20" s="7"/>
      <c r="LNZ20" s="7"/>
      <c r="LOA20" s="7"/>
      <c r="LOB20" s="7"/>
      <c r="LOC20" s="7"/>
      <c r="LOD20" s="7"/>
      <c r="LOE20" s="7"/>
      <c r="LOF20" s="7"/>
      <c r="LOG20" s="7"/>
      <c r="LOH20" s="7"/>
      <c r="LOI20" s="7"/>
      <c r="LOJ20" s="7"/>
      <c r="LOK20" s="7"/>
      <c r="LOL20" s="7"/>
      <c r="LOM20" s="7"/>
      <c r="LON20" s="7"/>
      <c r="LOO20" s="7"/>
      <c r="LOP20" s="7"/>
      <c r="LOQ20" s="7"/>
      <c r="LOR20" s="7"/>
      <c r="LOS20" s="7"/>
      <c r="LOT20" s="7"/>
      <c r="LOU20" s="7"/>
      <c r="LOV20" s="7"/>
      <c r="LOW20" s="7"/>
      <c r="LOX20" s="7"/>
      <c r="LOY20" s="7"/>
      <c r="LOZ20" s="7"/>
      <c r="LPA20" s="7"/>
      <c r="LPB20" s="7"/>
      <c r="LPC20" s="7"/>
      <c r="LPD20" s="7"/>
      <c r="LPE20" s="7"/>
      <c r="LPF20" s="7"/>
      <c r="LPG20" s="7"/>
      <c r="LPH20" s="7"/>
      <c r="LPI20" s="7"/>
      <c r="LPJ20" s="7"/>
      <c r="LPK20" s="7"/>
      <c r="LPL20" s="7"/>
      <c r="LPM20" s="7"/>
      <c r="LPN20" s="7"/>
      <c r="LPO20" s="7"/>
      <c r="LPP20" s="7"/>
      <c r="LPQ20" s="7"/>
      <c r="LPR20" s="7"/>
      <c r="LPS20" s="7"/>
      <c r="LPT20" s="7"/>
      <c r="LPU20" s="7"/>
      <c r="LPV20" s="7"/>
      <c r="LPW20" s="7"/>
      <c r="LPX20" s="7"/>
      <c r="LPY20" s="7"/>
      <c r="LPZ20" s="7"/>
      <c r="LQA20" s="7"/>
      <c r="LQB20" s="7"/>
      <c r="LQC20" s="7"/>
      <c r="LQD20" s="7"/>
      <c r="LQE20" s="7"/>
      <c r="LQF20" s="7"/>
      <c r="LQG20" s="7"/>
      <c r="LQH20" s="7"/>
      <c r="LQI20" s="7"/>
      <c r="LQJ20" s="7"/>
      <c r="LQK20" s="7"/>
      <c r="LQL20" s="7"/>
      <c r="LQM20" s="7"/>
      <c r="LQN20" s="7"/>
      <c r="LQO20" s="7"/>
      <c r="LQP20" s="7"/>
      <c r="LQQ20" s="7"/>
      <c r="LQR20" s="7"/>
      <c r="LQS20" s="7"/>
      <c r="LQT20" s="7"/>
      <c r="LQU20" s="7"/>
      <c r="LQV20" s="7"/>
      <c r="LQW20" s="7"/>
      <c r="LQX20" s="7"/>
      <c r="LQY20" s="7"/>
      <c r="LQZ20" s="7"/>
      <c r="LRA20" s="7"/>
      <c r="LRB20" s="7"/>
      <c r="LRC20" s="7"/>
      <c r="LRD20" s="7"/>
      <c r="LRE20" s="7"/>
      <c r="LRF20" s="7"/>
      <c r="LRG20" s="7"/>
      <c r="LRH20" s="7"/>
      <c r="LRI20" s="7"/>
      <c r="LRJ20" s="7"/>
      <c r="LRK20" s="7"/>
      <c r="LRL20" s="7"/>
      <c r="LRM20" s="7"/>
      <c r="LRN20" s="7"/>
      <c r="LRO20" s="7"/>
      <c r="LRP20" s="7"/>
      <c r="LRQ20" s="7"/>
      <c r="LRR20" s="7"/>
      <c r="LRS20" s="7"/>
      <c r="LRT20" s="7"/>
      <c r="LRU20" s="7"/>
      <c r="LRV20" s="7"/>
      <c r="LRW20" s="7"/>
      <c r="LRX20" s="7"/>
      <c r="LRY20" s="7"/>
      <c r="LRZ20" s="7"/>
      <c r="LSA20" s="7"/>
      <c r="LSB20" s="7"/>
      <c r="LSC20" s="7"/>
      <c r="LSD20" s="7"/>
      <c r="LSE20" s="7"/>
      <c r="LSF20" s="7"/>
      <c r="LSG20" s="7"/>
      <c r="LSH20" s="7"/>
      <c r="LSI20" s="7"/>
      <c r="LSJ20" s="7"/>
      <c r="LSK20" s="7"/>
      <c r="LSL20" s="7"/>
      <c r="LSM20" s="7"/>
      <c r="LSN20" s="7"/>
      <c r="LSO20" s="7"/>
      <c r="LSP20" s="7"/>
      <c r="LSQ20" s="7"/>
      <c r="LSR20" s="7"/>
      <c r="LSS20" s="7"/>
      <c r="LST20" s="7"/>
      <c r="LSU20" s="7"/>
      <c r="LSV20" s="7"/>
      <c r="LSW20" s="7"/>
      <c r="LSX20" s="7"/>
      <c r="LSY20" s="7"/>
      <c r="LSZ20" s="7"/>
      <c r="LTA20" s="7"/>
      <c r="LTB20" s="7"/>
      <c r="LTC20" s="7"/>
      <c r="LTD20" s="7"/>
      <c r="LTE20" s="7"/>
      <c r="LTF20" s="7"/>
      <c r="LTG20" s="7"/>
      <c r="LTH20" s="7"/>
      <c r="LTI20" s="7"/>
      <c r="LTJ20" s="7"/>
      <c r="LTK20" s="7"/>
      <c r="LTL20" s="7"/>
      <c r="LTM20" s="7"/>
      <c r="LTN20" s="7"/>
      <c r="LTO20" s="7"/>
      <c r="LTP20" s="7"/>
      <c r="LTQ20" s="7"/>
      <c r="LTR20" s="7"/>
      <c r="LTS20" s="7"/>
      <c r="LTT20" s="7"/>
      <c r="LTU20" s="7"/>
      <c r="LTV20" s="7"/>
      <c r="LTW20" s="7"/>
      <c r="LTX20" s="7"/>
      <c r="LTY20" s="7"/>
      <c r="LTZ20" s="7"/>
      <c r="LUA20" s="7"/>
      <c r="LUB20" s="7"/>
      <c r="LUC20" s="7"/>
      <c r="LUD20" s="7"/>
      <c r="LUE20" s="7"/>
      <c r="LUF20" s="7"/>
      <c r="LUG20" s="7"/>
      <c r="LUH20" s="7"/>
      <c r="LUI20" s="7"/>
      <c r="LUJ20" s="7"/>
      <c r="LUK20" s="7"/>
      <c r="LUL20" s="7"/>
      <c r="LUM20" s="7"/>
      <c r="LUN20" s="7"/>
      <c r="LUO20" s="7"/>
      <c r="LUP20" s="7"/>
      <c r="LUQ20" s="7"/>
      <c r="LUR20" s="7"/>
      <c r="LUS20" s="7"/>
      <c r="LUT20" s="7"/>
      <c r="LUU20" s="7"/>
      <c r="LUV20" s="7"/>
      <c r="LUW20" s="7"/>
      <c r="LUX20" s="7"/>
      <c r="LUY20" s="7"/>
      <c r="LUZ20" s="7"/>
      <c r="LVA20" s="7"/>
      <c r="LVB20" s="7"/>
      <c r="LVC20" s="7"/>
      <c r="LVD20" s="7"/>
      <c r="LVE20" s="7"/>
      <c r="LVF20" s="7"/>
      <c r="LVG20" s="7"/>
      <c r="LVH20" s="7"/>
      <c r="LVI20" s="7"/>
      <c r="LVJ20" s="7"/>
      <c r="LVK20" s="7"/>
      <c r="LVL20" s="7"/>
      <c r="LVM20" s="7"/>
      <c r="LVN20" s="7"/>
      <c r="LVO20" s="7"/>
      <c r="LVP20" s="7"/>
      <c r="LVQ20" s="7"/>
      <c r="LVR20" s="7"/>
      <c r="LVS20" s="7"/>
      <c r="LVT20" s="7"/>
      <c r="LVU20" s="7"/>
      <c r="LVV20" s="7"/>
      <c r="LVW20" s="7"/>
      <c r="LVX20" s="7"/>
      <c r="LVY20" s="7"/>
      <c r="LVZ20" s="7"/>
      <c r="LWA20" s="7"/>
      <c r="LWB20" s="7"/>
      <c r="LWC20" s="7"/>
      <c r="LWD20" s="7"/>
      <c r="LWE20" s="7"/>
      <c r="LWF20" s="7"/>
      <c r="LWG20" s="7"/>
      <c r="LWH20" s="7"/>
      <c r="LWI20" s="7"/>
      <c r="LWJ20" s="7"/>
      <c r="LWK20" s="7"/>
      <c r="LWL20" s="7"/>
      <c r="LWM20" s="7"/>
      <c r="LWN20" s="7"/>
      <c r="LWO20" s="7"/>
      <c r="LWP20" s="7"/>
      <c r="LWQ20" s="7"/>
      <c r="LWR20" s="7"/>
      <c r="LWS20" s="7"/>
      <c r="LWT20" s="7"/>
      <c r="LWU20" s="7"/>
      <c r="LWV20" s="7"/>
      <c r="LWW20" s="7"/>
      <c r="LWX20" s="7"/>
      <c r="LWY20" s="7"/>
      <c r="LWZ20" s="7"/>
      <c r="LXA20" s="7"/>
      <c r="LXB20" s="7"/>
      <c r="LXC20" s="7"/>
      <c r="LXD20" s="7"/>
      <c r="LXE20" s="7"/>
      <c r="LXF20" s="7"/>
      <c r="LXG20" s="7"/>
      <c r="LXH20" s="7"/>
      <c r="LXI20" s="7"/>
      <c r="LXJ20" s="7"/>
      <c r="LXK20" s="7"/>
      <c r="LXL20" s="7"/>
      <c r="LXM20" s="7"/>
      <c r="LXN20" s="7"/>
      <c r="LXO20" s="7"/>
      <c r="LXP20" s="7"/>
      <c r="LXQ20" s="7"/>
      <c r="LXR20" s="7"/>
      <c r="LXS20" s="7"/>
      <c r="LXT20" s="7"/>
      <c r="LXU20" s="7"/>
      <c r="LXV20" s="7"/>
      <c r="LXW20" s="7"/>
      <c r="LXX20" s="7"/>
      <c r="LXY20" s="7"/>
      <c r="LXZ20" s="7"/>
      <c r="LYA20" s="7"/>
      <c r="LYB20" s="7"/>
      <c r="LYC20" s="7"/>
      <c r="LYD20" s="7"/>
      <c r="LYE20" s="7"/>
      <c r="LYF20" s="7"/>
      <c r="LYG20" s="7"/>
      <c r="LYH20" s="7"/>
      <c r="LYI20" s="7"/>
      <c r="LYJ20" s="7"/>
      <c r="LYK20" s="7"/>
      <c r="LYL20" s="7"/>
      <c r="LYM20" s="7"/>
      <c r="LYN20" s="7"/>
      <c r="LYO20" s="7"/>
      <c r="LYP20" s="7"/>
      <c r="LYQ20" s="7"/>
      <c r="LYR20" s="7"/>
      <c r="LYS20" s="7"/>
      <c r="LYT20" s="7"/>
      <c r="LYU20" s="7"/>
      <c r="LYV20" s="7"/>
      <c r="LYW20" s="7"/>
      <c r="LYX20" s="7"/>
      <c r="LYY20" s="7"/>
      <c r="LYZ20" s="7"/>
      <c r="LZA20" s="7"/>
      <c r="LZB20" s="7"/>
      <c r="LZC20" s="7"/>
      <c r="LZD20" s="7"/>
      <c r="LZE20" s="7"/>
      <c r="LZF20" s="7"/>
      <c r="LZG20" s="7"/>
      <c r="LZH20" s="7"/>
      <c r="LZI20" s="7"/>
      <c r="LZJ20" s="7"/>
      <c r="LZK20" s="7"/>
      <c r="LZL20" s="7"/>
      <c r="LZM20" s="7"/>
      <c r="LZN20" s="7"/>
      <c r="LZO20" s="7"/>
      <c r="LZP20" s="7"/>
      <c r="LZQ20" s="7"/>
      <c r="LZR20" s="7"/>
      <c r="LZS20" s="7"/>
      <c r="LZT20" s="7"/>
      <c r="LZU20" s="7"/>
      <c r="LZV20" s="7"/>
      <c r="LZW20" s="7"/>
      <c r="LZX20" s="7"/>
      <c r="LZY20" s="7"/>
      <c r="LZZ20" s="7"/>
      <c r="MAA20" s="7"/>
      <c r="MAB20" s="7"/>
      <c r="MAC20" s="7"/>
      <c r="MAD20" s="7"/>
      <c r="MAE20" s="7"/>
      <c r="MAF20" s="7"/>
      <c r="MAG20" s="7"/>
      <c r="MAH20" s="7"/>
      <c r="MAI20" s="7"/>
      <c r="MAJ20" s="7"/>
      <c r="MAK20" s="7"/>
      <c r="MAL20" s="7"/>
      <c r="MAM20" s="7"/>
      <c r="MAN20" s="7"/>
      <c r="MAO20" s="7"/>
      <c r="MAP20" s="7"/>
      <c r="MAQ20" s="7"/>
      <c r="MAR20" s="7"/>
      <c r="MAS20" s="7"/>
      <c r="MAT20" s="7"/>
      <c r="MAU20" s="7"/>
      <c r="MAV20" s="7"/>
      <c r="MAW20" s="7"/>
      <c r="MAX20" s="7"/>
      <c r="MAY20" s="7"/>
      <c r="MAZ20" s="7"/>
      <c r="MBA20" s="7"/>
      <c r="MBB20" s="7"/>
      <c r="MBC20" s="7"/>
      <c r="MBD20" s="7"/>
      <c r="MBE20" s="7"/>
      <c r="MBF20" s="7"/>
      <c r="MBG20" s="7"/>
      <c r="MBH20" s="7"/>
      <c r="MBI20" s="7"/>
      <c r="MBJ20" s="7"/>
      <c r="MBK20" s="7"/>
      <c r="MBL20" s="7"/>
      <c r="MBM20" s="7"/>
      <c r="MBN20" s="7"/>
      <c r="MBO20" s="7"/>
      <c r="MBP20" s="7"/>
      <c r="MBQ20" s="7"/>
      <c r="MBR20" s="7"/>
      <c r="MBS20" s="7"/>
      <c r="MBT20" s="7"/>
      <c r="MBU20" s="7"/>
      <c r="MBV20" s="7"/>
      <c r="MBW20" s="7"/>
      <c r="MBX20" s="7"/>
      <c r="MBY20" s="7"/>
      <c r="MBZ20" s="7"/>
      <c r="MCA20" s="7"/>
      <c r="MCB20" s="7"/>
      <c r="MCC20" s="7"/>
      <c r="MCD20" s="7"/>
      <c r="MCE20" s="7"/>
      <c r="MCF20" s="7"/>
      <c r="MCG20" s="7"/>
      <c r="MCH20" s="7"/>
      <c r="MCI20" s="7"/>
      <c r="MCJ20" s="7"/>
      <c r="MCK20" s="7"/>
      <c r="MCL20" s="7"/>
      <c r="MCM20" s="7"/>
      <c r="MCN20" s="7"/>
      <c r="MCO20" s="7"/>
      <c r="MCP20" s="7"/>
      <c r="MCQ20" s="7"/>
      <c r="MCR20" s="7"/>
      <c r="MCS20" s="7"/>
      <c r="MCT20" s="7"/>
      <c r="MCU20" s="7"/>
      <c r="MCV20" s="7"/>
      <c r="MCW20" s="7"/>
      <c r="MCX20" s="7"/>
      <c r="MCY20" s="7"/>
      <c r="MCZ20" s="7"/>
      <c r="MDA20" s="7"/>
      <c r="MDB20" s="7"/>
      <c r="MDC20" s="7"/>
      <c r="MDD20" s="7"/>
      <c r="MDE20" s="7"/>
      <c r="MDF20" s="7"/>
      <c r="MDG20" s="7"/>
      <c r="MDH20" s="7"/>
      <c r="MDI20" s="7"/>
      <c r="MDJ20" s="7"/>
      <c r="MDK20" s="7"/>
      <c r="MDL20" s="7"/>
      <c r="MDM20" s="7"/>
      <c r="MDN20" s="7"/>
      <c r="MDO20" s="7"/>
      <c r="MDP20" s="7"/>
      <c r="MDQ20" s="7"/>
      <c r="MDR20" s="7"/>
      <c r="MDS20" s="7"/>
      <c r="MDT20" s="7"/>
      <c r="MDU20" s="7"/>
      <c r="MDV20" s="7"/>
      <c r="MDW20" s="7"/>
      <c r="MDX20" s="7"/>
      <c r="MDY20" s="7"/>
      <c r="MDZ20" s="7"/>
      <c r="MEA20" s="7"/>
      <c r="MEB20" s="7"/>
      <c r="MEC20" s="7"/>
      <c r="MED20" s="7"/>
      <c r="MEE20" s="7"/>
      <c r="MEF20" s="7"/>
      <c r="MEG20" s="7"/>
      <c r="MEH20" s="7"/>
      <c r="MEI20" s="7"/>
      <c r="MEJ20" s="7"/>
      <c r="MEK20" s="7"/>
      <c r="MEL20" s="7"/>
      <c r="MEM20" s="7"/>
      <c r="MEN20" s="7"/>
      <c r="MEO20" s="7"/>
      <c r="MEP20" s="7"/>
      <c r="MEQ20" s="7"/>
      <c r="MER20" s="7"/>
      <c r="MES20" s="7"/>
      <c r="MET20" s="7"/>
      <c r="MEU20" s="7"/>
      <c r="MEV20" s="7"/>
      <c r="MEW20" s="7"/>
      <c r="MEX20" s="7"/>
      <c r="MEY20" s="7"/>
      <c r="MEZ20" s="7"/>
      <c r="MFA20" s="7"/>
      <c r="MFB20" s="7"/>
      <c r="MFC20" s="7"/>
      <c r="MFD20" s="7"/>
      <c r="MFE20" s="7"/>
      <c r="MFF20" s="7"/>
      <c r="MFG20" s="7"/>
      <c r="MFH20" s="7"/>
      <c r="MFI20" s="7"/>
      <c r="MFJ20" s="7"/>
      <c r="MFK20" s="7"/>
      <c r="MFL20" s="7"/>
      <c r="MFM20" s="7"/>
      <c r="MFN20" s="7"/>
      <c r="MFO20" s="7"/>
      <c r="MFP20" s="7"/>
      <c r="MFQ20" s="7"/>
      <c r="MFR20" s="7"/>
      <c r="MFS20" s="7"/>
      <c r="MFT20" s="7"/>
      <c r="MFU20" s="7"/>
      <c r="MFV20" s="7"/>
      <c r="MFW20" s="7"/>
      <c r="MFX20" s="7"/>
      <c r="MFY20" s="7"/>
      <c r="MFZ20" s="7"/>
      <c r="MGA20" s="7"/>
      <c r="MGB20" s="7"/>
      <c r="MGC20" s="7"/>
      <c r="MGD20" s="7"/>
      <c r="MGE20" s="7"/>
      <c r="MGF20" s="7"/>
      <c r="MGG20" s="7"/>
      <c r="MGH20" s="7"/>
      <c r="MGI20" s="7"/>
      <c r="MGJ20" s="7"/>
      <c r="MGK20" s="7"/>
      <c r="MGL20" s="7"/>
      <c r="MGM20" s="7"/>
      <c r="MGN20" s="7"/>
      <c r="MGO20" s="7"/>
      <c r="MGP20" s="7"/>
      <c r="MGQ20" s="7"/>
      <c r="MGR20" s="7"/>
      <c r="MGS20" s="7"/>
      <c r="MGT20" s="7"/>
      <c r="MGU20" s="7"/>
      <c r="MGV20" s="7"/>
      <c r="MGW20" s="7"/>
      <c r="MGX20" s="7"/>
      <c r="MGY20" s="7"/>
      <c r="MGZ20" s="7"/>
      <c r="MHA20" s="7"/>
      <c r="MHB20" s="7"/>
      <c r="MHC20" s="7"/>
      <c r="MHD20" s="7"/>
      <c r="MHE20" s="7"/>
      <c r="MHF20" s="7"/>
      <c r="MHG20" s="7"/>
      <c r="MHH20" s="7"/>
      <c r="MHI20" s="7"/>
      <c r="MHJ20" s="7"/>
      <c r="MHK20" s="7"/>
      <c r="MHL20" s="7"/>
      <c r="MHM20" s="7"/>
      <c r="MHN20" s="7"/>
      <c r="MHO20" s="7"/>
      <c r="MHP20" s="7"/>
      <c r="MHQ20" s="7"/>
      <c r="MHR20" s="7"/>
      <c r="MHS20" s="7"/>
      <c r="MHT20" s="7"/>
      <c r="MHU20" s="7"/>
      <c r="MHV20" s="7"/>
      <c r="MHW20" s="7"/>
      <c r="MHX20" s="7"/>
      <c r="MHY20" s="7"/>
      <c r="MHZ20" s="7"/>
      <c r="MIA20" s="7"/>
      <c r="MIB20" s="7"/>
      <c r="MIC20" s="7"/>
      <c r="MID20" s="7"/>
      <c r="MIE20" s="7"/>
      <c r="MIF20" s="7"/>
      <c r="MIG20" s="7"/>
      <c r="MIH20" s="7"/>
      <c r="MII20" s="7"/>
      <c r="MIJ20" s="7"/>
      <c r="MIK20" s="7"/>
      <c r="MIL20" s="7"/>
      <c r="MIM20" s="7"/>
      <c r="MIN20" s="7"/>
      <c r="MIO20" s="7"/>
      <c r="MIP20" s="7"/>
      <c r="MIQ20" s="7"/>
      <c r="MIR20" s="7"/>
      <c r="MIS20" s="7"/>
      <c r="MIT20" s="7"/>
      <c r="MIU20" s="7"/>
      <c r="MIV20" s="7"/>
      <c r="MIW20" s="7"/>
      <c r="MIX20" s="7"/>
      <c r="MIY20" s="7"/>
      <c r="MIZ20" s="7"/>
      <c r="MJA20" s="7"/>
      <c r="MJB20" s="7"/>
      <c r="MJC20" s="7"/>
      <c r="MJD20" s="7"/>
      <c r="MJE20" s="7"/>
      <c r="MJF20" s="7"/>
      <c r="MJG20" s="7"/>
      <c r="MJH20" s="7"/>
      <c r="MJI20" s="7"/>
      <c r="MJJ20" s="7"/>
      <c r="MJK20" s="7"/>
      <c r="MJL20" s="7"/>
      <c r="MJM20" s="7"/>
      <c r="MJN20" s="7"/>
      <c r="MJO20" s="7"/>
      <c r="MJP20" s="7"/>
      <c r="MJQ20" s="7"/>
      <c r="MJR20" s="7"/>
      <c r="MJS20" s="7"/>
      <c r="MJT20" s="7"/>
      <c r="MJU20" s="7"/>
      <c r="MJV20" s="7"/>
      <c r="MJW20" s="7"/>
      <c r="MJX20" s="7"/>
      <c r="MJY20" s="7"/>
      <c r="MJZ20" s="7"/>
      <c r="MKA20" s="7"/>
      <c r="MKB20" s="7"/>
      <c r="MKC20" s="7"/>
      <c r="MKD20" s="7"/>
      <c r="MKE20" s="7"/>
      <c r="MKF20" s="7"/>
      <c r="MKG20" s="7"/>
      <c r="MKH20" s="7"/>
      <c r="MKI20" s="7"/>
      <c r="MKJ20" s="7"/>
      <c r="MKK20" s="7"/>
      <c r="MKL20" s="7"/>
      <c r="MKM20" s="7"/>
      <c r="MKN20" s="7"/>
      <c r="MKO20" s="7"/>
      <c r="MKP20" s="7"/>
      <c r="MKQ20" s="7"/>
      <c r="MKR20" s="7"/>
      <c r="MKS20" s="7"/>
      <c r="MKT20" s="7"/>
      <c r="MKU20" s="7"/>
      <c r="MKV20" s="7"/>
      <c r="MKW20" s="7"/>
      <c r="MKX20" s="7"/>
      <c r="MKY20" s="7"/>
      <c r="MKZ20" s="7"/>
      <c r="MLA20" s="7"/>
      <c r="MLB20" s="7"/>
      <c r="MLC20" s="7"/>
      <c r="MLD20" s="7"/>
      <c r="MLE20" s="7"/>
      <c r="MLF20" s="7"/>
      <c r="MLG20" s="7"/>
      <c r="MLH20" s="7"/>
      <c r="MLI20" s="7"/>
      <c r="MLJ20" s="7"/>
      <c r="MLK20" s="7"/>
      <c r="MLL20" s="7"/>
      <c r="MLM20" s="7"/>
      <c r="MLN20" s="7"/>
      <c r="MLO20" s="7"/>
      <c r="MLP20" s="7"/>
      <c r="MLQ20" s="7"/>
      <c r="MLR20" s="7"/>
      <c r="MLS20" s="7"/>
      <c r="MLT20" s="7"/>
      <c r="MLU20" s="7"/>
      <c r="MLV20" s="7"/>
      <c r="MLW20" s="7"/>
      <c r="MLX20" s="7"/>
      <c r="MLY20" s="7"/>
      <c r="MLZ20" s="7"/>
      <c r="MMA20" s="7"/>
      <c r="MMB20" s="7"/>
      <c r="MMC20" s="7"/>
      <c r="MMD20" s="7"/>
      <c r="MME20" s="7"/>
      <c r="MMF20" s="7"/>
      <c r="MMG20" s="7"/>
      <c r="MMH20" s="7"/>
      <c r="MMI20" s="7"/>
      <c r="MMJ20" s="7"/>
      <c r="MMK20" s="7"/>
      <c r="MML20" s="7"/>
      <c r="MMM20" s="7"/>
      <c r="MMN20" s="7"/>
      <c r="MMO20" s="7"/>
      <c r="MMP20" s="7"/>
      <c r="MMQ20" s="7"/>
      <c r="MMR20" s="7"/>
      <c r="MMS20" s="7"/>
      <c r="MMT20" s="7"/>
      <c r="MMU20" s="7"/>
      <c r="MMV20" s="7"/>
      <c r="MMW20" s="7"/>
      <c r="MMX20" s="7"/>
      <c r="MMY20" s="7"/>
      <c r="MMZ20" s="7"/>
      <c r="MNA20" s="7"/>
      <c r="MNB20" s="7"/>
      <c r="MNC20" s="7"/>
      <c r="MND20" s="7"/>
      <c r="MNE20" s="7"/>
      <c r="MNF20" s="7"/>
      <c r="MNG20" s="7"/>
      <c r="MNH20" s="7"/>
      <c r="MNI20" s="7"/>
      <c r="MNJ20" s="7"/>
      <c r="MNK20" s="7"/>
      <c r="MNL20" s="7"/>
      <c r="MNM20" s="7"/>
      <c r="MNN20" s="7"/>
      <c r="MNO20" s="7"/>
      <c r="MNP20" s="7"/>
      <c r="MNQ20" s="7"/>
      <c r="MNR20" s="7"/>
      <c r="MNS20" s="7"/>
      <c r="MNT20" s="7"/>
      <c r="MNU20" s="7"/>
      <c r="MNV20" s="7"/>
      <c r="MNW20" s="7"/>
      <c r="MNX20" s="7"/>
      <c r="MNY20" s="7"/>
      <c r="MNZ20" s="7"/>
      <c r="MOA20" s="7"/>
      <c r="MOB20" s="7"/>
      <c r="MOC20" s="7"/>
      <c r="MOD20" s="7"/>
      <c r="MOE20" s="7"/>
      <c r="MOF20" s="7"/>
      <c r="MOG20" s="7"/>
      <c r="MOH20" s="7"/>
      <c r="MOI20" s="7"/>
      <c r="MOJ20" s="7"/>
      <c r="MOK20" s="7"/>
      <c r="MOL20" s="7"/>
      <c r="MOM20" s="7"/>
      <c r="MON20" s="7"/>
      <c r="MOO20" s="7"/>
      <c r="MOP20" s="7"/>
      <c r="MOQ20" s="7"/>
      <c r="MOR20" s="7"/>
      <c r="MOS20" s="7"/>
      <c r="MOT20" s="7"/>
      <c r="MOU20" s="7"/>
      <c r="MOV20" s="7"/>
      <c r="MOW20" s="7"/>
      <c r="MOX20" s="7"/>
      <c r="MOY20" s="7"/>
      <c r="MOZ20" s="7"/>
      <c r="MPA20" s="7"/>
      <c r="MPB20" s="7"/>
      <c r="MPC20" s="7"/>
      <c r="MPD20" s="7"/>
      <c r="MPE20" s="7"/>
      <c r="MPF20" s="7"/>
      <c r="MPG20" s="7"/>
      <c r="MPH20" s="7"/>
      <c r="MPI20" s="7"/>
      <c r="MPJ20" s="7"/>
      <c r="MPK20" s="7"/>
      <c r="MPL20" s="7"/>
      <c r="MPM20" s="7"/>
      <c r="MPN20" s="7"/>
      <c r="MPO20" s="7"/>
      <c r="MPP20" s="7"/>
      <c r="MPQ20" s="7"/>
      <c r="MPR20" s="7"/>
      <c r="MPS20" s="7"/>
      <c r="MPT20" s="7"/>
      <c r="MPU20" s="7"/>
      <c r="MPV20" s="7"/>
      <c r="MPW20" s="7"/>
      <c r="MPX20" s="7"/>
      <c r="MPY20" s="7"/>
      <c r="MPZ20" s="7"/>
      <c r="MQA20" s="7"/>
      <c r="MQB20" s="7"/>
      <c r="MQC20" s="7"/>
      <c r="MQD20" s="7"/>
      <c r="MQE20" s="7"/>
      <c r="MQF20" s="7"/>
      <c r="MQG20" s="7"/>
      <c r="MQH20" s="7"/>
      <c r="MQI20" s="7"/>
      <c r="MQJ20" s="7"/>
      <c r="MQK20" s="7"/>
      <c r="MQL20" s="7"/>
      <c r="MQM20" s="7"/>
      <c r="MQN20" s="7"/>
      <c r="MQO20" s="7"/>
      <c r="MQP20" s="7"/>
      <c r="MQQ20" s="7"/>
      <c r="MQR20" s="7"/>
      <c r="MQS20" s="7"/>
      <c r="MQT20" s="7"/>
      <c r="MQU20" s="7"/>
      <c r="MQV20" s="7"/>
      <c r="MQW20" s="7"/>
      <c r="MQX20" s="7"/>
      <c r="MQY20" s="7"/>
      <c r="MQZ20" s="7"/>
      <c r="MRA20" s="7"/>
      <c r="MRB20" s="7"/>
      <c r="MRC20" s="7"/>
      <c r="MRD20" s="7"/>
      <c r="MRE20" s="7"/>
      <c r="MRF20" s="7"/>
      <c r="MRG20" s="7"/>
      <c r="MRH20" s="7"/>
      <c r="MRI20" s="7"/>
      <c r="MRJ20" s="7"/>
      <c r="MRK20" s="7"/>
      <c r="MRL20" s="7"/>
      <c r="MRM20" s="7"/>
      <c r="MRN20" s="7"/>
      <c r="MRO20" s="7"/>
      <c r="MRP20" s="7"/>
      <c r="MRQ20" s="7"/>
      <c r="MRR20" s="7"/>
      <c r="MRS20" s="7"/>
      <c r="MRT20" s="7"/>
      <c r="MRU20" s="7"/>
      <c r="MRV20" s="7"/>
      <c r="MRW20" s="7"/>
      <c r="MRX20" s="7"/>
      <c r="MRY20" s="7"/>
      <c r="MRZ20" s="7"/>
      <c r="MSA20" s="7"/>
      <c r="MSB20" s="7"/>
      <c r="MSC20" s="7"/>
      <c r="MSD20" s="7"/>
      <c r="MSE20" s="7"/>
      <c r="MSF20" s="7"/>
      <c r="MSG20" s="7"/>
      <c r="MSH20" s="7"/>
      <c r="MSI20" s="7"/>
      <c r="MSJ20" s="7"/>
      <c r="MSK20" s="7"/>
      <c r="MSL20" s="7"/>
      <c r="MSM20" s="7"/>
      <c r="MSN20" s="7"/>
      <c r="MSO20" s="7"/>
      <c r="MSP20" s="7"/>
      <c r="MSQ20" s="7"/>
      <c r="MSR20" s="7"/>
      <c r="MSS20" s="7"/>
      <c r="MST20" s="7"/>
      <c r="MSU20" s="7"/>
      <c r="MSV20" s="7"/>
      <c r="MSW20" s="7"/>
      <c r="MSX20" s="7"/>
      <c r="MSY20" s="7"/>
      <c r="MSZ20" s="7"/>
      <c r="MTA20" s="7"/>
      <c r="MTB20" s="7"/>
      <c r="MTC20" s="7"/>
      <c r="MTD20" s="7"/>
      <c r="MTE20" s="7"/>
      <c r="MTF20" s="7"/>
      <c r="MTG20" s="7"/>
      <c r="MTH20" s="7"/>
      <c r="MTI20" s="7"/>
      <c r="MTJ20" s="7"/>
      <c r="MTK20" s="7"/>
      <c r="MTL20" s="7"/>
      <c r="MTM20" s="7"/>
      <c r="MTN20" s="7"/>
      <c r="MTO20" s="7"/>
      <c r="MTP20" s="7"/>
      <c r="MTQ20" s="7"/>
      <c r="MTR20" s="7"/>
      <c r="MTS20" s="7"/>
      <c r="MTT20" s="7"/>
      <c r="MTU20" s="7"/>
      <c r="MTV20" s="7"/>
      <c r="MTW20" s="7"/>
      <c r="MTX20" s="7"/>
      <c r="MTY20" s="7"/>
      <c r="MTZ20" s="7"/>
      <c r="MUA20" s="7"/>
      <c r="MUB20" s="7"/>
      <c r="MUC20" s="7"/>
      <c r="MUD20" s="7"/>
      <c r="MUE20" s="7"/>
      <c r="MUF20" s="7"/>
      <c r="MUG20" s="7"/>
      <c r="MUH20" s="7"/>
      <c r="MUI20" s="7"/>
      <c r="MUJ20" s="7"/>
      <c r="MUK20" s="7"/>
      <c r="MUL20" s="7"/>
      <c r="MUM20" s="7"/>
      <c r="MUN20" s="7"/>
      <c r="MUO20" s="7"/>
      <c r="MUP20" s="7"/>
      <c r="MUQ20" s="7"/>
      <c r="MUR20" s="7"/>
      <c r="MUS20" s="7"/>
      <c r="MUT20" s="7"/>
      <c r="MUU20" s="7"/>
      <c r="MUV20" s="7"/>
      <c r="MUW20" s="7"/>
      <c r="MUX20" s="7"/>
      <c r="MUY20" s="7"/>
      <c r="MUZ20" s="7"/>
      <c r="MVA20" s="7"/>
      <c r="MVB20" s="7"/>
      <c r="MVC20" s="7"/>
      <c r="MVD20" s="7"/>
      <c r="MVE20" s="7"/>
      <c r="MVF20" s="7"/>
      <c r="MVG20" s="7"/>
      <c r="MVH20" s="7"/>
      <c r="MVI20" s="7"/>
      <c r="MVJ20" s="7"/>
      <c r="MVK20" s="7"/>
      <c r="MVL20" s="7"/>
      <c r="MVM20" s="7"/>
      <c r="MVN20" s="7"/>
      <c r="MVO20" s="7"/>
      <c r="MVP20" s="7"/>
      <c r="MVQ20" s="7"/>
      <c r="MVR20" s="7"/>
      <c r="MVS20" s="7"/>
      <c r="MVT20" s="7"/>
      <c r="MVU20" s="7"/>
      <c r="MVV20" s="7"/>
      <c r="MVW20" s="7"/>
      <c r="MVX20" s="7"/>
      <c r="MVY20" s="7"/>
      <c r="MVZ20" s="7"/>
      <c r="MWA20" s="7"/>
      <c r="MWB20" s="7"/>
      <c r="MWC20" s="7"/>
      <c r="MWD20" s="7"/>
      <c r="MWE20" s="7"/>
      <c r="MWF20" s="7"/>
      <c r="MWG20" s="7"/>
      <c r="MWH20" s="7"/>
      <c r="MWI20" s="7"/>
      <c r="MWJ20" s="7"/>
      <c r="MWK20" s="7"/>
      <c r="MWL20" s="7"/>
      <c r="MWM20" s="7"/>
      <c r="MWN20" s="7"/>
      <c r="MWO20" s="7"/>
      <c r="MWP20" s="7"/>
      <c r="MWQ20" s="7"/>
      <c r="MWR20" s="7"/>
      <c r="MWS20" s="7"/>
      <c r="MWT20" s="7"/>
      <c r="MWU20" s="7"/>
      <c r="MWV20" s="7"/>
      <c r="MWW20" s="7"/>
      <c r="MWX20" s="7"/>
      <c r="MWY20" s="7"/>
      <c r="MWZ20" s="7"/>
      <c r="MXA20" s="7"/>
      <c r="MXB20" s="7"/>
      <c r="MXC20" s="7"/>
      <c r="MXD20" s="7"/>
      <c r="MXE20" s="7"/>
      <c r="MXF20" s="7"/>
      <c r="MXG20" s="7"/>
      <c r="MXH20" s="7"/>
      <c r="MXI20" s="7"/>
      <c r="MXJ20" s="7"/>
      <c r="MXK20" s="7"/>
      <c r="MXL20" s="7"/>
      <c r="MXM20" s="7"/>
      <c r="MXN20" s="7"/>
      <c r="MXO20" s="7"/>
      <c r="MXP20" s="7"/>
      <c r="MXQ20" s="7"/>
      <c r="MXR20" s="7"/>
      <c r="MXS20" s="7"/>
      <c r="MXT20" s="7"/>
      <c r="MXU20" s="7"/>
      <c r="MXV20" s="7"/>
      <c r="MXW20" s="7"/>
      <c r="MXX20" s="7"/>
      <c r="MXY20" s="7"/>
      <c r="MXZ20" s="7"/>
      <c r="MYA20" s="7"/>
      <c r="MYB20" s="7"/>
      <c r="MYC20" s="7"/>
      <c r="MYD20" s="7"/>
      <c r="MYE20" s="7"/>
      <c r="MYF20" s="7"/>
      <c r="MYG20" s="7"/>
      <c r="MYH20" s="7"/>
      <c r="MYI20" s="7"/>
      <c r="MYJ20" s="7"/>
      <c r="MYK20" s="7"/>
      <c r="MYL20" s="7"/>
      <c r="MYM20" s="7"/>
      <c r="MYN20" s="7"/>
      <c r="MYO20" s="7"/>
      <c r="MYP20" s="7"/>
      <c r="MYQ20" s="7"/>
      <c r="MYR20" s="7"/>
      <c r="MYS20" s="7"/>
      <c r="MYT20" s="7"/>
      <c r="MYU20" s="7"/>
      <c r="MYV20" s="7"/>
      <c r="MYW20" s="7"/>
      <c r="MYX20" s="7"/>
      <c r="MYY20" s="7"/>
      <c r="MYZ20" s="7"/>
      <c r="MZA20" s="7"/>
      <c r="MZB20" s="7"/>
      <c r="MZC20" s="7"/>
      <c r="MZD20" s="7"/>
      <c r="MZE20" s="7"/>
      <c r="MZF20" s="7"/>
      <c r="MZG20" s="7"/>
      <c r="MZH20" s="7"/>
      <c r="MZI20" s="7"/>
      <c r="MZJ20" s="7"/>
      <c r="MZK20" s="7"/>
      <c r="MZL20" s="7"/>
      <c r="MZM20" s="7"/>
      <c r="MZN20" s="7"/>
      <c r="MZO20" s="7"/>
      <c r="MZP20" s="7"/>
      <c r="MZQ20" s="7"/>
      <c r="MZR20" s="7"/>
      <c r="MZS20" s="7"/>
      <c r="MZT20" s="7"/>
      <c r="MZU20" s="7"/>
      <c r="MZV20" s="7"/>
      <c r="MZW20" s="7"/>
      <c r="MZX20" s="7"/>
      <c r="MZY20" s="7"/>
      <c r="MZZ20" s="7"/>
      <c r="NAA20" s="7"/>
      <c r="NAB20" s="7"/>
      <c r="NAC20" s="7"/>
      <c r="NAD20" s="7"/>
      <c r="NAE20" s="7"/>
      <c r="NAF20" s="7"/>
      <c r="NAG20" s="7"/>
      <c r="NAH20" s="7"/>
      <c r="NAI20" s="7"/>
      <c r="NAJ20" s="7"/>
      <c r="NAK20" s="7"/>
      <c r="NAL20" s="7"/>
      <c r="NAM20" s="7"/>
      <c r="NAN20" s="7"/>
      <c r="NAO20" s="7"/>
      <c r="NAP20" s="7"/>
      <c r="NAQ20" s="7"/>
      <c r="NAR20" s="7"/>
      <c r="NAS20" s="7"/>
      <c r="NAT20" s="7"/>
      <c r="NAU20" s="7"/>
      <c r="NAV20" s="7"/>
      <c r="NAW20" s="7"/>
      <c r="NAX20" s="7"/>
      <c r="NAY20" s="7"/>
      <c r="NAZ20" s="7"/>
      <c r="NBA20" s="7"/>
      <c r="NBB20" s="7"/>
      <c r="NBC20" s="7"/>
      <c r="NBD20" s="7"/>
      <c r="NBE20" s="7"/>
      <c r="NBF20" s="7"/>
      <c r="NBG20" s="7"/>
      <c r="NBH20" s="7"/>
      <c r="NBI20" s="7"/>
      <c r="NBJ20" s="7"/>
      <c r="NBK20" s="7"/>
      <c r="NBL20" s="7"/>
      <c r="NBM20" s="7"/>
      <c r="NBN20" s="7"/>
      <c r="NBO20" s="7"/>
      <c r="NBP20" s="7"/>
      <c r="NBQ20" s="7"/>
      <c r="NBR20" s="7"/>
      <c r="NBS20" s="7"/>
      <c r="NBT20" s="7"/>
      <c r="NBU20" s="7"/>
      <c r="NBV20" s="7"/>
      <c r="NBW20" s="7"/>
      <c r="NBX20" s="7"/>
      <c r="NBY20" s="7"/>
      <c r="NBZ20" s="7"/>
      <c r="NCA20" s="7"/>
      <c r="NCB20" s="7"/>
      <c r="NCC20" s="7"/>
      <c r="NCD20" s="7"/>
      <c r="NCE20" s="7"/>
      <c r="NCF20" s="7"/>
      <c r="NCG20" s="7"/>
      <c r="NCH20" s="7"/>
      <c r="NCI20" s="7"/>
      <c r="NCJ20" s="7"/>
      <c r="NCK20" s="7"/>
      <c r="NCL20" s="7"/>
      <c r="NCM20" s="7"/>
      <c r="NCN20" s="7"/>
      <c r="NCO20" s="7"/>
      <c r="NCP20" s="7"/>
      <c r="NCQ20" s="7"/>
      <c r="NCR20" s="7"/>
      <c r="NCS20" s="7"/>
      <c r="NCT20" s="7"/>
      <c r="NCU20" s="7"/>
      <c r="NCV20" s="7"/>
      <c r="NCW20" s="7"/>
      <c r="NCX20" s="7"/>
      <c r="NCY20" s="7"/>
      <c r="NCZ20" s="7"/>
      <c r="NDA20" s="7"/>
      <c r="NDB20" s="7"/>
      <c r="NDC20" s="7"/>
      <c r="NDD20" s="7"/>
      <c r="NDE20" s="7"/>
      <c r="NDF20" s="7"/>
      <c r="NDG20" s="7"/>
      <c r="NDH20" s="7"/>
      <c r="NDI20" s="7"/>
      <c r="NDJ20" s="7"/>
      <c r="NDK20" s="7"/>
      <c r="NDL20" s="7"/>
      <c r="NDM20" s="7"/>
      <c r="NDN20" s="7"/>
      <c r="NDO20" s="7"/>
      <c r="NDP20" s="7"/>
      <c r="NDQ20" s="7"/>
      <c r="NDR20" s="7"/>
      <c r="NDS20" s="7"/>
      <c r="NDT20" s="7"/>
      <c r="NDU20" s="7"/>
      <c r="NDV20" s="7"/>
      <c r="NDW20" s="7"/>
      <c r="NDX20" s="7"/>
      <c r="NDY20" s="7"/>
      <c r="NDZ20" s="7"/>
      <c r="NEA20" s="7"/>
      <c r="NEB20" s="7"/>
      <c r="NEC20" s="7"/>
      <c r="NED20" s="7"/>
      <c r="NEE20" s="7"/>
      <c r="NEF20" s="7"/>
      <c r="NEG20" s="7"/>
      <c r="NEH20" s="7"/>
      <c r="NEI20" s="7"/>
      <c r="NEJ20" s="7"/>
      <c r="NEK20" s="7"/>
      <c r="NEL20" s="7"/>
      <c r="NEM20" s="7"/>
      <c r="NEN20" s="7"/>
      <c r="NEO20" s="7"/>
      <c r="NEP20" s="7"/>
      <c r="NEQ20" s="7"/>
      <c r="NER20" s="7"/>
      <c r="NES20" s="7"/>
      <c r="NET20" s="7"/>
      <c r="NEU20" s="7"/>
      <c r="NEV20" s="7"/>
      <c r="NEW20" s="7"/>
      <c r="NEX20" s="7"/>
      <c r="NEY20" s="7"/>
      <c r="NEZ20" s="7"/>
      <c r="NFA20" s="7"/>
      <c r="NFB20" s="7"/>
      <c r="NFC20" s="7"/>
      <c r="NFD20" s="7"/>
      <c r="NFE20" s="7"/>
      <c r="NFF20" s="7"/>
      <c r="NFG20" s="7"/>
      <c r="NFH20" s="7"/>
      <c r="NFI20" s="7"/>
      <c r="NFJ20" s="7"/>
      <c r="NFK20" s="7"/>
      <c r="NFL20" s="7"/>
      <c r="NFM20" s="7"/>
      <c r="NFN20" s="7"/>
      <c r="NFO20" s="7"/>
      <c r="NFP20" s="7"/>
      <c r="NFQ20" s="7"/>
      <c r="NFR20" s="7"/>
      <c r="NFS20" s="7"/>
      <c r="NFT20" s="7"/>
      <c r="NFU20" s="7"/>
      <c r="NFV20" s="7"/>
      <c r="NFW20" s="7"/>
      <c r="NFX20" s="7"/>
      <c r="NFY20" s="7"/>
      <c r="NFZ20" s="7"/>
      <c r="NGA20" s="7"/>
      <c r="NGB20" s="7"/>
      <c r="NGC20" s="7"/>
      <c r="NGD20" s="7"/>
      <c r="NGE20" s="7"/>
      <c r="NGF20" s="7"/>
      <c r="NGG20" s="7"/>
      <c r="NGH20" s="7"/>
      <c r="NGI20" s="7"/>
      <c r="NGJ20" s="7"/>
      <c r="NGK20" s="7"/>
      <c r="NGL20" s="7"/>
      <c r="NGM20" s="7"/>
      <c r="NGN20" s="7"/>
      <c r="NGO20" s="7"/>
      <c r="NGP20" s="7"/>
      <c r="NGQ20" s="7"/>
      <c r="NGR20" s="7"/>
      <c r="NGS20" s="7"/>
      <c r="NGT20" s="7"/>
      <c r="NGU20" s="7"/>
      <c r="NGV20" s="7"/>
      <c r="NGW20" s="7"/>
      <c r="NGX20" s="7"/>
      <c r="NGY20" s="7"/>
      <c r="NGZ20" s="7"/>
      <c r="NHA20" s="7"/>
      <c r="NHB20" s="7"/>
      <c r="NHC20" s="7"/>
      <c r="NHD20" s="7"/>
      <c r="NHE20" s="7"/>
      <c r="NHF20" s="7"/>
      <c r="NHG20" s="7"/>
      <c r="NHH20" s="7"/>
      <c r="NHI20" s="7"/>
      <c r="NHJ20" s="7"/>
      <c r="NHK20" s="7"/>
      <c r="NHL20" s="7"/>
      <c r="NHM20" s="7"/>
      <c r="NHN20" s="7"/>
      <c r="NHO20" s="7"/>
      <c r="NHP20" s="7"/>
      <c r="NHQ20" s="7"/>
      <c r="NHR20" s="7"/>
      <c r="NHS20" s="7"/>
      <c r="NHT20" s="7"/>
      <c r="NHU20" s="7"/>
      <c r="NHV20" s="7"/>
      <c r="NHW20" s="7"/>
      <c r="NHX20" s="7"/>
      <c r="NHY20" s="7"/>
      <c r="NHZ20" s="7"/>
      <c r="NIA20" s="7"/>
      <c r="NIB20" s="7"/>
      <c r="NIC20" s="7"/>
      <c r="NID20" s="7"/>
      <c r="NIE20" s="7"/>
      <c r="NIF20" s="7"/>
      <c r="NIG20" s="7"/>
      <c r="NIH20" s="7"/>
      <c r="NII20" s="7"/>
      <c r="NIJ20" s="7"/>
      <c r="NIK20" s="7"/>
      <c r="NIL20" s="7"/>
      <c r="NIM20" s="7"/>
      <c r="NIN20" s="7"/>
      <c r="NIO20" s="7"/>
      <c r="NIP20" s="7"/>
      <c r="NIQ20" s="7"/>
      <c r="NIR20" s="7"/>
      <c r="NIS20" s="7"/>
      <c r="NIT20" s="7"/>
      <c r="NIU20" s="7"/>
      <c r="NIV20" s="7"/>
      <c r="NIW20" s="7"/>
      <c r="NIX20" s="7"/>
      <c r="NIY20" s="7"/>
      <c r="NIZ20" s="7"/>
      <c r="NJA20" s="7"/>
      <c r="NJB20" s="7"/>
      <c r="NJC20" s="7"/>
      <c r="NJD20" s="7"/>
      <c r="NJE20" s="7"/>
      <c r="NJF20" s="7"/>
      <c r="NJG20" s="7"/>
      <c r="NJH20" s="7"/>
      <c r="NJI20" s="7"/>
      <c r="NJJ20" s="7"/>
      <c r="NJK20" s="7"/>
      <c r="NJL20" s="7"/>
      <c r="NJM20" s="7"/>
      <c r="NJN20" s="7"/>
      <c r="NJO20" s="7"/>
      <c r="NJP20" s="7"/>
      <c r="NJQ20" s="7"/>
      <c r="NJR20" s="7"/>
      <c r="NJS20" s="7"/>
      <c r="NJT20" s="7"/>
      <c r="NJU20" s="7"/>
      <c r="NJV20" s="7"/>
      <c r="NJW20" s="7"/>
      <c r="NJX20" s="7"/>
      <c r="NJY20" s="7"/>
      <c r="NJZ20" s="7"/>
      <c r="NKA20" s="7"/>
      <c r="NKB20" s="7"/>
      <c r="NKC20" s="7"/>
      <c r="NKD20" s="7"/>
      <c r="NKE20" s="7"/>
      <c r="NKF20" s="7"/>
      <c r="NKG20" s="7"/>
      <c r="NKH20" s="7"/>
      <c r="NKI20" s="7"/>
      <c r="NKJ20" s="7"/>
      <c r="NKK20" s="7"/>
      <c r="NKL20" s="7"/>
      <c r="NKM20" s="7"/>
      <c r="NKN20" s="7"/>
      <c r="NKO20" s="7"/>
      <c r="NKP20" s="7"/>
      <c r="NKQ20" s="7"/>
      <c r="NKR20" s="7"/>
      <c r="NKS20" s="7"/>
      <c r="NKT20" s="7"/>
      <c r="NKU20" s="7"/>
      <c r="NKV20" s="7"/>
      <c r="NKW20" s="7"/>
      <c r="NKX20" s="7"/>
      <c r="NKY20" s="7"/>
      <c r="NKZ20" s="7"/>
      <c r="NLA20" s="7"/>
      <c r="NLB20" s="7"/>
      <c r="NLC20" s="7"/>
      <c r="NLD20" s="7"/>
      <c r="NLE20" s="7"/>
      <c r="NLF20" s="7"/>
      <c r="NLG20" s="7"/>
      <c r="NLH20" s="7"/>
      <c r="NLI20" s="7"/>
      <c r="NLJ20" s="7"/>
      <c r="NLK20" s="7"/>
      <c r="NLL20" s="7"/>
      <c r="NLM20" s="7"/>
      <c r="NLN20" s="7"/>
      <c r="NLO20" s="7"/>
      <c r="NLP20" s="7"/>
      <c r="NLQ20" s="7"/>
      <c r="NLR20" s="7"/>
      <c r="NLS20" s="7"/>
      <c r="NLT20" s="7"/>
      <c r="NLU20" s="7"/>
      <c r="NLV20" s="7"/>
      <c r="NLW20" s="7"/>
      <c r="NLX20" s="7"/>
      <c r="NLY20" s="7"/>
      <c r="NLZ20" s="7"/>
      <c r="NMA20" s="7"/>
      <c r="NMB20" s="7"/>
      <c r="NMC20" s="7"/>
      <c r="NMD20" s="7"/>
      <c r="NME20" s="7"/>
      <c r="NMF20" s="7"/>
      <c r="NMG20" s="7"/>
      <c r="NMH20" s="7"/>
      <c r="NMI20" s="7"/>
      <c r="NMJ20" s="7"/>
      <c r="NMK20" s="7"/>
      <c r="NML20" s="7"/>
      <c r="NMM20" s="7"/>
      <c r="NMN20" s="7"/>
      <c r="NMO20" s="7"/>
      <c r="NMP20" s="7"/>
      <c r="NMQ20" s="7"/>
      <c r="NMR20" s="7"/>
      <c r="NMS20" s="7"/>
      <c r="NMT20" s="7"/>
      <c r="NMU20" s="7"/>
      <c r="NMV20" s="7"/>
      <c r="NMW20" s="7"/>
      <c r="NMX20" s="7"/>
      <c r="NMY20" s="7"/>
      <c r="NMZ20" s="7"/>
      <c r="NNA20" s="7"/>
      <c r="NNB20" s="7"/>
      <c r="NNC20" s="7"/>
      <c r="NND20" s="7"/>
      <c r="NNE20" s="7"/>
      <c r="NNF20" s="7"/>
      <c r="NNG20" s="7"/>
      <c r="NNH20" s="7"/>
      <c r="NNI20" s="7"/>
      <c r="NNJ20" s="7"/>
      <c r="NNK20" s="7"/>
      <c r="NNL20" s="7"/>
      <c r="NNM20" s="7"/>
      <c r="NNN20" s="7"/>
      <c r="NNO20" s="7"/>
      <c r="NNP20" s="7"/>
      <c r="NNQ20" s="7"/>
      <c r="NNR20" s="7"/>
      <c r="NNS20" s="7"/>
      <c r="NNT20" s="7"/>
      <c r="NNU20" s="7"/>
      <c r="NNV20" s="7"/>
      <c r="NNW20" s="7"/>
      <c r="NNX20" s="7"/>
      <c r="NNY20" s="7"/>
      <c r="NNZ20" s="7"/>
      <c r="NOA20" s="7"/>
      <c r="NOB20" s="7"/>
      <c r="NOC20" s="7"/>
      <c r="NOD20" s="7"/>
      <c r="NOE20" s="7"/>
      <c r="NOF20" s="7"/>
      <c r="NOG20" s="7"/>
      <c r="NOH20" s="7"/>
      <c r="NOI20" s="7"/>
      <c r="NOJ20" s="7"/>
      <c r="NOK20" s="7"/>
      <c r="NOL20" s="7"/>
      <c r="NOM20" s="7"/>
      <c r="NON20" s="7"/>
      <c r="NOO20" s="7"/>
      <c r="NOP20" s="7"/>
      <c r="NOQ20" s="7"/>
      <c r="NOR20" s="7"/>
      <c r="NOS20" s="7"/>
      <c r="NOT20" s="7"/>
      <c r="NOU20" s="7"/>
      <c r="NOV20" s="7"/>
      <c r="NOW20" s="7"/>
      <c r="NOX20" s="7"/>
      <c r="NOY20" s="7"/>
      <c r="NOZ20" s="7"/>
      <c r="NPA20" s="7"/>
      <c r="NPB20" s="7"/>
      <c r="NPC20" s="7"/>
      <c r="NPD20" s="7"/>
      <c r="NPE20" s="7"/>
      <c r="NPF20" s="7"/>
      <c r="NPG20" s="7"/>
      <c r="NPH20" s="7"/>
      <c r="NPI20" s="7"/>
      <c r="NPJ20" s="7"/>
      <c r="NPK20" s="7"/>
      <c r="NPL20" s="7"/>
      <c r="NPM20" s="7"/>
      <c r="NPN20" s="7"/>
      <c r="NPO20" s="7"/>
      <c r="NPP20" s="7"/>
      <c r="NPQ20" s="7"/>
      <c r="NPR20" s="7"/>
      <c r="NPS20" s="7"/>
      <c r="NPT20" s="7"/>
      <c r="NPU20" s="7"/>
      <c r="NPV20" s="7"/>
      <c r="NPW20" s="7"/>
      <c r="NPX20" s="7"/>
      <c r="NPY20" s="7"/>
      <c r="NPZ20" s="7"/>
      <c r="NQA20" s="7"/>
      <c r="NQB20" s="7"/>
      <c r="NQC20" s="7"/>
      <c r="NQD20" s="7"/>
      <c r="NQE20" s="7"/>
      <c r="NQF20" s="7"/>
      <c r="NQG20" s="7"/>
      <c r="NQH20" s="7"/>
      <c r="NQI20" s="7"/>
      <c r="NQJ20" s="7"/>
      <c r="NQK20" s="7"/>
      <c r="NQL20" s="7"/>
      <c r="NQM20" s="7"/>
      <c r="NQN20" s="7"/>
      <c r="NQO20" s="7"/>
      <c r="NQP20" s="7"/>
      <c r="NQQ20" s="7"/>
      <c r="NQR20" s="7"/>
      <c r="NQS20" s="7"/>
      <c r="NQT20" s="7"/>
      <c r="NQU20" s="7"/>
      <c r="NQV20" s="7"/>
      <c r="NQW20" s="7"/>
      <c r="NQX20" s="7"/>
      <c r="NQY20" s="7"/>
      <c r="NQZ20" s="7"/>
      <c r="NRA20" s="7"/>
      <c r="NRB20" s="7"/>
      <c r="NRC20" s="7"/>
      <c r="NRD20" s="7"/>
      <c r="NRE20" s="7"/>
      <c r="NRF20" s="7"/>
      <c r="NRG20" s="7"/>
      <c r="NRH20" s="7"/>
      <c r="NRI20" s="7"/>
      <c r="NRJ20" s="7"/>
      <c r="NRK20" s="7"/>
      <c r="NRL20" s="7"/>
      <c r="NRM20" s="7"/>
      <c r="NRN20" s="7"/>
      <c r="NRO20" s="7"/>
      <c r="NRP20" s="7"/>
      <c r="NRQ20" s="7"/>
      <c r="NRR20" s="7"/>
      <c r="NRS20" s="7"/>
      <c r="NRT20" s="7"/>
      <c r="NRU20" s="7"/>
      <c r="NRV20" s="7"/>
      <c r="NRW20" s="7"/>
      <c r="NRX20" s="7"/>
      <c r="NRY20" s="7"/>
      <c r="NRZ20" s="7"/>
      <c r="NSA20" s="7"/>
      <c r="NSB20" s="7"/>
      <c r="NSC20" s="7"/>
      <c r="NSD20" s="7"/>
      <c r="NSE20" s="7"/>
      <c r="NSF20" s="7"/>
      <c r="NSG20" s="7"/>
      <c r="NSH20" s="7"/>
      <c r="NSI20" s="7"/>
      <c r="NSJ20" s="7"/>
      <c r="NSK20" s="7"/>
      <c r="NSL20" s="7"/>
      <c r="NSM20" s="7"/>
      <c r="NSN20" s="7"/>
      <c r="NSO20" s="7"/>
      <c r="NSP20" s="7"/>
      <c r="NSQ20" s="7"/>
      <c r="NSR20" s="7"/>
      <c r="NSS20" s="7"/>
      <c r="NST20" s="7"/>
      <c r="NSU20" s="7"/>
      <c r="NSV20" s="7"/>
      <c r="NSW20" s="7"/>
      <c r="NSX20" s="7"/>
      <c r="NSY20" s="7"/>
      <c r="NSZ20" s="7"/>
      <c r="NTA20" s="7"/>
      <c r="NTB20" s="7"/>
      <c r="NTC20" s="7"/>
      <c r="NTD20" s="7"/>
      <c r="NTE20" s="7"/>
      <c r="NTF20" s="7"/>
      <c r="NTG20" s="7"/>
      <c r="NTH20" s="7"/>
      <c r="NTI20" s="7"/>
      <c r="NTJ20" s="7"/>
      <c r="NTK20" s="7"/>
      <c r="NTL20" s="7"/>
      <c r="NTM20" s="7"/>
      <c r="NTN20" s="7"/>
      <c r="NTO20" s="7"/>
      <c r="NTP20" s="7"/>
      <c r="NTQ20" s="7"/>
      <c r="NTR20" s="7"/>
      <c r="NTS20" s="7"/>
      <c r="NTT20" s="7"/>
      <c r="NTU20" s="7"/>
      <c r="NTV20" s="7"/>
      <c r="NTW20" s="7"/>
      <c r="NTX20" s="7"/>
      <c r="NTY20" s="7"/>
      <c r="NTZ20" s="7"/>
      <c r="NUA20" s="7"/>
      <c r="NUB20" s="7"/>
      <c r="NUC20" s="7"/>
      <c r="NUD20" s="7"/>
      <c r="NUE20" s="7"/>
      <c r="NUF20" s="7"/>
      <c r="NUG20" s="7"/>
      <c r="NUH20" s="7"/>
      <c r="NUI20" s="7"/>
      <c r="NUJ20" s="7"/>
      <c r="NUK20" s="7"/>
      <c r="NUL20" s="7"/>
      <c r="NUM20" s="7"/>
      <c r="NUN20" s="7"/>
      <c r="NUO20" s="7"/>
      <c r="NUP20" s="7"/>
      <c r="NUQ20" s="7"/>
      <c r="NUR20" s="7"/>
      <c r="NUS20" s="7"/>
      <c r="NUT20" s="7"/>
      <c r="NUU20" s="7"/>
      <c r="NUV20" s="7"/>
      <c r="NUW20" s="7"/>
      <c r="NUX20" s="7"/>
      <c r="NUY20" s="7"/>
      <c r="NUZ20" s="7"/>
      <c r="NVA20" s="7"/>
      <c r="NVB20" s="7"/>
      <c r="NVC20" s="7"/>
      <c r="NVD20" s="7"/>
      <c r="NVE20" s="7"/>
      <c r="NVF20" s="7"/>
      <c r="NVG20" s="7"/>
      <c r="NVH20" s="7"/>
      <c r="NVI20" s="7"/>
      <c r="NVJ20" s="7"/>
      <c r="NVK20" s="7"/>
      <c r="NVL20" s="7"/>
      <c r="NVM20" s="7"/>
      <c r="NVN20" s="7"/>
      <c r="NVO20" s="7"/>
      <c r="NVP20" s="7"/>
      <c r="NVQ20" s="7"/>
      <c r="NVR20" s="7"/>
      <c r="NVS20" s="7"/>
      <c r="NVT20" s="7"/>
      <c r="NVU20" s="7"/>
      <c r="NVV20" s="7"/>
      <c r="NVW20" s="7"/>
      <c r="NVX20" s="7"/>
      <c r="NVY20" s="7"/>
      <c r="NVZ20" s="7"/>
      <c r="NWA20" s="7"/>
      <c r="NWB20" s="7"/>
      <c r="NWC20" s="7"/>
      <c r="NWD20" s="7"/>
      <c r="NWE20" s="7"/>
      <c r="NWF20" s="7"/>
      <c r="NWG20" s="7"/>
      <c r="NWH20" s="7"/>
      <c r="NWI20" s="7"/>
      <c r="NWJ20" s="7"/>
      <c r="NWK20" s="7"/>
      <c r="NWL20" s="7"/>
      <c r="NWM20" s="7"/>
      <c r="NWN20" s="7"/>
      <c r="NWO20" s="7"/>
      <c r="NWP20" s="7"/>
      <c r="NWQ20" s="7"/>
      <c r="NWR20" s="7"/>
      <c r="NWS20" s="7"/>
      <c r="NWT20" s="7"/>
      <c r="NWU20" s="7"/>
      <c r="NWV20" s="7"/>
      <c r="NWW20" s="7"/>
      <c r="NWX20" s="7"/>
      <c r="NWY20" s="7"/>
      <c r="NWZ20" s="7"/>
      <c r="NXA20" s="7"/>
      <c r="NXB20" s="7"/>
      <c r="NXC20" s="7"/>
      <c r="NXD20" s="7"/>
      <c r="NXE20" s="7"/>
      <c r="NXF20" s="7"/>
      <c r="NXG20" s="7"/>
      <c r="NXH20" s="7"/>
      <c r="NXI20" s="7"/>
      <c r="NXJ20" s="7"/>
      <c r="NXK20" s="7"/>
      <c r="NXL20" s="7"/>
      <c r="NXM20" s="7"/>
      <c r="NXN20" s="7"/>
      <c r="NXO20" s="7"/>
      <c r="NXP20" s="7"/>
      <c r="NXQ20" s="7"/>
      <c r="NXR20" s="7"/>
      <c r="NXS20" s="7"/>
      <c r="NXT20" s="7"/>
      <c r="NXU20" s="7"/>
      <c r="NXV20" s="7"/>
      <c r="NXW20" s="7"/>
      <c r="NXX20" s="7"/>
      <c r="NXY20" s="7"/>
      <c r="NXZ20" s="7"/>
      <c r="NYA20" s="7"/>
      <c r="NYB20" s="7"/>
      <c r="NYC20" s="7"/>
      <c r="NYD20" s="7"/>
      <c r="NYE20" s="7"/>
      <c r="NYF20" s="7"/>
      <c r="NYG20" s="7"/>
      <c r="NYH20" s="7"/>
      <c r="NYI20" s="7"/>
      <c r="NYJ20" s="7"/>
      <c r="NYK20" s="7"/>
      <c r="NYL20" s="7"/>
      <c r="NYM20" s="7"/>
      <c r="NYN20" s="7"/>
      <c r="NYO20" s="7"/>
      <c r="NYP20" s="7"/>
      <c r="NYQ20" s="7"/>
      <c r="NYR20" s="7"/>
      <c r="NYS20" s="7"/>
      <c r="NYT20" s="7"/>
      <c r="NYU20" s="7"/>
      <c r="NYV20" s="7"/>
      <c r="NYW20" s="7"/>
      <c r="NYX20" s="7"/>
      <c r="NYY20" s="7"/>
      <c r="NYZ20" s="7"/>
      <c r="NZA20" s="7"/>
      <c r="NZB20" s="7"/>
      <c r="NZC20" s="7"/>
      <c r="NZD20" s="7"/>
      <c r="NZE20" s="7"/>
      <c r="NZF20" s="7"/>
      <c r="NZG20" s="7"/>
      <c r="NZH20" s="7"/>
      <c r="NZI20" s="7"/>
      <c r="NZJ20" s="7"/>
      <c r="NZK20" s="7"/>
      <c r="NZL20" s="7"/>
      <c r="NZM20" s="7"/>
      <c r="NZN20" s="7"/>
      <c r="NZO20" s="7"/>
      <c r="NZP20" s="7"/>
      <c r="NZQ20" s="7"/>
      <c r="NZR20" s="7"/>
      <c r="NZS20" s="7"/>
      <c r="NZT20" s="7"/>
      <c r="NZU20" s="7"/>
      <c r="NZV20" s="7"/>
      <c r="NZW20" s="7"/>
      <c r="NZX20" s="7"/>
      <c r="NZY20" s="7"/>
      <c r="NZZ20" s="7"/>
      <c r="OAA20" s="7"/>
      <c r="OAB20" s="7"/>
      <c r="OAC20" s="7"/>
      <c r="OAD20" s="7"/>
      <c r="OAE20" s="7"/>
      <c r="OAF20" s="7"/>
      <c r="OAG20" s="7"/>
      <c r="OAH20" s="7"/>
      <c r="OAI20" s="7"/>
      <c r="OAJ20" s="7"/>
      <c r="OAK20" s="7"/>
      <c r="OAL20" s="7"/>
      <c r="OAM20" s="7"/>
      <c r="OAN20" s="7"/>
      <c r="OAO20" s="7"/>
      <c r="OAP20" s="7"/>
      <c r="OAQ20" s="7"/>
      <c r="OAR20" s="7"/>
      <c r="OAS20" s="7"/>
      <c r="OAT20" s="7"/>
      <c r="OAU20" s="7"/>
      <c r="OAV20" s="7"/>
      <c r="OAW20" s="7"/>
      <c r="OAX20" s="7"/>
      <c r="OAY20" s="7"/>
      <c r="OAZ20" s="7"/>
      <c r="OBA20" s="7"/>
      <c r="OBB20" s="7"/>
      <c r="OBC20" s="7"/>
      <c r="OBD20" s="7"/>
      <c r="OBE20" s="7"/>
      <c r="OBF20" s="7"/>
      <c r="OBG20" s="7"/>
      <c r="OBH20" s="7"/>
      <c r="OBI20" s="7"/>
      <c r="OBJ20" s="7"/>
      <c r="OBK20" s="7"/>
      <c r="OBL20" s="7"/>
      <c r="OBM20" s="7"/>
      <c r="OBN20" s="7"/>
      <c r="OBO20" s="7"/>
      <c r="OBP20" s="7"/>
      <c r="OBQ20" s="7"/>
      <c r="OBR20" s="7"/>
      <c r="OBS20" s="7"/>
      <c r="OBT20" s="7"/>
      <c r="OBU20" s="7"/>
      <c r="OBV20" s="7"/>
      <c r="OBW20" s="7"/>
      <c r="OBX20" s="7"/>
      <c r="OBY20" s="7"/>
      <c r="OBZ20" s="7"/>
      <c r="OCA20" s="7"/>
      <c r="OCB20" s="7"/>
      <c r="OCC20" s="7"/>
      <c r="OCD20" s="7"/>
      <c r="OCE20" s="7"/>
      <c r="OCF20" s="7"/>
      <c r="OCG20" s="7"/>
      <c r="OCH20" s="7"/>
      <c r="OCI20" s="7"/>
      <c r="OCJ20" s="7"/>
      <c r="OCK20" s="7"/>
      <c r="OCL20" s="7"/>
      <c r="OCM20" s="7"/>
      <c r="OCN20" s="7"/>
      <c r="OCO20" s="7"/>
      <c r="OCP20" s="7"/>
      <c r="OCQ20" s="7"/>
      <c r="OCR20" s="7"/>
      <c r="OCS20" s="7"/>
      <c r="OCT20" s="7"/>
      <c r="OCU20" s="7"/>
      <c r="OCV20" s="7"/>
      <c r="OCW20" s="7"/>
      <c r="OCX20" s="7"/>
      <c r="OCY20" s="7"/>
      <c r="OCZ20" s="7"/>
      <c r="ODA20" s="7"/>
      <c r="ODB20" s="7"/>
      <c r="ODC20" s="7"/>
      <c r="ODD20" s="7"/>
      <c r="ODE20" s="7"/>
      <c r="ODF20" s="7"/>
      <c r="ODG20" s="7"/>
      <c r="ODH20" s="7"/>
      <c r="ODI20" s="7"/>
      <c r="ODJ20" s="7"/>
      <c r="ODK20" s="7"/>
      <c r="ODL20" s="7"/>
      <c r="ODM20" s="7"/>
      <c r="ODN20" s="7"/>
      <c r="ODO20" s="7"/>
      <c r="ODP20" s="7"/>
      <c r="ODQ20" s="7"/>
      <c r="ODR20" s="7"/>
      <c r="ODS20" s="7"/>
      <c r="ODT20" s="7"/>
      <c r="ODU20" s="7"/>
      <c r="ODV20" s="7"/>
      <c r="ODW20" s="7"/>
      <c r="ODX20" s="7"/>
      <c r="ODY20" s="7"/>
      <c r="ODZ20" s="7"/>
      <c r="OEA20" s="7"/>
      <c r="OEB20" s="7"/>
      <c r="OEC20" s="7"/>
      <c r="OED20" s="7"/>
      <c r="OEE20" s="7"/>
      <c r="OEF20" s="7"/>
      <c r="OEG20" s="7"/>
      <c r="OEH20" s="7"/>
      <c r="OEI20" s="7"/>
      <c r="OEJ20" s="7"/>
      <c r="OEK20" s="7"/>
      <c r="OEL20" s="7"/>
      <c r="OEM20" s="7"/>
      <c r="OEN20" s="7"/>
      <c r="OEO20" s="7"/>
      <c r="OEP20" s="7"/>
      <c r="OEQ20" s="7"/>
      <c r="OER20" s="7"/>
      <c r="OES20" s="7"/>
      <c r="OET20" s="7"/>
      <c r="OEU20" s="7"/>
      <c r="OEV20" s="7"/>
      <c r="OEW20" s="7"/>
      <c r="OEX20" s="7"/>
      <c r="OEY20" s="7"/>
      <c r="OEZ20" s="7"/>
      <c r="OFA20" s="7"/>
      <c r="OFB20" s="7"/>
      <c r="OFC20" s="7"/>
      <c r="OFD20" s="7"/>
      <c r="OFE20" s="7"/>
      <c r="OFF20" s="7"/>
      <c r="OFG20" s="7"/>
      <c r="OFH20" s="7"/>
      <c r="OFI20" s="7"/>
      <c r="OFJ20" s="7"/>
      <c r="OFK20" s="7"/>
      <c r="OFL20" s="7"/>
      <c r="OFM20" s="7"/>
      <c r="OFN20" s="7"/>
      <c r="OFO20" s="7"/>
      <c r="OFP20" s="7"/>
      <c r="OFQ20" s="7"/>
      <c r="OFR20" s="7"/>
      <c r="OFS20" s="7"/>
      <c r="OFT20" s="7"/>
      <c r="OFU20" s="7"/>
      <c r="OFV20" s="7"/>
      <c r="OFW20" s="7"/>
      <c r="OFX20" s="7"/>
      <c r="OFY20" s="7"/>
      <c r="OFZ20" s="7"/>
      <c r="OGA20" s="7"/>
      <c r="OGB20" s="7"/>
      <c r="OGC20" s="7"/>
      <c r="OGD20" s="7"/>
      <c r="OGE20" s="7"/>
      <c r="OGF20" s="7"/>
      <c r="OGG20" s="7"/>
      <c r="OGH20" s="7"/>
      <c r="OGI20" s="7"/>
      <c r="OGJ20" s="7"/>
      <c r="OGK20" s="7"/>
      <c r="OGL20" s="7"/>
      <c r="OGM20" s="7"/>
      <c r="OGN20" s="7"/>
      <c r="OGO20" s="7"/>
      <c r="OGP20" s="7"/>
      <c r="OGQ20" s="7"/>
      <c r="OGR20" s="7"/>
      <c r="OGS20" s="7"/>
      <c r="OGT20" s="7"/>
      <c r="OGU20" s="7"/>
      <c r="OGV20" s="7"/>
      <c r="OGW20" s="7"/>
      <c r="OGX20" s="7"/>
      <c r="OGY20" s="7"/>
      <c r="OGZ20" s="7"/>
      <c r="OHA20" s="7"/>
      <c r="OHB20" s="7"/>
      <c r="OHC20" s="7"/>
      <c r="OHD20" s="7"/>
      <c r="OHE20" s="7"/>
      <c r="OHF20" s="7"/>
      <c r="OHG20" s="7"/>
      <c r="OHH20" s="7"/>
      <c r="OHI20" s="7"/>
      <c r="OHJ20" s="7"/>
      <c r="OHK20" s="7"/>
      <c r="OHL20" s="7"/>
      <c r="OHM20" s="7"/>
      <c r="OHN20" s="7"/>
      <c r="OHO20" s="7"/>
      <c r="OHP20" s="7"/>
      <c r="OHQ20" s="7"/>
      <c r="OHR20" s="7"/>
      <c r="OHS20" s="7"/>
      <c r="OHT20" s="7"/>
      <c r="OHU20" s="7"/>
      <c r="OHV20" s="7"/>
      <c r="OHW20" s="7"/>
      <c r="OHX20" s="7"/>
      <c r="OHY20" s="7"/>
      <c r="OHZ20" s="7"/>
      <c r="OIA20" s="7"/>
      <c r="OIB20" s="7"/>
      <c r="OIC20" s="7"/>
      <c r="OID20" s="7"/>
      <c r="OIE20" s="7"/>
      <c r="OIF20" s="7"/>
      <c r="OIG20" s="7"/>
      <c r="OIH20" s="7"/>
      <c r="OII20" s="7"/>
      <c r="OIJ20" s="7"/>
      <c r="OIK20" s="7"/>
      <c r="OIL20" s="7"/>
      <c r="OIM20" s="7"/>
      <c r="OIN20" s="7"/>
      <c r="OIO20" s="7"/>
      <c r="OIP20" s="7"/>
      <c r="OIQ20" s="7"/>
      <c r="OIR20" s="7"/>
      <c r="OIS20" s="7"/>
      <c r="OIT20" s="7"/>
      <c r="OIU20" s="7"/>
      <c r="OIV20" s="7"/>
      <c r="OIW20" s="7"/>
      <c r="OIX20" s="7"/>
      <c r="OIY20" s="7"/>
      <c r="OIZ20" s="7"/>
      <c r="OJA20" s="7"/>
      <c r="OJB20" s="7"/>
      <c r="OJC20" s="7"/>
      <c r="OJD20" s="7"/>
      <c r="OJE20" s="7"/>
      <c r="OJF20" s="7"/>
      <c r="OJG20" s="7"/>
      <c r="OJH20" s="7"/>
      <c r="OJI20" s="7"/>
      <c r="OJJ20" s="7"/>
      <c r="OJK20" s="7"/>
      <c r="OJL20" s="7"/>
      <c r="OJM20" s="7"/>
      <c r="OJN20" s="7"/>
      <c r="OJO20" s="7"/>
      <c r="OJP20" s="7"/>
      <c r="OJQ20" s="7"/>
      <c r="OJR20" s="7"/>
      <c r="OJS20" s="7"/>
      <c r="OJT20" s="7"/>
      <c r="OJU20" s="7"/>
      <c r="OJV20" s="7"/>
      <c r="OJW20" s="7"/>
      <c r="OJX20" s="7"/>
      <c r="OJY20" s="7"/>
      <c r="OJZ20" s="7"/>
      <c r="OKA20" s="7"/>
      <c r="OKB20" s="7"/>
      <c r="OKC20" s="7"/>
      <c r="OKD20" s="7"/>
      <c r="OKE20" s="7"/>
      <c r="OKF20" s="7"/>
      <c r="OKG20" s="7"/>
      <c r="OKH20" s="7"/>
      <c r="OKI20" s="7"/>
      <c r="OKJ20" s="7"/>
      <c r="OKK20" s="7"/>
      <c r="OKL20" s="7"/>
      <c r="OKM20" s="7"/>
      <c r="OKN20" s="7"/>
      <c r="OKO20" s="7"/>
      <c r="OKP20" s="7"/>
      <c r="OKQ20" s="7"/>
      <c r="OKR20" s="7"/>
      <c r="OKS20" s="7"/>
      <c r="OKT20" s="7"/>
      <c r="OKU20" s="7"/>
      <c r="OKV20" s="7"/>
      <c r="OKW20" s="7"/>
      <c r="OKX20" s="7"/>
      <c r="OKY20" s="7"/>
      <c r="OKZ20" s="7"/>
      <c r="OLA20" s="7"/>
      <c r="OLB20" s="7"/>
      <c r="OLC20" s="7"/>
      <c r="OLD20" s="7"/>
      <c r="OLE20" s="7"/>
      <c r="OLF20" s="7"/>
      <c r="OLG20" s="7"/>
      <c r="OLH20" s="7"/>
      <c r="OLI20" s="7"/>
      <c r="OLJ20" s="7"/>
      <c r="OLK20" s="7"/>
      <c r="OLL20" s="7"/>
      <c r="OLM20" s="7"/>
      <c r="OLN20" s="7"/>
      <c r="OLO20" s="7"/>
      <c r="OLP20" s="7"/>
      <c r="OLQ20" s="7"/>
      <c r="OLR20" s="7"/>
      <c r="OLS20" s="7"/>
      <c r="OLT20" s="7"/>
      <c r="OLU20" s="7"/>
      <c r="OLV20" s="7"/>
      <c r="OLW20" s="7"/>
      <c r="OLX20" s="7"/>
      <c r="OLY20" s="7"/>
      <c r="OLZ20" s="7"/>
      <c r="OMA20" s="7"/>
      <c r="OMB20" s="7"/>
      <c r="OMC20" s="7"/>
      <c r="OMD20" s="7"/>
      <c r="OME20" s="7"/>
      <c r="OMF20" s="7"/>
      <c r="OMG20" s="7"/>
      <c r="OMH20" s="7"/>
      <c r="OMI20" s="7"/>
      <c r="OMJ20" s="7"/>
      <c r="OMK20" s="7"/>
      <c r="OML20" s="7"/>
      <c r="OMM20" s="7"/>
      <c r="OMN20" s="7"/>
      <c r="OMO20" s="7"/>
      <c r="OMP20" s="7"/>
      <c r="OMQ20" s="7"/>
      <c r="OMR20" s="7"/>
      <c r="OMS20" s="7"/>
      <c r="OMT20" s="7"/>
      <c r="OMU20" s="7"/>
      <c r="OMV20" s="7"/>
      <c r="OMW20" s="7"/>
      <c r="OMX20" s="7"/>
      <c r="OMY20" s="7"/>
      <c r="OMZ20" s="7"/>
      <c r="ONA20" s="7"/>
      <c r="ONB20" s="7"/>
      <c r="ONC20" s="7"/>
      <c r="OND20" s="7"/>
      <c r="ONE20" s="7"/>
      <c r="ONF20" s="7"/>
      <c r="ONG20" s="7"/>
      <c r="ONH20" s="7"/>
      <c r="ONI20" s="7"/>
      <c r="ONJ20" s="7"/>
      <c r="ONK20" s="7"/>
      <c r="ONL20" s="7"/>
      <c r="ONM20" s="7"/>
      <c r="ONN20" s="7"/>
      <c r="ONO20" s="7"/>
      <c r="ONP20" s="7"/>
      <c r="ONQ20" s="7"/>
      <c r="ONR20" s="7"/>
      <c r="ONS20" s="7"/>
      <c r="ONT20" s="7"/>
      <c r="ONU20" s="7"/>
      <c r="ONV20" s="7"/>
      <c r="ONW20" s="7"/>
      <c r="ONX20" s="7"/>
      <c r="ONY20" s="7"/>
      <c r="ONZ20" s="7"/>
      <c r="OOA20" s="7"/>
      <c r="OOB20" s="7"/>
      <c r="OOC20" s="7"/>
      <c r="OOD20" s="7"/>
      <c r="OOE20" s="7"/>
      <c r="OOF20" s="7"/>
      <c r="OOG20" s="7"/>
      <c r="OOH20" s="7"/>
      <c r="OOI20" s="7"/>
      <c r="OOJ20" s="7"/>
      <c r="OOK20" s="7"/>
      <c r="OOL20" s="7"/>
      <c r="OOM20" s="7"/>
      <c r="OON20" s="7"/>
      <c r="OOO20" s="7"/>
      <c r="OOP20" s="7"/>
      <c r="OOQ20" s="7"/>
      <c r="OOR20" s="7"/>
      <c r="OOS20" s="7"/>
      <c r="OOT20" s="7"/>
      <c r="OOU20" s="7"/>
      <c r="OOV20" s="7"/>
      <c r="OOW20" s="7"/>
      <c r="OOX20" s="7"/>
      <c r="OOY20" s="7"/>
      <c r="OOZ20" s="7"/>
      <c r="OPA20" s="7"/>
      <c r="OPB20" s="7"/>
      <c r="OPC20" s="7"/>
      <c r="OPD20" s="7"/>
      <c r="OPE20" s="7"/>
      <c r="OPF20" s="7"/>
      <c r="OPG20" s="7"/>
      <c r="OPH20" s="7"/>
      <c r="OPI20" s="7"/>
      <c r="OPJ20" s="7"/>
      <c r="OPK20" s="7"/>
      <c r="OPL20" s="7"/>
      <c r="OPM20" s="7"/>
      <c r="OPN20" s="7"/>
      <c r="OPO20" s="7"/>
      <c r="OPP20" s="7"/>
      <c r="OPQ20" s="7"/>
      <c r="OPR20" s="7"/>
      <c r="OPS20" s="7"/>
      <c r="OPT20" s="7"/>
      <c r="OPU20" s="7"/>
      <c r="OPV20" s="7"/>
      <c r="OPW20" s="7"/>
      <c r="OPX20" s="7"/>
      <c r="OPY20" s="7"/>
      <c r="OPZ20" s="7"/>
      <c r="OQA20" s="7"/>
      <c r="OQB20" s="7"/>
      <c r="OQC20" s="7"/>
      <c r="OQD20" s="7"/>
      <c r="OQE20" s="7"/>
      <c r="OQF20" s="7"/>
      <c r="OQG20" s="7"/>
      <c r="OQH20" s="7"/>
      <c r="OQI20" s="7"/>
      <c r="OQJ20" s="7"/>
      <c r="OQK20" s="7"/>
      <c r="OQL20" s="7"/>
      <c r="OQM20" s="7"/>
      <c r="OQN20" s="7"/>
      <c r="OQO20" s="7"/>
      <c r="OQP20" s="7"/>
      <c r="OQQ20" s="7"/>
      <c r="OQR20" s="7"/>
      <c r="OQS20" s="7"/>
      <c r="OQT20" s="7"/>
      <c r="OQU20" s="7"/>
      <c r="OQV20" s="7"/>
      <c r="OQW20" s="7"/>
      <c r="OQX20" s="7"/>
      <c r="OQY20" s="7"/>
      <c r="OQZ20" s="7"/>
      <c r="ORA20" s="7"/>
      <c r="ORB20" s="7"/>
      <c r="ORC20" s="7"/>
      <c r="ORD20" s="7"/>
      <c r="ORE20" s="7"/>
      <c r="ORF20" s="7"/>
      <c r="ORG20" s="7"/>
      <c r="ORH20" s="7"/>
      <c r="ORI20" s="7"/>
      <c r="ORJ20" s="7"/>
      <c r="ORK20" s="7"/>
      <c r="ORL20" s="7"/>
      <c r="ORM20" s="7"/>
      <c r="ORN20" s="7"/>
      <c r="ORO20" s="7"/>
      <c r="ORP20" s="7"/>
      <c r="ORQ20" s="7"/>
      <c r="ORR20" s="7"/>
      <c r="ORS20" s="7"/>
      <c r="ORT20" s="7"/>
      <c r="ORU20" s="7"/>
      <c r="ORV20" s="7"/>
      <c r="ORW20" s="7"/>
      <c r="ORX20" s="7"/>
      <c r="ORY20" s="7"/>
      <c r="ORZ20" s="7"/>
      <c r="OSA20" s="7"/>
      <c r="OSB20" s="7"/>
      <c r="OSC20" s="7"/>
      <c r="OSD20" s="7"/>
      <c r="OSE20" s="7"/>
      <c r="OSF20" s="7"/>
      <c r="OSG20" s="7"/>
      <c r="OSH20" s="7"/>
      <c r="OSI20" s="7"/>
      <c r="OSJ20" s="7"/>
      <c r="OSK20" s="7"/>
      <c r="OSL20" s="7"/>
      <c r="OSM20" s="7"/>
      <c r="OSN20" s="7"/>
      <c r="OSO20" s="7"/>
      <c r="OSP20" s="7"/>
      <c r="OSQ20" s="7"/>
      <c r="OSR20" s="7"/>
      <c r="OSS20" s="7"/>
      <c r="OST20" s="7"/>
      <c r="OSU20" s="7"/>
      <c r="OSV20" s="7"/>
      <c r="OSW20" s="7"/>
      <c r="OSX20" s="7"/>
      <c r="OSY20" s="7"/>
      <c r="OSZ20" s="7"/>
      <c r="OTA20" s="7"/>
      <c r="OTB20" s="7"/>
      <c r="OTC20" s="7"/>
      <c r="OTD20" s="7"/>
      <c r="OTE20" s="7"/>
      <c r="OTF20" s="7"/>
      <c r="OTG20" s="7"/>
      <c r="OTH20" s="7"/>
      <c r="OTI20" s="7"/>
      <c r="OTJ20" s="7"/>
      <c r="OTK20" s="7"/>
      <c r="OTL20" s="7"/>
      <c r="OTM20" s="7"/>
      <c r="OTN20" s="7"/>
      <c r="OTO20" s="7"/>
      <c r="OTP20" s="7"/>
      <c r="OTQ20" s="7"/>
      <c r="OTR20" s="7"/>
      <c r="OTS20" s="7"/>
      <c r="OTT20" s="7"/>
      <c r="OTU20" s="7"/>
      <c r="OTV20" s="7"/>
      <c r="OTW20" s="7"/>
      <c r="OTX20" s="7"/>
      <c r="OTY20" s="7"/>
      <c r="OTZ20" s="7"/>
      <c r="OUA20" s="7"/>
      <c r="OUB20" s="7"/>
      <c r="OUC20" s="7"/>
      <c r="OUD20" s="7"/>
      <c r="OUE20" s="7"/>
      <c r="OUF20" s="7"/>
      <c r="OUG20" s="7"/>
      <c r="OUH20" s="7"/>
      <c r="OUI20" s="7"/>
      <c r="OUJ20" s="7"/>
      <c r="OUK20" s="7"/>
      <c r="OUL20" s="7"/>
      <c r="OUM20" s="7"/>
      <c r="OUN20" s="7"/>
      <c r="OUO20" s="7"/>
      <c r="OUP20" s="7"/>
      <c r="OUQ20" s="7"/>
      <c r="OUR20" s="7"/>
      <c r="OUS20" s="7"/>
      <c r="OUT20" s="7"/>
      <c r="OUU20" s="7"/>
      <c r="OUV20" s="7"/>
      <c r="OUW20" s="7"/>
      <c r="OUX20" s="7"/>
      <c r="OUY20" s="7"/>
      <c r="OUZ20" s="7"/>
      <c r="OVA20" s="7"/>
      <c r="OVB20" s="7"/>
      <c r="OVC20" s="7"/>
      <c r="OVD20" s="7"/>
      <c r="OVE20" s="7"/>
      <c r="OVF20" s="7"/>
      <c r="OVG20" s="7"/>
      <c r="OVH20" s="7"/>
      <c r="OVI20" s="7"/>
      <c r="OVJ20" s="7"/>
      <c r="OVK20" s="7"/>
      <c r="OVL20" s="7"/>
      <c r="OVM20" s="7"/>
      <c r="OVN20" s="7"/>
      <c r="OVO20" s="7"/>
      <c r="OVP20" s="7"/>
      <c r="OVQ20" s="7"/>
      <c r="OVR20" s="7"/>
      <c r="OVS20" s="7"/>
      <c r="OVT20" s="7"/>
      <c r="OVU20" s="7"/>
      <c r="OVV20" s="7"/>
      <c r="OVW20" s="7"/>
      <c r="OVX20" s="7"/>
      <c r="OVY20" s="7"/>
      <c r="OVZ20" s="7"/>
      <c r="OWA20" s="7"/>
      <c r="OWB20" s="7"/>
      <c r="OWC20" s="7"/>
      <c r="OWD20" s="7"/>
      <c r="OWE20" s="7"/>
      <c r="OWF20" s="7"/>
      <c r="OWG20" s="7"/>
      <c r="OWH20" s="7"/>
      <c r="OWI20" s="7"/>
      <c r="OWJ20" s="7"/>
      <c r="OWK20" s="7"/>
      <c r="OWL20" s="7"/>
      <c r="OWM20" s="7"/>
      <c r="OWN20" s="7"/>
      <c r="OWO20" s="7"/>
      <c r="OWP20" s="7"/>
      <c r="OWQ20" s="7"/>
      <c r="OWR20" s="7"/>
      <c r="OWS20" s="7"/>
      <c r="OWT20" s="7"/>
      <c r="OWU20" s="7"/>
      <c r="OWV20" s="7"/>
      <c r="OWW20" s="7"/>
      <c r="OWX20" s="7"/>
      <c r="OWY20" s="7"/>
      <c r="OWZ20" s="7"/>
      <c r="OXA20" s="7"/>
      <c r="OXB20" s="7"/>
      <c r="OXC20" s="7"/>
      <c r="OXD20" s="7"/>
      <c r="OXE20" s="7"/>
      <c r="OXF20" s="7"/>
      <c r="OXG20" s="7"/>
      <c r="OXH20" s="7"/>
      <c r="OXI20" s="7"/>
      <c r="OXJ20" s="7"/>
      <c r="OXK20" s="7"/>
      <c r="OXL20" s="7"/>
      <c r="OXM20" s="7"/>
      <c r="OXN20" s="7"/>
      <c r="OXO20" s="7"/>
      <c r="OXP20" s="7"/>
      <c r="OXQ20" s="7"/>
      <c r="OXR20" s="7"/>
      <c r="OXS20" s="7"/>
      <c r="OXT20" s="7"/>
      <c r="OXU20" s="7"/>
      <c r="OXV20" s="7"/>
      <c r="OXW20" s="7"/>
      <c r="OXX20" s="7"/>
      <c r="OXY20" s="7"/>
      <c r="OXZ20" s="7"/>
      <c r="OYA20" s="7"/>
      <c r="OYB20" s="7"/>
      <c r="OYC20" s="7"/>
      <c r="OYD20" s="7"/>
      <c r="OYE20" s="7"/>
      <c r="OYF20" s="7"/>
      <c r="OYG20" s="7"/>
      <c r="OYH20" s="7"/>
      <c r="OYI20" s="7"/>
      <c r="OYJ20" s="7"/>
      <c r="OYK20" s="7"/>
      <c r="OYL20" s="7"/>
      <c r="OYM20" s="7"/>
      <c r="OYN20" s="7"/>
      <c r="OYO20" s="7"/>
      <c r="OYP20" s="7"/>
      <c r="OYQ20" s="7"/>
      <c r="OYR20" s="7"/>
      <c r="OYS20" s="7"/>
      <c r="OYT20" s="7"/>
      <c r="OYU20" s="7"/>
      <c r="OYV20" s="7"/>
      <c r="OYW20" s="7"/>
      <c r="OYX20" s="7"/>
      <c r="OYY20" s="7"/>
      <c r="OYZ20" s="7"/>
      <c r="OZA20" s="7"/>
      <c r="OZB20" s="7"/>
      <c r="OZC20" s="7"/>
      <c r="OZD20" s="7"/>
      <c r="OZE20" s="7"/>
      <c r="OZF20" s="7"/>
      <c r="OZG20" s="7"/>
      <c r="OZH20" s="7"/>
      <c r="OZI20" s="7"/>
      <c r="OZJ20" s="7"/>
      <c r="OZK20" s="7"/>
      <c r="OZL20" s="7"/>
      <c r="OZM20" s="7"/>
      <c r="OZN20" s="7"/>
      <c r="OZO20" s="7"/>
      <c r="OZP20" s="7"/>
      <c r="OZQ20" s="7"/>
      <c r="OZR20" s="7"/>
      <c r="OZS20" s="7"/>
      <c r="OZT20" s="7"/>
      <c r="OZU20" s="7"/>
      <c r="OZV20" s="7"/>
      <c r="OZW20" s="7"/>
      <c r="OZX20" s="7"/>
      <c r="OZY20" s="7"/>
      <c r="OZZ20" s="7"/>
      <c r="PAA20" s="7"/>
      <c r="PAB20" s="7"/>
      <c r="PAC20" s="7"/>
      <c r="PAD20" s="7"/>
      <c r="PAE20" s="7"/>
      <c r="PAF20" s="7"/>
      <c r="PAG20" s="7"/>
      <c r="PAH20" s="7"/>
      <c r="PAI20" s="7"/>
      <c r="PAJ20" s="7"/>
      <c r="PAK20" s="7"/>
      <c r="PAL20" s="7"/>
      <c r="PAM20" s="7"/>
      <c r="PAN20" s="7"/>
      <c r="PAO20" s="7"/>
      <c r="PAP20" s="7"/>
      <c r="PAQ20" s="7"/>
      <c r="PAR20" s="7"/>
      <c r="PAS20" s="7"/>
      <c r="PAT20" s="7"/>
      <c r="PAU20" s="7"/>
      <c r="PAV20" s="7"/>
      <c r="PAW20" s="7"/>
      <c r="PAX20" s="7"/>
      <c r="PAY20" s="7"/>
      <c r="PAZ20" s="7"/>
      <c r="PBA20" s="7"/>
      <c r="PBB20" s="7"/>
      <c r="PBC20" s="7"/>
      <c r="PBD20" s="7"/>
      <c r="PBE20" s="7"/>
      <c r="PBF20" s="7"/>
      <c r="PBG20" s="7"/>
      <c r="PBH20" s="7"/>
      <c r="PBI20" s="7"/>
      <c r="PBJ20" s="7"/>
      <c r="PBK20" s="7"/>
      <c r="PBL20" s="7"/>
      <c r="PBM20" s="7"/>
      <c r="PBN20" s="7"/>
      <c r="PBO20" s="7"/>
      <c r="PBP20" s="7"/>
      <c r="PBQ20" s="7"/>
      <c r="PBR20" s="7"/>
      <c r="PBS20" s="7"/>
      <c r="PBT20" s="7"/>
      <c r="PBU20" s="7"/>
      <c r="PBV20" s="7"/>
      <c r="PBW20" s="7"/>
      <c r="PBX20" s="7"/>
      <c r="PBY20" s="7"/>
      <c r="PBZ20" s="7"/>
      <c r="PCA20" s="7"/>
      <c r="PCB20" s="7"/>
      <c r="PCC20" s="7"/>
      <c r="PCD20" s="7"/>
      <c r="PCE20" s="7"/>
      <c r="PCF20" s="7"/>
      <c r="PCG20" s="7"/>
      <c r="PCH20" s="7"/>
      <c r="PCI20" s="7"/>
      <c r="PCJ20" s="7"/>
      <c r="PCK20" s="7"/>
      <c r="PCL20" s="7"/>
      <c r="PCM20" s="7"/>
      <c r="PCN20" s="7"/>
      <c r="PCO20" s="7"/>
      <c r="PCP20" s="7"/>
      <c r="PCQ20" s="7"/>
      <c r="PCR20" s="7"/>
      <c r="PCS20" s="7"/>
      <c r="PCT20" s="7"/>
      <c r="PCU20" s="7"/>
      <c r="PCV20" s="7"/>
      <c r="PCW20" s="7"/>
      <c r="PCX20" s="7"/>
      <c r="PCY20" s="7"/>
      <c r="PCZ20" s="7"/>
      <c r="PDA20" s="7"/>
      <c r="PDB20" s="7"/>
      <c r="PDC20" s="7"/>
      <c r="PDD20" s="7"/>
      <c r="PDE20" s="7"/>
      <c r="PDF20" s="7"/>
      <c r="PDG20" s="7"/>
      <c r="PDH20" s="7"/>
      <c r="PDI20" s="7"/>
      <c r="PDJ20" s="7"/>
      <c r="PDK20" s="7"/>
      <c r="PDL20" s="7"/>
      <c r="PDM20" s="7"/>
      <c r="PDN20" s="7"/>
      <c r="PDO20" s="7"/>
      <c r="PDP20" s="7"/>
      <c r="PDQ20" s="7"/>
      <c r="PDR20" s="7"/>
      <c r="PDS20" s="7"/>
      <c r="PDT20" s="7"/>
      <c r="PDU20" s="7"/>
      <c r="PDV20" s="7"/>
      <c r="PDW20" s="7"/>
      <c r="PDX20" s="7"/>
      <c r="PDY20" s="7"/>
      <c r="PDZ20" s="7"/>
      <c r="PEA20" s="7"/>
      <c r="PEB20" s="7"/>
      <c r="PEC20" s="7"/>
      <c r="PED20" s="7"/>
      <c r="PEE20" s="7"/>
      <c r="PEF20" s="7"/>
      <c r="PEG20" s="7"/>
      <c r="PEH20" s="7"/>
      <c r="PEI20" s="7"/>
      <c r="PEJ20" s="7"/>
      <c r="PEK20" s="7"/>
      <c r="PEL20" s="7"/>
      <c r="PEM20" s="7"/>
      <c r="PEN20" s="7"/>
      <c r="PEO20" s="7"/>
      <c r="PEP20" s="7"/>
      <c r="PEQ20" s="7"/>
      <c r="PER20" s="7"/>
      <c r="PES20" s="7"/>
      <c r="PET20" s="7"/>
      <c r="PEU20" s="7"/>
      <c r="PEV20" s="7"/>
      <c r="PEW20" s="7"/>
      <c r="PEX20" s="7"/>
      <c r="PEY20" s="7"/>
      <c r="PEZ20" s="7"/>
      <c r="PFA20" s="7"/>
      <c r="PFB20" s="7"/>
      <c r="PFC20" s="7"/>
      <c r="PFD20" s="7"/>
      <c r="PFE20" s="7"/>
      <c r="PFF20" s="7"/>
      <c r="PFG20" s="7"/>
      <c r="PFH20" s="7"/>
      <c r="PFI20" s="7"/>
      <c r="PFJ20" s="7"/>
      <c r="PFK20" s="7"/>
      <c r="PFL20" s="7"/>
      <c r="PFM20" s="7"/>
      <c r="PFN20" s="7"/>
      <c r="PFO20" s="7"/>
      <c r="PFP20" s="7"/>
      <c r="PFQ20" s="7"/>
      <c r="PFR20" s="7"/>
      <c r="PFS20" s="7"/>
      <c r="PFT20" s="7"/>
      <c r="PFU20" s="7"/>
      <c r="PFV20" s="7"/>
      <c r="PFW20" s="7"/>
      <c r="PFX20" s="7"/>
      <c r="PFY20" s="7"/>
      <c r="PFZ20" s="7"/>
      <c r="PGA20" s="7"/>
      <c r="PGB20" s="7"/>
      <c r="PGC20" s="7"/>
      <c r="PGD20" s="7"/>
      <c r="PGE20" s="7"/>
      <c r="PGF20" s="7"/>
      <c r="PGG20" s="7"/>
      <c r="PGH20" s="7"/>
      <c r="PGI20" s="7"/>
      <c r="PGJ20" s="7"/>
      <c r="PGK20" s="7"/>
      <c r="PGL20" s="7"/>
      <c r="PGM20" s="7"/>
      <c r="PGN20" s="7"/>
      <c r="PGO20" s="7"/>
      <c r="PGP20" s="7"/>
      <c r="PGQ20" s="7"/>
      <c r="PGR20" s="7"/>
      <c r="PGS20" s="7"/>
      <c r="PGT20" s="7"/>
      <c r="PGU20" s="7"/>
      <c r="PGV20" s="7"/>
      <c r="PGW20" s="7"/>
      <c r="PGX20" s="7"/>
      <c r="PGY20" s="7"/>
      <c r="PGZ20" s="7"/>
      <c r="PHA20" s="7"/>
      <c r="PHB20" s="7"/>
      <c r="PHC20" s="7"/>
      <c r="PHD20" s="7"/>
      <c r="PHE20" s="7"/>
      <c r="PHF20" s="7"/>
      <c r="PHG20" s="7"/>
      <c r="PHH20" s="7"/>
      <c r="PHI20" s="7"/>
      <c r="PHJ20" s="7"/>
      <c r="PHK20" s="7"/>
      <c r="PHL20" s="7"/>
      <c r="PHM20" s="7"/>
      <c r="PHN20" s="7"/>
      <c r="PHO20" s="7"/>
      <c r="PHP20" s="7"/>
      <c r="PHQ20" s="7"/>
      <c r="PHR20" s="7"/>
      <c r="PHS20" s="7"/>
      <c r="PHT20" s="7"/>
      <c r="PHU20" s="7"/>
      <c r="PHV20" s="7"/>
      <c r="PHW20" s="7"/>
      <c r="PHX20" s="7"/>
      <c r="PHY20" s="7"/>
      <c r="PHZ20" s="7"/>
      <c r="PIA20" s="7"/>
      <c r="PIB20" s="7"/>
      <c r="PIC20" s="7"/>
      <c r="PID20" s="7"/>
      <c r="PIE20" s="7"/>
      <c r="PIF20" s="7"/>
      <c r="PIG20" s="7"/>
      <c r="PIH20" s="7"/>
      <c r="PII20" s="7"/>
      <c r="PIJ20" s="7"/>
      <c r="PIK20" s="7"/>
      <c r="PIL20" s="7"/>
      <c r="PIM20" s="7"/>
      <c r="PIN20" s="7"/>
      <c r="PIO20" s="7"/>
      <c r="PIP20" s="7"/>
      <c r="PIQ20" s="7"/>
      <c r="PIR20" s="7"/>
      <c r="PIS20" s="7"/>
      <c r="PIT20" s="7"/>
      <c r="PIU20" s="7"/>
      <c r="PIV20" s="7"/>
      <c r="PIW20" s="7"/>
      <c r="PIX20" s="7"/>
      <c r="PIY20" s="7"/>
      <c r="PIZ20" s="7"/>
      <c r="PJA20" s="7"/>
      <c r="PJB20" s="7"/>
      <c r="PJC20" s="7"/>
      <c r="PJD20" s="7"/>
      <c r="PJE20" s="7"/>
      <c r="PJF20" s="7"/>
      <c r="PJG20" s="7"/>
      <c r="PJH20" s="7"/>
      <c r="PJI20" s="7"/>
      <c r="PJJ20" s="7"/>
      <c r="PJK20" s="7"/>
      <c r="PJL20" s="7"/>
      <c r="PJM20" s="7"/>
      <c r="PJN20" s="7"/>
      <c r="PJO20" s="7"/>
      <c r="PJP20" s="7"/>
      <c r="PJQ20" s="7"/>
      <c r="PJR20" s="7"/>
      <c r="PJS20" s="7"/>
      <c r="PJT20" s="7"/>
      <c r="PJU20" s="7"/>
      <c r="PJV20" s="7"/>
      <c r="PJW20" s="7"/>
      <c r="PJX20" s="7"/>
      <c r="PJY20" s="7"/>
      <c r="PJZ20" s="7"/>
      <c r="PKA20" s="7"/>
      <c r="PKB20" s="7"/>
      <c r="PKC20" s="7"/>
      <c r="PKD20" s="7"/>
      <c r="PKE20" s="7"/>
      <c r="PKF20" s="7"/>
      <c r="PKG20" s="7"/>
      <c r="PKH20" s="7"/>
      <c r="PKI20" s="7"/>
      <c r="PKJ20" s="7"/>
      <c r="PKK20" s="7"/>
      <c r="PKL20" s="7"/>
      <c r="PKM20" s="7"/>
      <c r="PKN20" s="7"/>
      <c r="PKO20" s="7"/>
      <c r="PKP20" s="7"/>
      <c r="PKQ20" s="7"/>
      <c r="PKR20" s="7"/>
      <c r="PKS20" s="7"/>
      <c r="PKT20" s="7"/>
      <c r="PKU20" s="7"/>
      <c r="PKV20" s="7"/>
      <c r="PKW20" s="7"/>
      <c r="PKX20" s="7"/>
      <c r="PKY20" s="7"/>
      <c r="PKZ20" s="7"/>
      <c r="PLA20" s="7"/>
      <c r="PLB20" s="7"/>
      <c r="PLC20" s="7"/>
      <c r="PLD20" s="7"/>
      <c r="PLE20" s="7"/>
      <c r="PLF20" s="7"/>
      <c r="PLG20" s="7"/>
      <c r="PLH20" s="7"/>
      <c r="PLI20" s="7"/>
      <c r="PLJ20" s="7"/>
      <c r="PLK20" s="7"/>
      <c r="PLL20" s="7"/>
      <c r="PLM20" s="7"/>
      <c r="PLN20" s="7"/>
      <c r="PLO20" s="7"/>
      <c r="PLP20" s="7"/>
      <c r="PLQ20" s="7"/>
      <c r="PLR20" s="7"/>
      <c r="PLS20" s="7"/>
      <c r="PLT20" s="7"/>
      <c r="PLU20" s="7"/>
      <c r="PLV20" s="7"/>
      <c r="PLW20" s="7"/>
      <c r="PLX20" s="7"/>
      <c r="PLY20" s="7"/>
      <c r="PLZ20" s="7"/>
      <c r="PMA20" s="7"/>
      <c r="PMB20" s="7"/>
      <c r="PMC20" s="7"/>
      <c r="PMD20" s="7"/>
      <c r="PME20" s="7"/>
      <c r="PMF20" s="7"/>
      <c r="PMG20" s="7"/>
      <c r="PMH20" s="7"/>
      <c r="PMI20" s="7"/>
      <c r="PMJ20" s="7"/>
      <c r="PMK20" s="7"/>
      <c r="PML20" s="7"/>
      <c r="PMM20" s="7"/>
      <c r="PMN20" s="7"/>
      <c r="PMO20" s="7"/>
      <c r="PMP20" s="7"/>
      <c r="PMQ20" s="7"/>
      <c r="PMR20" s="7"/>
      <c r="PMS20" s="7"/>
      <c r="PMT20" s="7"/>
      <c r="PMU20" s="7"/>
      <c r="PMV20" s="7"/>
      <c r="PMW20" s="7"/>
      <c r="PMX20" s="7"/>
      <c r="PMY20" s="7"/>
      <c r="PMZ20" s="7"/>
      <c r="PNA20" s="7"/>
      <c r="PNB20" s="7"/>
      <c r="PNC20" s="7"/>
      <c r="PND20" s="7"/>
      <c r="PNE20" s="7"/>
      <c r="PNF20" s="7"/>
      <c r="PNG20" s="7"/>
      <c r="PNH20" s="7"/>
      <c r="PNI20" s="7"/>
      <c r="PNJ20" s="7"/>
      <c r="PNK20" s="7"/>
      <c r="PNL20" s="7"/>
      <c r="PNM20" s="7"/>
      <c r="PNN20" s="7"/>
      <c r="PNO20" s="7"/>
      <c r="PNP20" s="7"/>
      <c r="PNQ20" s="7"/>
      <c r="PNR20" s="7"/>
      <c r="PNS20" s="7"/>
      <c r="PNT20" s="7"/>
      <c r="PNU20" s="7"/>
      <c r="PNV20" s="7"/>
      <c r="PNW20" s="7"/>
      <c r="PNX20" s="7"/>
      <c r="PNY20" s="7"/>
      <c r="PNZ20" s="7"/>
      <c r="POA20" s="7"/>
      <c r="POB20" s="7"/>
      <c r="POC20" s="7"/>
      <c r="POD20" s="7"/>
      <c r="POE20" s="7"/>
      <c r="POF20" s="7"/>
      <c r="POG20" s="7"/>
      <c r="POH20" s="7"/>
      <c r="POI20" s="7"/>
      <c r="POJ20" s="7"/>
      <c r="POK20" s="7"/>
      <c r="POL20" s="7"/>
      <c r="POM20" s="7"/>
      <c r="PON20" s="7"/>
      <c r="POO20" s="7"/>
      <c r="POP20" s="7"/>
      <c r="POQ20" s="7"/>
      <c r="POR20" s="7"/>
      <c r="POS20" s="7"/>
      <c r="POT20" s="7"/>
      <c r="POU20" s="7"/>
      <c r="POV20" s="7"/>
      <c r="POW20" s="7"/>
      <c r="POX20" s="7"/>
      <c r="POY20" s="7"/>
      <c r="POZ20" s="7"/>
      <c r="PPA20" s="7"/>
      <c r="PPB20" s="7"/>
      <c r="PPC20" s="7"/>
      <c r="PPD20" s="7"/>
      <c r="PPE20" s="7"/>
      <c r="PPF20" s="7"/>
      <c r="PPG20" s="7"/>
      <c r="PPH20" s="7"/>
      <c r="PPI20" s="7"/>
      <c r="PPJ20" s="7"/>
      <c r="PPK20" s="7"/>
      <c r="PPL20" s="7"/>
      <c r="PPM20" s="7"/>
      <c r="PPN20" s="7"/>
      <c r="PPO20" s="7"/>
      <c r="PPP20" s="7"/>
      <c r="PPQ20" s="7"/>
      <c r="PPR20" s="7"/>
      <c r="PPS20" s="7"/>
      <c r="PPT20" s="7"/>
      <c r="PPU20" s="7"/>
      <c r="PPV20" s="7"/>
      <c r="PPW20" s="7"/>
      <c r="PPX20" s="7"/>
      <c r="PPY20" s="7"/>
      <c r="PPZ20" s="7"/>
      <c r="PQA20" s="7"/>
      <c r="PQB20" s="7"/>
      <c r="PQC20" s="7"/>
      <c r="PQD20" s="7"/>
      <c r="PQE20" s="7"/>
      <c r="PQF20" s="7"/>
      <c r="PQG20" s="7"/>
      <c r="PQH20" s="7"/>
      <c r="PQI20" s="7"/>
      <c r="PQJ20" s="7"/>
      <c r="PQK20" s="7"/>
      <c r="PQL20" s="7"/>
      <c r="PQM20" s="7"/>
      <c r="PQN20" s="7"/>
      <c r="PQO20" s="7"/>
      <c r="PQP20" s="7"/>
      <c r="PQQ20" s="7"/>
      <c r="PQR20" s="7"/>
      <c r="PQS20" s="7"/>
      <c r="PQT20" s="7"/>
      <c r="PQU20" s="7"/>
      <c r="PQV20" s="7"/>
      <c r="PQW20" s="7"/>
      <c r="PQX20" s="7"/>
      <c r="PQY20" s="7"/>
      <c r="PQZ20" s="7"/>
      <c r="PRA20" s="7"/>
      <c r="PRB20" s="7"/>
      <c r="PRC20" s="7"/>
      <c r="PRD20" s="7"/>
      <c r="PRE20" s="7"/>
      <c r="PRF20" s="7"/>
      <c r="PRG20" s="7"/>
      <c r="PRH20" s="7"/>
      <c r="PRI20" s="7"/>
      <c r="PRJ20" s="7"/>
      <c r="PRK20" s="7"/>
      <c r="PRL20" s="7"/>
      <c r="PRM20" s="7"/>
      <c r="PRN20" s="7"/>
      <c r="PRO20" s="7"/>
      <c r="PRP20" s="7"/>
      <c r="PRQ20" s="7"/>
      <c r="PRR20" s="7"/>
      <c r="PRS20" s="7"/>
      <c r="PRT20" s="7"/>
      <c r="PRU20" s="7"/>
      <c r="PRV20" s="7"/>
      <c r="PRW20" s="7"/>
      <c r="PRX20" s="7"/>
      <c r="PRY20" s="7"/>
      <c r="PRZ20" s="7"/>
      <c r="PSA20" s="7"/>
      <c r="PSB20" s="7"/>
      <c r="PSC20" s="7"/>
      <c r="PSD20" s="7"/>
      <c r="PSE20" s="7"/>
      <c r="PSF20" s="7"/>
      <c r="PSG20" s="7"/>
      <c r="PSH20" s="7"/>
      <c r="PSI20" s="7"/>
      <c r="PSJ20" s="7"/>
      <c r="PSK20" s="7"/>
      <c r="PSL20" s="7"/>
      <c r="PSM20" s="7"/>
      <c r="PSN20" s="7"/>
      <c r="PSO20" s="7"/>
      <c r="PSP20" s="7"/>
      <c r="PSQ20" s="7"/>
      <c r="PSR20" s="7"/>
      <c r="PSS20" s="7"/>
      <c r="PST20" s="7"/>
      <c r="PSU20" s="7"/>
      <c r="PSV20" s="7"/>
      <c r="PSW20" s="7"/>
      <c r="PSX20" s="7"/>
      <c r="PSY20" s="7"/>
      <c r="PSZ20" s="7"/>
      <c r="PTA20" s="7"/>
      <c r="PTB20" s="7"/>
      <c r="PTC20" s="7"/>
      <c r="PTD20" s="7"/>
      <c r="PTE20" s="7"/>
      <c r="PTF20" s="7"/>
      <c r="PTG20" s="7"/>
      <c r="PTH20" s="7"/>
      <c r="PTI20" s="7"/>
      <c r="PTJ20" s="7"/>
      <c r="PTK20" s="7"/>
      <c r="PTL20" s="7"/>
      <c r="PTM20" s="7"/>
      <c r="PTN20" s="7"/>
      <c r="PTO20" s="7"/>
      <c r="PTP20" s="7"/>
      <c r="PTQ20" s="7"/>
      <c r="PTR20" s="7"/>
      <c r="PTS20" s="7"/>
      <c r="PTT20" s="7"/>
      <c r="PTU20" s="7"/>
      <c r="PTV20" s="7"/>
      <c r="PTW20" s="7"/>
      <c r="PTX20" s="7"/>
      <c r="PTY20" s="7"/>
      <c r="PTZ20" s="7"/>
      <c r="PUA20" s="7"/>
      <c r="PUB20" s="7"/>
      <c r="PUC20" s="7"/>
      <c r="PUD20" s="7"/>
      <c r="PUE20" s="7"/>
      <c r="PUF20" s="7"/>
      <c r="PUG20" s="7"/>
      <c r="PUH20" s="7"/>
      <c r="PUI20" s="7"/>
      <c r="PUJ20" s="7"/>
      <c r="PUK20" s="7"/>
      <c r="PUL20" s="7"/>
      <c r="PUM20" s="7"/>
      <c r="PUN20" s="7"/>
      <c r="PUO20" s="7"/>
      <c r="PUP20" s="7"/>
      <c r="PUQ20" s="7"/>
      <c r="PUR20" s="7"/>
      <c r="PUS20" s="7"/>
      <c r="PUT20" s="7"/>
      <c r="PUU20" s="7"/>
      <c r="PUV20" s="7"/>
      <c r="PUW20" s="7"/>
      <c r="PUX20" s="7"/>
      <c r="PUY20" s="7"/>
      <c r="PUZ20" s="7"/>
      <c r="PVA20" s="7"/>
      <c r="PVB20" s="7"/>
      <c r="PVC20" s="7"/>
      <c r="PVD20" s="7"/>
      <c r="PVE20" s="7"/>
      <c r="PVF20" s="7"/>
      <c r="PVG20" s="7"/>
      <c r="PVH20" s="7"/>
      <c r="PVI20" s="7"/>
      <c r="PVJ20" s="7"/>
      <c r="PVK20" s="7"/>
      <c r="PVL20" s="7"/>
      <c r="PVM20" s="7"/>
      <c r="PVN20" s="7"/>
      <c r="PVO20" s="7"/>
      <c r="PVP20" s="7"/>
      <c r="PVQ20" s="7"/>
      <c r="PVR20" s="7"/>
      <c r="PVS20" s="7"/>
      <c r="PVT20" s="7"/>
      <c r="PVU20" s="7"/>
      <c r="PVV20" s="7"/>
      <c r="PVW20" s="7"/>
      <c r="PVX20" s="7"/>
      <c r="PVY20" s="7"/>
      <c r="PVZ20" s="7"/>
      <c r="PWA20" s="7"/>
      <c r="PWB20" s="7"/>
      <c r="PWC20" s="7"/>
      <c r="PWD20" s="7"/>
      <c r="PWE20" s="7"/>
      <c r="PWF20" s="7"/>
      <c r="PWG20" s="7"/>
      <c r="PWH20" s="7"/>
      <c r="PWI20" s="7"/>
      <c r="PWJ20" s="7"/>
      <c r="PWK20" s="7"/>
      <c r="PWL20" s="7"/>
      <c r="PWM20" s="7"/>
      <c r="PWN20" s="7"/>
      <c r="PWO20" s="7"/>
      <c r="PWP20" s="7"/>
      <c r="PWQ20" s="7"/>
      <c r="PWR20" s="7"/>
      <c r="PWS20" s="7"/>
      <c r="PWT20" s="7"/>
      <c r="PWU20" s="7"/>
      <c r="PWV20" s="7"/>
      <c r="PWW20" s="7"/>
      <c r="PWX20" s="7"/>
      <c r="PWY20" s="7"/>
      <c r="PWZ20" s="7"/>
      <c r="PXA20" s="7"/>
      <c r="PXB20" s="7"/>
      <c r="PXC20" s="7"/>
      <c r="PXD20" s="7"/>
      <c r="PXE20" s="7"/>
      <c r="PXF20" s="7"/>
      <c r="PXG20" s="7"/>
      <c r="PXH20" s="7"/>
      <c r="PXI20" s="7"/>
      <c r="PXJ20" s="7"/>
      <c r="PXK20" s="7"/>
      <c r="PXL20" s="7"/>
      <c r="PXM20" s="7"/>
      <c r="PXN20" s="7"/>
      <c r="PXO20" s="7"/>
      <c r="PXP20" s="7"/>
      <c r="PXQ20" s="7"/>
      <c r="PXR20" s="7"/>
      <c r="PXS20" s="7"/>
      <c r="PXT20" s="7"/>
      <c r="PXU20" s="7"/>
      <c r="PXV20" s="7"/>
      <c r="PXW20" s="7"/>
      <c r="PXX20" s="7"/>
      <c r="PXY20" s="7"/>
      <c r="PXZ20" s="7"/>
      <c r="PYA20" s="7"/>
      <c r="PYB20" s="7"/>
      <c r="PYC20" s="7"/>
      <c r="PYD20" s="7"/>
      <c r="PYE20" s="7"/>
      <c r="PYF20" s="7"/>
      <c r="PYG20" s="7"/>
      <c r="PYH20" s="7"/>
      <c r="PYI20" s="7"/>
      <c r="PYJ20" s="7"/>
      <c r="PYK20" s="7"/>
      <c r="PYL20" s="7"/>
      <c r="PYM20" s="7"/>
      <c r="PYN20" s="7"/>
      <c r="PYO20" s="7"/>
      <c r="PYP20" s="7"/>
      <c r="PYQ20" s="7"/>
      <c r="PYR20" s="7"/>
      <c r="PYS20" s="7"/>
      <c r="PYT20" s="7"/>
      <c r="PYU20" s="7"/>
      <c r="PYV20" s="7"/>
      <c r="PYW20" s="7"/>
      <c r="PYX20" s="7"/>
      <c r="PYY20" s="7"/>
      <c r="PYZ20" s="7"/>
      <c r="PZA20" s="7"/>
      <c r="PZB20" s="7"/>
      <c r="PZC20" s="7"/>
      <c r="PZD20" s="7"/>
      <c r="PZE20" s="7"/>
      <c r="PZF20" s="7"/>
      <c r="PZG20" s="7"/>
      <c r="PZH20" s="7"/>
      <c r="PZI20" s="7"/>
      <c r="PZJ20" s="7"/>
      <c r="PZK20" s="7"/>
      <c r="PZL20" s="7"/>
      <c r="PZM20" s="7"/>
      <c r="PZN20" s="7"/>
      <c r="PZO20" s="7"/>
      <c r="PZP20" s="7"/>
      <c r="PZQ20" s="7"/>
      <c r="PZR20" s="7"/>
      <c r="PZS20" s="7"/>
      <c r="PZT20" s="7"/>
      <c r="PZU20" s="7"/>
      <c r="PZV20" s="7"/>
      <c r="PZW20" s="7"/>
      <c r="PZX20" s="7"/>
      <c r="PZY20" s="7"/>
      <c r="PZZ20" s="7"/>
      <c r="QAA20" s="7"/>
      <c r="QAB20" s="7"/>
      <c r="QAC20" s="7"/>
      <c r="QAD20" s="7"/>
      <c r="QAE20" s="7"/>
      <c r="QAF20" s="7"/>
      <c r="QAG20" s="7"/>
      <c r="QAH20" s="7"/>
      <c r="QAI20" s="7"/>
      <c r="QAJ20" s="7"/>
      <c r="QAK20" s="7"/>
      <c r="QAL20" s="7"/>
      <c r="QAM20" s="7"/>
      <c r="QAN20" s="7"/>
      <c r="QAO20" s="7"/>
      <c r="QAP20" s="7"/>
      <c r="QAQ20" s="7"/>
      <c r="QAR20" s="7"/>
      <c r="QAS20" s="7"/>
      <c r="QAT20" s="7"/>
      <c r="QAU20" s="7"/>
      <c r="QAV20" s="7"/>
      <c r="QAW20" s="7"/>
      <c r="QAX20" s="7"/>
      <c r="QAY20" s="7"/>
      <c r="QAZ20" s="7"/>
      <c r="QBA20" s="7"/>
      <c r="QBB20" s="7"/>
      <c r="QBC20" s="7"/>
      <c r="QBD20" s="7"/>
      <c r="QBE20" s="7"/>
      <c r="QBF20" s="7"/>
      <c r="QBG20" s="7"/>
      <c r="QBH20" s="7"/>
      <c r="QBI20" s="7"/>
      <c r="QBJ20" s="7"/>
      <c r="QBK20" s="7"/>
      <c r="QBL20" s="7"/>
      <c r="QBM20" s="7"/>
      <c r="QBN20" s="7"/>
      <c r="QBO20" s="7"/>
      <c r="QBP20" s="7"/>
      <c r="QBQ20" s="7"/>
      <c r="QBR20" s="7"/>
      <c r="QBS20" s="7"/>
      <c r="QBT20" s="7"/>
      <c r="QBU20" s="7"/>
      <c r="QBV20" s="7"/>
      <c r="QBW20" s="7"/>
      <c r="QBX20" s="7"/>
      <c r="QBY20" s="7"/>
      <c r="QBZ20" s="7"/>
      <c r="QCA20" s="7"/>
      <c r="QCB20" s="7"/>
      <c r="QCC20" s="7"/>
      <c r="QCD20" s="7"/>
      <c r="QCE20" s="7"/>
      <c r="QCF20" s="7"/>
      <c r="QCG20" s="7"/>
      <c r="QCH20" s="7"/>
      <c r="QCI20" s="7"/>
      <c r="QCJ20" s="7"/>
      <c r="QCK20" s="7"/>
      <c r="QCL20" s="7"/>
      <c r="QCM20" s="7"/>
      <c r="QCN20" s="7"/>
      <c r="QCO20" s="7"/>
      <c r="QCP20" s="7"/>
      <c r="QCQ20" s="7"/>
      <c r="QCR20" s="7"/>
      <c r="QCS20" s="7"/>
      <c r="QCT20" s="7"/>
      <c r="QCU20" s="7"/>
      <c r="QCV20" s="7"/>
      <c r="QCW20" s="7"/>
      <c r="QCX20" s="7"/>
      <c r="QCY20" s="7"/>
      <c r="QCZ20" s="7"/>
      <c r="QDA20" s="7"/>
      <c r="QDB20" s="7"/>
      <c r="QDC20" s="7"/>
      <c r="QDD20" s="7"/>
      <c r="QDE20" s="7"/>
      <c r="QDF20" s="7"/>
      <c r="QDG20" s="7"/>
      <c r="QDH20" s="7"/>
      <c r="QDI20" s="7"/>
      <c r="QDJ20" s="7"/>
      <c r="QDK20" s="7"/>
      <c r="QDL20" s="7"/>
      <c r="QDM20" s="7"/>
      <c r="QDN20" s="7"/>
      <c r="QDO20" s="7"/>
      <c r="QDP20" s="7"/>
      <c r="QDQ20" s="7"/>
      <c r="QDR20" s="7"/>
      <c r="QDS20" s="7"/>
      <c r="QDT20" s="7"/>
      <c r="QDU20" s="7"/>
      <c r="QDV20" s="7"/>
      <c r="QDW20" s="7"/>
      <c r="QDX20" s="7"/>
      <c r="QDY20" s="7"/>
      <c r="QDZ20" s="7"/>
      <c r="QEA20" s="7"/>
      <c r="QEB20" s="7"/>
      <c r="QEC20" s="7"/>
      <c r="QED20" s="7"/>
      <c r="QEE20" s="7"/>
      <c r="QEF20" s="7"/>
      <c r="QEG20" s="7"/>
      <c r="QEH20" s="7"/>
      <c r="QEI20" s="7"/>
      <c r="QEJ20" s="7"/>
      <c r="QEK20" s="7"/>
      <c r="QEL20" s="7"/>
      <c r="QEM20" s="7"/>
      <c r="QEN20" s="7"/>
      <c r="QEO20" s="7"/>
      <c r="QEP20" s="7"/>
      <c r="QEQ20" s="7"/>
      <c r="QER20" s="7"/>
      <c r="QES20" s="7"/>
      <c r="QET20" s="7"/>
      <c r="QEU20" s="7"/>
      <c r="QEV20" s="7"/>
      <c r="QEW20" s="7"/>
      <c r="QEX20" s="7"/>
      <c r="QEY20" s="7"/>
      <c r="QEZ20" s="7"/>
      <c r="QFA20" s="7"/>
      <c r="QFB20" s="7"/>
      <c r="QFC20" s="7"/>
      <c r="QFD20" s="7"/>
      <c r="QFE20" s="7"/>
      <c r="QFF20" s="7"/>
      <c r="QFG20" s="7"/>
      <c r="QFH20" s="7"/>
      <c r="QFI20" s="7"/>
      <c r="QFJ20" s="7"/>
      <c r="QFK20" s="7"/>
      <c r="QFL20" s="7"/>
      <c r="QFM20" s="7"/>
      <c r="QFN20" s="7"/>
      <c r="QFO20" s="7"/>
      <c r="QFP20" s="7"/>
      <c r="QFQ20" s="7"/>
      <c r="QFR20" s="7"/>
      <c r="QFS20" s="7"/>
      <c r="QFT20" s="7"/>
      <c r="QFU20" s="7"/>
      <c r="QFV20" s="7"/>
      <c r="QFW20" s="7"/>
      <c r="QFX20" s="7"/>
      <c r="QFY20" s="7"/>
      <c r="QFZ20" s="7"/>
      <c r="QGA20" s="7"/>
      <c r="QGB20" s="7"/>
      <c r="QGC20" s="7"/>
      <c r="QGD20" s="7"/>
      <c r="QGE20" s="7"/>
      <c r="QGF20" s="7"/>
      <c r="QGG20" s="7"/>
      <c r="QGH20" s="7"/>
      <c r="QGI20" s="7"/>
      <c r="QGJ20" s="7"/>
      <c r="QGK20" s="7"/>
      <c r="QGL20" s="7"/>
      <c r="QGM20" s="7"/>
      <c r="QGN20" s="7"/>
      <c r="QGO20" s="7"/>
      <c r="QGP20" s="7"/>
      <c r="QGQ20" s="7"/>
      <c r="QGR20" s="7"/>
      <c r="QGS20" s="7"/>
      <c r="QGT20" s="7"/>
      <c r="QGU20" s="7"/>
      <c r="QGV20" s="7"/>
      <c r="QGW20" s="7"/>
      <c r="QGX20" s="7"/>
      <c r="QGY20" s="7"/>
      <c r="QGZ20" s="7"/>
      <c r="QHA20" s="7"/>
      <c r="QHB20" s="7"/>
      <c r="QHC20" s="7"/>
      <c r="QHD20" s="7"/>
      <c r="QHE20" s="7"/>
      <c r="QHF20" s="7"/>
      <c r="QHG20" s="7"/>
      <c r="QHH20" s="7"/>
      <c r="QHI20" s="7"/>
      <c r="QHJ20" s="7"/>
      <c r="QHK20" s="7"/>
      <c r="QHL20" s="7"/>
      <c r="QHM20" s="7"/>
      <c r="QHN20" s="7"/>
      <c r="QHO20" s="7"/>
      <c r="QHP20" s="7"/>
      <c r="QHQ20" s="7"/>
      <c r="QHR20" s="7"/>
      <c r="QHS20" s="7"/>
      <c r="QHT20" s="7"/>
      <c r="QHU20" s="7"/>
      <c r="QHV20" s="7"/>
      <c r="QHW20" s="7"/>
      <c r="QHX20" s="7"/>
      <c r="QHY20" s="7"/>
      <c r="QHZ20" s="7"/>
      <c r="QIA20" s="7"/>
      <c r="QIB20" s="7"/>
      <c r="QIC20" s="7"/>
      <c r="QID20" s="7"/>
      <c r="QIE20" s="7"/>
      <c r="QIF20" s="7"/>
      <c r="QIG20" s="7"/>
      <c r="QIH20" s="7"/>
      <c r="QII20" s="7"/>
      <c r="QIJ20" s="7"/>
      <c r="QIK20" s="7"/>
      <c r="QIL20" s="7"/>
      <c r="QIM20" s="7"/>
      <c r="QIN20" s="7"/>
      <c r="QIO20" s="7"/>
      <c r="QIP20" s="7"/>
      <c r="QIQ20" s="7"/>
      <c r="QIR20" s="7"/>
      <c r="QIS20" s="7"/>
      <c r="QIT20" s="7"/>
      <c r="QIU20" s="7"/>
      <c r="QIV20" s="7"/>
      <c r="QIW20" s="7"/>
      <c r="QIX20" s="7"/>
      <c r="QIY20" s="7"/>
      <c r="QIZ20" s="7"/>
      <c r="QJA20" s="7"/>
      <c r="QJB20" s="7"/>
      <c r="QJC20" s="7"/>
      <c r="QJD20" s="7"/>
      <c r="QJE20" s="7"/>
      <c r="QJF20" s="7"/>
      <c r="QJG20" s="7"/>
      <c r="QJH20" s="7"/>
      <c r="QJI20" s="7"/>
      <c r="QJJ20" s="7"/>
      <c r="QJK20" s="7"/>
      <c r="QJL20" s="7"/>
      <c r="QJM20" s="7"/>
      <c r="QJN20" s="7"/>
      <c r="QJO20" s="7"/>
      <c r="QJP20" s="7"/>
      <c r="QJQ20" s="7"/>
      <c r="QJR20" s="7"/>
      <c r="QJS20" s="7"/>
      <c r="QJT20" s="7"/>
      <c r="QJU20" s="7"/>
      <c r="QJV20" s="7"/>
      <c r="QJW20" s="7"/>
      <c r="QJX20" s="7"/>
      <c r="QJY20" s="7"/>
      <c r="QJZ20" s="7"/>
      <c r="QKA20" s="7"/>
      <c r="QKB20" s="7"/>
      <c r="QKC20" s="7"/>
      <c r="QKD20" s="7"/>
      <c r="QKE20" s="7"/>
      <c r="QKF20" s="7"/>
      <c r="QKG20" s="7"/>
      <c r="QKH20" s="7"/>
      <c r="QKI20" s="7"/>
      <c r="QKJ20" s="7"/>
      <c r="QKK20" s="7"/>
      <c r="QKL20" s="7"/>
      <c r="QKM20" s="7"/>
      <c r="QKN20" s="7"/>
      <c r="QKO20" s="7"/>
      <c r="QKP20" s="7"/>
      <c r="QKQ20" s="7"/>
      <c r="QKR20" s="7"/>
      <c r="QKS20" s="7"/>
      <c r="QKT20" s="7"/>
      <c r="QKU20" s="7"/>
      <c r="QKV20" s="7"/>
      <c r="QKW20" s="7"/>
      <c r="QKX20" s="7"/>
      <c r="QKY20" s="7"/>
      <c r="QKZ20" s="7"/>
      <c r="QLA20" s="7"/>
      <c r="QLB20" s="7"/>
      <c r="QLC20" s="7"/>
      <c r="QLD20" s="7"/>
      <c r="QLE20" s="7"/>
      <c r="QLF20" s="7"/>
      <c r="QLG20" s="7"/>
      <c r="QLH20" s="7"/>
      <c r="QLI20" s="7"/>
      <c r="QLJ20" s="7"/>
      <c r="QLK20" s="7"/>
      <c r="QLL20" s="7"/>
      <c r="QLM20" s="7"/>
      <c r="QLN20" s="7"/>
      <c r="QLO20" s="7"/>
      <c r="QLP20" s="7"/>
      <c r="QLQ20" s="7"/>
      <c r="QLR20" s="7"/>
      <c r="QLS20" s="7"/>
      <c r="QLT20" s="7"/>
      <c r="QLU20" s="7"/>
      <c r="QLV20" s="7"/>
      <c r="QLW20" s="7"/>
      <c r="QLX20" s="7"/>
      <c r="QLY20" s="7"/>
      <c r="QLZ20" s="7"/>
      <c r="QMA20" s="7"/>
      <c r="QMB20" s="7"/>
      <c r="QMC20" s="7"/>
      <c r="QMD20" s="7"/>
      <c r="QME20" s="7"/>
      <c r="QMF20" s="7"/>
      <c r="QMG20" s="7"/>
      <c r="QMH20" s="7"/>
      <c r="QMI20" s="7"/>
      <c r="QMJ20" s="7"/>
      <c r="QMK20" s="7"/>
      <c r="QML20" s="7"/>
      <c r="QMM20" s="7"/>
      <c r="QMN20" s="7"/>
      <c r="QMO20" s="7"/>
      <c r="QMP20" s="7"/>
      <c r="QMQ20" s="7"/>
      <c r="QMR20" s="7"/>
      <c r="QMS20" s="7"/>
      <c r="QMT20" s="7"/>
      <c r="QMU20" s="7"/>
      <c r="QMV20" s="7"/>
      <c r="QMW20" s="7"/>
      <c r="QMX20" s="7"/>
      <c r="QMY20" s="7"/>
      <c r="QMZ20" s="7"/>
      <c r="QNA20" s="7"/>
      <c r="QNB20" s="7"/>
      <c r="QNC20" s="7"/>
      <c r="QND20" s="7"/>
      <c r="QNE20" s="7"/>
      <c r="QNF20" s="7"/>
      <c r="QNG20" s="7"/>
      <c r="QNH20" s="7"/>
      <c r="QNI20" s="7"/>
      <c r="QNJ20" s="7"/>
      <c r="QNK20" s="7"/>
      <c r="QNL20" s="7"/>
      <c r="QNM20" s="7"/>
      <c r="QNN20" s="7"/>
      <c r="QNO20" s="7"/>
      <c r="QNP20" s="7"/>
      <c r="QNQ20" s="7"/>
      <c r="QNR20" s="7"/>
      <c r="QNS20" s="7"/>
      <c r="QNT20" s="7"/>
      <c r="QNU20" s="7"/>
      <c r="QNV20" s="7"/>
      <c r="QNW20" s="7"/>
      <c r="QNX20" s="7"/>
      <c r="QNY20" s="7"/>
      <c r="QNZ20" s="7"/>
      <c r="QOA20" s="7"/>
      <c r="QOB20" s="7"/>
      <c r="QOC20" s="7"/>
      <c r="QOD20" s="7"/>
      <c r="QOE20" s="7"/>
      <c r="QOF20" s="7"/>
      <c r="QOG20" s="7"/>
      <c r="QOH20" s="7"/>
      <c r="QOI20" s="7"/>
      <c r="QOJ20" s="7"/>
      <c r="QOK20" s="7"/>
      <c r="QOL20" s="7"/>
      <c r="QOM20" s="7"/>
      <c r="QON20" s="7"/>
      <c r="QOO20" s="7"/>
      <c r="QOP20" s="7"/>
      <c r="QOQ20" s="7"/>
      <c r="QOR20" s="7"/>
      <c r="QOS20" s="7"/>
      <c r="QOT20" s="7"/>
      <c r="QOU20" s="7"/>
      <c r="QOV20" s="7"/>
      <c r="QOW20" s="7"/>
      <c r="QOX20" s="7"/>
      <c r="QOY20" s="7"/>
      <c r="QOZ20" s="7"/>
      <c r="QPA20" s="7"/>
      <c r="QPB20" s="7"/>
      <c r="QPC20" s="7"/>
      <c r="QPD20" s="7"/>
      <c r="QPE20" s="7"/>
      <c r="QPF20" s="7"/>
      <c r="QPG20" s="7"/>
      <c r="QPH20" s="7"/>
      <c r="QPI20" s="7"/>
      <c r="QPJ20" s="7"/>
      <c r="QPK20" s="7"/>
      <c r="QPL20" s="7"/>
      <c r="QPM20" s="7"/>
      <c r="QPN20" s="7"/>
      <c r="QPO20" s="7"/>
      <c r="QPP20" s="7"/>
      <c r="QPQ20" s="7"/>
      <c r="QPR20" s="7"/>
      <c r="QPS20" s="7"/>
      <c r="QPT20" s="7"/>
      <c r="QPU20" s="7"/>
      <c r="QPV20" s="7"/>
      <c r="QPW20" s="7"/>
      <c r="QPX20" s="7"/>
      <c r="QPY20" s="7"/>
      <c r="QPZ20" s="7"/>
      <c r="QQA20" s="7"/>
      <c r="QQB20" s="7"/>
      <c r="QQC20" s="7"/>
      <c r="QQD20" s="7"/>
      <c r="QQE20" s="7"/>
      <c r="QQF20" s="7"/>
      <c r="QQG20" s="7"/>
      <c r="QQH20" s="7"/>
      <c r="QQI20" s="7"/>
      <c r="QQJ20" s="7"/>
      <c r="QQK20" s="7"/>
      <c r="QQL20" s="7"/>
      <c r="QQM20" s="7"/>
      <c r="QQN20" s="7"/>
      <c r="QQO20" s="7"/>
      <c r="QQP20" s="7"/>
      <c r="QQQ20" s="7"/>
      <c r="QQR20" s="7"/>
      <c r="QQS20" s="7"/>
      <c r="QQT20" s="7"/>
      <c r="QQU20" s="7"/>
      <c r="QQV20" s="7"/>
      <c r="QQW20" s="7"/>
      <c r="QQX20" s="7"/>
      <c r="QQY20" s="7"/>
      <c r="QQZ20" s="7"/>
      <c r="QRA20" s="7"/>
      <c r="QRB20" s="7"/>
      <c r="QRC20" s="7"/>
      <c r="QRD20" s="7"/>
      <c r="QRE20" s="7"/>
      <c r="QRF20" s="7"/>
      <c r="QRG20" s="7"/>
      <c r="QRH20" s="7"/>
      <c r="QRI20" s="7"/>
      <c r="QRJ20" s="7"/>
      <c r="QRK20" s="7"/>
      <c r="QRL20" s="7"/>
      <c r="QRM20" s="7"/>
      <c r="QRN20" s="7"/>
      <c r="QRO20" s="7"/>
      <c r="QRP20" s="7"/>
      <c r="QRQ20" s="7"/>
      <c r="QRR20" s="7"/>
      <c r="QRS20" s="7"/>
      <c r="QRT20" s="7"/>
      <c r="QRU20" s="7"/>
      <c r="QRV20" s="7"/>
      <c r="QRW20" s="7"/>
      <c r="QRX20" s="7"/>
      <c r="QRY20" s="7"/>
      <c r="QRZ20" s="7"/>
      <c r="QSA20" s="7"/>
      <c r="QSB20" s="7"/>
      <c r="QSC20" s="7"/>
      <c r="QSD20" s="7"/>
      <c r="QSE20" s="7"/>
      <c r="QSF20" s="7"/>
      <c r="QSG20" s="7"/>
      <c r="QSH20" s="7"/>
      <c r="QSI20" s="7"/>
      <c r="QSJ20" s="7"/>
      <c r="QSK20" s="7"/>
      <c r="QSL20" s="7"/>
      <c r="QSM20" s="7"/>
      <c r="QSN20" s="7"/>
      <c r="QSO20" s="7"/>
      <c r="QSP20" s="7"/>
      <c r="QSQ20" s="7"/>
      <c r="QSR20" s="7"/>
      <c r="QSS20" s="7"/>
      <c r="QST20" s="7"/>
      <c r="QSU20" s="7"/>
      <c r="QSV20" s="7"/>
      <c r="QSW20" s="7"/>
      <c r="QSX20" s="7"/>
      <c r="QSY20" s="7"/>
      <c r="QSZ20" s="7"/>
      <c r="QTA20" s="7"/>
      <c r="QTB20" s="7"/>
      <c r="QTC20" s="7"/>
      <c r="QTD20" s="7"/>
      <c r="QTE20" s="7"/>
      <c r="QTF20" s="7"/>
      <c r="QTG20" s="7"/>
      <c r="QTH20" s="7"/>
      <c r="QTI20" s="7"/>
      <c r="QTJ20" s="7"/>
      <c r="QTK20" s="7"/>
      <c r="QTL20" s="7"/>
      <c r="QTM20" s="7"/>
      <c r="QTN20" s="7"/>
      <c r="QTO20" s="7"/>
      <c r="QTP20" s="7"/>
      <c r="QTQ20" s="7"/>
      <c r="QTR20" s="7"/>
      <c r="QTS20" s="7"/>
      <c r="QTT20" s="7"/>
      <c r="QTU20" s="7"/>
      <c r="QTV20" s="7"/>
      <c r="QTW20" s="7"/>
      <c r="QTX20" s="7"/>
      <c r="QTY20" s="7"/>
      <c r="QTZ20" s="7"/>
      <c r="QUA20" s="7"/>
      <c r="QUB20" s="7"/>
      <c r="QUC20" s="7"/>
      <c r="QUD20" s="7"/>
      <c r="QUE20" s="7"/>
      <c r="QUF20" s="7"/>
      <c r="QUG20" s="7"/>
      <c r="QUH20" s="7"/>
      <c r="QUI20" s="7"/>
      <c r="QUJ20" s="7"/>
      <c r="QUK20" s="7"/>
      <c r="QUL20" s="7"/>
      <c r="QUM20" s="7"/>
      <c r="QUN20" s="7"/>
      <c r="QUO20" s="7"/>
      <c r="QUP20" s="7"/>
      <c r="QUQ20" s="7"/>
      <c r="QUR20" s="7"/>
      <c r="QUS20" s="7"/>
      <c r="QUT20" s="7"/>
      <c r="QUU20" s="7"/>
      <c r="QUV20" s="7"/>
      <c r="QUW20" s="7"/>
      <c r="QUX20" s="7"/>
      <c r="QUY20" s="7"/>
      <c r="QUZ20" s="7"/>
      <c r="QVA20" s="7"/>
      <c r="QVB20" s="7"/>
      <c r="QVC20" s="7"/>
      <c r="QVD20" s="7"/>
      <c r="QVE20" s="7"/>
      <c r="QVF20" s="7"/>
      <c r="QVG20" s="7"/>
      <c r="QVH20" s="7"/>
      <c r="QVI20" s="7"/>
      <c r="QVJ20" s="7"/>
      <c r="QVK20" s="7"/>
      <c r="QVL20" s="7"/>
      <c r="QVM20" s="7"/>
      <c r="QVN20" s="7"/>
      <c r="QVO20" s="7"/>
      <c r="QVP20" s="7"/>
      <c r="QVQ20" s="7"/>
      <c r="QVR20" s="7"/>
      <c r="QVS20" s="7"/>
      <c r="QVT20" s="7"/>
      <c r="QVU20" s="7"/>
      <c r="QVV20" s="7"/>
      <c r="QVW20" s="7"/>
      <c r="QVX20" s="7"/>
      <c r="QVY20" s="7"/>
      <c r="QVZ20" s="7"/>
      <c r="QWA20" s="7"/>
      <c r="QWB20" s="7"/>
      <c r="QWC20" s="7"/>
      <c r="QWD20" s="7"/>
      <c r="QWE20" s="7"/>
      <c r="QWF20" s="7"/>
      <c r="QWG20" s="7"/>
      <c r="QWH20" s="7"/>
      <c r="QWI20" s="7"/>
      <c r="QWJ20" s="7"/>
      <c r="QWK20" s="7"/>
      <c r="QWL20" s="7"/>
      <c r="QWM20" s="7"/>
      <c r="QWN20" s="7"/>
      <c r="QWO20" s="7"/>
      <c r="QWP20" s="7"/>
      <c r="QWQ20" s="7"/>
      <c r="QWR20" s="7"/>
      <c r="QWS20" s="7"/>
      <c r="QWT20" s="7"/>
      <c r="QWU20" s="7"/>
      <c r="QWV20" s="7"/>
      <c r="QWW20" s="7"/>
      <c r="QWX20" s="7"/>
      <c r="QWY20" s="7"/>
      <c r="QWZ20" s="7"/>
      <c r="QXA20" s="7"/>
      <c r="QXB20" s="7"/>
      <c r="QXC20" s="7"/>
      <c r="QXD20" s="7"/>
      <c r="QXE20" s="7"/>
      <c r="QXF20" s="7"/>
      <c r="QXG20" s="7"/>
      <c r="QXH20" s="7"/>
      <c r="QXI20" s="7"/>
      <c r="QXJ20" s="7"/>
      <c r="QXK20" s="7"/>
      <c r="QXL20" s="7"/>
      <c r="QXM20" s="7"/>
      <c r="QXN20" s="7"/>
      <c r="QXO20" s="7"/>
      <c r="QXP20" s="7"/>
      <c r="QXQ20" s="7"/>
      <c r="QXR20" s="7"/>
      <c r="QXS20" s="7"/>
      <c r="QXT20" s="7"/>
      <c r="QXU20" s="7"/>
      <c r="QXV20" s="7"/>
      <c r="QXW20" s="7"/>
      <c r="QXX20" s="7"/>
      <c r="QXY20" s="7"/>
      <c r="QXZ20" s="7"/>
      <c r="QYA20" s="7"/>
      <c r="QYB20" s="7"/>
      <c r="QYC20" s="7"/>
      <c r="QYD20" s="7"/>
      <c r="QYE20" s="7"/>
      <c r="QYF20" s="7"/>
      <c r="QYG20" s="7"/>
      <c r="QYH20" s="7"/>
      <c r="QYI20" s="7"/>
      <c r="QYJ20" s="7"/>
      <c r="QYK20" s="7"/>
      <c r="QYL20" s="7"/>
      <c r="QYM20" s="7"/>
      <c r="QYN20" s="7"/>
      <c r="QYO20" s="7"/>
      <c r="QYP20" s="7"/>
      <c r="QYQ20" s="7"/>
      <c r="QYR20" s="7"/>
      <c r="QYS20" s="7"/>
      <c r="QYT20" s="7"/>
      <c r="QYU20" s="7"/>
      <c r="QYV20" s="7"/>
      <c r="QYW20" s="7"/>
      <c r="QYX20" s="7"/>
      <c r="QYY20" s="7"/>
      <c r="QYZ20" s="7"/>
      <c r="QZA20" s="7"/>
      <c r="QZB20" s="7"/>
      <c r="QZC20" s="7"/>
      <c r="QZD20" s="7"/>
      <c r="QZE20" s="7"/>
      <c r="QZF20" s="7"/>
      <c r="QZG20" s="7"/>
      <c r="QZH20" s="7"/>
      <c r="QZI20" s="7"/>
      <c r="QZJ20" s="7"/>
      <c r="QZK20" s="7"/>
      <c r="QZL20" s="7"/>
      <c r="QZM20" s="7"/>
      <c r="QZN20" s="7"/>
      <c r="QZO20" s="7"/>
      <c r="QZP20" s="7"/>
      <c r="QZQ20" s="7"/>
      <c r="QZR20" s="7"/>
      <c r="QZS20" s="7"/>
      <c r="QZT20" s="7"/>
      <c r="QZU20" s="7"/>
      <c r="QZV20" s="7"/>
      <c r="QZW20" s="7"/>
      <c r="QZX20" s="7"/>
      <c r="QZY20" s="7"/>
      <c r="QZZ20" s="7"/>
      <c r="RAA20" s="7"/>
      <c r="RAB20" s="7"/>
      <c r="RAC20" s="7"/>
      <c r="RAD20" s="7"/>
      <c r="RAE20" s="7"/>
      <c r="RAF20" s="7"/>
      <c r="RAG20" s="7"/>
      <c r="RAH20" s="7"/>
      <c r="RAI20" s="7"/>
      <c r="RAJ20" s="7"/>
      <c r="RAK20" s="7"/>
      <c r="RAL20" s="7"/>
      <c r="RAM20" s="7"/>
      <c r="RAN20" s="7"/>
      <c r="RAO20" s="7"/>
      <c r="RAP20" s="7"/>
      <c r="RAQ20" s="7"/>
      <c r="RAR20" s="7"/>
      <c r="RAS20" s="7"/>
      <c r="RAT20" s="7"/>
      <c r="RAU20" s="7"/>
      <c r="RAV20" s="7"/>
      <c r="RAW20" s="7"/>
      <c r="RAX20" s="7"/>
      <c r="RAY20" s="7"/>
      <c r="RAZ20" s="7"/>
      <c r="RBA20" s="7"/>
      <c r="RBB20" s="7"/>
      <c r="RBC20" s="7"/>
      <c r="RBD20" s="7"/>
      <c r="RBE20" s="7"/>
      <c r="RBF20" s="7"/>
      <c r="RBG20" s="7"/>
      <c r="RBH20" s="7"/>
      <c r="RBI20" s="7"/>
      <c r="RBJ20" s="7"/>
      <c r="RBK20" s="7"/>
      <c r="RBL20" s="7"/>
      <c r="RBM20" s="7"/>
      <c r="RBN20" s="7"/>
      <c r="RBO20" s="7"/>
      <c r="RBP20" s="7"/>
      <c r="RBQ20" s="7"/>
      <c r="RBR20" s="7"/>
      <c r="RBS20" s="7"/>
      <c r="RBT20" s="7"/>
      <c r="RBU20" s="7"/>
      <c r="RBV20" s="7"/>
      <c r="RBW20" s="7"/>
      <c r="RBX20" s="7"/>
      <c r="RBY20" s="7"/>
      <c r="RBZ20" s="7"/>
      <c r="RCA20" s="7"/>
      <c r="RCB20" s="7"/>
      <c r="RCC20" s="7"/>
      <c r="RCD20" s="7"/>
      <c r="RCE20" s="7"/>
      <c r="RCF20" s="7"/>
      <c r="RCG20" s="7"/>
      <c r="RCH20" s="7"/>
      <c r="RCI20" s="7"/>
      <c r="RCJ20" s="7"/>
      <c r="RCK20" s="7"/>
      <c r="RCL20" s="7"/>
      <c r="RCM20" s="7"/>
      <c r="RCN20" s="7"/>
      <c r="RCO20" s="7"/>
      <c r="RCP20" s="7"/>
      <c r="RCQ20" s="7"/>
      <c r="RCR20" s="7"/>
      <c r="RCS20" s="7"/>
      <c r="RCT20" s="7"/>
      <c r="RCU20" s="7"/>
      <c r="RCV20" s="7"/>
      <c r="RCW20" s="7"/>
      <c r="RCX20" s="7"/>
      <c r="RCY20" s="7"/>
      <c r="RCZ20" s="7"/>
      <c r="RDA20" s="7"/>
      <c r="RDB20" s="7"/>
      <c r="RDC20" s="7"/>
      <c r="RDD20" s="7"/>
      <c r="RDE20" s="7"/>
      <c r="RDF20" s="7"/>
      <c r="RDG20" s="7"/>
      <c r="RDH20" s="7"/>
      <c r="RDI20" s="7"/>
      <c r="RDJ20" s="7"/>
      <c r="RDK20" s="7"/>
      <c r="RDL20" s="7"/>
      <c r="RDM20" s="7"/>
      <c r="RDN20" s="7"/>
      <c r="RDO20" s="7"/>
      <c r="RDP20" s="7"/>
      <c r="RDQ20" s="7"/>
      <c r="RDR20" s="7"/>
      <c r="RDS20" s="7"/>
      <c r="RDT20" s="7"/>
      <c r="RDU20" s="7"/>
      <c r="RDV20" s="7"/>
      <c r="RDW20" s="7"/>
      <c r="RDX20" s="7"/>
      <c r="RDY20" s="7"/>
      <c r="RDZ20" s="7"/>
      <c r="REA20" s="7"/>
      <c r="REB20" s="7"/>
      <c r="REC20" s="7"/>
      <c r="RED20" s="7"/>
      <c r="REE20" s="7"/>
      <c r="REF20" s="7"/>
      <c r="REG20" s="7"/>
      <c r="REH20" s="7"/>
      <c r="REI20" s="7"/>
      <c r="REJ20" s="7"/>
      <c r="REK20" s="7"/>
      <c r="REL20" s="7"/>
      <c r="REM20" s="7"/>
      <c r="REN20" s="7"/>
      <c r="REO20" s="7"/>
      <c r="REP20" s="7"/>
      <c r="REQ20" s="7"/>
      <c r="RER20" s="7"/>
      <c r="RES20" s="7"/>
      <c r="RET20" s="7"/>
      <c r="REU20" s="7"/>
      <c r="REV20" s="7"/>
      <c r="REW20" s="7"/>
      <c r="REX20" s="7"/>
      <c r="REY20" s="7"/>
      <c r="REZ20" s="7"/>
      <c r="RFA20" s="7"/>
      <c r="RFB20" s="7"/>
      <c r="RFC20" s="7"/>
      <c r="RFD20" s="7"/>
      <c r="RFE20" s="7"/>
      <c r="RFF20" s="7"/>
      <c r="RFG20" s="7"/>
      <c r="RFH20" s="7"/>
      <c r="RFI20" s="7"/>
      <c r="RFJ20" s="7"/>
      <c r="RFK20" s="7"/>
      <c r="RFL20" s="7"/>
      <c r="RFM20" s="7"/>
      <c r="RFN20" s="7"/>
      <c r="RFO20" s="7"/>
      <c r="RFP20" s="7"/>
      <c r="RFQ20" s="7"/>
      <c r="RFR20" s="7"/>
      <c r="RFS20" s="7"/>
      <c r="RFT20" s="7"/>
      <c r="RFU20" s="7"/>
      <c r="RFV20" s="7"/>
      <c r="RFW20" s="7"/>
      <c r="RFX20" s="7"/>
      <c r="RFY20" s="7"/>
      <c r="RFZ20" s="7"/>
      <c r="RGA20" s="7"/>
      <c r="RGB20" s="7"/>
      <c r="RGC20" s="7"/>
      <c r="RGD20" s="7"/>
      <c r="RGE20" s="7"/>
      <c r="RGF20" s="7"/>
      <c r="RGG20" s="7"/>
      <c r="RGH20" s="7"/>
      <c r="RGI20" s="7"/>
      <c r="RGJ20" s="7"/>
      <c r="RGK20" s="7"/>
      <c r="RGL20" s="7"/>
      <c r="RGM20" s="7"/>
      <c r="RGN20" s="7"/>
      <c r="RGO20" s="7"/>
      <c r="RGP20" s="7"/>
      <c r="RGQ20" s="7"/>
      <c r="RGR20" s="7"/>
      <c r="RGS20" s="7"/>
      <c r="RGT20" s="7"/>
      <c r="RGU20" s="7"/>
      <c r="RGV20" s="7"/>
      <c r="RGW20" s="7"/>
      <c r="RGX20" s="7"/>
      <c r="RGY20" s="7"/>
      <c r="RGZ20" s="7"/>
      <c r="RHA20" s="7"/>
      <c r="RHB20" s="7"/>
      <c r="RHC20" s="7"/>
      <c r="RHD20" s="7"/>
      <c r="RHE20" s="7"/>
      <c r="RHF20" s="7"/>
      <c r="RHG20" s="7"/>
      <c r="RHH20" s="7"/>
      <c r="RHI20" s="7"/>
      <c r="RHJ20" s="7"/>
      <c r="RHK20" s="7"/>
      <c r="RHL20" s="7"/>
      <c r="RHM20" s="7"/>
      <c r="RHN20" s="7"/>
      <c r="RHO20" s="7"/>
      <c r="RHP20" s="7"/>
      <c r="RHQ20" s="7"/>
      <c r="RHR20" s="7"/>
      <c r="RHS20" s="7"/>
      <c r="RHT20" s="7"/>
      <c r="RHU20" s="7"/>
      <c r="RHV20" s="7"/>
      <c r="RHW20" s="7"/>
      <c r="RHX20" s="7"/>
      <c r="RHY20" s="7"/>
      <c r="RHZ20" s="7"/>
      <c r="RIA20" s="7"/>
      <c r="RIB20" s="7"/>
      <c r="RIC20" s="7"/>
      <c r="RID20" s="7"/>
      <c r="RIE20" s="7"/>
      <c r="RIF20" s="7"/>
      <c r="RIG20" s="7"/>
      <c r="RIH20" s="7"/>
      <c r="RII20" s="7"/>
      <c r="RIJ20" s="7"/>
      <c r="RIK20" s="7"/>
      <c r="RIL20" s="7"/>
      <c r="RIM20" s="7"/>
      <c r="RIN20" s="7"/>
      <c r="RIO20" s="7"/>
      <c r="RIP20" s="7"/>
      <c r="RIQ20" s="7"/>
      <c r="RIR20" s="7"/>
      <c r="RIS20" s="7"/>
      <c r="RIT20" s="7"/>
      <c r="RIU20" s="7"/>
      <c r="RIV20" s="7"/>
      <c r="RIW20" s="7"/>
      <c r="RIX20" s="7"/>
      <c r="RIY20" s="7"/>
      <c r="RIZ20" s="7"/>
      <c r="RJA20" s="7"/>
      <c r="RJB20" s="7"/>
      <c r="RJC20" s="7"/>
      <c r="RJD20" s="7"/>
      <c r="RJE20" s="7"/>
      <c r="RJF20" s="7"/>
      <c r="RJG20" s="7"/>
      <c r="RJH20" s="7"/>
      <c r="RJI20" s="7"/>
      <c r="RJJ20" s="7"/>
      <c r="RJK20" s="7"/>
      <c r="RJL20" s="7"/>
      <c r="RJM20" s="7"/>
      <c r="RJN20" s="7"/>
      <c r="RJO20" s="7"/>
      <c r="RJP20" s="7"/>
      <c r="RJQ20" s="7"/>
      <c r="RJR20" s="7"/>
      <c r="RJS20" s="7"/>
      <c r="RJT20" s="7"/>
      <c r="RJU20" s="7"/>
      <c r="RJV20" s="7"/>
      <c r="RJW20" s="7"/>
      <c r="RJX20" s="7"/>
      <c r="RJY20" s="7"/>
      <c r="RJZ20" s="7"/>
      <c r="RKA20" s="7"/>
      <c r="RKB20" s="7"/>
      <c r="RKC20" s="7"/>
      <c r="RKD20" s="7"/>
      <c r="RKE20" s="7"/>
      <c r="RKF20" s="7"/>
      <c r="RKG20" s="7"/>
      <c r="RKH20" s="7"/>
      <c r="RKI20" s="7"/>
      <c r="RKJ20" s="7"/>
      <c r="RKK20" s="7"/>
      <c r="RKL20" s="7"/>
      <c r="RKM20" s="7"/>
      <c r="RKN20" s="7"/>
      <c r="RKO20" s="7"/>
      <c r="RKP20" s="7"/>
      <c r="RKQ20" s="7"/>
      <c r="RKR20" s="7"/>
      <c r="RKS20" s="7"/>
      <c r="RKT20" s="7"/>
      <c r="RKU20" s="7"/>
      <c r="RKV20" s="7"/>
      <c r="RKW20" s="7"/>
      <c r="RKX20" s="7"/>
      <c r="RKY20" s="7"/>
      <c r="RKZ20" s="7"/>
      <c r="RLA20" s="7"/>
      <c r="RLB20" s="7"/>
      <c r="RLC20" s="7"/>
      <c r="RLD20" s="7"/>
      <c r="RLE20" s="7"/>
      <c r="RLF20" s="7"/>
      <c r="RLG20" s="7"/>
      <c r="RLH20" s="7"/>
      <c r="RLI20" s="7"/>
      <c r="RLJ20" s="7"/>
      <c r="RLK20" s="7"/>
      <c r="RLL20" s="7"/>
      <c r="RLM20" s="7"/>
      <c r="RLN20" s="7"/>
      <c r="RLO20" s="7"/>
      <c r="RLP20" s="7"/>
      <c r="RLQ20" s="7"/>
      <c r="RLR20" s="7"/>
      <c r="RLS20" s="7"/>
      <c r="RLT20" s="7"/>
      <c r="RLU20" s="7"/>
      <c r="RLV20" s="7"/>
      <c r="RLW20" s="7"/>
      <c r="RLX20" s="7"/>
      <c r="RLY20" s="7"/>
      <c r="RLZ20" s="7"/>
      <c r="RMA20" s="7"/>
      <c r="RMB20" s="7"/>
      <c r="RMC20" s="7"/>
      <c r="RMD20" s="7"/>
      <c r="RME20" s="7"/>
      <c r="RMF20" s="7"/>
      <c r="RMG20" s="7"/>
      <c r="RMH20" s="7"/>
      <c r="RMI20" s="7"/>
      <c r="RMJ20" s="7"/>
      <c r="RMK20" s="7"/>
      <c r="RML20" s="7"/>
      <c r="RMM20" s="7"/>
      <c r="RMN20" s="7"/>
      <c r="RMO20" s="7"/>
      <c r="RMP20" s="7"/>
      <c r="RMQ20" s="7"/>
      <c r="RMR20" s="7"/>
      <c r="RMS20" s="7"/>
      <c r="RMT20" s="7"/>
      <c r="RMU20" s="7"/>
      <c r="RMV20" s="7"/>
      <c r="RMW20" s="7"/>
      <c r="RMX20" s="7"/>
      <c r="RMY20" s="7"/>
      <c r="RMZ20" s="7"/>
      <c r="RNA20" s="7"/>
      <c r="RNB20" s="7"/>
      <c r="RNC20" s="7"/>
      <c r="RND20" s="7"/>
      <c r="RNE20" s="7"/>
      <c r="RNF20" s="7"/>
      <c r="RNG20" s="7"/>
      <c r="RNH20" s="7"/>
      <c r="RNI20" s="7"/>
      <c r="RNJ20" s="7"/>
      <c r="RNK20" s="7"/>
      <c r="RNL20" s="7"/>
      <c r="RNM20" s="7"/>
      <c r="RNN20" s="7"/>
      <c r="RNO20" s="7"/>
      <c r="RNP20" s="7"/>
      <c r="RNQ20" s="7"/>
      <c r="RNR20" s="7"/>
      <c r="RNS20" s="7"/>
      <c r="RNT20" s="7"/>
      <c r="RNU20" s="7"/>
      <c r="RNV20" s="7"/>
      <c r="RNW20" s="7"/>
      <c r="RNX20" s="7"/>
      <c r="RNY20" s="7"/>
      <c r="RNZ20" s="7"/>
      <c r="ROA20" s="7"/>
      <c r="ROB20" s="7"/>
      <c r="ROC20" s="7"/>
      <c r="ROD20" s="7"/>
      <c r="ROE20" s="7"/>
      <c r="ROF20" s="7"/>
      <c r="ROG20" s="7"/>
      <c r="ROH20" s="7"/>
      <c r="ROI20" s="7"/>
      <c r="ROJ20" s="7"/>
      <c r="ROK20" s="7"/>
      <c r="ROL20" s="7"/>
      <c r="ROM20" s="7"/>
      <c r="RON20" s="7"/>
      <c r="ROO20" s="7"/>
      <c r="ROP20" s="7"/>
      <c r="ROQ20" s="7"/>
      <c r="ROR20" s="7"/>
      <c r="ROS20" s="7"/>
      <c r="ROT20" s="7"/>
      <c r="ROU20" s="7"/>
      <c r="ROV20" s="7"/>
      <c r="ROW20" s="7"/>
      <c r="ROX20" s="7"/>
      <c r="ROY20" s="7"/>
      <c r="ROZ20" s="7"/>
      <c r="RPA20" s="7"/>
      <c r="RPB20" s="7"/>
      <c r="RPC20" s="7"/>
      <c r="RPD20" s="7"/>
      <c r="RPE20" s="7"/>
      <c r="RPF20" s="7"/>
      <c r="RPG20" s="7"/>
      <c r="RPH20" s="7"/>
      <c r="RPI20" s="7"/>
      <c r="RPJ20" s="7"/>
      <c r="RPK20" s="7"/>
      <c r="RPL20" s="7"/>
      <c r="RPM20" s="7"/>
      <c r="RPN20" s="7"/>
      <c r="RPO20" s="7"/>
      <c r="RPP20" s="7"/>
      <c r="RPQ20" s="7"/>
      <c r="RPR20" s="7"/>
      <c r="RPS20" s="7"/>
      <c r="RPT20" s="7"/>
      <c r="RPU20" s="7"/>
      <c r="RPV20" s="7"/>
      <c r="RPW20" s="7"/>
      <c r="RPX20" s="7"/>
      <c r="RPY20" s="7"/>
      <c r="RPZ20" s="7"/>
      <c r="RQA20" s="7"/>
      <c r="RQB20" s="7"/>
      <c r="RQC20" s="7"/>
      <c r="RQD20" s="7"/>
      <c r="RQE20" s="7"/>
      <c r="RQF20" s="7"/>
      <c r="RQG20" s="7"/>
      <c r="RQH20" s="7"/>
      <c r="RQI20" s="7"/>
      <c r="RQJ20" s="7"/>
      <c r="RQK20" s="7"/>
      <c r="RQL20" s="7"/>
      <c r="RQM20" s="7"/>
      <c r="RQN20" s="7"/>
      <c r="RQO20" s="7"/>
      <c r="RQP20" s="7"/>
      <c r="RQQ20" s="7"/>
      <c r="RQR20" s="7"/>
      <c r="RQS20" s="7"/>
      <c r="RQT20" s="7"/>
      <c r="RQU20" s="7"/>
      <c r="RQV20" s="7"/>
      <c r="RQW20" s="7"/>
      <c r="RQX20" s="7"/>
      <c r="RQY20" s="7"/>
      <c r="RQZ20" s="7"/>
      <c r="RRA20" s="7"/>
      <c r="RRB20" s="7"/>
      <c r="RRC20" s="7"/>
      <c r="RRD20" s="7"/>
      <c r="RRE20" s="7"/>
      <c r="RRF20" s="7"/>
      <c r="RRG20" s="7"/>
      <c r="RRH20" s="7"/>
      <c r="RRI20" s="7"/>
      <c r="RRJ20" s="7"/>
      <c r="RRK20" s="7"/>
      <c r="RRL20" s="7"/>
      <c r="RRM20" s="7"/>
      <c r="RRN20" s="7"/>
      <c r="RRO20" s="7"/>
      <c r="RRP20" s="7"/>
      <c r="RRQ20" s="7"/>
      <c r="RRR20" s="7"/>
      <c r="RRS20" s="7"/>
      <c r="RRT20" s="7"/>
      <c r="RRU20" s="7"/>
      <c r="RRV20" s="7"/>
      <c r="RRW20" s="7"/>
      <c r="RRX20" s="7"/>
      <c r="RRY20" s="7"/>
      <c r="RRZ20" s="7"/>
      <c r="RSA20" s="7"/>
      <c r="RSB20" s="7"/>
      <c r="RSC20" s="7"/>
      <c r="RSD20" s="7"/>
      <c r="RSE20" s="7"/>
      <c r="RSF20" s="7"/>
      <c r="RSG20" s="7"/>
      <c r="RSH20" s="7"/>
      <c r="RSI20" s="7"/>
      <c r="RSJ20" s="7"/>
      <c r="RSK20" s="7"/>
      <c r="RSL20" s="7"/>
      <c r="RSM20" s="7"/>
      <c r="RSN20" s="7"/>
      <c r="RSO20" s="7"/>
      <c r="RSP20" s="7"/>
      <c r="RSQ20" s="7"/>
      <c r="RSR20" s="7"/>
      <c r="RSS20" s="7"/>
      <c r="RST20" s="7"/>
      <c r="RSU20" s="7"/>
      <c r="RSV20" s="7"/>
      <c r="RSW20" s="7"/>
      <c r="RSX20" s="7"/>
      <c r="RSY20" s="7"/>
      <c r="RSZ20" s="7"/>
      <c r="RTA20" s="7"/>
      <c r="RTB20" s="7"/>
      <c r="RTC20" s="7"/>
      <c r="RTD20" s="7"/>
      <c r="RTE20" s="7"/>
      <c r="RTF20" s="7"/>
      <c r="RTG20" s="7"/>
      <c r="RTH20" s="7"/>
      <c r="RTI20" s="7"/>
      <c r="RTJ20" s="7"/>
      <c r="RTK20" s="7"/>
      <c r="RTL20" s="7"/>
      <c r="RTM20" s="7"/>
      <c r="RTN20" s="7"/>
      <c r="RTO20" s="7"/>
      <c r="RTP20" s="7"/>
      <c r="RTQ20" s="7"/>
      <c r="RTR20" s="7"/>
      <c r="RTS20" s="7"/>
      <c r="RTT20" s="7"/>
      <c r="RTU20" s="7"/>
      <c r="RTV20" s="7"/>
      <c r="RTW20" s="7"/>
      <c r="RTX20" s="7"/>
      <c r="RTY20" s="7"/>
      <c r="RTZ20" s="7"/>
      <c r="RUA20" s="7"/>
      <c r="RUB20" s="7"/>
      <c r="RUC20" s="7"/>
      <c r="RUD20" s="7"/>
      <c r="RUE20" s="7"/>
      <c r="RUF20" s="7"/>
      <c r="RUG20" s="7"/>
      <c r="RUH20" s="7"/>
      <c r="RUI20" s="7"/>
      <c r="RUJ20" s="7"/>
      <c r="RUK20" s="7"/>
      <c r="RUL20" s="7"/>
      <c r="RUM20" s="7"/>
      <c r="RUN20" s="7"/>
      <c r="RUO20" s="7"/>
      <c r="RUP20" s="7"/>
      <c r="RUQ20" s="7"/>
      <c r="RUR20" s="7"/>
      <c r="RUS20" s="7"/>
      <c r="RUT20" s="7"/>
      <c r="RUU20" s="7"/>
      <c r="RUV20" s="7"/>
      <c r="RUW20" s="7"/>
      <c r="RUX20" s="7"/>
      <c r="RUY20" s="7"/>
      <c r="RUZ20" s="7"/>
      <c r="RVA20" s="7"/>
      <c r="RVB20" s="7"/>
      <c r="RVC20" s="7"/>
      <c r="RVD20" s="7"/>
      <c r="RVE20" s="7"/>
      <c r="RVF20" s="7"/>
      <c r="RVG20" s="7"/>
      <c r="RVH20" s="7"/>
      <c r="RVI20" s="7"/>
      <c r="RVJ20" s="7"/>
      <c r="RVK20" s="7"/>
      <c r="RVL20" s="7"/>
      <c r="RVM20" s="7"/>
      <c r="RVN20" s="7"/>
      <c r="RVO20" s="7"/>
      <c r="RVP20" s="7"/>
      <c r="RVQ20" s="7"/>
      <c r="RVR20" s="7"/>
      <c r="RVS20" s="7"/>
      <c r="RVT20" s="7"/>
      <c r="RVU20" s="7"/>
      <c r="RVV20" s="7"/>
      <c r="RVW20" s="7"/>
      <c r="RVX20" s="7"/>
      <c r="RVY20" s="7"/>
      <c r="RVZ20" s="7"/>
      <c r="RWA20" s="7"/>
      <c r="RWB20" s="7"/>
      <c r="RWC20" s="7"/>
      <c r="RWD20" s="7"/>
      <c r="RWE20" s="7"/>
      <c r="RWF20" s="7"/>
      <c r="RWG20" s="7"/>
      <c r="RWH20" s="7"/>
      <c r="RWI20" s="7"/>
      <c r="RWJ20" s="7"/>
      <c r="RWK20" s="7"/>
      <c r="RWL20" s="7"/>
      <c r="RWM20" s="7"/>
      <c r="RWN20" s="7"/>
      <c r="RWO20" s="7"/>
      <c r="RWP20" s="7"/>
      <c r="RWQ20" s="7"/>
      <c r="RWR20" s="7"/>
      <c r="RWS20" s="7"/>
      <c r="RWT20" s="7"/>
      <c r="RWU20" s="7"/>
      <c r="RWV20" s="7"/>
      <c r="RWW20" s="7"/>
      <c r="RWX20" s="7"/>
      <c r="RWY20" s="7"/>
      <c r="RWZ20" s="7"/>
      <c r="RXA20" s="7"/>
      <c r="RXB20" s="7"/>
      <c r="RXC20" s="7"/>
      <c r="RXD20" s="7"/>
      <c r="RXE20" s="7"/>
      <c r="RXF20" s="7"/>
      <c r="RXG20" s="7"/>
      <c r="RXH20" s="7"/>
      <c r="RXI20" s="7"/>
      <c r="RXJ20" s="7"/>
      <c r="RXK20" s="7"/>
      <c r="RXL20" s="7"/>
      <c r="RXM20" s="7"/>
      <c r="RXN20" s="7"/>
      <c r="RXO20" s="7"/>
      <c r="RXP20" s="7"/>
      <c r="RXQ20" s="7"/>
      <c r="RXR20" s="7"/>
      <c r="RXS20" s="7"/>
      <c r="RXT20" s="7"/>
      <c r="RXU20" s="7"/>
      <c r="RXV20" s="7"/>
      <c r="RXW20" s="7"/>
      <c r="RXX20" s="7"/>
      <c r="RXY20" s="7"/>
      <c r="RXZ20" s="7"/>
      <c r="RYA20" s="7"/>
      <c r="RYB20" s="7"/>
      <c r="RYC20" s="7"/>
      <c r="RYD20" s="7"/>
      <c r="RYE20" s="7"/>
      <c r="RYF20" s="7"/>
      <c r="RYG20" s="7"/>
      <c r="RYH20" s="7"/>
      <c r="RYI20" s="7"/>
      <c r="RYJ20" s="7"/>
      <c r="RYK20" s="7"/>
      <c r="RYL20" s="7"/>
      <c r="RYM20" s="7"/>
      <c r="RYN20" s="7"/>
      <c r="RYO20" s="7"/>
      <c r="RYP20" s="7"/>
      <c r="RYQ20" s="7"/>
      <c r="RYR20" s="7"/>
      <c r="RYS20" s="7"/>
      <c r="RYT20" s="7"/>
      <c r="RYU20" s="7"/>
      <c r="RYV20" s="7"/>
      <c r="RYW20" s="7"/>
      <c r="RYX20" s="7"/>
      <c r="RYY20" s="7"/>
      <c r="RYZ20" s="7"/>
      <c r="RZA20" s="7"/>
      <c r="RZB20" s="7"/>
      <c r="RZC20" s="7"/>
      <c r="RZD20" s="7"/>
      <c r="RZE20" s="7"/>
      <c r="RZF20" s="7"/>
      <c r="RZG20" s="7"/>
      <c r="RZH20" s="7"/>
      <c r="RZI20" s="7"/>
      <c r="RZJ20" s="7"/>
      <c r="RZK20" s="7"/>
      <c r="RZL20" s="7"/>
      <c r="RZM20" s="7"/>
      <c r="RZN20" s="7"/>
      <c r="RZO20" s="7"/>
      <c r="RZP20" s="7"/>
      <c r="RZQ20" s="7"/>
      <c r="RZR20" s="7"/>
      <c r="RZS20" s="7"/>
      <c r="RZT20" s="7"/>
      <c r="RZU20" s="7"/>
      <c r="RZV20" s="7"/>
      <c r="RZW20" s="7"/>
      <c r="RZX20" s="7"/>
      <c r="RZY20" s="7"/>
      <c r="RZZ20" s="7"/>
      <c r="SAA20" s="7"/>
      <c r="SAB20" s="7"/>
      <c r="SAC20" s="7"/>
      <c r="SAD20" s="7"/>
      <c r="SAE20" s="7"/>
      <c r="SAF20" s="7"/>
      <c r="SAG20" s="7"/>
      <c r="SAH20" s="7"/>
      <c r="SAI20" s="7"/>
      <c r="SAJ20" s="7"/>
      <c r="SAK20" s="7"/>
      <c r="SAL20" s="7"/>
      <c r="SAM20" s="7"/>
      <c r="SAN20" s="7"/>
      <c r="SAO20" s="7"/>
      <c r="SAP20" s="7"/>
      <c r="SAQ20" s="7"/>
      <c r="SAR20" s="7"/>
      <c r="SAS20" s="7"/>
      <c r="SAT20" s="7"/>
      <c r="SAU20" s="7"/>
      <c r="SAV20" s="7"/>
      <c r="SAW20" s="7"/>
      <c r="SAX20" s="7"/>
      <c r="SAY20" s="7"/>
      <c r="SAZ20" s="7"/>
      <c r="SBA20" s="7"/>
      <c r="SBB20" s="7"/>
      <c r="SBC20" s="7"/>
      <c r="SBD20" s="7"/>
      <c r="SBE20" s="7"/>
      <c r="SBF20" s="7"/>
      <c r="SBG20" s="7"/>
      <c r="SBH20" s="7"/>
      <c r="SBI20" s="7"/>
      <c r="SBJ20" s="7"/>
      <c r="SBK20" s="7"/>
      <c r="SBL20" s="7"/>
      <c r="SBM20" s="7"/>
      <c r="SBN20" s="7"/>
      <c r="SBO20" s="7"/>
      <c r="SBP20" s="7"/>
      <c r="SBQ20" s="7"/>
      <c r="SBR20" s="7"/>
      <c r="SBS20" s="7"/>
      <c r="SBT20" s="7"/>
      <c r="SBU20" s="7"/>
      <c r="SBV20" s="7"/>
      <c r="SBW20" s="7"/>
      <c r="SBX20" s="7"/>
      <c r="SBY20" s="7"/>
      <c r="SBZ20" s="7"/>
      <c r="SCA20" s="7"/>
      <c r="SCB20" s="7"/>
      <c r="SCC20" s="7"/>
      <c r="SCD20" s="7"/>
      <c r="SCE20" s="7"/>
      <c r="SCF20" s="7"/>
      <c r="SCG20" s="7"/>
      <c r="SCH20" s="7"/>
      <c r="SCI20" s="7"/>
      <c r="SCJ20" s="7"/>
      <c r="SCK20" s="7"/>
      <c r="SCL20" s="7"/>
      <c r="SCM20" s="7"/>
      <c r="SCN20" s="7"/>
      <c r="SCO20" s="7"/>
      <c r="SCP20" s="7"/>
      <c r="SCQ20" s="7"/>
      <c r="SCR20" s="7"/>
      <c r="SCS20" s="7"/>
      <c r="SCT20" s="7"/>
      <c r="SCU20" s="7"/>
      <c r="SCV20" s="7"/>
      <c r="SCW20" s="7"/>
      <c r="SCX20" s="7"/>
      <c r="SCY20" s="7"/>
      <c r="SCZ20" s="7"/>
      <c r="SDA20" s="7"/>
      <c r="SDB20" s="7"/>
      <c r="SDC20" s="7"/>
      <c r="SDD20" s="7"/>
      <c r="SDE20" s="7"/>
      <c r="SDF20" s="7"/>
      <c r="SDG20" s="7"/>
      <c r="SDH20" s="7"/>
      <c r="SDI20" s="7"/>
      <c r="SDJ20" s="7"/>
      <c r="SDK20" s="7"/>
      <c r="SDL20" s="7"/>
      <c r="SDM20" s="7"/>
      <c r="SDN20" s="7"/>
      <c r="SDO20" s="7"/>
      <c r="SDP20" s="7"/>
      <c r="SDQ20" s="7"/>
      <c r="SDR20" s="7"/>
      <c r="SDS20" s="7"/>
      <c r="SDT20" s="7"/>
      <c r="SDU20" s="7"/>
      <c r="SDV20" s="7"/>
      <c r="SDW20" s="7"/>
      <c r="SDX20" s="7"/>
      <c r="SDY20" s="7"/>
      <c r="SDZ20" s="7"/>
      <c r="SEA20" s="7"/>
      <c r="SEB20" s="7"/>
      <c r="SEC20" s="7"/>
      <c r="SED20" s="7"/>
      <c r="SEE20" s="7"/>
      <c r="SEF20" s="7"/>
      <c r="SEG20" s="7"/>
      <c r="SEH20" s="7"/>
      <c r="SEI20" s="7"/>
      <c r="SEJ20" s="7"/>
      <c r="SEK20" s="7"/>
      <c r="SEL20" s="7"/>
      <c r="SEM20" s="7"/>
      <c r="SEN20" s="7"/>
      <c r="SEO20" s="7"/>
      <c r="SEP20" s="7"/>
      <c r="SEQ20" s="7"/>
      <c r="SER20" s="7"/>
      <c r="SES20" s="7"/>
      <c r="SET20" s="7"/>
      <c r="SEU20" s="7"/>
      <c r="SEV20" s="7"/>
      <c r="SEW20" s="7"/>
      <c r="SEX20" s="7"/>
      <c r="SEY20" s="7"/>
      <c r="SEZ20" s="7"/>
      <c r="SFA20" s="7"/>
      <c r="SFB20" s="7"/>
      <c r="SFC20" s="7"/>
      <c r="SFD20" s="7"/>
      <c r="SFE20" s="7"/>
      <c r="SFF20" s="7"/>
      <c r="SFG20" s="7"/>
      <c r="SFH20" s="7"/>
      <c r="SFI20" s="7"/>
      <c r="SFJ20" s="7"/>
      <c r="SFK20" s="7"/>
      <c r="SFL20" s="7"/>
      <c r="SFM20" s="7"/>
      <c r="SFN20" s="7"/>
      <c r="SFO20" s="7"/>
      <c r="SFP20" s="7"/>
      <c r="SFQ20" s="7"/>
      <c r="SFR20" s="7"/>
      <c r="SFS20" s="7"/>
      <c r="SFT20" s="7"/>
      <c r="SFU20" s="7"/>
      <c r="SFV20" s="7"/>
      <c r="SFW20" s="7"/>
      <c r="SFX20" s="7"/>
      <c r="SFY20" s="7"/>
      <c r="SFZ20" s="7"/>
      <c r="SGA20" s="7"/>
      <c r="SGB20" s="7"/>
      <c r="SGC20" s="7"/>
      <c r="SGD20" s="7"/>
      <c r="SGE20" s="7"/>
      <c r="SGF20" s="7"/>
      <c r="SGG20" s="7"/>
      <c r="SGH20" s="7"/>
      <c r="SGI20" s="7"/>
      <c r="SGJ20" s="7"/>
      <c r="SGK20" s="7"/>
      <c r="SGL20" s="7"/>
      <c r="SGM20" s="7"/>
      <c r="SGN20" s="7"/>
      <c r="SGO20" s="7"/>
      <c r="SGP20" s="7"/>
      <c r="SGQ20" s="7"/>
      <c r="SGR20" s="7"/>
      <c r="SGS20" s="7"/>
      <c r="SGT20" s="7"/>
      <c r="SGU20" s="7"/>
      <c r="SGV20" s="7"/>
      <c r="SGW20" s="7"/>
      <c r="SGX20" s="7"/>
      <c r="SGY20" s="7"/>
      <c r="SGZ20" s="7"/>
      <c r="SHA20" s="7"/>
      <c r="SHB20" s="7"/>
      <c r="SHC20" s="7"/>
      <c r="SHD20" s="7"/>
      <c r="SHE20" s="7"/>
      <c r="SHF20" s="7"/>
      <c r="SHG20" s="7"/>
      <c r="SHH20" s="7"/>
      <c r="SHI20" s="7"/>
      <c r="SHJ20" s="7"/>
      <c r="SHK20" s="7"/>
      <c r="SHL20" s="7"/>
      <c r="SHM20" s="7"/>
      <c r="SHN20" s="7"/>
      <c r="SHO20" s="7"/>
      <c r="SHP20" s="7"/>
      <c r="SHQ20" s="7"/>
      <c r="SHR20" s="7"/>
      <c r="SHS20" s="7"/>
      <c r="SHT20" s="7"/>
      <c r="SHU20" s="7"/>
      <c r="SHV20" s="7"/>
      <c r="SHW20" s="7"/>
      <c r="SHX20" s="7"/>
      <c r="SHY20" s="7"/>
      <c r="SHZ20" s="7"/>
      <c r="SIA20" s="7"/>
      <c r="SIB20" s="7"/>
      <c r="SIC20" s="7"/>
      <c r="SID20" s="7"/>
      <c r="SIE20" s="7"/>
      <c r="SIF20" s="7"/>
      <c r="SIG20" s="7"/>
      <c r="SIH20" s="7"/>
      <c r="SII20" s="7"/>
      <c r="SIJ20" s="7"/>
      <c r="SIK20" s="7"/>
      <c r="SIL20" s="7"/>
      <c r="SIM20" s="7"/>
      <c r="SIN20" s="7"/>
      <c r="SIO20" s="7"/>
      <c r="SIP20" s="7"/>
      <c r="SIQ20" s="7"/>
      <c r="SIR20" s="7"/>
      <c r="SIS20" s="7"/>
      <c r="SIT20" s="7"/>
      <c r="SIU20" s="7"/>
      <c r="SIV20" s="7"/>
      <c r="SIW20" s="7"/>
      <c r="SIX20" s="7"/>
      <c r="SIY20" s="7"/>
      <c r="SIZ20" s="7"/>
      <c r="SJA20" s="7"/>
      <c r="SJB20" s="7"/>
      <c r="SJC20" s="7"/>
      <c r="SJD20" s="7"/>
      <c r="SJE20" s="7"/>
      <c r="SJF20" s="7"/>
      <c r="SJG20" s="7"/>
      <c r="SJH20" s="7"/>
      <c r="SJI20" s="7"/>
      <c r="SJJ20" s="7"/>
      <c r="SJK20" s="7"/>
      <c r="SJL20" s="7"/>
      <c r="SJM20" s="7"/>
      <c r="SJN20" s="7"/>
      <c r="SJO20" s="7"/>
      <c r="SJP20" s="7"/>
      <c r="SJQ20" s="7"/>
      <c r="SJR20" s="7"/>
      <c r="SJS20" s="7"/>
      <c r="SJT20" s="7"/>
      <c r="SJU20" s="7"/>
      <c r="SJV20" s="7"/>
      <c r="SJW20" s="7"/>
      <c r="SJX20" s="7"/>
      <c r="SJY20" s="7"/>
      <c r="SJZ20" s="7"/>
      <c r="SKA20" s="7"/>
      <c r="SKB20" s="7"/>
      <c r="SKC20" s="7"/>
      <c r="SKD20" s="7"/>
      <c r="SKE20" s="7"/>
      <c r="SKF20" s="7"/>
      <c r="SKG20" s="7"/>
      <c r="SKH20" s="7"/>
      <c r="SKI20" s="7"/>
      <c r="SKJ20" s="7"/>
      <c r="SKK20" s="7"/>
      <c r="SKL20" s="7"/>
      <c r="SKM20" s="7"/>
      <c r="SKN20" s="7"/>
      <c r="SKO20" s="7"/>
      <c r="SKP20" s="7"/>
      <c r="SKQ20" s="7"/>
      <c r="SKR20" s="7"/>
      <c r="SKS20" s="7"/>
      <c r="SKT20" s="7"/>
      <c r="SKU20" s="7"/>
      <c r="SKV20" s="7"/>
      <c r="SKW20" s="7"/>
      <c r="SKX20" s="7"/>
      <c r="SKY20" s="7"/>
      <c r="SKZ20" s="7"/>
      <c r="SLA20" s="7"/>
      <c r="SLB20" s="7"/>
      <c r="SLC20" s="7"/>
      <c r="SLD20" s="7"/>
      <c r="SLE20" s="7"/>
      <c r="SLF20" s="7"/>
      <c r="SLG20" s="7"/>
      <c r="SLH20" s="7"/>
      <c r="SLI20" s="7"/>
      <c r="SLJ20" s="7"/>
      <c r="SLK20" s="7"/>
      <c r="SLL20" s="7"/>
      <c r="SLM20" s="7"/>
      <c r="SLN20" s="7"/>
      <c r="SLO20" s="7"/>
      <c r="SLP20" s="7"/>
      <c r="SLQ20" s="7"/>
      <c r="SLR20" s="7"/>
      <c r="SLS20" s="7"/>
      <c r="SLT20" s="7"/>
      <c r="SLU20" s="7"/>
      <c r="SLV20" s="7"/>
      <c r="SLW20" s="7"/>
      <c r="SLX20" s="7"/>
      <c r="SLY20" s="7"/>
      <c r="SLZ20" s="7"/>
      <c r="SMA20" s="7"/>
      <c r="SMB20" s="7"/>
      <c r="SMC20" s="7"/>
      <c r="SMD20" s="7"/>
      <c r="SME20" s="7"/>
      <c r="SMF20" s="7"/>
      <c r="SMG20" s="7"/>
      <c r="SMH20" s="7"/>
      <c r="SMI20" s="7"/>
      <c r="SMJ20" s="7"/>
      <c r="SMK20" s="7"/>
      <c r="SML20" s="7"/>
      <c r="SMM20" s="7"/>
      <c r="SMN20" s="7"/>
      <c r="SMO20" s="7"/>
      <c r="SMP20" s="7"/>
      <c r="SMQ20" s="7"/>
      <c r="SMR20" s="7"/>
      <c r="SMS20" s="7"/>
      <c r="SMT20" s="7"/>
      <c r="SMU20" s="7"/>
      <c r="SMV20" s="7"/>
      <c r="SMW20" s="7"/>
      <c r="SMX20" s="7"/>
      <c r="SMY20" s="7"/>
      <c r="SMZ20" s="7"/>
      <c r="SNA20" s="7"/>
      <c r="SNB20" s="7"/>
      <c r="SNC20" s="7"/>
      <c r="SND20" s="7"/>
      <c r="SNE20" s="7"/>
      <c r="SNF20" s="7"/>
      <c r="SNG20" s="7"/>
      <c r="SNH20" s="7"/>
      <c r="SNI20" s="7"/>
      <c r="SNJ20" s="7"/>
      <c r="SNK20" s="7"/>
      <c r="SNL20" s="7"/>
      <c r="SNM20" s="7"/>
      <c r="SNN20" s="7"/>
      <c r="SNO20" s="7"/>
      <c r="SNP20" s="7"/>
      <c r="SNQ20" s="7"/>
      <c r="SNR20" s="7"/>
      <c r="SNS20" s="7"/>
      <c r="SNT20" s="7"/>
      <c r="SNU20" s="7"/>
      <c r="SNV20" s="7"/>
      <c r="SNW20" s="7"/>
      <c r="SNX20" s="7"/>
      <c r="SNY20" s="7"/>
      <c r="SNZ20" s="7"/>
      <c r="SOA20" s="7"/>
      <c r="SOB20" s="7"/>
      <c r="SOC20" s="7"/>
      <c r="SOD20" s="7"/>
      <c r="SOE20" s="7"/>
      <c r="SOF20" s="7"/>
      <c r="SOG20" s="7"/>
      <c r="SOH20" s="7"/>
      <c r="SOI20" s="7"/>
      <c r="SOJ20" s="7"/>
      <c r="SOK20" s="7"/>
      <c r="SOL20" s="7"/>
      <c r="SOM20" s="7"/>
      <c r="SON20" s="7"/>
      <c r="SOO20" s="7"/>
      <c r="SOP20" s="7"/>
      <c r="SOQ20" s="7"/>
      <c r="SOR20" s="7"/>
      <c r="SOS20" s="7"/>
      <c r="SOT20" s="7"/>
      <c r="SOU20" s="7"/>
      <c r="SOV20" s="7"/>
      <c r="SOW20" s="7"/>
      <c r="SOX20" s="7"/>
      <c r="SOY20" s="7"/>
      <c r="SOZ20" s="7"/>
      <c r="SPA20" s="7"/>
      <c r="SPB20" s="7"/>
      <c r="SPC20" s="7"/>
      <c r="SPD20" s="7"/>
      <c r="SPE20" s="7"/>
      <c r="SPF20" s="7"/>
      <c r="SPG20" s="7"/>
      <c r="SPH20" s="7"/>
      <c r="SPI20" s="7"/>
      <c r="SPJ20" s="7"/>
      <c r="SPK20" s="7"/>
      <c r="SPL20" s="7"/>
      <c r="SPM20" s="7"/>
      <c r="SPN20" s="7"/>
      <c r="SPO20" s="7"/>
      <c r="SPP20" s="7"/>
      <c r="SPQ20" s="7"/>
      <c r="SPR20" s="7"/>
      <c r="SPS20" s="7"/>
      <c r="SPT20" s="7"/>
      <c r="SPU20" s="7"/>
      <c r="SPV20" s="7"/>
      <c r="SPW20" s="7"/>
      <c r="SPX20" s="7"/>
      <c r="SPY20" s="7"/>
      <c r="SPZ20" s="7"/>
      <c r="SQA20" s="7"/>
      <c r="SQB20" s="7"/>
      <c r="SQC20" s="7"/>
      <c r="SQD20" s="7"/>
      <c r="SQE20" s="7"/>
      <c r="SQF20" s="7"/>
      <c r="SQG20" s="7"/>
      <c r="SQH20" s="7"/>
      <c r="SQI20" s="7"/>
      <c r="SQJ20" s="7"/>
      <c r="SQK20" s="7"/>
      <c r="SQL20" s="7"/>
      <c r="SQM20" s="7"/>
      <c r="SQN20" s="7"/>
      <c r="SQO20" s="7"/>
      <c r="SQP20" s="7"/>
      <c r="SQQ20" s="7"/>
      <c r="SQR20" s="7"/>
      <c r="SQS20" s="7"/>
      <c r="SQT20" s="7"/>
      <c r="SQU20" s="7"/>
      <c r="SQV20" s="7"/>
      <c r="SQW20" s="7"/>
      <c r="SQX20" s="7"/>
      <c r="SQY20" s="7"/>
      <c r="SQZ20" s="7"/>
      <c r="SRA20" s="7"/>
      <c r="SRB20" s="7"/>
      <c r="SRC20" s="7"/>
      <c r="SRD20" s="7"/>
      <c r="SRE20" s="7"/>
      <c r="SRF20" s="7"/>
      <c r="SRG20" s="7"/>
      <c r="SRH20" s="7"/>
      <c r="SRI20" s="7"/>
      <c r="SRJ20" s="7"/>
      <c r="SRK20" s="7"/>
      <c r="SRL20" s="7"/>
      <c r="SRM20" s="7"/>
      <c r="SRN20" s="7"/>
      <c r="SRO20" s="7"/>
      <c r="SRP20" s="7"/>
      <c r="SRQ20" s="7"/>
      <c r="SRR20" s="7"/>
      <c r="SRS20" s="7"/>
      <c r="SRT20" s="7"/>
      <c r="SRU20" s="7"/>
      <c r="SRV20" s="7"/>
      <c r="SRW20" s="7"/>
      <c r="SRX20" s="7"/>
      <c r="SRY20" s="7"/>
      <c r="SRZ20" s="7"/>
      <c r="SSA20" s="7"/>
      <c r="SSB20" s="7"/>
      <c r="SSC20" s="7"/>
      <c r="SSD20" s="7"/>
      <c r="SSE20" s="7"/>
      <c r="SSF20" s="7"/>
      <c r="SSG20" s="7"/>
      <c r="SSH20" s="7"/>
      <c r="SSI20" s="7"/>
      <c r="SSJ20" s="7"/>
      <c r="SSK20" s="7"/>
      <c r="SSL20" s="7"/>
      <c r="SSM20" s="7"/>
      <c r="SSN20" s="7"/>
      <c r="SSO20" s="7"/>
      <c r="SSP20" s="7"/>
      <c r="SSQ20" s="7"/>
      <c r="SSR20" s="7"/>
      <c r="SSS20" s="7"/>
      <c r="SST20" s="7"/>
      <c r="SSU20" s="7"/>
      <c r="SSV20" s="7"/>
      <c r="SSW20" s="7"/>
      <c r="SSX20" s="7"/>
      <c r="SSY20" s="7"/>
      <c r="SSZ20" s="7"/>
      <c r="STA20" s="7"/>
      <c r="STB20" s="7"/>
      <c r="STC20" s="7"/>
      <c r="STD20" s="7"/>
      <c r="STE20" s="7"/>
      <c r="STF20" s="7"/>
      <c r="STG20" s="7"/>
      <c r="STH20" s="7"/>
      <c r="STI20" s="7"/>
      <c r="STJ20" s="7"/>
      <c r="STK20" s="7"/>
      <c r="STL20" s="7"/>
      <c r="STM20" s="7"/>
      <c r="STN20" s="7"/>
      <c r="STO20" s="7"/>
      <c r="STP20" s="7"/>
      <c r="STQ20" s="7"/>
      <c r="STR20" s="7"/>
      <c r="STS20" s="7"/>
      <c r="STT20" s="7"/>
      <c r="STU20" s="7"/>
      <c r="STV20" s="7"/>
      <c r="STW20" s="7"/>
      <c r="STX20" s="7"/>
      <c r="STY20" s="7"/>
      <c r="STZ20" s="7"/>
      <c r="SUA20" s="7"/>
      <c r="SUB20" s="7"/>
      <c r="SUC20" s="7"/>
      <c r="SUD20" s="7"/>
      <c r="SUE20" s="7"/>
      <c r="SUF20" s="7"/>
      <c r="SUG20" s="7"/>
      <c r="SUH20" s="7"/>
      <c r="SUI20" s="7"/>
      <c r="SUJ20" s="7"/>
      <c r="SUK20" s="7"/>
      <c r="SUL20" s="7"/>
      <c r="SUM20" s="7"/>
      <c r="SUN20" s="7"/>
      <c r="SUO20" s="7"/>
      <c r="SUP20" s="7"/>
      <c r="SUQ20" s="7"/>
      <c r="SUR20" s="7"/>
      <c r="SUS20" s="7"/>
      <c r="SUT20" s="7"/>
      <c r="SUU20" s="7"/>
      <c r="SUV20" s="7"/>
      <c r="SUW20" s="7"/>
      <c r="SUX20" s="7"/>
      <c r="SUY20" s="7"/>
      <c r="SUZ20" s="7"/>
      <c r="SVA20" s="7"/>
      <c r="SVB20" s="7"/>
      <c r="SVC20" s="7"/>
      <c r="SVD20" s="7"/>
      <c r="SVE20" s="7"/>
      <c r="SVF20" s="7"/>
      <c r="SVG20" s="7"/>
      <c r="SVH20" s="7"/>
      <c r="SVI20" s="7"/>
      <c r="SVJ20" s="7"/>
      <c r="SVK20" s="7"/>
      <c r="SVL20" s="7"/>
      <c r="SVM20" s="7"/>
      <c r="SVN20" s="7"/>
      <c r="SVO20" s="7"/>
      <c r="SVP20" s="7"/>
      <c r="SVQ20" s="7"/>
      <c r="SVR20" s="7"/>
      <c r="SVS20" s="7"/>
      <c r="SVT20" s="7"/>
      <c r="SVU20" s="7"/>
      <c r="SVV20" s="7"/>
      <c r="SVW20" s="7"/>
      <c r="SVX20" s="7"/>
      <c r="SVY20" s="7"/>
      <c r="SVZ20" s="7"/>
      <c r="SWA20" s="7"/>
      <c r="SWB20" s="7"/>
      <c r="SWC20" s="7"/>
      <c r="SWD20" s="7"/>
      <c r="SWE20" s="7"/>
      <c r="SWF20" s="7"/>
      <c r="SWG20" s="7"/>
      <c r="SWH20" s="7"/>
      <c r="SWI20" s="7"/>
      <c r="SWJ20" s="7"/>
      <c r="SWK20" s="7"/>
      <c r="SWL20" s="7"/>
      <c r="SWM20" s="7"/>
      <c r="SWN20" s="7"/>
      <c r="SWO20" s="7"/>
      <c r="SWP20" s="7"/>
      <c r="SWQ20" s="7"/>
      <c r="SWR20" s="7"/>
      <c r="SWS20" s="7"/>
      <c r="SWT20" s="7"/>
      <c r="SWU20" s="7"/>
      <c r="SWV20" s="7"/>
      <c r="SWW20" s="7"/>
      <c r="SWX20" s="7"/>
      <c r="SWY20" s="7"/>
      <c r="SWZ20" s="7"/>
      <c r="SXA20" s="7"/>
      <c r="SXB20" s="7"/>
      <c r="SXC20" s="7"/>
      <c r="SXD20" s="7"/>
      <c r="SXE20" s="7"/>
      <c r="SXF20" s="7"/>
      <c r="SXG20" s="7"/>
      <c r="SXH20" s="7"/>
      <c r="SXI20" s="7"/>
      <c r="SXJ20" s="7"/>
      <c r="SXK20" s="7"/>
      <c r="SXL20" s="7"/>
      <c r="SXM20" s="7"/>
      <c r="SXN20" s="7"/>
      <c r="SXO20" s="7"/>
      <c r="SXP20" s="7"/>
      <c r="SXQ20" s="7"/>
      <c r="SXR20" s="7"/>
      <c r="SXS20" s="7"/>
      <c r="SXT20" s="7"/>
      <c r="SXU20" s="7"/>
      <c r="SXV20" s="7"/>
      <c r="SXW20" s="7"/>
      <c r="SXX20" s="7"/>
      <c r="SXY20" s="7"/>
      <c r="SXZ20" s="7"/>
      <c r="SYA20" s="7"/>
      <c r="SYB20" s="7"/>
      <c r="SYC20" s="7"/>
      <c r="SYD20" s="7"/>
      <c r="SYE20" s="7"/>
      <c r="SYF20" s="7"/>
      <c r="SYG20" s="7"/>
      <c r="SYH20" s="7"/>
      <c r="SYI20" s="7"/>
      <c r="SYJ20" s="7"/>
      <c r="SYK20" s="7"/>
      <c r="SYL20" s="7"/>
      <c r="SYM20" s="7"/>
      <c r="SYN20" s="7"/>
      <c r="SYO20" s="7"/>
      <c r="SYP20" s="7"/>
      <c r="SYQ20" s="7"/>
      <c r="SYR20" s="7"/>
      <c r="SYS20" s="7"/>
      <c r="SYT20" s="7"/>
      <c r="SYU20" s="7"/>
      <c r="SYV20" s="7"/>
      <c r="SYW20" s="7"/>
      <c r="SYX20" s="7"/>
      <c r="SYY20" s="7"/>
      <c r="SYZ20" s="7"/>
      <c r="SZA20" s="7"/>
      <c r="SZB20" s="7"/>
      <c r="SZC20" s="7"/>
      <c r="SZD20" s="7"/>
      <c r="SZE20" s="7"/>
      <c r="SZF20" s="7"/>
      <c r="SZG20" s="7"/>
      <c r="SZH20" s="7"/>
      <c r="SZI20" s="7"/>
      <c r="SZJ20" s="7"/>
      <c r="SZK20" s="7"/>
      <c r="SZL20" s="7"/>
      <c r="SZM20" s="7"/>
      <c r="SZN20" s="7"/>
      <c r="SZO20" s="7"/>
      <c r="SZP20" s="7"/>
      <c r="SZQ20" s="7"/>
      <c r="SZR20" s="7"/>
      <c r="SZS20" s="7"/>
      <c r="SZT20" s="7"/>
      <c r="SZU20" s="7"/>
      <c r="SZV20" s="7"/>
      <c r="SZW20" s="7"/>
      <c r="SZX20" s="7"/>
      <c r="SZY20" s="7"/>
      <c r="SZZ20" s="7"/>
      <c r="TAA20" s="7"/>
      <c r="TAB20" s="7"/>
      <c r="TAC20" s="7"/>
      <c r="TAD20" s="7"/>
      <c r="TAE20" s="7"/>
      <c r="TAF20" s="7"/>
      <c r="TAG20" s="7"/>
      <c r="TAH20" s="7"/>
      <c r="TAI20" s="7"/>
      <c r="TAJ20" s="7"/>
      <c r="TAK20" s="7"/>
      <c r="TAL20" s="7"/>
      <c r="TAM20" s="7"/>
      <c r="TAN20" s="7"/>
      <c r="TAO20" s="7"/>
      <c r="TAP20" s="7"/>
      <c r="TAQ20" s="7"/>
      <c r="TAR20" s="7"/>
      <c r="TAS20" s="7"/>
      <c r="TAT20" s="7"/>
      <c r="TAU20" s="7"/>
      <c r="TAV20" s="7"/>
      <c r="TAW20" s="7"/>
      <c r="TAX20" s="7"/>
      <c r="TAY20" s="7"/>
      <c r="TAZ20" s="7"/>
      <c r="TBA20" s="7"/>
      <c r="TBB20" s="7"/>
      <c r="TBC20" s="7"/>
      <c r="TBD20" s="7"/>
      <c r="TBE20" s="7"/>
      <c r="TBF20" s="7"/>
      <c r="TBG20" s="7"/>
      <c r="TBH20" s="7"/>
      <c r="TBI20" s="7"/>
      <c r="TBJ20" s="7"/>
      <c r="TBK20" s="7"/>
      <c r="TBL20" s="7"/>
      <c r="TBM20" s="7"/>
      <c r="TBN20" s="7"/>
      <c r="TBO20" s="7"/>
      <c r="TBP20" s="7"/>
      <c r="TBQ20" s="7"/>
      <c r="TBR20" s="7"/>
      <c r="TBS20" s="7"/>
      <c r="TBT20" s="7"/>
      <c r="TBU20" s="7"/>
      <c r="TBV20" s="7"/>
      <c r="TBW20" s="7"/>
      <c r="TBX20" s="7"/>
      <c r="TBY20" s="7"/>
      <c r="TBZ20" s="7"/>
      <c r="TCA20" s="7"/>
      <c r="TCB20" s="7"/>
      <c r="TCC20" s="7"/>
      <c r="TCD20" s="7"/>
      <c r="TCE20" s="7"/>
      <c r="TCF20" s="7"/>
      <c r="TCG20" s="7"/>
      <c r="TCH20" s="7"/>
      <c r="TCI20" s="7"/>
      <c r="TCJ20" s="7"/>
      <c r="TCK20" s="7"/>
      <c r="TCL20" s="7"/>
      <c r="TCM20" s="7"/>
      <c r="TCN20" s="7"/>
      <c r="TCO20" s="7"/>
      <c r="TCP20" s="7"/>
      <c r="TCQ20" s="7"/>
      <c r="TCR20" s="7"/>
      <c r="TCS20" s="7"/>
      <c r="TCT20" s="7"/>
      <c r="TCU20" s="7"/>
      <c r="TCV20" s="7"/>
      <c r="TCW20" s="7"/>
      <c r="TCX20" s="7"/>
      <c r="TCY20" s="7"/>
      <c r="TCZ20" s="7"/>
      <c r="TDA20" s="7"/>
      <c r="TDB20" s="7"/>
      <c r="TDC20" s="7"/>
      <c r="TDD20" s="7"/>
      <c r="TDE20" s="7"/>
      <c r="TDF20" s="7"/>
      <c r="TDG20" s="7"/>
      <c r="TDH20" s="7"/>
      <c r="TDI20" s="7"/>
      <c r="TDJ20" s="7"/>
      <c r="TDK20" s="7"/>
      <c r="TDL20" s="7"/>
      <c r="TDM20" s="7"/>
      <c r="TDN20" s="7"/>
      <c r="TDO20" s="7"/>
      <c r="TDP20" s="7"/>
      <c r="TDQ20" s="7"/>
      <c r="TDR20" s="7"/>
      <c r="TDS20" s="7"/>
      <c r="TDT20" s="7"/>
      <c r="TDU20" s="7"/>
      <c r="TDV20" s="7"/>
      <c r="TDW20" s="7"/>
      <c r="TDX20" s="7"/>
      <c r="TDY20" s="7"/>
      <c r="TDZ20" s="7"/>
      <c r="TEA20" s="7"/>
      <c r="TEB20" s="7"/>
      <c r="TEC20" s="7"/>
      <c r="TED20" s="7"/>
      <c r="TEE20" s="7"/>
      <c r="TEF20" s="7"/>
      <c r="TEG20" s="7"/>
      <c r="TEH20" s="7"/>
      <c r="TEI20" s="7"/>
      <c r="TEJ20" s="7"/>
      <c r="TEK20" s="7"/>
      <c r="TEL20" s="7"/>
      <c r="TEM20" s="7"/>
      <c r="TEN20" s="7"/>
      <c r="TEO20" s="7"/>
      <c r="TEP20" s="7"/>
      <c r="TEQ20" s="7"/>
      <c r="TER20" s="7"/>
      <c r="TES20" s="7"/>
      <c r="TET20" s="7"/>
      <c r="TEU20" s="7"/>
      <c r="TEV20" s="7"/>
      <c r="TEW20" s="7"/>
      <c r="TEX20" s="7"/>
      <c r="TEY20" s="7"/>
      <c r="TEZ20" s="7"/>
      <c r="TFA20" s="7"/>
      <c r="TFB20" s="7"/>
      <c r="TFC20" s="7"/>
      <c r="TFD20" s="7"/>
      <c r="TFE20" s="7"/>
      <c r="TFF20" s="7"/>
      <c r="TFG20" s="7"/>
      <c r="TFH20" s="7"/>
      <c r="TFI20" s="7"/>
      <c r="TFJ20" s="7"/>
      <c r="TFK20" s="7"/>
      <c r="TFL20" s="7"/>
      <c r="TFM20" s="7"/>
      <c r="TFN20" s="7"/>
      <c r="TFO20" s="7"/>
      <c r="TFP20" s="7"/>
      <c r="TFQ20" s="7"/>
      <c r="TFR20" s="7"/>
      <c r="TFS20" s="7"/>
      <c r="TFT20" s="7"/>
      <c r="TFU20" s="7"/>
      <c r="TFV20" s="7"/>
      <c r="TFW20" s="7"/>
      <c r="TFX20" s="7"/>
      <c r="TFY20" s="7"/>
      <c r="TFZ20" s="7"/>
      <c r="TGA20" s="7"/>
      <c r="TGB20" s="7"/>
      <c r="TGC20" s="7"/>
      <c r="TGD20" s="7"/>
      <c r="TGE20" s="7"/>
      <c r="TGF20" s="7"/>
      <c r="TGG20" s="7"/>
      <c r="TGH20" s="7"/>
      <c r="TGI20" s="7"/>
      <c r="TGJ20" s="7"/>
      <c r="TGK20" s="7"/>
      <c r="TGL20" s="7"/>
      <c r="TGM20" s="7"/>
      <c r="TGN20" s="7"/>
      <c r="TGO20" s="7"/>
      <c r="TGP20" s="7"/>
      <c r="TGQ20" s="7"/>
      <c r="TGR20" s="7"/>
      <c r="TGS20" s="7"/>
      <c r="TGT20" s="7"/>
      <c r="TGU20" s="7"/>
      <c r="TGV20" s="7"/>
      <c r="TGW20" s="7"/>
      <c r="TGX20" s="7"/>
      <c r="TGY20" s="7"/>
      <c r="TGZ20" s="7"/>
      <c r="THA20" s="7"/>
      <c r="THB20" s="7"/>
      <c r="THC20" s="7"/>
      <c r="THD20" s="7"/>
      <c r="THE20" s="7"/>
      <c r="THF20" s="7"/>
      <c r="THG20" s="7"/>
      <c r="THH20" s="7"/>
      <c r="THI20" s="7"/>
      <c r="THJ20" s="7"/>
      <c r="THK20" s="7"/>
      <c r="THL20" s="7"/>
      <c r="THM20" s="7"/>
      <c r="THN20" s="7"/>
      <c r="THO20" s="7"/>
      <c r="THP20" s="7"/>
      <c r="THQ20" s="7"/>
      <c r="THR20" s="7"/>
      <c r="THS20" s="7"/>
      <c r="THT20" s="7"/>
      <c r="THU20" s="7"/>
      <c r="THV20" s="7"/>
      <c r="THW20" s="7"/>
      <c r="THX20" s="7"/>
      <c r="THY20" s="7"/>
      <c r="THZ20" s="7"/>
      <c r="TIA20" s="7"/>
      <c r="TIB20" s="7"/>
      <c r="TIC20" s="7"/>
      <c r="TID20" s="7"/>
      <c r="TIE20" s="7"/>
      <c r="TIF20" s="7"/>
      <c r="TIG20" s="7"/>
      <c r="TIH20" s="7"/>
      <c r="TII20" s="7"/>
      <c r="TIJ20" s="7"/>
      <c r="TIK20" s="7"/>
      <c r="TIL20" s="7"/>
      <c r="TIM20" s="7"/>
      <c r="TIN20" s="7"/>
      <c r="TIO20" s="7"/>
      <c r="TIP20" s="7"/>
      <c r="TIQ20" s="7"/>
      <c r="TIR20" s="7"/>
      <c r="TIS20" s="7"/>
      <c r="TIT20" s="7"/>
      <c r="TIU20" s="7"/>
      <c r="TIV20" s="7"/>
      <c r="TIW20" s="7"/>
      <c r="TIX20" s="7"/>
      <c r="TIY20" s="7"/>
      <c r="TIZ20" s="7"/>
      <c r="TJA20" s="7"/>
      <c r="TJB20" s="7"/>
      <c r="TJC20" s="7"/>
      <c r="TJD20" s="7"/>
      <c r="TJE20" s="7"/>
      <c r="TJF20" s="7"/>
      <c r="TJG20" s="7"/>
      <c r="TJH20" s="7"/>
      <c r="TJI20" s="7"/>
      <c r="TJJ20" s="7"/>
      <c r="TJK20" s="7"/>
      <c r="TJL20" s="7"/>
      <c r="TJM20" s="7"/>
      <c r="TJN20" s="7"/>
      <c r="TJO20" s="7"/>
      <c r="TJP20" s="7"/>
      <c r="TJQ20" s="7"/>
      <c r="TJR20" s="7"/>
      <c r="TJS20" s="7"/>
      <c r="TJT20" s="7"/>
      <c r="TJU20" s="7"/>
      <c r="TJV20" s="7"/>
      <c r="TJW20" s="7"/>
      <c r="TJX20" s="7"/>
      <c r="TJY20" s="7"/>
      <c r="TJZ20" s="7"/>
      <c r="TKA20" s="7"/>
      <c r="TKB20" s="7"/>
      <c r="TKC20" s="7"/>
      <c r="TKD20" s="7"/>
      <c r="TKE20" s="7"/>
      <c r="TKF20" s="7"/>
      <c r="TKG20" s="7"/>
      <c r="TKH20" s="7"/>
      <c r="TKI20" s="7"/>
      <c r="TKJ20" s="7"/>
      <c r="TKK20" s="7"/>
      <c r="TKL20" s="7"/>
      <c r="TKM20" s="7"/>
      <c r="TKN20" s="7"/>
      <c r="TKO20" s="7"/>
      <c r="TKP20" s="7"/>
      <c r="TKQ20" s="7"/>
      <c r="TKR20" s="7"/>
      <c r="TKS20" s="7"/>
      <c r="TKT20" s="7"/>
      <c r="TKU20" s="7"/>
      <c r="TKV20" s="7"/>
      <c r="TKW20" s="7"/>
      <c r="TKX20" s="7"/>
      <c r="TKY20" s="7"/>
      <c r="TKZ20" s="7"/>
      <c r="TLA20" s="7"/>
      <c r="TLB20" s="7"/>
      <c r="TLC20" s="7"/>
      <c r="TLD20" s="7"/>
      <c r="TLE20" s="7"/>
      <c r="TLF20" s="7"/>
      <c r="TLG20" s="7"/>
      <c r="TLH20" s="7"/>
      <c r="TLI20" s="7"/>
      <c r="TLJ20" s="7"/>
      <c r="TLK20" s="7"/>
      <c r="TLL20" s="7"/>
      <c r="TLM20" s="7"/>
      <c r="TLN20" s="7"/>
      <c r="TLO20" s="7"/>
      <c r="TLP20" s="7"/>
      <c r="TLQ20" s="7"/>
      <c r="TLR20" s="7"/>
      <c r="TLS20" s="7"/>
      <c r="TLT20" s="7"/>
      <c r="TLU20" s="7"/>
      <c r="TLV20" s="7"/>
      <c r="TLW20" s="7"/>
      <c r="TLX20" s="7"/>
      <c r="TLY20" s="7"/>
      <c r="TLZ20" s="7"/>
      <c r="TMA20" s="7"/>
      <c r="TMB20" s="7"/>
      <c r="TMC20" s="7"/>
      <c r="TMD20" s="7"/>
      <c r="TME20" s="7"/>
      <c r="TMF20" s="7"/>
      <c r="TMG20" s="7"/>
      <c r="TMH20" s="7"/>
      <c r="TMI20" s="7"/>
      <c r="TMJ20" s="7"/>
      <c r="TMK20" s="7"/>
      <c r="TML20" s="7"/>
      <c r="TMM20" s="7"/>
      <c r="TMN20" s="7"/>
      <c r="TMO20" s="7"/>
      <c r="TMP20" s="7"/>
      <c r="TMQ20" s="7"/>
      <c r="TMR20" s="7"/>
      <c r="TMS20" s="7"/>
      <c r="TMT20" s="7"/>
      <c r="TMU20" s="7"/>
      <c r="TMV20" s="7"/>
      <c r="TMW20" s="7"/>
      <c r="TMX20" s="7"/>
      <c r="TMY20" s="7"/>
      <c r="TMZ20" s="7"/>
      <c r="TNA20" s="7"/>
      <c r="TNB20" s="7"/>
      <c r="TNC20" s="7"/>
      <c r="TND20" s="7"/>
      <c r="TNE20" s="7"/>
      <c r="TNF20" s="7"/>
      <c r="TNG20" s="7"/>
      <c r="TNH20" s="7"/>
      <c r="TNI20" s="7"/>
      <c r="TNJ20" s="7"/>
      <c r="TNK20" s="7"/>
      <c r="TNL20" s="7"/>
      <c r="TNM20" s="7"/>
      <c r="TNN20" s="7"/>
      <c r="TNO20" s="7"/>
      <c r="TNP20" s="7"/>
      <c r="TNQ20" s="7"/>
      <c r="TNR20" s="7"/>
      <c r="TNS20" s="7"/>
      <c r="TNT20" s="7"/>
      <c r="TNU20" s="7"/>
      <c r="TNV20" s="7"/>
      <c r="TNW20" s="7"/>
      <c r="TNX20" s="7"/>
      <c r="TNY20" s="7"/>
      <c r="TNZ20" s="7"/>
      <c r="TOA20" s="7"/>
      <c r="TOB20" s="7"/>
      <c r="TOC20" s="7"/>
      <c r="TOD20" s="7"/>
      <c r="TOE20" s="7"/>
      <c r="TOF20" s="7"/>
      <c r="TOG20" s="7"/>
      <c r="TOH20" s="7"/>
      <c r="TOI20" s="7"/>
      <c r="TOJ20" s="7"/>
      <c r="TOK20" s="7"/>
      <c r="TOL20" s="7"/>
      <c r="TOM20" s="7"/>
      <c r="TON20" s="7"/>
      <c r="TOO20" s="7"/>
      <c r="TOP20" s="7"/>
      <c r="TOQ20" s="7"/>
      <c r="TOR20" s="7"/>
      <c r="TOS20" s="7"/>
      <c r="TOT20" s="7"/>
      <c r="TOU20" s="7"/>
      <c r="TOV20" s="7"/>
      <c r="TOW20" s="7"/>
      <c r="TOX20" s="7"/>
      <c r="TOY20" s="7"/>
      <c r="TOZ20" s="7"/>
      <c r="TPA20" s="7"/>
      <c r="TPB20" s="7"/>
      <c r="TPC20" s="7"/>
      <c r="TPD20" s="7"/>
      <c r="TPE20" s="7"/>
      <c r="TPF20" s="7"/>
      <c r="TPG20" s="7"/>
      <c r="TPH20" s="7"/>
      <c r="TPI20" s="7"/>
      <c r="TPJ20" s="7"/>
      <c r="TPK20" s="7"/>
      <c r="TPL20" s="7"/>
      <c r="TPM20" s="7"/>
      <c r="TPN20" s="7"/>
      <c r="TPO20" s="7"/>
      <c r="TPP20" s="7"/>
      <c r="TPQ20" s="7"/>
      <c r="TPR20" s="7"/>
      <c r="TPS20" s="7"/>
      <c r="TPT20" s="7"/>
      <c r="TPU20" s="7"/>
      <c r="TPV20" s="7"/>
      <c r="TPW20" s="7"/>
      <c r="TPX20" s="7"/>
      <c r="TPY20" s="7"/>
      <c r="TPZ20" s="7"/>
      <c r="TQA20" s="7"/>
      <c r="TQB20" s="7"/>
      <c r="TQC20" s="7"/>
      <c r="TQD20" s="7"/>
      <c r="TQE20" s="7"/>
      <c r="TQF20" s="7"/>
      <c r="TQG20" s="7"/>
      <c r="TQH20" s="7"/>
      <c r="TQI20" s="7"/>
      <c r="TQJ20" s="7"/>
      <c r="TQK20" s="7"/>
      <c r="TQL20" s="7"/>
      <c r="TQM20" s="7"/>
      <c r="TQN20" s="7"/>
      <c r="TQO20" s="7"/>
      <c r="TQP20" s="7"/>
      <c r="TQQ20" s="7"/>
      <c r="TQR20" s="7"/>
      <c r="TQS20" s="7"/>
      <c r="TQT20" s="7"/>
      <c r="TQU20" s="7"/>
      <c r="TQV20" s="7"/>
      <c r="TQW20" s="7"/>
      <c r="TQX20" s="7"/>
      <c r="TQY20" s="7"/>
      <c r="TQZ20" s="7"/>
      <c r="TRA20" s="7"/>
      <c r="TRB20" s="7"/>
      <c r="TRC20" s="7"/>
      <c r="TRD20" s="7"/>
      <c r="TRE20" s="7"/>
      <c r="TRF20" s="7"/>
      <c r="TRG20" s="7"/>
      <c r="TRH20" s="7"/>
      <c r="TRI20" s="7"/>
      <c r="TRJ20" s="7"/>
      <c r="TRK20" s="7"/>
      <c r="TRL20" s="7"/>
      <c r="TRM20" s="7"/>
      <c r="TRN20" s="7"/>
      <c r="TRO20" s="7"/>
      <c r="TRP20" s="7"/>
      <c r="TRQ20" s="7"/>
      <c r="TRR20" s="7"/>
      <c r="TRS20" s="7"/>
      <c r="TRT20" s="7"/>
      <c r="TRU20" s="7"/>
      <c r="TRV20" s="7"/>
      <c r="TRW20" s="7"/>
      <c r="TRX20" s="7"/>
      <c r="TRY20" s="7"/>
      <c r="TRZ20" s="7"/>
      <c r="TSA20" s="7"/>
      <c r="TSB20" s="7"/>
      <c r="TSC20" s="7"/>
      <c r="TSD20" s="7"/>
      <c r="TSE20" s="7"/>
      <c r="TSF20" s="7"/>
      <c r="TSG20" s="7"/>
      <c r="TSH20" s="7"/>
      <c r="TSI20" s="7"/>
      <c r="TSJ20" s="7"/>
      <c r="TSK20" s="7"/>
      <c r="TSL20" s="7"/>
      <c r="TSM20" s="7"/>
      <c r="TSN20" s="7"/>
      <c r="TSO20" s="7"/>
      <c r="TSP20" s="7"/>
      <c r="TSQ20" s="7"/>
      <c r="TSR20" s="7"/>
      <c r="TSS20" s="7"/>
      <c r="TST20" s="7"/>
      <c r="TSU20" s="7"/>
      <c r="TSV20" s="7"/>
      <c r="TSW20" s="7"/>
      <c r="TSX20" s="7"/>
      <c r="TSY20" s="7"/>
      <c r="TSZ20" s="7"/>
      <c r="TTA20" s="7"/>
      <c r="TTB20" s="7"/>
      <c r="TTC20" s="7"/>
      <c r="TTD20" s="7"/>
      <c r="TTE20" s="7"/>
      <c r="TTF20" s="7"/>
      <c r="TTG20" s="7"/>
      <c r="TTH20" s="7"/>
      <c r="TTI20" s="7"/>
      <c r="TTJ20" s="7"/>
      <c r="TTK20" s="7"/>
      <c r="TTL20" s="7"/>
      <c r="TTM20" s="7"/>
      <c r="TTN20" s="7"/>
      <c r="TTO20" s="7"/>
      <c r="TTP20" s="7"/>
      <c r="TTQ20" s="7"/>
      <c r="TTR20" s="7"/>
      <c r="TTS20" s="7"/>
      <c r="TTT20" s="7"/>
      <c r="TTU20" s="7"/>
      <c r="TTV20" s="7"/>
      <c r="TTW20" s="7"/>
      <c r="TTX20" s="7"/>
      <c r="TTY20" s="7"/>
      <c r="TTZ20" s="7"/>
      <c r="TUA20" s="7"/>
      <c r="TUB20" s="7"/>
      <c r="TUC20" s="7"/>
      <c r="TUD20" s="7"/>
      <c r="TUE20" s="7"/>
      <c r="TUF20" s="7"/>
      <c r="TUG20" s="7"/>
      <c r="TUH20" s="7"/>
      <c r="TUI20" s="7"/>
      <c r="TUJ20" s="7"/>
      <c r="TUK20" s="7"/>
      <c r="TUL20" s="7"/>
      <c r="TUM20" s="7"/>
      <c r="TUN20" s="7"/>
      <c r="TUO20" s="7"/>
      <c r="TUP20" s="7"/>
      <c r="TUQ20" s="7"/>
      <c r="TUR20" s="7"/>
      <c r="TUS20" s="7"/>
      <c r="TUT20" s="7"/>
      <c r="TUU20" s="7"/>
      <c r="TUV20" s="7"/>
      <c r="TUW20" s="7"/>
      <c r="TUX20" s="7"/>
      <c r="TUY20" s="7"/>
      <c r="TUZ20" s="7"/>
      <c r="TVA20" s="7"/>
      <c r="TVB20" s="7"/>
      <c r="TVC20" s="7"/>
      <c r="TVD20" s="7"/>
      <c r="TVE20" s="7"/>
      <c r="TVF20" s="7"/>
      <c r="TVG20" s="7"/>
      <c r="TVH20" s="7"/>
      <c r="TVI20" s="7"/>
      <c r="TVJ20" s="7"/>
      <c r="TVK20" s="7"/>
      <c r="TVL20" s="7"/>
      <c r="TVM20" s="7"/>
      <c r="TVN20" s="7"/>
      <c r="TVO20" s="7"/>
      <c r="TVP20" s="7"/>
      <c r="TVQ20" s="7"/>
      <c r="TVR20" s="7"/>
      <c r="TVS20" s="7"/>
      <c r="TVT20" s="7"/>
      <c r="TVU20" s="7"/>
      <c r="TVV20" s="7"/>
      <c r="TVW20" s="7"/>
      <c r="TVX20" s="7"/>
      <c r="TVY20" s="7"/>
      <c r="TVZ20" s="7"/>
      <c r="TWA20" s="7"/>
      <c r="TWB20" s="7"/>
      <c r="TWC20" s="7"/>
      <c r="TWD20" s="7"/>
      <c r="TWE20" s="7"/>
      <c r="TWF20" s="7"/>
      <c r="TWG20" s="7"/>
      <c r="TWH20" s="7"/>
      <c r="TWI20" s="7"/>
      <c r="TWJ20" s="7"/>
      <c r="TWK20" s="7"/>
      <c r="TWL20" s="7"/>
      <c r="TWM20" s="7"/>
      <c r="TWN20" s="7"/>
      <c r="TWO20" s="7"/>
      <c r="TWP20" s="7"/>
      <c r="TWQ20" s="7"/>
      <c r="TWR20" s="7"/>
      <c r="TWS20" s="7"/>
      <c r="TWT20" s="7"/>
      <c r="TWU20" s="7"/>
      <c r="TWV20" s="7"/>
      <c r="TWW20" s="7"/>
      <c r="TWX20" s="7"/>
      <c r="TWY20" s="7"/>
      <c r="TWZ20" s="7"/>
      <c r="TXA20" s="7"/>
      <c r="TXB20" s="7"/>
      <c r="TXC20" s="7"/>
      <c r="TXD20" s="7"/>
      <c r="TXE20" s="7"/>
      <c r="TXF20" s="7"/>
      <c r="TXG20" s="7"/>
      <c r="TXH20" s="7"/>
      <c r="TXI20" s="7"/>
      <c r="TXJ20" s="7"/>
      <c r="TXK20" s="7"/>
      <c r="TXL20" s="7"/>
      <c r="TXM20" s="7"/>
      <c r="TXN20" s="7"/>
      <c r="TXO20" s="7"/>
      <c r="TXP20" s="7"/>
      <c r="TXQ20" s="7"/>
      <c r="TXR20" s="7"/>
      <c r="TXS20" s="7"/>
      <c r="TXT20" s="7"/>
      <c r="TXU20" s="7"/>
      <c r="TXV20" s="7"/>
      <c r="TXW20" s="7"/>
      <c r="TXX20" s="7"/>
      <c r="TXY20" s="7"/>
      <c r="TXZ20" s="7"/>
      <c r="TYA20" s="7"/>
      <c r="TYB20" s="7"/>
      <c r="TYC20" s="7"/>
      <c r="TYD20" s="7"/>
      <c r="TYE20" s="7"/>
      <c r="TYF20" s="7"/>
      <c r="TYG20" s="7"/>
      <c r="TYH20" s="7"/>
      <c r="TYI20" s="7"/>
      <c r="TYJ20" s="7"/>
      <c r="TYK20" s="7"/>
      <c r="TYL20" s="7"/>
      <c r="TYM20" s="7"/>
      <c r="TYN20" s="7"/>
      <c r="TYO20" s="7"/>
      <c r="TYP20" s="7"/>
      <c r="TYQ20" s="7"/>
      <c r="TYR20" s="7"/>
      <c r="TYS20" s="7"/>
      <c r="TYT20" s="7"/>
      <c r="TYU20" s="7"/>
      <c r="TYV20" s="7"/>
      <c r="TYW20" s="7"/>
      <c r="TYX20" s="7"/>
      <c r="TYY20" s="7"/>
      <c r="TYZ20" s="7"/>
      <c r="TZA20" s="7"/>
      <c r="TZB20" s="7"/>
      <c r="TZC20" s="7"/>
      <c r="TZD20" s="7"/>
      <c r="TZE20" s="7"/>
      <c r="TZF20" s="7"/>
      <c r="TZG20" s="7"/>
      <c r="TZH20" s="7"/>
      <c r="TZI20" s="7"/>
      <c r="TZJ20" s="7"/>
      <c r="TZK20" s="7"/>
      <c r="TZL20" s="7"/>
      <c r="TZM20" s="7"/>
      <c r="TZN20" s="7"/>
      <c r="TZO20" s="7"/>
      <c r="TZP20" s="7"/>
      <c r="TZQ20" s="7"/>
      <c r="TZR20" s="7"/>
      <c r="TZS20" s="7"/>
      <c r="TZT20" s="7"/>
      <c r="TZU20" s="7"/>
      <c r="TZV20" s="7"/>
      <c r="TZW20" s="7"/>
      <c r="TZX20" s="7"/>
      <c r="TZY20" s="7"/>
      <c r="TZZ20" s="7"/>
      <c r="UAA20" s="7"/>
      <c r="UAB20" s="7"/>
      <c r="UAC20" s="7"/>
      <c r="UAD20" s="7"/>
      <c r="UAE20" s="7"/>
      <c r="UAF20" s="7"/>
      <c r="UAG20" s="7"/>
      <c r="UAH20" s="7"/>
      <c r="UAI20" s="7"/>
      <c r="UAJ20" s="7"/>
      <c r="UAK20" s="7"/>
      <c r="UAL20" s="7"/>
      <c r="UAM20" s="7"/>
      <c r="UAN20" s="7"/>
      <c r="UAO20" s="7"/>
      <c r="UAP20" s="7"/>
      <c r="UAQ20" s="7"/>
      <c r="UAR20" s="7"/>
      <c r="UAS20" s="7"/>
      <c r="UAT20" s="7"/>
      <c r="UAU20" s="7"/>
      <c r="UAV20" s="7"/>
      <c r="UAW20" s="7"/>
      <c r="UAX20" s="7"/>
      <c r="UAY20" s="7"/>
      <c r="UAZ20" s="7"/>
      <c r="UBA20" s="7"/>
      <c r="UBB20" s="7"/>
      <c r="UBC20" s="7"/>
      <c r="UBD20" s="7"/>
      <c r="UBE20" s="7"/>
      <c r="UBF20" s="7"/>
      <c r="UBG20" s="7"/>
      <c r="UBH20" s="7"/>
      <c r="UBI20" s="7"/>
      <c r="UBJ20" s="7"/>
      <c r="UBK20" s="7"/>
      <c r="UBL20" s="7"/>
      <c r="UBM20" s="7"/>
      <c r="UBN20" s="7"/>
      <c r="UBO20" s="7"/>
      <c r="UBP20" s="7"/>
      <c r="UBQ20" s="7"/>
      <c r="UBR20" s="7"/>
      <c r="UBS20" s="7"/>
      <c r="UBT20" s="7"/>
      <c r="UBU20" s="7"/>
      <c r="UBV20" s="7"/>
      <c r="UBW20" s="7"/>
      <c r="UBX20" s="7"/>
      <c r="UBY20" s="7"/>
      <c r="UBZ20" s="7"/>
      <c r="UCA20" s="7"/>
      <c r="UCB20" s="7"/>
      <c r="UCC20" s="7"/>
      <c r="UCD20" s="7"/>
      <c r="UCE20" s="7"/>
      <c r="UCF20" s="7"/>
      <c r="UCG20" s="7"/>
      <c r="UCH20" s="7"/>
      <c r="UCI20" s="7"/>
      <c r="UCJ20" s="7"/>
      <c r="UCK20" s="7"/>
      <c r="UCL20" s="7"/>
      <c r="UCM20" s="7"/>
      <c r="UCN20" s="7"/>
      <c r="UCO20" s="7"/>
      <c r="UCP20" s="7"/>
      <c r="UCQ20" s="7"/>
      <c r="UCR20" s="7"/>
      <c r="UCS20" s="7"/>
      <c r="UCT20" s="7"/>
      <c r="UCU20" s="7"/>
      <c r="UCV20" s="7"/>
      <c r="UCW20" s="7"/>
      <c r="UCX20" s="7"/>
      <c r="UCY20" s="7"/>
      <c r="UCZ20" s="7"/>
      <c r="UDA20" s="7"/>
      <c r="UDB20" s="7"/>
      <c r="UDC20" s="7"/>
      <c r="UDD20" s="7"/>
      <c r="UDE20" s="7"/>
      <c r="UDF20" s="7"/>
      <c r="UDG20" s="7"/>
      <c r="UDH20" s="7"/>
      <c r="UDI20" s="7"/>
      <c r="UDJ20" s="7"/>
      <c r="UDK20" s="7"/>
      <c r="UDL20" s="7"/>
      <c r="UDM20" s="7"/>
      <c r="UDN20" s="7"/>
      <c r="UDO20" s="7"/>
      <c r="UDP20" s="7"/>
      <c r="UDQ20" s="7"/>
      <c r="UDR20" s="7"/>
      <c r="UDS20" s="7"/>
      <c r="UDT20" s="7"/>
      <c r="UDU20" s="7"/>
      <c r="UDV20" s="7"/>
      <c r="UDW20" s="7"/>
      <c r="UDX20" s="7"/>
      <c r="UDY20" s="7"/>
      <c r="UDZ20" s="7"/>
      <c r="UEA20" s="7"/>
      <c r="UEB20" s="7"/>
      <c r="UEC20" s="7"/>
      <c r="UED20" s="7"/>
      <c r="UEE20" s="7"/>
      <c r="UEF20" s="7"/>
      <c r="UEG20" s="7"/>
      <c r="UEH20" s="7"/>
      <c r="UEI20" s="7"/>
      <c r="UEJ20" s="7"/>
      <c r="UEK20" s="7"/>
      <c r="UEL20" s="7"/>
      <c r="UEM20" s="7"/>
      <c r="UEN20" s="7"/>
      <c r="UEO20" s="7"/>
      <c r="UEP20" s="7"/>
      <c r="UEQ20" s="7"/>
      <c r="UER20" s="7"/>
      <c r="UES20" s="7"/>
      <c r="UET20" s="7"/>
      <c r="UEU20" s="7"/>
      <c r="UEV20" s="7"/>
      <c r="UEW20" s="7"/>
      <c r="UEX20" s="7"/>
      <c r="UEY20" s="7"/>
      <c r="UEZ20" s="7"/>
      <c r="UFA20" s="7"/>
      <c r="UFB20" s="7"/>
      <c r="UFC20" s="7"/>
      <c r="UFD20" s="7"/>
      <c r="UFE20" s="7"/>
      <c r="UFF20" s="7"/>
      <c r="UFG20" s="7"/>
      <c r="UFH20" s="7"/>
      <c r="UFI20" s="7"/>
      <c r="UFJ20" s="7"/>
      <c r="UFK20" s="7"/>
      <c r="UFL20" s="7"/>
      <c r="UFM20" s="7"/>
      <c r="UFN20" s="7"/>
      <c r="UFO20" s="7"/>
      <c r="UFP20" s="7"/>
      <c r="UFQ20" s="7"/>
      <c r="UFR20" s="7"/>
      <c r="UFS20" s="7"/>
      <c r="UFT20" s="7"/>
      <c r="UFU20" s="7"/>
      <c r="UFV20" s="7"/>
      <c r="UFW20" s="7"/>
      <c r="UFX20" s="7"/>
      <c r="UFY20" s="7"/>
      <c r="UFZ20" s="7"/>
      <c r="UGA20" s="7"/>
      <c r="UGB20" s="7"/>
      <c r="UGC20" s="7"/>
      <c r="UGD20" s="7"/>
      <c r="UGE20" s="7"/>
      <c r="UGF20" s="7"/>
      <c r="UGG20" s="7"/>
      <c r="UGH20" s="7"/>
      <c r="UGI20" s="7"/>
      <c r="UGJ20" s="7"/>
      <c r="UGK20" s="7"/>
      <c r="UGL20" s="7"/>
      <c r="UGM20" s="7"/>
      <c r="UGN20" s="7"/>
      <c r="UGO20" s="7"/>
      <c r="UGP20" s="7"/>
      <c r="UGQ20" s="7"/>
      <c r="UGR20" s="7"/>
      <c r="UGS20" s="7"/>
      <c r="UGT20" s="7"/>
      <c r="UGU20" s="7"/>
      <c r="UGV20" s="7"/>
      <c r="UGW20" s="7"/>
      <c r="UGX20" s="7"/>
      <c r="UGY20" s="7"/>
      <c r="UGZ20" s="7"/>
      <c r="UHA20" s="7"/>
      <c r="UHB20" s="7"/>
      <c r="UHC20" s="7"/>
      <c r="UHD20" s="7"/>
      <c r="UHE20" s="7"/>
      <c r="UHF20" s="7"/>
      <c r="UHG20" s="7"/>
      <c r="UHH20" s="7"/>
      <c r="UHI20" s="7"/>
      <c r="UHJ20" s="7"/>
      <c r="UHK20" s="7"/>
      <c r="UHL20" s="7"/>
      <c r="UHM20" s="7"/>
      <c r="UHN20" s="7"/>
      <c r="UHO20" s="7"/>
      <c r="UHP20" s="7"/>
      <c r="UHQ20" s="7"/>
      <c r="UHR20" s="7"/>
      <c r="UHS20" s="7"/>
      <c r="UHT20" s="7"/>
      <c r="UHU20" s="7"/>
      <c r="UHV20" s="7"/>
      <c r="UHW20" s="7"/>
      <c r="UHX20" s="7"/>
      <c r="UHY20" s="7"/>
      <c r="UHZ20" s="7"/>
      <c r="UIA20" s="7"/>
      <c r="UIB20" s="7"/>
      <c r="UIC20" s="7"/>
      <c r="UID20" s="7"/>
      <c r="UIE20" s="7"/>
      <c r="UIF20" s="7"/>
      <c r="UIG20" s="7"/>
      <c r="UIH20" s="7"/>
      <c r="UII20" s="7"/>
      <c r="UIJ20" s="7"/>
      <c r="UIK20" s="7"/>
      <c r="UIL20" s="7"/>
      <c r="UIM20" s="7"/>
      <c r="UIN20" s="7"/>
      <c r="UIO20" s="7"/>
      <c r="UIP20" s="7"/>
      <c r="UIQ20" s="7"/>
      <c r="UIR20" s="7"/>
      <c r="UIS20" s="7"/>
      <c r="UIT20" s="7"/>
      <c r="UIU20" s="7"/>
      <c r="UIV20" s="7"/>
      <c r="UIW20" s="7"/>
      <c r="UIX20" s="7"/>
      <c r="UIY20" s="7"/>
      <c r="UIZ20" s="7"/>
      <c r="UJA20" s="7"/>
      <c r="UJB20" s="7"/>
      <c r="UJC20" s="7"/>
      <c r="UJD20" s="7"/>
      <c r="UJE20" s="7"/>
      <c r="UJF20" s="7"/>
      <c r="UJG20" s="7"/>
      <c r="UJH20" s="7"/>
      <c r="UJI20" s="7"/>
      <c r="UJJ20" s="7"/>
      <c r="UJK20" s="7"/>
      <c r="UJL20" s="7"/>
      <c r="UJM20" s="7"/>
      <c r="UJN20" s="7"/>
      <c r="UJO20" s="7"/>
      <c r="UJP20" s="7"/>
      <c r="UJQ20" s="7"/>
      <c r="UJR20" s="7"/>
      <c r="UJS20" s="7"/>
      <c r="UJT20" s="7"/>
      <c r="UJU20" s="7"/>
      <c r="UJV20" s="7"/>
      <c r="UJW20" s="7"/>
      <c r="UJX20" s="7"/>
      <c r="UJY20" s="7"/>
      <c r="UJZ20" s="7"/>
      <c r="UKA20" s="7"/>
      <c r="UKB20" s="7"/>
      <c r="UKC20" s="7"/>
      <c r="UKD20" s="7"/>
      <c r="UKE20" s="7"/>
      <c r="UKF20" s="7"/>
      <c r="UKG20" s="7"/>
      <c r="UKH20" s="7"/>
      <c r="UKI20" s="7"/>
      <c r="UKJ20" s="7"/>
      <c r="UKK20" s="7"/>
      <c r="UKL20" s="7"/>
      <c r="UKM20" s="7"/>
      <c r="UKN20" s="7"/>
      <c r="UKO20" s="7"/>
      <c r="UKP20" s="7"/>
      <c r="UKQ20" s="7"/>
      <c r="UKR20" s="7"/>
      <c r="UKS20" s="7"/>
      <c r="UKT20" s="7"/>
      <c r="UKU20" s="7"/>
      <c r="UKV20" s="7"/>
      <c r="UKW20" s="7"/>
      <c r="UKX20" s="7"/>
      <c r="UKY20" s="7"/>
      <c r="UKZ20" s="7"/>
      <c r="ULA20" s="7"/>
      <c r="ULB20" s="7"/>
      <c r="ULC20" s="7"/>
      <c r="ULD20" s="7"/>
      <c r="ULE20" s="7"/>
      <c r="ULF20" s="7"/>
      <c r="ULG20" s="7"/>
      <c r="ULH20" s="7"/>
      <c r="ULI20" s="7"/>
      <c r="ULJ20" s="7"/>
      <c r="ULK20" s="7"/>
      <c r="ULL20" s="7"/>
      <c r="ULM20" s="7"/>
      <c r="ULN20" s="7"/>
      <c r="ULO20" s="7"/>
      <c r="ULP20" s="7"/>
      <c r="ULQ20" s="7"/>
      <c r="ULR20" s="7"/>
      <c r="ULS20" s="7"/>
      <c r="ULT20" s="7"/>
      <c r="ULU20" s="7"/>
      <c r="ULV20" s="7"/>
      <c r="ULW20" s="7"/>
      <c r="ULX20" s="7"/>
      <c r="ULY20" s="7"/>
      <c r="ULZ20" s="7"/>
      <c r="UMA20" s="7"/>
      <c r="UMB20" s="7"/>
      <c r="UMC20" s="7"/>
      <c r="UMD20" s="7"/>
      <c r="UME20" s="7"/>
      <c r="UMF20" s="7"/>
      <c r="UMG20" s="7"/>
      <c r="UMH20" s="7"/>
      <c r="UMI20" s="7"/>
      <c r="UMJ20" s="7"/>
      <c r="UMK20" s="7"/>
      <c r="UML20" s="7"/>
      <c r="UMM20" s="7"/>
      <c r="UMN20" s="7"/>
      <c r="UMO20" s="7"/>
      <c r="UMP20" s="7"/>
      <c r="UMQ20" s="7"/>
      <c r="UMR20" s="7"/>
      <c r="UMS20" s="7"/>
      <c r="UMT20" s="7"/>
      <c r="UMU20" s="7"/>
      <c r="UMV20" s="7"/>
      <c r="UMW20" s="7"/>
      <c r="UMX20" s="7"/>
      <c r="UMY20" s="7"/>
      <c r="UMZ20" s="7"/>
      <c r="UNA20" s="7"/>
      <c r="UNB20" s="7"/>
      <c r="UNC20" s="7"/>
      <c r="UND20" s="7"/>
      <c r="UNE20" s="7"/>
      <c r="UNF20" s="7"/>
      <c r="UNG20" s="7"/>
      <c r="UNH20" s="7"/>
      <c r="UNI20" s="7"/>
      <c r="UNJ20" s="7"/>
      <c r="UNK20" s="7"/>
      <c r="UNL20" s="7"/>
      <c r="UNM20" s="7"/>
      <c r="UNN20" s="7"/>
      <c r="UNO20" s="7"/>
      <c r="UNP20" s="7"/>
      <c r="UNQ20" s="7"/>
      <c r="UNR20" s="7"/>
      <c r="UNS20" s="7"/>
      <c r="UNT20" s="7"/>
      <c r="UNU20" s="7"/>
      <c r="UNV20" s="7"/>
      <c r="UNW20" s="7"/>
      <c r="UNX20" s="7"/>
      <c r="UNY20" s="7"/>
      <c r="UNZ20" s="7"/>
      <c r="UOA20" s="7"/>
      <c r="UOB20" s="7"/>
      <c r="UOC20" s="7"/>
      <c r="UOD20" s="7"/>
      <c r="UOE20" s="7"/>
      <c r="UOF20" s="7"/>
      <c r="UOG20" s="7"/>
      <c r="UOH20" s="7"/>
      <c r="UOI20" s="7"/>
      <c r="UOJ20" s="7"/>
      <c r="UOK20" s="7"/>
      <c r="UOL20" s="7"/>
      <c r="UOM20" s="7"/>
      <c r="UON20" s="7"/>
      <c r="UOO20" s="7"/>
      <c r="UOP20" s="7"/>
      <c r="UOQ20" s="7"/>
      <c r="UOR20" s="7"/>
      <c r="UOS20" s="7"/>
      <c r="UOT20" s="7"/>
      <c r="UOU20" s="7"/>
      <c r="UOV20" s="7"/>
      <c r="UOW20" s="7"/>
      <c r="UOX20" s="7"/>
      <c r="UOY20" s="7"/>
      <c r="UOZ20" s="7"/>
      <c r="UPA20" s="7"/>
      <c r="UPB20" s="7"/>
      <c r="UPC20" s="7"/>
      <c r="UPD20" s="7"/>
      <c r="UPE20" s="7"/>
      <c r="UPF20" s="7"/>
      <c r="UPG20" s="7"/>
      <c r="UPH20" s="7"/>
      <c r="UPI20" s="7"/>
      <c r="UPJ20" s="7"/>
      <c r="UPK20" s="7"/>
      <c r="UPL20" s="7"/>
      <c r="UPM20" s="7"/>
      <c r="UPN20" s="7"/>
      <c r="UPO20" s="7"/>
      <c r="UPP20" s="7"/>
      <c r="UPQ20" s="7"/>
      <c r="UPR20" s="7"/>
      <c r="UPS20" s="7"/>
      <c r="UPT20" s="7"/>
      <c r="UPU20" s="7"/>
      <c r="UPV20" s="7"/>
      <c r="UPW20" s="7"/>
      <c r="UPX20" s="7"/>
      <c r="UPY20" s="7"/>
      <c r="UPZ20" s="7"/>
      <c r="UQA20" s="7"/>
      <c r="UQB20" s="7"/>
      <c r="UQC20" s="7"/>
      <c r="UQD20" s="7"/>
      <c r="UQE20" s="7"/>
      <c r="UQF20" s="7"/>
      <c r="UQG20" s="7"/>
      <c r="UQH20" s="7"/>
      <c r="UQI20" s="7"/>
      <c r="UQJ20" s="7"/>
      <c r="UQK20" s="7"/>
      <c r="UQL20" s="7"/>
      <c r="UQM20" s="7"/>
      <c r="UQN20" s="7"/>
      <c r="UQO20" s="7"/>
      <c r="UQP20" s="7"/>
      <c r="UQQ20" s="7"/>
      <c r="UQR20" s="7"/>
      <c r="UQS20" s="7"/>
      <c r="UQT20" s="7"/>
      <c r="UQU20" s="7"/>
      <c r="UQV20" s="7"/>
      <c r="UQW20" s="7"/>
      <c r="UQX20" s="7"/>
      <c r="UQY20" s="7"/>
      <c r="UQZ20" s="7"/>
      <c r="URA20" s="7"/>
      <c r="URB20" s="7"/>
      <c r="URC20" s="7"/>
      <c r="URD20" s="7"/>
      <c r="URE20" s="7"/>
      <c r="URF20" s="7"/>
      <c r="URG20" s="7"/>
      <c r="URH20" s="7"/>
      <c r="URI20" s="7"/>
      <c r="URJ20" s="7"/>
      <c r="URK20" s="7"/>
      <c r="URL20" s="7"/>
      <c r="URM20" s="7"/>
      <c r="URN20" s="7"/>
      <c r="URO20" s="7"/>
      <c r="URP20" s="7"/>
      <c r="URQ20" s="7"/>
      <c r="URR20" s="7"/>
      <c r="URS20" s="7"/>
      <c r="URT20" s="7"/>
      <c r="URU20" s="7"/>
      <c r="URV20" s="7"/>
      <c r="URW20" s="7"/>
      <c r="URX20" s="7"/>
      <c r="URY20" s="7"/>
      <c r="URZ20" s="7"/>
      <c r="USA20" s="7"/>
      <c r="USB20" s="7"/>
      <c r="USC20" s="7"/>
      <c r="USD20" s="7"/>
      <c r="USE20" s="7"/>
      <c r="USF20" s="7"/>
      <c r="USG20" s="7"/>
      <c r="USH20" s="7"/>
      <c r="USI20" s="7"/>
      <c r="USJ20" s="7"/>
      <c r="USK20" s="7"/>
      <c r="USL20" s="7"/>
      <c r="USM20" s="7"/>
      <c r="USN20" s="7"/>
      <c r="USO20" s="7"/>
      <c r="USP20" s="7"/>
      <c r="USQ20" s="7"/>
      <c r="USR20" s="7"/>
      <c r="USS20" s="7"/>
      <c r="UST20" s="7"/>
      <c r="USU20" s="7"/>
      <c r="USV20" s="7"/>
      <c r="USW20" s="7"/>
      <c r="USX20" s="7"/>
      <c r="USY20" s="7"/>
      <c r="USZ20" s="7"/>
      <c r="UTA20" s="7"/>
      <c r="UTB20" s="7"/>
      <c r="UTC20" s="7"/>
      <c r="UTD20" s="7"/>
      <c r="UTE20" s="7"/>
      <c r="UTF20" s="7"/>
      <c r="UTG20" s="7"/>
      <c r="UTH20" s="7"/>
      <c r="UTI20" s="7"/>
      <c r="UTJ20" s="7"/>
      <c r="UTK20" s="7"/>
      <c r="UTL20" s="7"/>
      <c r="UTM20" s="7"/>
      <c r="UTN20" s="7"/>
      <c r="UTO20" s="7"/>
      <c r="UTP20" s="7"/>
      <c r="UTQ20" s="7"/>
      <c r="UTR20" s="7"/>
      <c r="UTS20" s="7"/>
      <c r="UTT20" s="7"/>
      <c r="UTU20" s="7"/>
      <c r="UTV20" s="7"/>
      <c r="UTW20" s="7"/>
      <c r="UTX20" s="7"/>
      <c r="UTY20" s="7"/>
      <c r="UTZ20" s="7"/>
      <c r="UUA20" s="7"/>
      <c r="UUB20" s="7"/>
      <c r="UUC20" s="7"/>
      <c r="UUD20" s="7"/>
      <c r="UUE20" s="7"/>
      <c r="UUF20" s="7"/>
      <c r="UUG20" s="7"/>
      <c r="UUH20" s="7"/>
      <c r="UUI20" s="7"/>
      <c r="UUJ20" s="7"/>
      <c r="UUK20" s="7"/>
      <c r="UUL20" s="7"/>
      <c r="UUM20" s="7"/>
      <c r="UUN20" s="7"/>
      <c r="UUO20" s="7"/>
      <c r="UUP20" s="7"/>
      <c r="UUQ20" s="7"/>
      <c r="UUR20" s="7"/>
      <c r="UUS20" s="7"/>
      <c r="UUT20" s="7"/>
      <c r="UUU20" s="7"/>
      <c r="UUV20" s="7"/>
      <c r="UUW20" s="7"/>
      <c r="UUX20" s="7"/>
      <c r="UUY20" s="7"/>
      <c r="UUZ20" s="7"/>
      <c r="UVA20" s="7"/>
      <c r="UVB20" s="7"/>
      <c r="UVC20" s="7"/>
      <c r="UVD20" s="7"/>
      <c r="UVE20" s="7"/>
      <c r="UVF20" s="7"/>
      <c r="UVG20" s="7"/>
      <c r="UVH20" s="7"/>
      <c r="UVI20" s="7"/>
      <c r="UVJ20" s="7"/>
      <c r="UVK20" s="7"/>
      <c r="UVL20" s="7"/>
      <c r="UVM20" s="7"/>
      <c r="UVN20" s="7"/>
      <c r="UVO20" s="7"/>
      <c r="UVP20" s="7"/>
      <c r="UVQ20" s="7"/>
      <c r="UVR20" s="7"/>
      <c r="UVS20" s="7"/>
      <c r="UVT20" s="7"/>
      <c r="UVU20" s="7"/>
      <c r="UVV20" s="7"/>
      <c r="UVW20" s="7"/>
      <c r="UVX20" s="7"/>
      <c r="UVY20" s="7"/>
      <c r="UVZ20" s="7"/>
      <c r="UWA20" s="7"/>
      <c r="UWB20" s="7"/>
      <c r="UWC20" s="7"/>
      <c r="UWD20" s="7"/>
      <c r="UWE20" s="7"/>
      <c r="UWF20" s="7"/>
      <c r="UWG20" s="7"/>
      <c r="UWH20" s="7"/>
      <c r="UWI20" s="7"/>
      <c r="UWJ20" s="7"/>
      <c r="UWK20" s="7"/>
      <c r="UWL20" s="7"/>
      <c r="UWM20" s="7"/>
      <c r="UWN20" s="7"/>
      <c r="UWO20" s="7"/>
      <c r="UWP20" s="7"/>
      <c r="UWQ20" s="7"/>
      <c r="UWR20" s="7"/>
      <c r="UWS20" s="7"/>
      <c r="UWT20" s="7"/>
      <c r="UWU20" s="7"/>
      <c r="UWV20" s="7"/>
      <c r="UWW20" s="7"/>
      <c r="UWX20" s="7"/>
      <c r="UWY20" s="7"/>
      <c r="UWZ20" s="7"/>
      <c r="UXA20" s="7"/>
      <c r="UXB20" s="7"/>
      <c r="UXC20" s="7"/>
      <c r="UXD20" s="7"/>
      <c r="UXE20" s="7"/>
      <c r="UXF20" s="7"/>
      <c r="UXG20" s="7"/>
      <c r="UXH20" s="7"/>
      <c r="UXI20" s="7"/>
      <c r="UXJ20" s="7"/>
      <c r="UXK20" s="7"/>
      <c r="UXL20" s="7"/>
      <c r="UXM20" s="7"/>
      <c r="UXN20" s="7"/>
      <c r="UXO20" s="7"/>
      <c r="UXP20" s="7"/>
      <c r="UXQ20" s="7"/>
      <c r="UXR20" s="7"/>
      <c r="UXS20" s="7"/>
      <c r="UXT20" s="7"/>
      <c r="UXU20" s="7"/>
      <c r="UXV20" s="7"/>
      <c r="UXW20" s="7"/>
      <c r="UXX20" s="7"/>
      <c r="UXY20" s="7"/>
      <c r="UXZ20" s="7"/>
      <c r="UYA20" s="7"/>
      <c r="UYB20" s="7"/>
      <c r="UYC20" s="7"/>
      <c r="UYD20" s="7"/>
      <c r="UYE20" s="7"/>
      <c r="UYF20" s="7"/>
      <c r="UYG20" s="7"/>
      <c r="UYH20" s="7"/>
      <c r="UYI20" s="7"/>
      <c r="UYJ20" s="7"/>
      <c r="UYK20" s="7"/>
      <c r="UYL20" s="7"/>
      <c r="UYM20" s="7"/>
      <c r="UYN20" s="7"/>
      <c r="UYO20" s="7"/>
      <c r="UYP20" s="7"/>
      <c r="UYQ20" s="7"/>
      <c r="UYR20" s="7"/>
      <c r="UYS20" s="7"/>
      <c r="UYT20" s="7"/>
      <c r="UYU20" s="7"/>
      <c r="UYV20" s="7"/>
      <c r="UYW20" s="7"/>
      <c r="UYX20" s="7"/>
      <c r="UYY20" s="7"/>
      <c r="UYZ20" s="7"/>
      <c r="UZA20" s="7"/>
      <c r="UZB20" s="7"/>
      <c r="UZC20" s="7"/>
      <c r="UZD20" s="7"/>
      <c r="UZE20" s="7"/>
      <c r="UZF20" s="7"/>
      <c r="UZG20" s="7"/>
      <c r="UZH20" s="7"/>
      <c r="UZI20" s="7"/>
      <c r="UZJ20" s="7"/>
      <c r="UZK20" s="7"/>
      <c r="UZL20" s="7"/>
      <c r="UZM20" s="7"/>
      <c r="UZN20" s="7"/>
      <c r="UZO20" s="7"/>
      <c r="UZP20" s="7"/>
      <c r="UZQ20" s="7"/>
      <c r="UZR20" s="7"/>
      <c r="UZS20" s="7"/>
      <c r="UZT20" s="7"/>
      <c r="UZU20" s="7"/>
      <c r="UZV20" s="7"/>
      <c r="UZW20" s="7"/>
      <c r="UZX20" s="7"/>
      <c r="UZY20" s="7"/>
      <c r="UZZ20" s="7"/>
      <c r="VAA20" s="7"/>
      <c r="VAB20" s="7"/>
      <c r="VAC20" s="7"/>
      <c r="VAD20" s="7"/>
      <c r="VAE20" s="7"/>
      <c r="VAF20" s="7"/>
      <c r="VAG20" s="7"/>
      <c r="VAH20" s="7"/>
      <c r="VAI20" s="7"/>
      <c r="VAJ20" s="7"/>
      <c r="VAK20" s="7"/>
      <c r="VAL20" s="7"/>
      <c r="VAM20" s="7"/>
      <c r="VAN20" s="7"/>
      <c r="VAO20" s="7"/>
      <c r="VAP20" s="7"/>
      <c r="VAQ20" s="7"/>
      <c r="VAR20" s="7"/>
      <c r="VAS20" s="7"/>
      <c r="VAT20" s="7"/>
      <c r="VAU20" s="7"/>
      <c r="VAV20" s="7"/>
      <c r="VAW20" s="7"/>
      <c r="VAX20" s="7"/>
      <c r="VAY20" s="7"/>
      <c r="VAZ20" s="7"/>
      <c r="VBA20" s="7"/>
      <c r="VBB20" s="7"/>
      <c r="VBC20" s="7"/>
      <c r="VBD20" s="7"/>
      <c r="VBE20" s="7"/>
      <c r="VBF20" s="7"/>
      <c r="VBG20" s="7"/>
      <c r="VBH20" s="7"/>
      <c r="VBI20" s="7"/>
      <c r="VBJ20" s="7"/>
      <c r="VBK20" s="7"/>
      <c r="VBL20" s="7"/>
      <c r="VBM20" s="7"/>
      <c r="VBN20" s="7"/>
      <c r="VBO20" s="7"/>
      <c r="VBP20" s="7"/>
      <c r="VBQ20" s="7"/>
      <c r="VBR20" s="7"/>
      <c r="VBS20" s="7"/>
      <c r="VBT20" s="7"/>
      <c r="VBU20" s="7"/>
      <c r="VBV20" s="7"/>
      <c r="VBW20" s="7"/>
      <c r="VBX20" s="7"/>
      <c r="VBY20" s="7"/>
      <c r="VBZ20" s="7"/>
      <c r="VCA20" s="7"/>
      <c r="VCB20" s="7"/>
      <c r="VCC20" s="7"/>
      <c r="VCD20" s="7"/>
      <c r="VCE20" s="7"/>
      <c r="VCF20" s="7"/>
      <c r="VCG20" s="7"/>
      <c r="VCH20" s="7"/>
      <c r="VCI20" s="7"/>
      <c r="VCJ20" s="7"/>
      <c r="VCK20" s="7"/>
      <c r="VCL20" s="7"/>
      <c r="VCM20" s="7"/>
      <c r="VCN20" s="7"/>
      <c r="VCO20" s="7"/>
      <c r="VCP20" s="7"/>
      <c r="VCQ20" s="7"/>
      <c r="VCR20" s="7"/>
      <c r="VCS20" s="7"/>
      <c r="VCT20" s="7"/>
      <c r="VCU20" s="7"/>
      <c r="VCV20" s="7"/>
      <c r="VCW20" s="7"/>
      <c r="VCX20" s="7"/>
      <c r="VCY20" s="7"/>
      <c r="VCZ20" s="7"/>
      <c r="VDA20" s="7"/>
      <c r="VDB20" s="7"/>
      <c r="VDC20" s="7"/>
      <c r="VDD20" s="7"/>
      <c r="VDE20" s="7"/>
      <c r="VDF20" s="7"/>
      <c r="VDG20" s="7"/>
      <c r="VDH20" s="7"/>
      <c r="VDI20" s="7"/>
      <c r="VDJ20" s="7"/>
      <c r="VDK20" s="7"/>
      <c r="VDL20" s="7"/>
      <c r="VDM20" s="7"/>
      <c r="VDN20" s="7"/>
      <c r="VDO20" s="7"/>
      <c r="VDP20" s="7"/>
      <c r="VDQ20" s="7"/>
      <c r="VDR20" s="7"/>
      <c r="VDS20" s="7"/>
      <c r="VDT20" s="7"/>
      <c r="VDU20" s="7"/>
      <c r="VDV20" s="7"/>
      <c r="VDW20" s="7"/>
      <c r="VDX20" s="7"/>
      <c r="VDY20" s="7"/>
      <c r="VDZ20" s="7"/>
      <c r="VEA20" s="7"/>
      <c r="VEB20" s="7"/>
      <c r="VEC20" s="7"/>
      <c r="VED20" s="7"/>
      <c r="VEE20" s="7"/>
      <c r="VEF20" s="7"/>
      <c r="VEG20" s="7"/>
      <c r="VEH20" s="7"/>
      <c r="VEI20" s="7"/>
      <c r="VEJ20" s="7"/>
      <c r="VEK20" s="7"/>
      <c r="VEL20" s="7"/>
      <c r="VEM20" s="7"/>
      <c r="VEN20" s="7"/>
      <c r="VEO20" s="7"/>
      <c r="VEP20" s="7"/>
      <c r="VEQ20" s="7"/>
      <c r="VER20" s="7"/>
      <c r="VES20" s="7"/>
      <c r="VET20" s="7"/>
      <c r="VEU20" s="7"/>
      <c r="VEV20" s="7"/>
      <c r="VEW20" s="7"/>
      <c r="VEX20" s="7"/>
      <c r="VEY20" s="7"/>
      <c r="VEZ20" s="7"/>
      <c r="VFA20" s="7"/>
      <c r="VFB20" s="7"/>
      <c r="VFC20" s="7"/>
      <c r="VFD20" s="7"/>
      <c r="VFE20" s="7"/>
      <c r="VFF20" s="7"/>
      <c r="VFG20" s="7"/>
      <c r="VFH20" s="7"/>
      <c r="VFI20" s="7"/>
      <c r="VFJ20" s="7"/>
      <c r="VFK20" s="7"/>
      <c r="VFL20" s="7"/>
      <c r="VFM20" s="7"/>
      <c r="VFN20" s="7"/>
      <c r="VFO20" s="7"/>
      <c r="VFP20" s="7"/>
      <c r="VFQ20" s="7"/>
      <c r="VFR20" s="7"/>
      <c r="VFS20" s="7"/>
      <c r="VFT20" s="7"/>
      <c r="VFU20" s="7"/>
      <c r="VFV20" s="7"/>
      <c r="VFW20" s="7"/>
      <c r="VFX20" s="7"/>
      <c r="VFY20" s="7"/>
      <c r="VFZ20" s="7"/>
      <c r="VGA20" s="7"/>
      <c r="VGB20" s="7"/>
      <c r="VGC20" s="7"/>
      <c r="VGD20" s="7"/>
      <c r="VGE20" s="7"/>
      <c r="VGF20" s="7"/>
      <c r="VGG20" s="7"/>
      <c r="VGH20" s="7"/>
      <c r="VGI20" s="7"/>
      <c r="VGJ20" s="7"/>
      <c r="VGK20" s="7"/>
      <c r="VGL20" s="7"/>
      <c r="VGM20" s="7"/>
      <c r="VGN20" s="7"/>
      <c r="VGO20" s="7"/>
      <c r="VGP20" s="7"/>
      <c r="VGQ20" s="7"/>
      <c r="VGR20" s="7"/>
      <c r="VGS20" s="7"/>
      <c r="VGT20" s="7"/>
      <c r="VGU20" s="7"/>
      <c r="VGV20" s="7"/>
      <c r="VGW20" s="7"/>
      <c r="VGX20" s="7"/>
      <c r="VGY20" s="7"/>
      <c r="VGZ20" s="7"/>
      <c r="VHA20" s="7"/>
      <c r="VHB20" s="7"/>
      <c r="VHC20" s="7"/>
      <c r="VHD20" s="7"/>
      <c r="VHE20" s="7"/>
      <c r="VHF20" s="7"/>
      <c r="VHG20" s="7"/>
      <c r="VHH20" s="7"/>
      <c r="VHI20" s="7"/>
      <c r="VHJ20" s="7"/>
      <c r="VHK20" s="7"/>
      <c r="VHL20" s="7"/>
      <c r="VHM20" s="7"/>
      <c r="VHN20" s="7"/>
      <c r="VHO20" s="7"/>
      <c r="VHP20" s="7"/>
      <c r="VHQ20" s="7"/>
      <c r="VHR20" s="7"/>
      <c r="VHS20" s="7"/>
      <c r="VHT20" s="7"/>
      <c r="VHU20" s="7"/>
      <c r="VHV20" s="7"/>
      <c r="VHW20" s="7"/>
      <c r="VHX20" s="7"/>
      <c r="VHY20" s="7"/>
      <c r="VHZ20" s="7"/>
      <c r="VIA20" s="7"/>
      <c r="VIB20" s="7"/>
      <c r="VIC20" s="7"/>
      <c r="VID20" s="7"/>
      <c r="VIE20" s="7"/>
      <c r="VIF20" s="7"/>
      <c r="VIG20" s="7"/>
      <c r="VIH20" s="7"/>
      <c r="VII20" s="7"/>
      <c r="VIJ20" s="7"/>
      <c r="VIK20" s="7"/>
      <c r="VIL20" s="7"/>
      <c r="VIM20" s="7"/>
      <c r="VIN20" s="7"/>
      <c r="VIO20" s="7"/>
      <c r="VIP20" s="7"/>
      <c r="VIQ20" s="7"/>
      <c r="VIR20" s="7"/>
      <c r="VIS20" s="7"/>
      <c r="VIT20" s="7"/>
      <c r="VIU20" s="7"/>
      <c r="VIV20" s="7"/>
      <c r="VIW20" s="7"/>
      <c r="VIX20" s="7"/>
      <c r="VIY20" s="7"/>
      <c r="VIZ20" s="7"/>
      <c r="VJA20" s="7"/>
      <c r="VJB20" s="7"/>
      <c r="VJC20" s="7"/>
      <c r="VJD20" s="7"/>
      <c r="VJE20" s="7"/>
      <c r="VJF20" s="7"/>
      <c r="VJG20" s="7"/>
      <c r="VJH20" s="7"/>
      <c r="VJI20" s="7"/>
      <c r="VJJ20" s="7"/>
      <c r="VJK20" s="7"/>
      <c r="VJL20" s="7"/>
      <c r="VJM20" s="7"/>
      <c r="VJN20" s="7"/>
      <c r="VJO20" s="7"/>
      <c r="VJP20" s="7"/>
      <c r="VJQ20" s="7"/>
      <c r="VJR20" s="7"/>
      <c r="VJS20" s="7"/>
      <c r="VJT20" s="7"/>
      <c r="VJU20" s="7"/>
      <c r="VJV20" s="7"/>
      <c r="VJW20" s="7"/>
      <c r="VJX20" s="7"/>
      <c r="VJY20" s="7"/>
      <c r="VJZ20" s="7"/>
      <c r="VKA20" s="7"/>
      <c r="VKB20" s="7"/>
      <c r="VKC20" s="7"/>
      <c r="VKD20" s="7"/>
      <c r="VKE20" s="7"/>
      <c r="VKF20" s="7"/>
      <c r="VKG20" s="7"/>
      <c r="VKH20" s="7"/>
      <c r="VKI20" s="7"/>
      <c r="VKJ20" s="7"/>
      <c r="VKK20" s="7"/>
      <c r="VKL20" s="7"/>
      <c r="VKM20" s="7"/>
      <c r="VKN20" s="7"/>
      <c r="VKO20" s="7"/>
      <c r="VKP20" s="7"/>
      <c r="VKQ20" s="7"/>
      <c r="VKR20" s="7"/>
      <c r="VKS20" s="7"/>
      <c r="VKT20" s="7"/>
      <c r="VKU20" s="7"/>
      <c r="VKV20" s="7"/>
      <c r="VKW20" s="7"/>
      <c r="VKX20" s="7"/>
      <c r="VKY20" s="7"/>
      <c r="VKZ20" s="7"/>
      <c r="VLA20" s="7"/>
      <c r="VLB20" s="7"/>
      <c r="VLC20" s="7"/>
      <c r="VLD20" s="7"/>
      <c r="VLE20" s="7"/>
      <c r="VLF20" s="7"/>
      <c r="VLG20" s="7"/>
      <c r="VLH20" s="7"/>
      <c r="VLI20" s="7"/>
      <c r="VLJ20" s="7"/>
      <c r="VLK20" s="7"/>
      <c r="VLL20" s="7"/>
      <c r="VLM20" s="7"/>
      <c r="VLN20" s="7"/>
      <c r="VLO20" s="7"/>
      <c r="VLP20" s="7"/>
      <c r="VLQ20" s="7"/>
      <c r="VLR20" s="7"/>
      <c r="VLS20" s="7"/>
      <c r="VLT20" s="7"/>
      <c r="VLU20" s="7"/>
      <c r="VLV20" s="7"/>
      <c r="VLW20" s="7"/>
      <c r="VLX20" s="7"/>
      <c r="VLY20" s="7"/>
      <c r="VLZ20" s="7"/>
      <c r="VMA20" s="7"/>
      <c r="VMB20" s="7"/>
      <c r="VMC20" s="7"/>
      <c r="VMD20" s="7"/>
      <c r="VME20" s="7"/>
      <c r="VMF20" s="7"/>
      <c r="VMG20" s="7"/>
      <c r="VMH20" s="7"/>
      <c r="VMI20" s="7"/>
      <c r="VMJ20" s="7"/>
      <c r="VMK20" s="7"/>
      <c r="VML20" s="7"/>
      <c r="VMM20" s="7"/>
      <c r="VMN20" s="7"/>
      <c r="VMO20" s="7"/>
      <c r="VMP20" s="7"/>
      <c r="VMQ20" s="7"/>
      <c r="VMR20" s="7"/>
      <c r="VMS20" s="7"/>
      <c r="VMT20" s="7"/>
      <c r="VMU20" s="7"/>
      <c r="VMV20" s="7"/>
      <c r="VMW20" s="7"/>
      <c r="VMX20" s="7"/>
      <c r="VMY20" s="7"/>
      <c r="VMZ20" s="7"/>
      <c r="VNA20" s="7"/>
      <c r="VNB20" s="7"/>
      <c r="VNC20" s="7"/>
      <c r="VND20" s="7"/>
      <c r="VNE20" s="7"/>
      <c r="VNF20" s="7"/>
      <c r="VNG20" s="7"/>
      <c r="VNH20" s="7"/>
      <c r="VNI20" s="7"/>
      <c r="VNJ20" s="7"/>
      <c r="VNK20" s="7"/>
      <c r="VNL20" s="7"/>
      <c r="VNM20" s="7"/>
      <c r="VNN20" s="7"/>
      <c r="VNO20" s="7"/>
      <c r="VNP20" s="7"/>
      <c r="VNQ20" s="7"/>
      <c r="VNR20" s="7"/>
      <c r="VNS20" s="7"/>
      <c r="VNT20" s="7"/>
      <c r="VNU20" s="7"/>
      <c r="VNV20" s="7"/>
      <c r="VNW20" s="7"/>
      <c r="VNX20" s="7"/>
      <c r="VNY20" s="7"/>
      <c r="VNZ20" s="7"/>
      <c r="VOA20" s="7"/>
      <c r="VOB20" s="7"/>
      <c r="VOC20" s="7"/>
      <c r="VOD20" s="7"/>
      <c r="VOE20" s="7"/>
      <c r="VOF20" s="7"/>
      <c r="VOG20" s="7"/>
      <c r="VOH20" s="7"/>
      <c r="VOI20" s="7"/>
      <c r="VOJ20" s="7"/>
      <c r="VOK20" s="7"/>
      <c r="VOL20" s="7"/>
      <c r="VOM20" s="7"/>
      <c r="VON20" s="7"/>
      <c r="VOO20" s="7"/>
      <c r="VOP20" s="7"/>
      <c r="VOQ20" s="7"/>
      <c r="VOR20" s="7"/>
      <c r="VOS20" s="7"/>
      <c r="VOT20" s="7"/>
      <c r="VOU20" s="7"/>
      <c r="VOV20" s="7"/>
      <c r="VOW20" s="7"/>
      <c r="VOX20" s="7"/>
      <c r="VOY20" s="7"/>
      <c r="VOZ20" s="7"/>
      <c r="VPA20" s="7"/>
      <c r="VPB20" s="7"/>
      <c r="VPC20" s="7"/>
      <c r="VPD20" s="7"/>
      <c r="VPE20" s="7"/>
      <c r="VPF20" s="7"/>
      <c r="VPG20" s="7"/>
      <c r="VPH20" s="7"/>
      <c r="VPI20" s="7"/>
      <c r="VPJ20" s="7"/>
      <c r="VPK20" s="7"/>
      <c r="VPL20" s="7"/>
      <c r="VPM20" s="7"/>
      <c r="VPN20" s="7"/>
      <c r="VPO20" s="7"/>
      <c r="VPP20" s="7"/>
      <c r="VPQ20" s="7"/>
      <c r="VPR20" s="7"/>
      <c r="VPS20" s="7"/>
      <c r="VPT20" s="7"/>
      <c r="VPU20" s="7"/>
      <c r="VPV20" s="7"/>
      <c r="VPW20" s="7"/>
      <c r="VPX20" s="7"/>
      <c r="VPY20" s="7"/>
      <c r="VPZ20" s="7"/>
      <c r="VQA20" s="7"/>
      <c r="VQB20" s="7"/>
      <c r="VQC20" s="7"/>
      <c r="VQD20" s="7"/>
      <c r="VQE20" s="7"/>
      <c r="VQF20" s="7"/>
      <c r="VQG20" s="7"/>
      <c r="VQH20" s="7"/>
      <c r="VQI20" s="7"/>
      <c r="VQJ20" s="7"/>
      <c r="VQK20" s="7"/>
      <c r="VQL20" s="7"/>
      <c r="VQM20" s="7"/>
      <c r="VQN20" s="7"/>
      <c r="VQO20" s="7"/>
      <c r="VQP20" s="7"/>
      <c r="VQQ20" s="7"/>
      <c r="VQR20" s="7"/>
      <c r="VQS20" s="7"/>
      <c r="VQT20" s="7"/>
      <c r="VQU20" s="7"/>
      <c r="VQV20" s="7"/>
      <c r="VQW20" s="7"/>
      <c r="VQX20" s="7"/>
      <c r="VQY20" s="7"/>
      <c r="VQZ20" s="7"/>
      <c r="VRA20" s="7"/>
      <c r="VRB20" s="7"/>
      <c r="VRC20" s="7"/>
      <c r="VRD20" s="7"/>
      <c r="VRE20" s="7"/>
      <c r="VRF20" s="7"/>
      <c r="VRG20" s="7"/>
      <c r="VRH20" s="7"/>
      <c r="VRI20" s="7"/>
      <c r="VRJ20" s="7"/>
      <c r="VRK20" s="7"/>
      <c r="VRL20" s="7"/>
      <c r="VRM20" s="7"/>
      <c r="VRN20" s="7"/>
      <c r="VRO20" s="7"/>
      <c r="VRP20" s="7"/>
      <c r="VRQ20" s="7"/>
      <c r="VRR20" s="7"/>
      <c r="VRS20" s="7"/>
      <c r="VRT20" s="7"/>
      <c r="VRU20" s="7"/>
      <c r="VRV20" s="7"/>
      <c r="VRW20" s="7"/>
      <c r="VRX20" s="7"/>
      <c r="VRY20" s="7"/>
      <c r="VRZ20" s="7"/>
      <c r="VSA20" s="7"/>
      <c r="VSB20" s="7"/>
      <c r="VSC20" s="7"/>
      <c r="VSD20" s="7"/>
      <c r="VSE20" s="7"/>
      <c r="VSF20" s="7"/>
      <c r="VSG20" s="7"/>
      <c r="VSH20" s="7"/>
      <c r="VSI20" s="7"/>
      <c r="VSJ20" s="7"/>
      <c r="VSK20" s="7"/>
      <c r="VSL20" s="7"/>
      <c r="VSM20" s="7"/>
      <c r="VSN20" s="7"/>
      <c r="VSO20" s="7"/>
      <c r="VSP20" s="7"/>
      <c r="VSQ20" s="7"/>
      <c r="VSR20" s="7"/>
      <c r="VSS20" s="7"/>
      <c r="VST20" s="7"/>
      <c r="VSU20" s="7"/>
      <c r="VSV20" s="7"/>
      <c r="VSW20" s="7"/>
      <c r="VSX20" s="7"/>
      <c r="VSY20" s="7"/>
      <c r="VSZ20" s="7"/>
      <c r="VTA20" s="7"/>
      <c r="VTB20" s="7"/>
      <c r="VTC20" s="7"/>
      <c r="VTD20" s="7"/>
      <c r="VTE20" s="7"/>
      <c r="VTF20" s="7"/>
      <c r="VTG20" s="7"/>
      <c r="VTH20" s="7"/>
      <c r="VTI20" s="7"/>
      <c r="VTJ20" s="7"/>
      <c r="VTK20" s="7"/>
      <c r="VTL20" s="7"/>
      <c r="VTM20" s="7"/>
      <c r="VTN20" s="7"/>
      <c r="VTO20" s="7"/>
      <c r="VTP20" s="7"/>
      <c r="VTQ20" s="7"/>
      <c r="VTR20" s="7"/>
      <c r="VTS20" s="7"/>
      <c r="VTT20" s="7"/>
      <c r="VTU20" s="7"/>
      <c r="VTV20" s="7"/>
      <c r="VTW20" s="7"/>
      <c r="VTX20" s="7"/>
      <c r="VTY20" s="7"/>
      <c r="VTZ20" s="7"/>
      <c r="VUA20" s="7"/>
      <c r="VUB20" s="7"/>
      <c r="VUC20" s="7"/>
      <c r="VUD20" s="7"/>
      <c r="VUE20" s="7"/>
      <c r="VUF20" s="7"/>
      <c r="VUG20" s="7"/>
      <c r="VUH20" s="7"/>
      <c r="VUI20" s="7"/>
      <c r="VUJ20" s="7"/>
      <c r="VUK20" s="7"/>
      <c r="VUL20" s="7"/>
      <c r="VUM20" s="7"/>
      <c r="VUN20" s="7"/>
      <c r="VUO20" s="7"/>
      <c r="VUP20" s="7"/>
      <c r="VUQ20" s="7"/>
      <c r="VUR20" s="7"/>
      <c r="VUS20" s="7"/>
      <c r="VUT20" s="7"/>
      <c r="VUU20" s="7"/>
      <c r="VUV20" s="7"/>
      <c r="VUW20" s="7"/>
      <c r="VUX20" s="7"/>
      <c r="VUY20" s="7"/>
      <c r="VUZ20" s="7"/>
      <c r="VVA20" s="7"/>
      <c r="VVB20" s="7"/>
      <c r="VVC20" s="7"/>
      <c r="VVD20" s="7"/>
      <c r="VVE20" s="7"/>
      <c r="VVF20" s="7"/>
      <c r="VVG20" s="7"/>
      <c r="VVH20" s="7"/>
      <c r="VVI20" s="7"/>
      <c r="VVJ20" s="7"/>
      <c r="VVK20" s="7"/>
      <c r="VVL20" s="7"/>
      <c r="VVM20" s="7"/>
      <c r="VVN20" s="7"/>
      <c r="VVO20" s="7"/>
      <c r="VVP20" s="7"/>
      <c r="VVQ20" s="7"/>
      <c r="VVR20" s="7"/>
      <c r="VVS20" s="7"/>
      <c r="VVT20" s="7"/>
      <c r="VVU20" s="7"/>
      <c r="VVV20" s="7"/>
      <c r="VVW20" s="7"/>
      <c r="VVX20" s="7"/>
      <c r="VVY20" s="7"/>
      <c r="VVZ20" s="7"/>
      <c r="VWA20" s="7"/>
      <c r="VWB20" s="7"/>
      <c r="VWC20" s="7"/>
      <c r="VWD20" s="7"/>
      <c r="VWE20" s="7"/>
      <c r="VWF20" s="7"/>
      <c r="VWG20" s="7"/>
      <c r="VWH20" s="7"/>
      <c r="VWI20" s="7"/>
      <c r="VWJ20" s="7"/>
      <c r="VWK20" s="7"/>
      <c r="VWL20" s="7"/>
      <c r="VWM20" s="7"/>
      <c r="VWN20" s="7"/>
      <c r="VWO20" s="7"/>
      <c r="VWP20" s="7"/>
      <c r="VWQ20" s="7"/>
      <c r="VWR20" s="7"/>
      <c r="VWS20" s="7"/>
      <c r="VWT20" s="7"/>
      <c r="VWU20" s="7"/>
      <c r="VWV20" s="7"/>
      <c r="VWW20" s="7"/>
      <c r="VWX20" s="7"/>
      <c r="VWY20" s="7"/>
      <c r="VWZ20" s="7"/>
      <c r="VXA20" s="7"/>
      <c r="VXB20" s="7"/>
      <c r="VXC20" s="7"/>
      <c r="VXD20" s="7"/>
      <c r="VXE20" s="7"/>
      <c r="VXF20" s="7"/>
      <c r="VXG20" s="7"/>
      <c r="VXH20" s="7"/>
      <c r="VXI20" s="7"/>
      <c r="VXJ20" s="7"/>
      <c r="VXK20" s="7"/>
      <c r="VXL20" s="7"/>
      <c r="VXM20" s="7"/>
      <c r="VXN20" s="7"/>
      <c r="VXO20" s="7"/>
      <c r="VXP20" s="7"/>
      <c r="VXQ20" s="7"/>
      <c r="VXR20" s="7"/>
      <c r="VXS20" s="7"/>
      <c r="VXT20" s="7"/>
      <c r="VXU20" s="7"/>
      <c r="VXV20" s="7"/>
      <c r="VXW20" s="7"/>
      <c r="VXX20" s="7"/>
      <c r="VXY20" s="7"/>
      <c r="VXZ20" s="7"/>
      <c r="VYA20" s="7"/>
      <c r="VYB20" s="7"/>
      <c r="VYC20" s="7"/>
      <c r="VYD20" s="7"/>
      <c r="VYE20" s="7"/>
      <c r="VYF20" s="7"/>
      <c r="VYG20" s="7"/>
      <c r="VYH20" s="7"/>
      <c r="VYI20" s="7"/>
      <c r="VYJ20" s="7"/>
      <c r="VYK20" s="7"/>
      <c r="VYL20" s="7"/>
      <c r="VYM20" s="7"/>
      <c r="VYN20" s="7"/>
      <c r="VYO20" s="7"/>
      <c r="VYP20" s="7"/>
      <c r="VYQ20" s="7"/>
      <c r="VYR20" s="7"/>
      <c r="VYS20" s="7"/>
      <c r="VYT20" s="7"/>
      <c r="VYU20" s="7"/>
      <c r="VYV20" s="7"/>
      <c r="VYW20" s="7"/>
      <c r="VYX20" s="7"/>
      <c r="VYY20" s="7"/>
      <c r="VYZ20" s="7"/>
      <c r="VZA20" s="7"/>
      <c r="VZB20" s="7"/>
      <c r="VZC20" s="7"/>
      <c r="VZD20" s="7"/>
      <c r="VZE20" s="7"/>
      <c r="VZF20" s="7"/>
      <c r="VZG20" s="7"/>
      <c r="VZH20" s="7"/>
      <c r="VZI20" s="7"/>
      <c r="VZJ20" s="7"/>
      <c r="VZK20" s="7"/>
      <c r="VZL20" s="7"/>
      <c r="VZM20" s="7"/>
      <c r="VZN20" s="7"/>
      <c r="VZO20" s="7"/>
      <c r="VZP20" s="7"/>
      <c r="VZQ20" s="7"/>
      <c r="VZR20" s="7"/>
      <c r="VZS20" s="7"/>
      <c r="VZT20" s="7"/>
      <c r="VZU20" s="7"/>
      <c r="VZV20" s="7"/>
      <c r="VZW20" s="7"/>
      <c r="VZX20" s="7"/>
      <c r="VZY20" s="7"/>
      <c r="VZZ20" s="7"/>
      <c r="WAA20" s="7"/>
      <c r="WAB20" s="7"/>
      <c r="WAC20" s="7"/>
      <c r="WAD20" s="7"/>
      <c r="WAE20" s="7"/>
      <c r="WAF20" s="7"/>
      <c r="WAG20" s="7"/>
      <c r="WAH20" s="7"/>
      <c r="WAI20" s="7"/>
      <c r="WAJ20" s="7"/>
      <c r="WAK20" s="7"/>
      <c r="WAL20" s="7"/>
      <c r="WAM20" s="7"/>
      <c r="WAN20" s="7"/>
      <c r="WAO20" s="7"/>
      <c r="WAP20" s="7"/>
      <c r="WAQ20" s="7"/>
      <c r="WAR20" s="7"/>
      <c r="WAS20" s="7"/>
      <c r="WAT20" s="7"/>
      <c r="WAU20" s="7"/>
      <c r="WAV20" s="7"/>
      <c r="WAW20" s="7"/>
      <c r="WAX20" s="7"/>
      <c r="WAY20" s="7"/>
      <c r="WAZ20" s="7"/>
      <c r="WBA20" s="7"/>
      <c r="WBB20" s="7"/>
      <c r="WBC20" s="7"/>
      <c r="WBD20" s="7"/>
      <c r="WBE20" s="7"/>
      <c r="WBF20" s="7"/>
      <c r="WBG20" s="7"/>
      <c r="WBH20" s="7"/>
      <c r="WBI20" s="7"/>
      <c r="WBJ20" s="7"/>
      <c r="WBK20" s="7"/>
      <c r="WBL20" s="7"/>
      <c r="WBM20" s="7"/>
      <c r="WBN20" s="7"/>
      <c r="WBO20" s="7"/>
      <c r="WBP20" s="7"/>
      <c r="WBQ20" s="7"/>
      <c r="WBR20" s="7"/>
      <c r="WBS20" s="7"/>
      <c r="WBT20" s="7"/>
      <c r="WBU20" s="7"/>
      <c r="WBV20" s="7"/>
      <c r="WBW20" s="7"/>
      <c r="WBX20" s="7"/>
      <c r="WBY20" s="7"/>
      <c r="WBZ20" s="7"/>
      <c r="WCA20" s="7"/>
      <c r="WCB20" s="7"/>
      <c r="WCC20" s="7"/>
      <c r="WCD20" s="7"/>
      <c r="WCE20" s="7"/>
      <c r="WCF20" s="7"/>
      <c r="WCG20" s="7"/>
      <c r="WCH20" s="7"/>
      <c r="WCI20" s="7"/>
      <c r="WCJ20" s="7"/>
      <c r="WCK20" s="7"/>
      <c r="WCL20" s="7"/>
      <c r="WCM20" s="7"/>
      <c r="WCN20" s="7"/>
      <c r="WCO20" s="7"/>
      <c r="WCP20" s="7"/>
      <c r="WCQ20" s="7"/>
      <c r="WCR20" s="7"/>
      <c r="WCS20" s="7"/>
      <c r="WCT20" s="7"/>
      <c r="WCU20" s="7"/>
      <c r="WCV20" s="7"/>
      <c r="WCW20" s="7"/>
      <c r="WCX20" s="7"/>
      <c r="WCY20" s="7"/>
      <c r="WCZ20" s="7"/>
      <c r="WDA20" s="7"/>
      <c r="WDB20" s="7"/>
      <c r="WDC20" s="7"/>
      <c r="WDD20" s="7"/>
      <c r="WDE20" s="7"/>
      <c r="WDF20" s="7"/>
      <c r="WDG20" s="7"/>
      <c r="WDH20" s="7"/>
      <c r="WDI20" s="7"/>
      <c r="WDJ20" s="7"/>
      <c r="WDK20" s="7"/>
      <c r="WDL20" s="7"/>
      <c r="WDM20" s="7"/>
      <c r="WDN20" s="7"/>
      <c r="WDO20" s="7"/>
      <c r="WDP20" s="7"/>
      <c r="WDQ20" s="7"/>
      <c r="WDR20" s="7"/>
      <c r="WDS20" s="7"/>
      <c r="WDT20" s="7"/>
      <c r="WDU20" s="7"/>
      <c r="WDV20" s="7"/>
      <c r="WDW20" s="7"/>
      <c r="WDX20" s="7"/>
      <c r="WDY20" s="7"/>
      <c r="WDZ20" s="7"/>
      <c r="WEA20" s="7"/>
      <c r="WEB20" s="7"/>
      <c r="WEC20" s="7"/>
      <c r="WED20" s="7"/>
      <c r="WEE20" s="7"/>
      <c r="WEF20" s="7"/>
      <c r="WEG20" s="7"/>
      <c r="WEH20" s="7"/>
      <c r="WEI20" s="7"/>
      <c r="WEJ20" s="7"/>
      <c r="WEK20" s="7"/>
      <c r="WEL20" s="7"/>
      <c r="WEM20" s="7"/>
      <c r="WEN20" s="7"/>
      <c r="WEO20" s="7"/>
      <c r="WEP20" s="7"/>
      <c r="WEQ20" s="7"/>
      <c r="WER20" s="7"/>
      <c r="WES20" s="7"/>
      <c r="WET20" s="7"/>
      <c r="WEU20" s="7"/>
      <c r="WEV20" s="7"/>
      <c r="WEW20" s="7"/>
      <c r="WEX20" s="7"/>
      <c r="WEY20" s="7"/>
      <c r="WEZ20" s="7"/>
      <c r="WFA20" s="7"/>
      <c r="WFB20" s="7"/>
      <c r="WFC20" s="7"/>
      <c r="WFD20" s="7"/>
      <c r="WFE20" s="7"/>
      <c r="WFF20" s="7"/>
      <c r="WFG20" s="7"/>
      <c r="WFH20" s="7"/>
      <c r="WFI20" s="7"/>
      <c r="WFJ20" s="7"/>
      <c r="WFK20" s="7"/>
      <c r="WFL20" s="7"/>
      <c r="WFM20" s="7"/>
      <c r="WFN20" s="7"/>
      <c r="WFO20" s="7"/>
      <c r="WFP20" s="7"/>
      <c r="WFQ20" s="7"/>
      <c r="WFR20" s="7"/>
      <c r="WFS20" s="7"/>
      <c r="WFT20" s="7"/>
      <c r="WFU20" s="7"/>
      <c r="WFV20" s="7"/>
      <c r="WFW20" s="7"/>
      <c r="WFX20" s="7"/>
      <c r="WFY20" s="7"/>
      <c r="WFZ20" s="7"/>
      <c r="WGA20" s="7"/>
      <c r="WGB20" s="7"/>
      <c r="WGC20" s="7"/>
      <c r="WGD20" s="7"/>
      <c r="WGE20" s="7"/>
      <c r="WGF20" s="7"/>
      <c r="WGG20" s="7"/>
      <c r="WGH20" s="7"/>
      <c r="WGI20" s="7"/>
      <c r="WGJ20" s="7"/>
      <c r="WGK20" s="7"/>
      <c r="WGL20" s="7"/>
      <c r="WGM20" s="7"/>
      <c r="WGN20" s="7"/>
      <c r="WGO20" s="7"/>
      <c r="WGP20" s="7"/>
      <c r="WGQ20" s="7"/>
      <c r="WGR20" s="7"/>
      <c r="WGS20" s="7"/>
      <c r="WGT20" s="7"/>
      <c r="WGU20" s="7"/>
      <c r="WGV20" s="7"/>
      <c r="WGW20" s="7"/>
      <c r="WGX20" s="7"/>
      <c r="WGY20" s="7"/>
      <c r="WGZ20" s="7"/>
      <c r="WHA20" s="7"/>
      <c r="WHB20" s="7"/>
      <c r="WHC20" s="7"/>
      <c r="WHD20" s="7"/>
      <c r="WHE20" s="7"/>
      <c r="WHF20" s="7"/>
      <c r="WHG20" s="7"/>
      <c r="WHH20" s="7"/>
      <c r="WHI20" s="7"/>
      <c r="WHJ20" s="7"/>
      <c r="WHK20" s="7"/>
      <c r="WHL20" s="7"/>
      <c r="WHM20" s="7"/>
      <c r="WHN20" s="7"/>
      <c r="WHO20" s="7"/>
      <c r="WHP20" s="7"/>
      <c r="WHQ20" s="7"/>
      <c r="WHR20" s="7"/>
      <c r="WHS20" s="7"/>
      <c r="WHT20" s="7"/>
      <c r="WHU20" s="7"/>
      <c r="WHV20" s="7"/>
      <c r="WHW20" s="7"/>
      <c r="WHX20" s="7"/>
      <c r="WHY20" s="7"/>
      <c r="WHZ20" s="7"/>
      <c r="WIA20" s="7"/>
      <c r="WIB20" s="7"/>
      <c r="WIC20" s="7"/>
      <c r="WID20" s="7"/>
      <c r="WIE20" s="7"/>
      <c r="WIF20" s="7"/>
      <c r="WIG20" s="7"/>
      <c r="WIH20" s="7"/>
      <c r="WII20" s="7"/>
      <c r="WIJ20" s="7"/>
      <c r="WIK20" s="7"/>
      <c r="WIL20" s="7"/>
      <c r="WIM20" s="7"/>
      <c r="WIN20" s="7"/>
      <c r="WIO20" s="7"/>
      <c r="WIP20" s="7"/>
      <c r="WIQ20" s="7"/>
      <c r="WIR20" s="7"/>
      <c r="WIS20" s="7"/>
      <c r="WIT20" s="7"/>
      <c r="WIU20" s="7"/>
      <c r="WIV20" s="7"/>
      <c r="WIW20" s="7"/>
      <c r="WIX20" s="7"/>
      <c r="WIY20" s="7"/>
      <c r="WIZ20" s="7"/>
      <c r="WJA20" s="7"/>
      <c r="WJB20" s="7"/>
      <c r="WJC20" s="7"/>
      <c r="WJD20" s="7"/>
      <c r="WJE20" s="7"/>
      <c r="WJF20" s="7"/>
      <c r="WJG20" s="7"/>
      <c r="WJH20" s="7"/>
      <c r="WJI20" s="7"/>
      <c r="WJJ20" s="7"/>
      <c r="WJK20" s="7"/>
      <c r="WJL20" s="7"/>
      <c r="WJM20" s="7"/>
      <c r="WJN20" s="7"/>
      <c r="WJO20" s="7"/>
      <c r="WJP20" s="7"/>
      <c r="WJQ20" s="7"/>
      <c r="WJR20" s="7"/>
      <c r="WJS20" s="7"/>
      <c r="WJT20" s="7"/>
      <c r="WJU20" s="7"/>
      <c r="WJV20" s="7"/>
      <c r="WJW20" s="7"/>
      <c r="WJX20" s="7"/>
      <c r="WJY20" s="7"/>
      <c r="WJZ20" s="7"/>
      <c r="WKA20" s="7"/>
      <c r="WKB20" s="7"/>
      <c r="WKC20" s="7"/>
      <c r="WKD20" s="7"/>
      <c r="WKE20" s="7"/>
      <c r="WKF20" s="7"/>
      <c r="WKG20" s="7"/>
      <c r="WKH20" s="7"/>
      <c r="WKI20" s="7"/>
      <c r="WKJ20" s="7"/>
      <c r="WKK20" s="7"/>
      <c r="WKL20" s="7"/>
      <c r="WKM20" s="7"/>
      <c r="WKN20" s="7"/>
      <c r="WKO20" s="7"/>
      <c r="WKP20" s="7"/>
      <c r="WKQ20" s="7"/>
      <c r="WKR20" s="7"/>
      <c r="WKS20" s="7"/>
      <c r="WKT20" s="7"/>
      <c r="WKU20" s="7"/>
      <c r="WKV20" s="7"/>
      <c r="WKW20" s="7"/>
      <c r="WKX20" s="7"/>
      <c r="WKY20" s="7"/>
      <c r="WKZ20" s="7"/>
      <c r="WLA20" s="7"/>
      <c r="WLB20" s="7"/>
      <c r="WLC20" s="7"/>
      <c r="WLD20" s="7"/>
      <c r="WLE20" s="7"/>
      <c r="WLF20" s="7"/>
      <c r="WLG20" s="7"/>
      <c r="WLH20" s="7"/>
      <c r="WLI20" s="7"/>
      <c r="WLJ20" s="7"/>
      <c r="WLK20" s="7"/>
      <c r="WLL20" s="7"/>
      <c r="WLM20" s="7"/>
      <c r="WLN20" s="7"/>
      <c r="WLO20" s="7"/>
      <c r="WLP20" s="7"/>
      <c r="WLQ20" s="7"/>
      <c r="WLR20" s="7"/>
      <c r="WLS20" s="7"/>
      <c r="WLT20" s="7"/>
      <c r="WLU20" s="7"/>
      <c r="WLV20" s="7"/>
      <c r="WLW20" s="7"/>
      <c r="WLX20" s="7"/>
      <c r="WLY20" s="7"/>
      <c r="WLZ20" s="7"/>
      <c r="WMA20" s="7"/>
      <c r="WMB20" s="7"/>
      <c r="WMC20" s="7"/>
      <c r="WMD20" s="7"/>
      <c r="WME20" s="7"/>
      <c r="WMF20" s="7"/>
      <c r="WMG20" s="7"/>
      <c r="WMH20" s="7"/>
      <c r="WMI20" s="7"/>
      <c r="WMJ20" s="7"/>
      <c r="WMK20" s="7"/>
      <c r="WML20" s="7"/>
      <c r="WMM20" s="7"/>
      <c r="WMN20" s="7"/>
      <c r="WMO20" s="7"/>
      <c r="WMP20" s="7"/>
      <c r="WMQ20" s="7"/>
      <c r="WMR20" s="7"/>
      <c r="WMS20" s="7"/>
      <c r="WMT20" s="7"/>
      <c r="WMU20" s="7"/>
      <c r="WMV20" s="7"/>
      <c r="WMW20" s="7"/>
      <c r="WMX20" s="7"/>
      <c r="WMY20" s="7"/>
      <c r="WMZ20" s="7"/>
      <c r="WNA20" s="7"/>
      <c r="WNB20" s="7"/>
      <c r="WNC20" s="7"/>
      <c r="WND20" s="7"/>
      <c r="WNE20" s="7"/>
      <c r="WNF20" s="7"/>
      <c r="WNG20" s="7"/>
      <c r="WNH20" s="7"/>
      <c r="WNI20" s="7"/>
      <c r="WNJ20" s="7"/>
      <c r="WNK20" s="7"/>
      <c r="WNL20" s="7"/>
      <c r="WNM20" s="7"/>
      <c r="WNN20" s="7"/>
      <c r="WNO20" s="7"/>
      <c r="WNP20" s="7"/>
      <c r="WNQ20" s="7"/>
      <c r="WNR20" s="7"/>
      <c r="WNS20" s="7"/>
      <c r="WNT20" s="7"/>
      <c r="WNU20" s="7"/>
      <c r="WNV20" s="7"/>
      <c r="WNW20" s="7"/>
      <c r="WNX20" s="7"/>
      <c r="WNY20" s="7"/>
      <c r="WNZ20" s="7"/>
      <c r="WOA20" s="7"/>
      <c r="WOB20" s="7"/>
      <c r="WOC20" s="7"/>
      <c r="WOD20" s="7"/>
      <c r="WOE20" s="7"/>
      <c r="WOF20" s="7"/>
      <c r="WOG20" s="7"/>
      <c r="WOH20" s="7"/>
      <c r="WOI20" s="7"/>
      <c r="WOJ20" s="7"/>
      <c r="WOK20" s="7"/>
      <c r="WOL20" s="7"/>
      <c r="WOM20" s="7"/>
      <c r="WON20" s="7"/>
      <c r="WOO20" s="7"/>
      <c r="WOP20" s="7"/>
      <c r="WOQ20" s="7"/>
      <c r="WOR20" s="7"/>
      <c r="WOS20" s="7"/>
      <c r="WOT20" s="7"/>
      <c r="WOU20" s="7"/>
      <c r="WOV20" s="7"/>
      <c r="WOW20" s="7"/>
      <c r="WOX20" s="7"/>
      <c r="WOY20" s="7"/>
      <c r="WOZ20" s="7"/>
      <c r="WPA20" s="7"/>
      <c r="WPB20" s="7"/>
      <c r="WPC20" s="7"/>
      <c r="WPD20" s="7"/>
      <c r="WPE20" s="7"/>
      <c r="WPF20" s="7"/>
      <c r="WPG20" s="7"/>
      <c r="WPH20" s="7"/>
      <c r="WPI20" s="7"/>
      <c r="WPJ20" s="7"/>
      <c r="WPK20" s="7"/>
      <c r="WPL20" s="7"/>
      <c r="WPM20" s="7"/>
      <c r="WPN20" s="7"/>
      <c r="WPO20" s="7"/>
      <c r="WPP20" s="7"/>
      <c r="WPQ20" s="7"/>
      <c r="WPR20" s="7"/>
      <c r="WPS20" s="7"/>
      <c r="WPT20" s="7"/>
      <c r="WPU20" s="7"/>
      <c r="WPV20" s="7"/>
      <c r="WPW20" s="7"/>
      <c r="WPX20" s="7"/>
      <c r="WPY20" s="7"/>
      <c r="WPZ20" s="7"/>
      <c r="WQA20" s="7"/>
      <c r="WQB20" s="7"/>
      <c r="WQC20" s="7"/>
      <c r="WQD20" s="7"/>
      <c r="WQE20" s="7"/>
      <c r="WQF20" s="7"/>
      <c r="WQG20" s="7"/>
      <c r="WQH20" s="7"/>
      <c r="WQI20" s="7"/>
      <c r="WQJ20" s="7"/>
      <c r="WQK20" s="7"/>
      <c r="WQL20" s="7"/>
      <c r="WQM20" s="7"/>
      <c r="WQN20" s="7"/>
      <c r="WQO20" s="7"/>
      <c r="WQP20" s="7"/>
      <c r="WQQ20" s="7"/>
      <c r="WQR20" s="7"/>
      <c r="WQS20" s="7"/>
      <c r="WQT20" s="7"/>
      <c r="WQU20" s="7"/>
      <c r="WQV20" s="7"/>
      <c r="WQW20" s="7"/>
      <c r="WQX20" s="7"/>
      <c r="WQY20" s="7"/>
      <c r="WQZ20" s="7"/>
      <c r="WRA20" s="7"/>
      <c r="WRB20" s="7"/>
      <c r="WRC20" s="7"/>
      <c r="WRD20" s="7"/>
      <c r="WRE20" s="7"/>
      <c r="WRF20" s="7"/>
      <c r="WRG20" s="7"/>
      <c r="WRH20" s="7"/>
      <c r="WRI20" s="7"/>
      <c r="WRJ20" s="7"/>
      <c r="WRK20" s="7"/>
      <c r="WRL20" s="7"/>
      <c r="WRM20" s="7"/>
      <c r="WRN20" s="7"/>
      <c r="WRO20" s="7"/>
      <c r="WRP20" s="7"/>
      <c r="WRQ20" s="7"/>
      <c r="WRR20" s="7"/>
      <c r="WRS20" s="7"/>
      <c r="WRT20" s="7"/>
      <c r="WRU20" s="7"/>
      <c r="WRV20" s="7"/>
      <c r="WRW20" s="7"/>
      <c r="WRX20" s="7"/>
      <c r="WRY20" s="7"/>
      <c r="WRZ20" s="7"/>
      <c r="WSA20" s="7"/>
      <c r="WSB20" s="7"/>
      <c r="WSC20" s="7"/>
      <c r="WSD20" s="7"/>
      <c r="WSE20" s="7"/>
      <c r="WSF20" s="7"/>
      <c r="WSG20" s="7"/>
      <c r="WSH20" s="7"/>
      <c r="WSI20" s="7"/>
      <c r="WSJ20" s="7"/>
      <c r="WSK20" s="7"/>
      <c r="WSL20" s="7"/>
      <c r="WSM20" s="7"/>
      <c r="WSN20" s="7"/>
      <c r="WSO20" s="7"/>
      <c r="WSP20" s="7"/>
      <c r="WSQ20" s="7"/>
      <c r="WSR20" s="7"/>
      <c r="WSS20" s="7"/>
      <c r="WST20" s="7"/>
      <c r="WSU20" s="7"/>
      <c r="WSV20" s="7"/>
      <c r="WSW20" s="7"/>
      <c r="WSX20" s="7"/>
      <c r="WSY20" s="7"/>
      <c r="WSZ20" s="7"/>
      <c r="WTA20" s="7"/>
      <c r="WTB20" s="7"/>
      <c r="WTC20" s="7"/>
      <c r="WTD20" s="7"/>
      <c r="WTE20" s="7"/>
      <c r="WTF20" s="7"/>
      <c r="WTG20" s="7"/>
      <c r="WTH20" s="7"/>
      <c r="WTI20" s="7"/>
      <c r="WTJ20" s="7"/>
      <c r="WTK20" s="7"/>
      <c r="WTL20" s="7"/>
      <c r="WTM20" s="7"/>
      <c r="WTN20" s="7"/>
      <c r="WTO20" s="7"/>
      <c r="WTP20" s="7"/>
      <c r="WTQ20" s="7"/>
      <c r="WTR20" s="7"/>
      <c r="WTS20" s="7"/>
      <c r="WTT20" s="7"/>
      <c r="WTU20" s="7"/>
      <c r="WTV20" s="7"/>
      <c r="WTW20" s="7"/>
      <c r="WTX20" s="7"/>
      <c r="WTY20" s="7"/>
      <c r="WTZ20" s="7"/>
      <c r="WUA20" s="7"/>
      <c r="WUB20" s="7"/>
      <c r="WUC20" s="7"/>
      <c r="WUD20" s="7"/>
      <c r="WUE20" s="7"/>
      <c r="WUF20" s="7"/>
      <c r="WUG20" s="7"/>
      <c r="WUH20" s="7"/>
      <c r="WUI20" s="7"/>
      <c r="WUJ20" s="7"/>
      <c r="WUK20" s="7"/>
      <c r="WUL20" s="7"/>
      <c r="WUM20" s="7"/>
      <c r="WUN20" s="7"/>
      <c r="WUO20" s="7"/>
      <c r="WUP20" s="7"/>
      <c r="WUQ20" s="7"/>
      <c r="WUR20" s="7"/>
      <c r="WUS20" s="7"/>
      <c r="WUT20" s="7"/>
      <c r="WUU20" s="7"/>
      <c r="WUV20" s="7"/>
      <c r="WUW20" s="7"/>
      <c r="WUX20" s="7"/>
      <c r="WUY20" s="7"/>
      <c r="WUZ20" s="7"/>
      <c r="WVA20" s="7"/>
      <c r="WVB20" s="7"/>
      <c r="WVC20" s="7"/>
      <c r="WVD20" s="7"/>
      <c r="WVE20" s="7"/>
      <c r="WVF20" s="7"/>
      <c r="WVG20" s="7"/>
      <c r="WVH20" s="7"/>
      <c r="WVI20" s="7"/>
      <c r="WVJ20" s="7"/>
      <c r="WVK20" s="7"/>
      <c r="WVL20" s="7"/>
      <c r="WVM20" s="7"/>
      <c r="WVN20" s="7"/>
      <c r="WVO20" s="7"/>
      <c r="WVP20" s="7"/>
      <c r="WVQ20" s="7"/>
      <c r="WVR20" s="7"/>
      <c r="WVS20" s="7"/>
      <c r="WVT20" s="7"/>
      <c r="WVU20" s="7"/>
      <c r="WVV20" s="7"/>
      <c r="WVW20" s="7"/>
      <c r="WVX20" s="7"/>
      <c r="WVY20" s="7"/>
      <c r="WVZ20" s="7"/>
      <c r="WWA20" s="7"/>
      <c r="WWB20" s="7"/>
      <c r="WWC20" s="7"/>
      <c r="WWD20" s="7"/>
      <c r="WWE20" s="7"/>
      <c r="WWF20" s="7"/>
      <c r="WWG20" s="7"/>
      <c r="WWH20" s="7"/>
      <c r="WWI20" s="7"/>
      <c r="WWJ20" s="7"/>
      <c r="WWK20" s="7"/>
      <c r="WWL20" s="7"/>
      <c r="WWM20" s="7"/>
      <c r="WWN20" s="7"/>
      <c r="WWO20" s="7"/>
      <c r="WWP20" s="7"/>
      <c r="WWQ20" s="7"/>
      <c r="WWR20" s="7"/>
      <c r="WWS20" s="7"/>
      <c r="WWT20" s="7"/>
      <c r="WWU20" s="7"/>
      <c r="WWV20" s="7"/>
      <c r="WWW20" s="7"/>
      <c r="WWX20" s="7"/>
      <c r="WWY20" s="7"/>
      <c r="WWZ20" s="7"/>
      <c r="WXA20" s="7"/>
      <c r="WXB20" s="7"/>
      <c r="WXC20" s="7"/>
      <c r="WXD20" s="7"/>
      <c r="WXE20" s="7"/>
      <c r="WXF20" s="7"/>
      <c r="WXG20" s="7"/>
      <c r="WXH20" s="7"/>
      <c r="WXI20" s="7"/>
      <c r="WXJ20" s="7"/>
      <c r="WXK20" s="7"/>
      <c r="WXL20" s="7"/>
      <c r="WXM20" s="7"/>
      <c r="WXN20" s="7"/>
      <c r="WXO20" s="7"/>
      <c r="WXP20" s="7"/>
      <c r="WXQ20" s="7"/>
      <c r="WXR20" s="7"/>
      <c r="WXS20" s="7"/>
      <c r="WXT20" s="7"/>
      <c r="WXU20" s="7"/>
      <c r="WXV20" s="7"/>
      <c r="WXW20" s="7"/>
      <c r="WXX20" s="7"/>
      <c r="WXY20" s="7"/>
      <c r="WXZ20" s="7"/>
      <c r="WYA20" s="7"/>
      <c r="WYB20" s="7"/>
      <c r="WYC20" s="7"/>
      <c r="WYD20" s="7"/>
      <c r="WYE20" s="7"/>
      <c r="WYF20" s="7"/>
      <c r="WYG20" s="7"/>
      <c r="WYH20" s="7"/>
      <c r="WYI20" s="7"/>
      <c r="WYJ20" s="7"/>
      <c r="WYK20" s="7"/>
      <c r="WYL20" s="7"/>
      <c r="WYM20" s="7"/>
      <c r="WYN20" s="7"/>
      <c r="WYO20" s="7"/>
      <c r="WYP20" s="7"/>
      <c r="WYQ20" s="7"/>
      <c r="WYR20" s="7"/>
      <c r="WYS20" s="7"/>
      <c r="WYT20" s="7"/>
      <c r="WYU20" s="7"/>
      <c r="WYV20" s="7"/>
      <c r="WYW20" s="7"/>
      <c r="WYX20" s="7"/>
      <c r="WYY20" s="7"/>
      <c r="WYZ20" s="7"/>
      <c r="WZA20" s="7"/>
      <c r="WZB20" s="7"/>
      <c r="WZC20" s="7"/>
      <c r="WZD20" s="7"/>
      <c r="WZE20" s="7"/>
      <c r="WZF20" s="7"/>
      <c r="WZG20" s="7"/>
      <c r="WZH20" s="7"/>
      <c r="WZI20" s="7"/>
      <c r="WZJ20" s="7"/>
      <c r="WZK20" s="7"/>
      <c r="WZL20" s="7"/>
      <c r="WZM20" s="7"/>
      <c r="WZN20" s="7"/>
      <c r="WZO20" s="7"/>
      <c r="WZP20" s="7"/>
      <c r="WZQ20" s="7"/>
      <c r="WZR20" s="7"/>
      <c r="WZS20" s="7"/>
      <c r="WZT20" s="7"/>
      <c r="WZU20" s="7"/>
      <c r="WZV20" s="7"/>
      <c r="WZW20" s="7"/>
      <c r="WZX20" s="7"/>
      <c r="WZY20" s="7"/>
      <c r="WZZ20" s="7"/>
      <c r="XAA20" s="7"/>
      <c r="XAB20" s="7"/>
      <c r="XAC20" s="7"/>
      <c r="XAD20" s="7"/>
      <c r="XAE20" s="7"/>
      <c r="XAF20" s="7"/>
      <c r="XAG20" s="7"/>
      <c r="XAH20" s="7"/>
      <c r="XAI20" s="7"/>
      <c r="XAJ20" s="7"/>
      <c r="XAK20" s="7"/>
      <c r="XAL20" s="7"/>
      <c r="XAM20" s="7"/>
      <c r="XAN20" s="7"/>
      <c r="XAO20" s="7"/>
      <c r="XAP20" s="7"/>
      <c r="XAQ20" s="7"/>
      <c r="XAR20" s="7"/>
      <c r="XAS20" s="7"/>
      <c r="XAT20" s="7"/>
      <c r="XAU20" s="7"/>
      <c r="XAV20" s="7"/>
      <c r="XAW20" s="7"/>
      <c r="XAX20" s="7"/>
      <c r="XAY20" s="7"/>
      <c r="XAZ20" s="7"/>
      <c r="XBA20" s="7"/>
      <c r="XBB20" s="7"/>
      <c r="XBC20" s="7"/>
      <c r="XBD20" s="7"/>
      <c r="XBE20" s="7"/>
      <c r="XBF20" s="7"/>
      <c r="XBG20" s="7"/>
      <c r="XBH20" s="7"/>
      <c r="XBI20" s="7"/>
      <c r="XBJ20" s="7"/>
      <c r="XBK20" s="7"/>
      <c r="XBL20" s="7"/>
      <c r="XBM20" s="7"/>
      <c r="XBN20" s="7"/>
      <c r="XBO20" s="7"/>
      <c r="XBP20" s="7"/>
      <c r="XBQ20" s="7"/>
      <c r="XBR20" s="7"/>
      <c r="XBS20" s="7"/>
      <c r="XBT20" s="7"/>
      <c r="XBU20" s="7"/>
      <c r="XBV20" s="7"/>
      <c r="XBW20" s="7"/>
      <c r="XBX20" s="7"/>
      <c r="XBY20" s="7"/>
      <c r="XBZ20" s="7"/>
      <c r="XCA20" s="7"/>
      <c r="XCB20" s="7"/>
      <c r="XCC20" s="7"/>
      <c r="XCD20" s="7"/>
      <c r="XCE20" s="7"/>
      <c r="XCF20" s="7"/>
      <c r="XCG20" s="7"/>
      <c r="XCH20" s="7"/>
      <c r="XCI20" s="7"/>
      <c r="XCJ20" s="7"/>
      <c r="XCK20" s="7"/>
      <c r="XCL20" s="7"/>
      <c r="XCM20" s="7"/>
      <c r="XCN20" s="7"/>
      <c r="XCO20" s="7"/>
      <c r="XCP20" s="7"/>
      <c r="XCQ20" s="7"/>
      <c r="XCR20" s="7"/>
      <c r="XCS20" s="7"/>
      <c r="XCT20" s="7"/>
      <c r="XCU20" s="7"/>
      <c r="XCV20" s="7"/>
      <c r="XCW20" s="7"/>
      <c r="XCX20" s="7"/>
      <c r="XCY20" s="7"/>
      <c r="XCZ20" s="7"/>
      <c r="XDA20" s="7"/>
      <c r="XDB20" s="7"/>
      <c r="XDC20" s="7"/>
      <c r="XDD20" s="7"/>
      <c r="XDE20" s="7"/>
      <c r="XDF20" s="7"/>
      <c r="XDG20" s="7"/>
      <c r="XDH20" s="7"/>
      <c r="XDI20" s="7"/>
      <c r="XDJ20" s="7"/>
      <c r="XDK20" s="7"/>
      <c r="XDL20" s="7"/>
      <c r="XDM20" s="7"/>
      <c r="XDN20" s="7"/>
      <c r="XDO20" s="7"/>
      <c r="XDP20" s="7"/>
      <c r="XDQ20" s="7"/>
      <c r="XDR20" s="7"/>
      <c r="XDS20" s="7"/>
      <c r="XDT20" s="7"/>
      <c r="XDU20" s="7"/>
      <c r="XDV20" s="7"/>
      <c r="XDW20" s="7"/>
      <c r="XDX20" s="7"/>
      <c r="XDY20" s="7"/>
      <c r="XDZ20" s="7"/>
      <c r="XEA20" s="7"/>
      <c r="XEB20" s="7"/>
      <c r="XEC20" s="7"/>
      <c r="XED20" s="7"/>
      <c r="XEE20" s="7"/>
      <c r="XEF20" s="7"/>
      <c r="XEG20" s="7"/>
      <c r="XEH20" s="7"/>
      <c r="XEI20" s="7"/>
      <c r="XEJ20" s="7"/>
      <c r="XEK20" s="7"/>
      <c r="XEL20" s="7"/>
      <c r="XEM20" s="7"/>
      <c r="XEN20" s="7"/>
      <c r="XEO20" s="7"/>
      <c r="XEP20" s="7"/>
      <c r="XEQ20" s="7"/>
      <c r="XER20" s="7"/>
      <c r="XES20" s="7"/>
      <c r="XET20" s="7"/>
      <c r="XEU20" s="7"/>
      <c r="XEV20" s="7"/>
      <c r="XEW20" s="7"/>
      <c r="XEX20" s="7"/>
      <c r="XEY20" s="7"/>
      <c r="XEZ20" s="7"/>
      <c r="XFA20" s="7"/>
      <c r="XFB20" s="7"/>
      <c r="XFC20" s="7"/>
    </row>
    <row r="21" spans="1:16383" s="76" customFormat="1" ht="15" x14ac:dyDescent="0.25">
      <c r="A21" s="6" t="s">
        <v>66</v>
      </c>
      <c r="B21" s="41" t="s">
        <v>51</v>
      </c>
      <c r="C21" s="85">
        <v>5</v>
      </c>
      <c r="D21" s="86">
        <v>208.1</v>
      </c>
      <c r="E21" s="86">
        <v>409.4</v>
      </c>
      <c r="F21" s="86">
        <v>605.70000000000005</v>
      </c>
      <c r="G21" s="86">
        <v>787.1</v>
      </c>
      <c r="H21" s="86">
        <v>967</v>
      </c>
      <c r="I21" s="86">
        <v>1175.3</v>
      </c>
      <c r="J21" s="86">
        <v>1258.3</v>
      </c>
      <c r="K21" s="86">
        <v>1363.7</v>
      </c>
      <c r="L21" s="85">
        <v>4</v>
      </c>
      <c r="M21" s="86">
        <v>1465.3</v>
      </c>
      <c r="N21" s="86">
        <v>1567</v>
      </c>
      <c r="O21" s="86">
        <v>1668.6</v>
      </c>
      <c r="P21" s="86">
        <v>1770.2</v>
      </c>
      <c r="Q21" s="86">
        <v>1871.9</v>
      </c>
      <c r="R21" s="86">
        <v>1973.5</v>
      </c>
      <c r="S21" s="86">
        <v>2075.1</v>
      </c>
      <c r="T21" s="86">
        <v>2176.6999999999998</v>
      </c>
      <c r="U21" s="86">
        <v>2265.9</v>
      </c>
      <c r="V21" s="86">
        <v>2366.6</v>
      </c>
      <c r="W21" s="86">
        <v>2438.6</v>
      </c>
      <c r="X21" s="86">
        <v>2510.5</v>
      </c>
      <c r="Y21" s="86">
        <v>2582.5</v>
      </c>
      <c r="Z21" s="86">
        <v>2654.4</v>
      </c>
      <c r="AA21" s="86">
        <v>2726.4</v>
      </c>
      <c r="AB21" s="86">
        <v>2798.2999999999997</v>
      </c>
      <c r="AC21" s="86">
        <v>2870.3</v>
      </c>
      <c r="AD21" s="86">
        <v>2942.3</v>
      </c>
      <c r="AE21" s="86">
        <v>3014.2</v>
      </c>
      <c r="AF21" s="86">
        <v>3086.2</v>
      </c>
      <c r="AG21" s="86">
        <v>3158.1</v>
      </c>
      <c r="AH21" s="86">
        <v>3230.1000000000004</v>
      </c>
      <c r="AI21" s="86">
        <v>3375</v>
      </c>
      <c r="AJ21" s="86">
        <v>3375</v>
      </c>
      <c r="AK21" s="86">
        <v>3375</v>
      </c>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c r="IP21" s="7"/>
      <c r="IQ21" s="7"/>
      <c r="IR21" s="7"/>
      <c r="IS21" s="7"/>
      <c r="IT21" s="7"/>
      <c r="IU21" s="7"/>
      <c r="IV21" s="7"/>
      <c r="IW21" s="7"/>
      <c r="IX21" s="7"/>
      <c r="IY21" s="7"/>
      <c r="IZ21" s="7"/>
      <c r="JA21" s="7"/>
      <c r="JB21" s="7"/>
      <c r="JC21" s="7"/>
      <c r="JD21" s="7"/>
      <c r="JE21" s="7"/>
      <c r="JF21" s="7"/>
      <c r="JG21" s="7"/>
      <c r="JH21" s="7"/>
      <c r="JI21" s="7"/>
      <c r="JJ21" s="7"/>
      <c r="JK21" s="7"/>
      <c r="JL21" s="7"/>
      <c r="JM21" s="7"/>
      <c r="JN21" s="7"/>
      <c r="JO21" s="7"/>
      <c r="JP21" s="7"/>
      <c r="JQ21" s="7"/>
      <c r="JR21" s="7"/>
      <c r="JS21" s="7"/>
      <c r="JT21" s="7"/>
      <c r="JU21" s="7"/>
      <c r="JV21" s="7"/>
      <c r="JW21" s="7"/>
      <c r="JX21" s="7"/>
      <c r="JY21" s="7"/>
      <c r="JZ21" s="7"/>
      <c r="KA21" s="7"/>
      <c r="KB21" s="7"/>
      <c r="KC21" s="7"/>
      <c r="KD21" s="7"/>
      <c r="KE21" s="7"/>
      <c r="KF21" s="7"/>
      <c r="KG21" s="7"/>
      <c r="KH21" s="7"/>
      <c r="KI21" s="7"/>
      <c r="KJ21" s="7"/>
      <c r="KK21" s="7"/>
      <c r="KL21" s="7"/>
      <c r="KM21" s="7"/>
      <c r="KN21" s="7"/>
      <c r="KO21" s="7"/>
      <c r="KP21" s="7"/>
      <c r="KQ21" s="7"/>
      <c r="KR21" s="7"/>
      <c r="KS21" s="7"/>
      <c r="KT21" s="7"/>
      <c r="KU21" s="7"/>
      <c r="KV21" s="7"/>
      <c r="KW21" s="7"/>
      <c r="KX21" s="7"/>
      <c r="KY21" s="7"/>
      <c r="KZ21" s="7"/>
      <c r="LA21" s="7"/>
      <c r="LB21" s="7"/>
      <c r="LC21" s="7"/>
      <c r="LD21" s="7"/>
      <c r="LE21" s="7"/>
      <c r="LF21" s="7"/>
      <c r="LG21" s="7"/>
      <c r="LH21" s="7"/>
      <c r="LI21" s="7"/>
      <c r="LJ21" s="7"/>
      <c r="LK21" s="7"/>
      <c r="LL21" s="7"/>
      <c r="LM21" s="7"/>
      <c r="LN21" s="7"/>
      <c r="LO21" s="7"/>
      <c r="LP21" s="7"/>
      <c r="LQ21" s="7"/>
      <c r="LR21" s="7"/>
      <c r="LS21" s="7"/>
      <c r="LT21" s="7"/>
      <c r="LU21" s="7"/>
      <c r="LV21" s="7"/>
      <c r="LW21" s="7"/>
      <c r="LX21" s="7"/>
      <c r="LY21" s="7"/>
      <c r="LZ21" s="7"/>
      <c r="MA21" s="7"/>
      <c r="MB21" s="7"/>
      <c r="MC21" s="7"/>
      <c r="MD21" s="7"/>
      <c r="ME21" s="7"/>
      <c r="MF21" s="7"/>
      <c r="MG21" s="7"/>
      <c r="MH21" s="7"/>
      <c r="MI21" s="7"/>
      <c r="MJ21" s="7"/>
      <c r="MK21" s="7"/>
      <c r="ML21" s="7"/>
      <c r="MM21" s="7"/>
      <c r="MN21" s="7"/>
      <c r="MO21" s="7"/>
      <c r="MP21" s="7"/>
      <c r="MQ21" s="7"/>
      <c r="MR21" s="7"/>
      <c r="MS21" s="7"/>
      <c r="MT21" s="7"/>
      <c r="MU21" s="7"/>
      <c r="MV21" s="7"/>
      <c r="MW21" s="7"/>
      <c r="MX21" s="7"/>
      <c r="MY21" s="7"/>
      <c r="MZ21" s="7"/>
      <c r="NA21" s="7"/>
      <c r="NB21" s="7"/>
      <c r="NC21" s="7"/>
      <c r="ND21" s="7"/>
      <c r="NE21" s="7"/>
      <c r="NF21" s="7"/>
      <c r="NG21" s="7"/>
      <c r="NH21" s="7"/>
      <c r="NI21" s="7"/>
      <c r="NJ21" s="7"/>
      <c r="NK21" s="7"/>
      <c r="NL21" s="7"/>
      <c r="NM21" s="7"/>
      <c r="NN21" s="7"/>
      <c r="NO21" s="7"/>
      <c r="NP21" s="7"/>
      <c r="NQ21" s="7"/>
      <c r="NR21" s="7"/>
      <c r="NS21" s="7"/>
      <c r="NT21" s="7"/>
      <c r="NU21" s="7"/>
      <c r="NV21" s="7"/>
      <c r="NW21" s="7"/>
      <c r="NX21" s="7"/>
      <c r="NY21" s="7"/>
      <c r="NZ21" s="7"/>
      <c r="OA21" s="7"/>
      <c r="OB21" s="7"/>
      <c r="OC21" s="7"/>
      <c r="OD21" s="7"/>
      <c r="OE21" s="7"/>
      <c r="OF21" s="7"/>
      <c r="OG21" s="7"/>
      <c r="OH21" s="7"/>
      <c r="OI21" s="7"/>
      <c r="OJ21" s="7"/>
      <c r="OK21" s="7"/>
      <c r="OL21" s="7"/>
      <c r="OM21" s="7"/>
      <c r="ON21" s="7"/>
      <c r="OO21" s="7"/>
      <c r="OP21" s="7"/>
      <c r="OQ21" s="7"/>
      <c r="OR21" s="7"/>
      <c r="OS21" s="7"/>
      <c r="OT21" s="7"/>
      <c r="OU21" s="7"/>
      <c r="OV21" s="7"/>
      <c r="OW21" s="7"/>
      <c r="OX21" s="7"/>
      <c r="OY21" s="7"/>
      <c r="OZ21" s="7"/>
      <c r="PA21" s="7"/>
      <c r="PB21" s="7"/>
      <c r="PC21" s="7"/>
      <c r="PD21" s="7"/>
      <c r="PE21" s="7"/>
      <c r="PF21" s="7"/>
      <c r="PG21" s="7"/>
      <c r="PH21" s="7"/>
      <c r="PI21" s="7"/>
      <c r="PJ21" s="7"/>
      <c r="PK21" s="7"/>
      <c r="PL21" s="7"/>
      <c r="PM21" s="7"/>
      <c r="PN21" s="7"/>
      <c r="PO21" s="7"/>
      <c r="PP21" s="7"/>
      <c r="PQ21" s="7"/>
      <c r="PR21" s="7"/>
      <c r="PS21" s="7"/>
      <c r="PT21" s="7"/>
      <c r="PU21" s="7"/>
      <c r="PV21" s="7"/>
      <c r="PW21" s="7"/>
      <c r="PX21" s="7"/>
      <c r="PY21" s="7"/>
      <c r="PZ21" s="7"/>
      <c r="QA21" s="7"/>
      <c r="QB21" s="7"/>
      <c r="QC21" s="7"/>
      <c r="QD21" s="7"/>
      <c r="QE21" s="7"/>
      <c r="QF21" s="7"/>
      <c r="QG21" s="7"/>
      <c r="QH21" s="7"/>
      <c r="QI21" s="7"/>
      <c r="QJ21" s="7"/>
      <c r="QK21" s="7"/>
      <c r="QL21" s="7"/>
      <c r="QM21" s="7"/>
      <c r="QN21" s="7"/>
      <c r="QO21" s="7"/>
      <c r="QP21" s="7"/>
      <c r="QQ21" s="7"/>
      <c r="QR21" s="7"/>
      <c r="QS21" s="7"/>
      <c r="QT21" s="7"/>
      <c r="QU21" s="7"/>
      <c r="QV21" s="7"/>
      <c r="QW21" s="7"/>
      <c r="QX21" s="7"/>
      <c r="QY21" s="7"/>
      <c r="QZ21" s="7"/>
      <c r="RA21" s="7"/>
      <c r="RB21" s="7"/>
      <c r="RC21" s="7"/>
      <c r="RD21" s="7"/>
      <c r="RE21" s="7"/>
      <c r="RF21" s="7"/>
      <c r="RG21" s="7"/>
      <c r="RH21" s="7"/>
      <c r="RI21" s="7"/>
      <c r="RJ21" s="7"/>
      <c r="RK21" s="7"/>
      <c r="RL21" s="7"/>
      <c r="RM21" s="7"/>
      <c r="RN21" s="7"/>
      <c r="RO21" s="7"/>
      <c r="RP21" s="7"/>
      <c r="RQ21" s="7"/>
      <c r="RR21" s="7"/>
      <c r="RS21" s="7"/>
      <c r="RT21" s="7"/>
      <c r="RU21" s="7"/>
      <c r="RV21" s="7"/>
      <c r="RW21" s="7"/>
      <c r="RX21" s="7"/>
      <c r="RY21" s="7"/>
      <c r="RZ21" s="7"/>
      <c r="SA21" s="7"/>
      <c r="SB21" s="7"/>
      <c r="SC21" s="7"/>
      <c r="SD21" s="7"/>
      <c r="SE21" s="7"/>
      <c r="SF21" s="7"/>
      <c r="SG21" s="7"/>
      <c r="SH21" s="7"/>
      <c r="SI21" s="7"/>
      <c r="SJ21" s="7"/>
      <c r="SK21" s="7"/>
      <c r="SL21" s="7"/>
      <c r="SM21" s="7"/>
      <c r="SN21" s="7"/>
      <c r="SO21" s="7"/>
      <c r="SP21" s="7"/>
      <c r="SQ21" s="7"/>
      <c r="SR21" s="7"/>
      <c r="SS21" s="7"/>
      <c r="ST21" s="7"/>
      <c r="SU21" s="7"/>
      <c r="SV21" s="7"/>
      <c r="SW21" s="7"/>
      <c r="SX21" s="7"/>
      <c r="SY21" s="7"/>
      <c r="SZ21" s="7"/>
      <c r="TA21" s="7"/>
      <c r="TB21" s="7"/>
      <c r="TC21" s="7"/>
      <c r="TD21" s="7"/>
      <c r="TE21" s="7"/>
      <c r="TF21" s="7"/>
      <c r="TG21" s="7"/>
      <c r="TH21" s="7"/>
      <c r="TI21" s="7"/>
      <c r="TJ21" s="7"/>
      <c r="TK21" s="7"/>
      <c r="TL21" s="7"/>
      <c r="TM21" s="7"/>
      <c r="TN21" s="7"/>
      <c r="TO21" s="7"/>
      <c r="TP21" s="7"/>
      <c r="TQ21" s="7"/>
      <c r="TR21" s="7"/>
      <c r="TS21" s="7"/>
      <c r="TT21" s="7"/>
      <c r="TU21" s="7"/>
      <c r="TV21" s="7"/>
      <c r="TW21" s="7"/>
      <c r="TX21" s="7"/>
      <c r="TY21" s="7"/>
      <c r="TZ21" s="7"/>
      <c r="UA21" s="7"/>
      <c r="UB21" s="7"/>
      <c r="UC21" s="7"/>
      <c r="UD21" s="7"/>
      <c r="UE21" s="7"/>
      <c r="UF21" s="7"/>
      <c r="UG21" s="7"/>
      <c r="UH21" s="7"/>
      <c r="UI21" s="7"/>
      <c r="UJ21" s="7"/>
      <c r="UK21" s="7"/>
      <c r="UL21" s="7"/>
      <c r="UM21" s="7"/>
      <c r="UN21" s="7"/>
      <c r="UO21" s="7"/>
      <c r="UP21" s="7"/>
      <c r="UQ21" s="7"/>
      <c r="UR21" s="7"/>
      <c r="US21" s="7"/>
      <c r="UT21" s="7"/>
      <c r="UU21" s="7"/>
      <c r="UV21" s="7"/>
      <c r="UW21" s="7"/>
      <c r="UX21" s="7"/>
      <c r="UY21" s="7"/>
      <c r="UZ21" s="7"/>
      <c r="VA21" s="7"/>
      <c r="VB21" s="7"/>
      <c r="VC21" s="7"/>
      <c r="VD21" s="7"/>
      <c r="VE21" s="7"/>
      <c r="VF21" s="7"/>
      <c r="VG21" s="7"/>
      <c r="VH21" s="7"/>
      <c r="VI21" s="7"/>
      <c r="VJ21" s="7"/>
      <c r="VK21" s="7"/>
      <c r="VL21" s="7"/>
      <c r="VM21" s="7"/>
      <c r="VN21" s="7"/>
      <c r="VO21" s="7"/>
      <c r="VP21" s="7"/>
      <c r="VQ21" s="7"/>
      <c r="VR21" s="7"/>
      <c r="VS21" s="7"/>
      <c r="VT21" s="7"/>
      <c r="VU21" s="7"/>
      <c r="VV21" s="7"/>
      <c r="VW21" s="7"/>
      <c r="VX21" s="7"/>
      <c r="VY21" s="7"/>
      <c r="VZ21" s="7"/>
      <c r="WA21" s="7"/>
      <c r="WB21" s="7"/>
      <c r="WC21" s="7"/>
      <c r="WD21" s="7"/>
      <c r="WE21" s="7"/>
      <c r="WF21" s="7"/>
      <c r="WG21" s="7"/>
      <c r="WH21" s="7"/>
      <c r="WI21" s="7"/>
      <c r="WJ21" s="7"/>
      <c r="WK21" s="7"/>
      <c r="WL21" s="7"/>
      <c r="WM21" s="7"/>
      <c r="WN21" s="7"/>
      <c r="WO21" s="7"/>
      <c r="WP21" s="7"/>
      <c r="WQ21" s="7"/>
      <c r="WR21" s="7"/>
      <c r="WS21" s="7"/>
      <c r="WT21" s="7"/>
      <c r="WU21" s="7"/>
      <c r="WV21" s="7"/>
      <c r="WW21" s="7"/>
      <c r="WX21" s="7"/>
      <c r="WY21" s="7"/>
      <c r="WZ21" s="7"/>
      <c r="XA21" s="7"/>
      <c r="XB21" s="7"/>
      <c r="XC21" s="7"/>
      <c r="XD21" s="7"/>
      <c r="XE21" s="7"/>
      <c r="XF21" s="7"/>
      <c r="XG21" s="7"/>
      <c r="XH21" s="7"/>
      <c r="XI21" s="7"/>
      <c r="XJ21" s="7"/>
      <c r="XK21" s="7"/>
      <c r="XL21" s="7"/>
      <c r="XM21" s="7"/>
      <c r="XN21" s="7"/>
      <c r="XO21" s="7"/>
      <c r="XP21" s="7"/>
      <c r="XQ21" s="7"/>
      <c r="XR21" s="7"/>
      <c r="XS21" s="7"/>
      <c r="XT21" s="7"/>
      <c r="XU21" s="7"/>
      <c r="XV21" s="7"/>
      <c r="XW21" s="7"/>
      <c r="XX21" s="7"/>
      <c r="XY21" s="7"/>
      <c r="XZ21" s="7"/>
      <c r="YA21" s="7"/>
      <c r="YB21" s="7"/>
      <c r="YC21" s="7"/>
      <c r="YD21" s="7"/>
      <c r="YE21" s="7"/>
      <c r="YF21" s="7"/>
      <c r="YG21" s="7"/>
      <c r="YH21" s="7"/>
      <c r="YI21" s="7"/>
      <c r="YJ21" s="7"/>
      <c r="YK21" s="7"/>
      <c r="YL21" s="7"/>
      <c r="YM21" s="7"/>
      <c r="YN21" s="7"/>
      <c r="YO21" s="7"/>
      <c r="YP21" s="7"/>
      <c r="YQ21" s="7"/>
      <c r="YR21" s="7"/>
      <c r="YS21" s="7"/>
      <c r="YT21" s="7"/>
      <c r="YU21" s="7"/>
      <c r="YV21" s="7"/>
      <c r="YW21" s="7"/>
      <c r="YX21" s="7"/>
      <c r="YY21" s="7"/>
      <c r="YZ21" s="7"/>
      <c r="ZA21" s="7"/>
      <c r="ZB21" s="7"/>
      <c r="ZC21" s="7"/>
      <c r="ZD21" s="7"/>
      <c r="ZE21" s="7"/>
      <c r="ZF21" s="7"/>
      <c r="ZG21" s="7"/>
      <c r="ZH21" s="7"/>
      <c r="ZI21" s="7"/>
      <c r="ZJ21" s="7"/>
      <c r="ZK21" s="7"/>
      <c r="ZL21" s="7"/>
      <c r="ZM21" s="7"/>
      <c r="ZN21" s="7"/>
      <c r="ZO21" s="7"/>
      <c r="ZP21" s="7"/>
      <c r="ZQ21" s="7"/>
      <c r="ZR21" s="7"/>
      <c r="ZS21" s="7"/>
      <c r="ZT21" s="7"/>
      <c r="ZU21" s="7"/>
      <c r="ZV21" s="7"/>
      <c r="ZW21" s="7"/>
      <c r="ZX21" s="7"/>
      <c r="ZY21" s="7"/>
      <c r="ZZ21" s="7"/>
      <c r="AAA21" s="7"/>
      <c r="AAB21" s="7"/>
      <c r="AAC21" s="7"/>
      <c r="AAD21" s="7"/>
      <c r="AAE21" s="7"/>
      <c r="AAF21" s="7"/>
      <c r="AAG21" s="7"/>
      <c r="AAH21" s="7"/>
      <c r="AAI21" s="7"/>
      <c r="AAJ21" s="7"/>
      <c r="AAK21" s="7"/>
      <c r="AAL21" s="7"/>
      <c r="AAM21" s="7"/>
      <c r="AAN21" s="7"/>
      <c r="AAO21" s="7"/>
      <c r="AAP21" s="7"/>
      <c r="AAQ21" s="7"/>
      <c r="AAR21" s="7"/>
      <c r="AAS21" s="7"/>
      <c r="AAT21" s="7"/>
      <c r="AAU21" s="7"/>
      <c r="AAV21" s="7"/>
      <c r="AAW21" s="7"/>
      <c r="AAX21" s="7"/>
      <c r="AAY21" s="7"/>
      <c r="AAZ21" s="7"/>
      <c r="ABA21" s="7"/>
      <c r="ABB21" s="7"/>
      <c r="ABC21" s="7"/>
      <c r="ABD21" s="7"/>
      <c r="ABE21" s="7"/>
      <c r="ABF21" s="7"/>
      <c r="ABG21" s="7"/>
      <c r="ABH21" s="7"/>
      <c r="ABI21" s="7"/>
      <c r="ABJ21" s="7"/>
      <c r="ABK21" s="7"/>
      <c r="ABL21" s="7"/>
      <c r="ABM21" s="7"/>
      <c r="ABN21" s="7"/>
      <c r="ABO21" s="7"/>
      <c r="ABP21" s="7"/>
      <c r="ABQ21" s="7"/>
      <c r="ABR21" s="7"/>
      <c r="ABS21" s="7"/>
      <c r="ABT21" s="7"/>
      <c r="ABU21" s="7"/>
      <c r="ABV21" s="7"/>
      <c r="ABW21" s="7"/>
      <c r="ABX21" s="7"/>
      <c r="ABY21" s="7"/>
      <c r="ABZ21" s="7"/>
      <c r="ACA21" s="7"/>
      <c r="ACB21" s="7"/>
      <c r="ACC21" s="7"/>
      <c r="ACD21" s="7"/>
      <c r="ACE21" s="7"/>
      <c r="ACF21" s="7"/>
      <c r="ACG21" s="7"/>
      <c r="ACH21" s="7"/>
      <c r="ACI21" s="7"/>
      <c r="ACJ21" s="7"/>
      <c r="ACK21" s="7"/>
      <c r="ACL21" s="7"/>
      <c r="ACM21" s="7"/>
      <c r="ACN21" s="7"/>
      <c r="ACO21" s="7"/>
      <c r="ACP21" s="7"/>
      <c r="ACQ21" s="7"/>
      <c r="ACR21" s="7"/>
      <c r="ACS21" s="7"/>
      <c r="ACT21" s="7"/>
      <c r="ACU21" s="7"/>
      <c r="ACV21" s="7"/>
      <c r="ACW21" s="7"/>
      <c r="ACX21" s="7"/>
      <c r="ACY21" s="7"/>
      <c r="ACZ21" s="7"/>
      <c r="ADA21" s="7"/>
      <c r="ADB21" s="7"/>
      <c r="ADC21" s="7"/>
      <c r="ADD21" s="7"/>
      <c r="ADE21" s="7"/>
      <c r="ADF21" s="7"/>
      <c r="ADG21" s="7"/>
      <c r="ADH21" s="7"/>
      <c r="ADI21" s="7"/>
      <c r="ADJ21" s="7"/>
      <c r="ADK21" s="7"/>
      <c r="ADL21" s="7"/>
      <c r="ADM21" s="7"/>
      <c r="ADN21" s="7"/>
      <c r="ADO21" s="7"/>
      <c r="ADP21" s="7"/>
      <c r="ADQ21" s="7"/>
      <c r="ADR21" s="7"/>
      <c r="ADS21" s="7"/>
      <c r="ADT21" s="7"/>
      <c r="ADU21" s="7"/>
      <c r="ADV21" s="7"/>
      <c r="ADW21" s="7"/>
      <c r="ADX21" s="7"/>
      <c r="ADY21" s="7"/>
      <c r="ADZ21" s="7"/>
      <c r="AEA21" s="7"/>
      <c r="AEB21" s="7"/>
      <c r="AEC21" s="7"/>
      <c r="AED21" s="7"/>
      <c r="AEE21" s="7"/>
      <c r="AEF21" s="7"/>
      <c r="AEG21" s="7"/>
      <c r="AEH21" s="7"/>
      <c r="AEI21" s="7"/>
      <c r="AEJ21" s="7"/>
      <c r="AEK21" s="7"/>
      <c r="AEL21" s="7"/>
      <c r="AEM21" s="7"/>
      <c r="AEN21" s="7"/>
      <c r="AEO21" s="7"/>
      <c r="AEP21" s="7"/>
      <c r="AEQ21" s="7"/>
      <c r="AER21" s="7"/>
      <c r="AES21" s="7"/>
      <c r="AET21" s="7"/>
      <c r="AEU21" s="7"/>
      <c r="AEV21" s="7"/>
      <c r="AEW21" s="7"/>
      <c r="AEX21" s="7"/>
      <c r="AEY21" s="7"/>
      <c r="AEZ21" s="7"/>
      <c r="AFA21" s="7"/>
      <c r="AFB21" s="7"/>
      <c r="AFC21" s="7"/>
      <c r="AFD21" s="7"/>
      <c r="AFE21" s="7"/>
      <c r="AFF21" s="7"/>
      <c r="AFG21" s="7"/>
      <c r="AFH21" s="7"/>
      <c r="AFI21" s="7"/>
      <c r="AFJ21" s="7"/>
      <c r="AFK21" s="7"/>
      <c r="AFL21" s="7"/>
      <c r="AFM21" s="7"/>
      <c r="AFN21" s="7"/>
      <c r="AFO21" s="7"/>
      <c r="AFP21" s="7"/>
      <c r="AFQ21" s="7"/>
      <c r="AFR21" s="7"/>
      <c r="AFS21" s="7"/>
      <c r="AFT21" s="7"/>
      <c r="AFU21" s="7"/>
      <c r="AFV21" s="7"/>
      <c r="AFW21" s="7"/>
      <c r="AFX21" s="7"/>
      <c r="AFY21" s="7"/>
      <c r="AFZ21" s="7"/>
      <c r="AGA21" s="7"/>
      <c r="AGB21" s="7"/>
      <c r="AGC21" s="7"/>
      <c r="AGD21" s="7"/>
      <c r="AGE21" s="7"/>
      <c r="AGF21" s="7"/>
      <c r="AGG21" s="7"/>
      <c r="AGH21" s="7"/>
      <c r="AGI21" s="7"/>
      <c r="AGJ21" s="7"/>
      <c r="AGK21" s="7"/>
      <c r="AGL21" s="7"/>
      <c r="AGM21" s="7"/>
      <c r="AGN21" s="7"/>
      <c r="AGO21" s="7"/>
      <c r="AGP21" s="7"/>
      <c r="AGQ21" s="7"/>
      <c r="AGR21" s="7"/>
      <c r="AGS21" s="7"/>
      <c r="AGT21" s="7"/>
      <c r="AGU21" s="7"/>
      <c r="AGV21" s="7"/>
      <c r="AGW21" s="7"/>
      <c r="AGX21" s="7"/>
      <c r="AGY21" s="7"/>
      <c r="AGZ21" s="7"/>
      <c r="AHA21" s="7"/>
      <c r="AHB21" s="7"/>
      <c r="AHC21" s="7"/>
      <c r="AHD21" s="7"/>
      <c r="AHE21" s="7"/>
      <c r="AHF21" s="7"/>
      <c r="AHG21" s="7"/>
      <c r="AHH21" s="7"/>
      <c r="AHI21" s="7"/>
      <c r="AHJ21" s="7"/>
      <c r="AHK21" s="7"/>
      <c r="AHL21" s="7"/>
      <c r="AHM21" s="7"/>
      <c r="AHN21" s="7"/>
      <c r="AHO21" s="7"/>
      <c r="AHP21" s="7"/>
      <c r="AHQ21" s="7"/>
      <c r="AHR21" s="7"/>
      <c r="AHS21" s="7"/>
      <c r="AHT21" s="7"/>
      <c r="AHU21" s="7"/>
      <c r="AHV21" s="7"/>
      <c r="AHW21" s="7"/>
      <c r="AHX21" s="7"/>
      <c r="AHY21" s="7"/>
      <c r="AHZ21" s="7"/>
      <c r="AIA21" s="7"/>
      <c r="AIB21" s="7"/>
      <c r="AIC21" s="7"/>
      <c r="AID21" s="7"/>
      <c r="AIE21" s="7"/>
      <c r="AIF21" s="7"/>
      <c r="AIG21" s="7"/>
      <c r="AIH21" s="7"/>
      <c r="AII21" s="7"/>
      <c r="AIJ21" s="7"/>
      <c r="AIK21" s="7"/>
      <c r="AIL21" s="7"/>
      <c r="AIM21" s="7"/>
      <c r="AIN21" s="7"/>
      <c r="AIO21" s="7"/>
      <c r="AIP21" s="7"/>
      <c r="AIQ21" s="7"/>
      <c r="AIR21" s="7"/>
      <c r="AIS21" s="7"/>
      <c r="AIT21" s="7"/>
      <c r="AIU21" s="7"/>
      <c r="AIV21" s="7"/>
      <c r="AIW21" s="7"/>
      <c r="AIX21" s="7"/>
      <c r="AIY21" s="7"/>
      <c r="AIZ21" s="7"/>
      <c r="AJA21" s="7"/>
      <c r="AJB21" s="7"/>
      <c r="AJC21" s="7"/>
      <c r="AJD21" s="7"/>
      <c r="AJE21" s="7"/>
      <c r="AJF21" s="7"/>
      <c r="AJG21" s="7"/>
      <c r="AJH21" s="7"/>
      <c r="AJI21" s="7"/>
      <c r="AJJ21" s="7"/>
      <c r="AJK21" s="7"/>
      <c r="AJL21" s="7"/>
      <c r="AJM21" s="7"/>
      <c r="AJN21" s="7"/>
      <c r="AJO21" s="7"/>
      <c r="AJP21" s="7"/>
      <c r="AJQ21" s="7"/>
      <c r="AJR21" s="7"/>
      <c r="AJS21" s="7"/>
      <c r="AJT21" s="7"/>
      <c r="AJU21" s="7"/>
      <c r="AJV21" s="7"/>
      <c r="AJW21" s="7"/>
      <c r="AJX21" s="7"/>
      <c r="AJY21" s="7"/>
      <c r="AJZ21" s="7"/>
      <c r="AKA21" s="7"/>
      <c r="AKB21" s="7"/>
      <c r="AKC21" s="7"/>
      <c r="AKD21" s="7"/>
      <c r="AKE21" s="7"/>
      <c r="AKF21" s="7"/>
      <c r="AKG21" s="7"/>
      <c r="AKH21" s="7"/>
      <c r="AKI21" s="7"/>
      <c r="AKJ21" s="7"/>
      <c r="AKK21" s="7"/>
      <c r="AKL21" s="7"/>
      <c r="AKM21" s="7"/>
      <c r="AKN21" s="7"/>
      <c r="AKO21" s="7"/>
      <c r="AKP21" s="7"/>
      <c r="AKQ21" s="7"/>
      <c r="AKR21" s="7"/>
      <c r="AKS21" s="7"/>
      <c r="AKT21" s="7"/>
      <c r="AKU21" s="7"/>
      <c r="AKV21" s="7"/>
      <c r="AKW21" s="7"/>
      <c r="AKX21" s="7"/>
      <c r="AKY21" s="7"/>
      <c r="AKZ21" s="7"/>
      <c r="ALA21" s="7"/>
      <c r="ALB21" s="7"/>
      <c r="ALC21" s="7"/>
      <c r="ALD21" s="7"/>
      <c r="ALE21" s="7"/>
      <c r="ALF21" s="7"/>
      <c r="ALG21" s="7"/>
      <c r="ALH21" s="7"/>
      <c r="ALI21" s="7"/>
      <c r="ALJ21" s="7"/>
      <c r="ALK21" s="7"/>
      <c r="ALL21" s="7"/>
      <c r="ALM21" s="7"/>
      <c r="ALN21" s="7"/>
      <c r="ALO21" s="7"/>
      <c r="ALP21" s="7"/>
      <c r="ALQ21" s="7"/>
      <c r="ALR21" s="7"/>
      <c r="ALS21" s="7"/>
      <c r="ALT21" s="7"/>
      <c r="ALU21" s="7"/>
      <c r="ALV21" s="7"/>
      <c r="ALW21" s="7"/>
      <c r="ALX21" s="7"/>
      <c r="ALY21" s="7"/>
      <c r="ALZ21" s="7"/>
      <c r="AMA21" s="7"/>
      <c r="AMB21" s="7"/>
      <c r="AMC21" s="7"/>
      <c r="AMD21" s="7"/>
      <c r="AME21" s="7"/>
      <c r="AMF21" s="7"/>
      <c r="AMG21" s="7"/>
      <c r="AMH21" s="7"/>
      <c r="AMI21" s="7"/>
      <c r="AMJ21" s="7"/>
      <c r="AMK21" s="7"/>
      <c r="AML21" s="7"/>
      <c r="AMM21" s="7"/>
      <c r="AMN21" s="7"/>
      <c r="AMO21" s="7"/>
      <c r="AMP21" s="7"/>
      <c r="AMQ21" s="7"/>
      <c r="AMR21" s="7"/>
      <c r="AMS21" s="7"/>
      <c r="AMT21" s="7"/>
      <c r="AMU21" s="7"/>
      <c r="AMV21" s="7"/>
      <c r="AMW21" s="7"/>
      <c r="AMX21" s="7"/>
      <c r="AMY21" s="7"/>
      <c r="AMZ21" s="7"/>
      <c r="ANA21" s="7"/>
      <c r="ANB21" s="7"/>
      <c r="ANC21" s="7"/>
      <c r="AND21" s="7"/>
      <c r="ANE21" s="7"/>
      <c r="ANF21" s="7"/>
      <c r="ANG21" s="7"/>
      <c r="ANH21" s="7"/>
      <c r="ANI21" s="7"/>
      <c r="ANJ21" s="7"/>
      <c r="ANK21" s="7"/>
      <c r="ANL21" s="7"/>
      <c r="ANM21" s="7"/>
      <c r="ANN21" s="7"/>
      <c r="ANO21" s="7"/>
      <c r="ANP21" s="7"/>
      <c r="ANQ21" s="7"/>
      <c r="ANR21" s="7"/>
      <c r="ANS21" s="7"/>
      <c r="ANT21" s="7"/>
      <c r="ANU21" s="7"/>
      <c r="ANV21" s="7"/>
      <c r="ANW21" s="7"/>
      <c r="ANX21" s="7"/>
      <c r="ANY21" s="7"/>
      <c r="ANZ21" s="7"/>
      <c r="AOA21" s="7"/>
      <c r="AOB21" s="7"/>
      <c r="AOC21" s="7"/>
      <c r="AOD21" s="7"/>
      <c r="AOE21" s="7"/>
      <c r="AOF21" s="7"/>
      <c r="AOG21" s="7"/>
      <c r="AOH21" s="7"/>
      <c r="AOI21" s="7"/>
      <c r="AOJ21" s="7"/>
      <c r="AOK21" s="7"/>
      <c r="AOL21" s="7"/>
      <c r="AOM21" s="7"/>
      <c r="AON21" s="7"/>
      <c r="AOO21" s="7"/>
      <c r="AOP21" s="7"/>
      <c r="AOQ21" s="7"/>
      <c r="AOR21" s="7"/>
      <c r="AOS21" s="7"/>
      <c r="AOT21" s="7"/>
      <c r="AOU21" s="7"/>
      <c r="AOV21" s="7"/>
      <c r="AOW21" s="7"/>
      <c r="AOX21" s="7"/>
      <c r="AOY21" s="7"/>
      <c r="AOZ21" s="7"/>
      <c r="APA21" s="7"/>
      <c r="APB21" s="7"/>
      <c r="APC21" s="7"/>
      <c r="APD21" s="7"/>
      <c r="APE21" s="7"/>
      <c r="APF21" s="7"/>
      <c r="APG21" s="7"/>
      <c r="APH21" s="7"/>
      <c r="API21" s="7"/>
      <c r="APJ21" s="7"/>
      <c r="APK21" s="7"/>
      <c r="APL21" s="7"/>
      <c r="APM21" s="7"/>
      <c r="APN21" s="7"/>
      <c r="APO21" s="7"/>
      <c r="APP21" s="7"/>
      <c r="APQ21" s="7"/>
      <c r="APR21" s="7"/>
      <c r="APS21" s="7"/>
      <c r="APT21" s="7"/>
      <c r="APU21" s="7"/>
      <c r="APV21" s="7"/>
      <c r="APW21" s="7"/>
      <c r="APX21" s="7"/>
      <c r="APY21" s="7"/>
      <c r="APZ21" s="7"/>
      <c r="AQA21" s="7"/>
      <c r="AQB21" s="7"/>
      <c r="AQC21" s="7"/>
      <c r="AQD21" s="7"/>
      <c r="AQE21" s="7"/>
      <c r="AQF21" s="7"/>
      <c r="AQG21" s="7"/>
      <c r="AQH21" s="7"/>
      <c r="AQI21" s="7"/>
      <c r="AQJ21" s="7"/>
      <c r="AQK21" s="7"/>
      <c r="AQL21" s="7"/>
      <c r="AQM21" s="7"/>
      <c r="AQN21" s="7"/>
      <c r="AQO21" s="7"/>
      <c r="AQP21" s="7"/>
      <c r="AQQ21" s="7"/>
      <c r="AQR21" s="7"/>
      <c r="AQS21" s="7"/>
      <c r="AQT21" s="7"/>
      <c r="AQU21" s="7"/>
      <c r="AQV21" s="7"/>
      <c r="AQW21" s="7"/>
      <c r="AQX21" s="7"/>
      <c r="AQY21" s="7"/>
      <c r="AQZ21" s="7"/>
      <c r="ARA21" s="7"/>
      <c r="ARB21" s="7"/>
      <c r="ARC21" s="7"/>
      <c r="ARD21" s="7"/>
      <c r="ARE21" s="7"/>
      <c r="ARF21" s="7"/>
      <c r="ARG21" s="7"/>
      <c r="ARH21" s="7"/>
      <c r="ARI21" s="7"/>
      <c r="ARJ21" s="7"/>
      <c r="ARK21" s="7"/>
      <c r="ARL21" s="7"/>
      <c r="ARM21" s="7"/>
      <c r="ARN21" s="7"/>
      <c r="ARO21" s="7"/>
      <c r="ARP21" s="7"/>
      <c r="ARQ21" s="7"/>
      <c r="ARR21" s="7"/>
      <c r="ARS21" s="7"/>
      <c r="ART21" s="7"/>
      <c r="ARU21" s="7"/>
      <c r="ARV21" s="7"/>
      <c r="ARW21" s="7"/>
      <c r="ARX21" s="7"/>
      <c r="ARY21" s="7"/>
      <c r="ARZ21" s="7"/>
      <c r="ASA21" s="7"/>
      <c r="ASB21" s="7"/>
      <c r="ASC21" s="7"/>
      <c r="ASD21" s="7"/>
      <c r="ASE21" s="7"/>
      <c r="ASF21" s="7"/>
      <c r="ASG21" s="7"/>
      <c r="ASH21" s="7"/>
      <c r="ASI21" s="7"/>
      <c r="ASJ21" s="7"/>
      <c r="ASK21" s="7"/>
      <c r="ASL21" s="7"/>
      <c r="ASM21" s="7"/>
      <c r="ASN21" s="7"/>
      <c r="ASO21" s="7"/>
      <c r="ASP21" s="7"/>
      <c r="ASQ21" s="7"/>
      <c r="ASR21" s="7"/>
      <c r="ASS21" s="7"/>
      <c r="AST21" s="7"/>
      <c r="ASU21" s="7"/>
      <c r="ASV21" s="7"/>
      <c r="ASW21" s="7"/>
      <c r="ASX21" s="7"/>
      <c r="ASY21" s="7"/>
      <c r="ASZ21" s="7"/>
      <c r="ATA21" s="7"/>
      <c r="ATB21" s="7"/>
      <c r="ATC21" s="7"/>
      <c r="ATD21" s="7"/>
      <c r="ATE21" s="7"/>
      <c r="ATF21" s="7"/>
      <c r="ATG21" s="7"/>
      <c r="ATH21" s="7"/>
      <c r="ATI21" s="7"/>
      <c r="ATJ21" s="7"/>
      <c r="ATK21" s="7"/>
      <c r="ATL21" s="7"/>
      <c r="ATM21" s="7"/>
      <c r="ATN21" s="7"/>
      <c r="ATO21" s="7"/>
      <c r="ATP21" s="7"/>
      <c r="ATQ21" s="7"/>
      <c r="ATR21" s="7"/>
      <c r="ATS21" s="7"/>
      <c r="ATT21" s="7"/>
      <c r="ATU21" s="7"/>
      <c r="ATV21" s="7"/>
      <c r="ATW21" s="7"/>
      <c r="ATX21" s="7"/>
      <c r="ATY21" s="7"/>
      <c r="ATZ21" s="7"/>
      <c r="AUA21" s="7"/>
      <c r="AUB21" s="7"/>
      <c r="AUC21" s="7"/>
      <c r="AUD21" s="7"/>
      <c r="AUE21" s="7"/>
      <c r="AUF21" s="7"/>
      <c r="AUG21" s="7"/>
      <c r="AUH21" s="7"/>
      <c r="AUI21" s="7"/>
      <c r="AUJ21" s="7"/>
      <c r="AUK21" s="7"/>
      <c r="AUL21" s="7"/>
      <c r="AUM21" s="7"/>
      <c r="AUN21" s="7"/>
      <c r="AUO21" s="7"/>
      <c r="AUP21" s="7"/>
      <c r="AUQ21" s="7"/>
      <c r="AUR21" s="7"/>
      <c r="AUS21" s="7"/>
      <c r="AUT21" s="7"/>
      <c r="AUU21" s="7"/>
      <c r="AUV21" s="7"/>
      <c r="AUW21" s="7"/>
      <c r="AUX21" s="7"/>
      <c r="AUY21" s="7"/>
      <c r="AUZ21" s="7"/>
      <c r="AVA21" s="7"/>
      <c r="AVB21" s="7"/>
      <c r="AVC21" s="7"/>
      <c r="AVD21" s="7"/>
      <c r="AVE21" s="7"/>
      <c r="AVF21" s="7"/>
      <c r="AVG21" s="7"/>
      <c r="AVH21" s="7"/>
      <c r="AVI21" s="7"/>
      <c r="AVJ21" s="7"/>
      <c r="AVK21" s="7"/>
      <c r="AVL21" s="7"/>
      <c r="AVM21" s="7"/>
      <c r="AVN21" s="7"/>
      <c r="AVO21" s="7"/>
      <c r="AVP21" s="7"/>
      <c r="AVQ21" s="7"/>
      <c r="AVR21" s="7"/>
      <c r="AVS21" s="7"/>
      <c r="AVT21" s="7"/>
      <c r="AVU21" s="7"/>
      <c r="AVV21" s="7"/>
      <c r="AVW21" s="7"/>
      <c r="AVX21" s="7"/>
      <c r="AVY21" s="7"/>
      <c r="AVZ21" s="7"/>
      <c r="AWA21" s="7"/>
      <c r="AWB21" s="7"/>
      <c r="AWC21" s="7"/>
      <c r="AWD21" s="7"/>
      <c r="AWE21" s="7"/>
      <c r="AWF21" s="7"/>
      <c r="AWG21" s="7"/>
      <c r="AWH21" s="7"/>
      <c r="AWI21" s="7"/>
      <c r="AWJ21" s="7"/>
      <c r="AWK21" s="7"/>
      <c r="AWL21" s="7"/>
      <c r="AWM21" s="7"/>
      <c r="AWN21" s="7"/>
      <c r="AWO21" s="7"/>
      <c r="AWP21" s="7"/>
      <c r="AWQ21" s="7"/>
      <c r="AWR21" s="7"/>
      <c r="AWS21" s="7"/>
      <c r="AWT21" s="7"/>
      <c r="AWU21" s="7"/>
      <c r="AWV21" s="7"/>
      <c r="AWW21" s="7"/>
      <c r="AWX21" s="7"/>
      <c r="AWY21" s="7"/>
      <c r="AWZ21" s="7"/>
      <c r="AXA21" s="7"/>
      <c r="AXB21" s="7"/>
      <c r="AXC21" s="7"/>
      <c r="AXD21" s="7"/>
      <c r="AXE21" s="7"/>
      <c r="AXF21" s="7"/>
      <c r="AXG21" s="7"/>
      <c r="AXH21" s="7"/>
      <c r="AXI21" s="7"/>
      <c r="AXJ21" s="7"/>
      <c r="AXK21" s="7"/>
      <c r="AXL21" s="7"/>
      <c r="AXM21" s="7"/>
      <c r="AXN21" s="7"/>
      <c r="AXO21" s="7"/>
      <c r="AXP21" s="7"/>
      <c r="AXQ21" s="7"/>
      <c r="AXR21" s="7"/>
      <c r="AXS21" s="7"/>
      <c r="AXT21" s="7"/>
      <c r="AXU21" s="7"/>
      <c r="AXV21" s="7"/>
      <c r="AXW21" s="7"/>
      <c r="AXX21" s="7"/>
      <c r="AXY21" s="7"/>
      <c r="AXZ21" s="7"/>
      <c r="AYA21" s="7"/>
      <c r="AYB21" s="7"/>
      <c r="AYC21" s="7"/>
      <c r="AYD21" s="7"/>
      <c r="AYE21" s="7"/>
      <c r="AYF21" s="7"/>
      <c r="AYG21" s="7"/>
      <c r="AYH21" s="7"/>
      <c r="AYI21" s="7"/>
      <c r="AYJ21" s="7"/>
      <c r="AYK21" s="7"/>
      <c r="AYL21" s="7"/>
      <c r="AYM21" s="7"/>
      <c r="AYN21" s="7"/>
      <c r="AYO21" s="7"/>
      <c r="AYP21" s="7"/>
      <c r="AYQ21" s="7"/>
      <c r="AYR21" s="7"/>
      <c r="AYS21" s="7"/>
      <c r="AYT21" s="7"/>
      <c r="AYU21" s="7"/>
      <c r="AYV21" s="7"/>
      <c r="AYW21" s="7"/>
      <c r="AYX21" s="7"/>
      <c r="AYY21" s="7"/>
      <c r="AYZ21" s="7"/>
      <c r="AZA21" s="7"/>
      <c r="AZB21" s="7"/>
      <c r="AZC21" s="7"/>
      <c r="AZD21" s="7"/>
      <c r="AZE21" s="7"/>
      <c r="AZF21" s="7"/>
      <c r="AZG21" s="7"/>
      <c r="AZH21" s="7"/>
      <c r="AZI21" s="7"/>
      <c r="AZJ21" s="7"/>
      <c r="AZK21" s="7"/>
      <c r="AZL21" s="7"/>
      <c r="AZM21" s="7"/>
      <c r="AZN21" s="7"/>
      <c r="AZO21" s="7"/>
      <c r="AZP21" s="7"/>
      <c r="AZQ21" s="7"/>
      <c r="AZR21" s="7"/>
      <c r="AZS21" s="7"/>
      <c r="AZT21" s="7"/>
      <c r="AZU21" s="7"/>
      <c r="AZV21" s="7"/>
      <c r="AZW21" s="7"/>
      <c r="AZX21" s="7"/>
      <c r="AZY21" s="7"/>
      <c r="AZZ21" s="7"/>
      <c r="BAA21" s="7"/>
      <c r="BAB21" s="7"/>
      <c r="BAC21" s="7"/>
      <c r="BAD21" s="7"/>
      <c r="BAE21" s="7"/>
      <c r="BAF21" s="7"/>
      <c r="BAG21" s="7"/>
      <c r="BAH21" s="7"/>
      <c r="BAI21" s="7"/>
      <c r="BAJ21" s="7"/>
      <c r="BAK21" s="7"/>
      <c r="BAL21" s="7"/>
      <c r="BAM21" s="7"/>
      <c r="BAN21" s="7"/>
      <c r="BAO21" s="7"/>
      <c r="BAP21" s="7"/>
      <c r="BAQ21" s="7"/>
      <c r="BAR21" s="7"/>
      <c r="BAS21" s="7"/>
      <c r="BAT21" s="7"/>
      <c r="BAU21" s="7"/>
      <c r="BAV21" s="7"/>
      <c r="BAW21" s="7"/>
      <c r="BAX21" s="7"/>
      <c r="BAY21" s="7"/>
      <c r="BAZ21" s="7"/>
      <c r="BBA21" s="7"/>
      <c r="BBB21" s="7"/>
      <c r="BBC21" s="7"/>
      <c r="BBD21" s="7"/>
      <c r="BBE21" s="7"/>
      <c r="BBF21" s="7"/>
      <c r="BBG21" s="7"/>
      <c r="BBH21" s="7"/>
      <c r="BBI21" s="7"/>
      <c r="BBJ21" s="7"/>
      <c r="BBK21" s="7"/>
      <c r="BBL21" s="7"/>
      <c r="BBM21" s="7"/>
      <c r="BBN21" s="7"/>
      <c r="BBO21" s="7"/>
      <c r="BBP21" s="7"/>
      <c r="BBQ21" s="7"/>
      <c r="BBR21" s="7"/>
      <c r="BBS21" s="7"/>
      <c r="BBT21" s="7"/>
      <c r="BBU21" s="7"/>
      <c r="BBV21" s="7"/>
      <c r="BBW21" s="7"/>
      <c r="BBX21" s="7"/>
      <c r="BBY21" s="7"/>
      <c r="BBZ21" s="7"/>
      <c r="BCA21" s="7"/>
      <c r="BCB21" s="7"/>
      <c r="BCC21" s="7"/>
      <c r="BCD21" s="7"/>
      <c r="BCE21" s="7"/>
      <c r="BCF21" s="7"/>
      <c r="BCG21" s="7"/>
      <c r="BCH21" s="7"/>
      <c r="BCI21" s="7"/>
      <c r="BCJ21" s="7"/>
      <c r="BCK21" s="7"/>
      <c r="BCL21" s="7"/>
      <c r="BCM21" s="7"/>
      <c r="BCN21" s="7"/>
      <c r="BCO21" s="7"/>
      <c r="BCP21" s="7"/>
      <c r="BCQ21" s="7"/>
      <c r="BCR21" s="7"/>
      <c r="BCS21" s="7"/>
      <c r="BCT21" s="7"/>
      <c r="BCU21" s="7"/>
      <c r="BCV21" s="7"/>
      <c r="BCW21" s="7"/>
      <c r="BCX21" s="7"/>
      <c r="BCY21" s="7"/>
      <c r="BCZ21" s="7"/>
      <c r="BDA21" s="7"/>
      <c r="BDB21" s="7"/>
      <c r="BDC21" s="7"/>
      <c r="BDD21" s="7"/>
      <c r="BDE21" s="7"/>
      <c r="BDF21" s="7"/>
      <c r="BDG21" s="7"/>
      <c r="BDH21" s="7"/>
      <c r="BDI21" s="7"/>
      <c r="BDJ21" s="7"/>
      <c r="BDK21" s="7"/>
      <c r="BDL21" s="7"/>
      <c r="BDM21" s="7"/>
      <c r="BDN21" s="7"/>
      <c r="BDO21" s="7"/>
      <c r="BDP21" s="7"/>
      <c r="BDQ21" s="7"/>
      <c r="BDR21" s="7"/>
      <c r="BDS21" s="7"/>
      <c r="BDT21" s="7"/>
      <c r="BDU21" s="7"/>
      <c r="BDV21" s="7"/>
      <c r="BDW21" s="7"/>
      <c r="BDX21" s="7"/>
      <c r="BDY21" s="7"/>
      <c r="BDZ21" s="7"/>
      <c r="BEA21" s="7"/>
      <c r="BEB21" s="7"/>
      <c r="BEC21" s="7"/>
      <c r="BED21" s="7"/>
      <c r="BEE21" s="7"/>
      <c r="BEF21" s="7"/>
      <c r="BEG21" s="7"/>
      <c r="BEH21" s="7"/>
      <c r="BEI21" s="7"/>
      <c r="BEJ21" s="7"/>
      <c r="BEK21" s="7"/>
      <c r="BEL21" s="7"/>
      <c r="BEM21" s="7"/>
      <c r="BEN21" s="7"/>
      <c r="BEO21" s="7"/>
      <c r="BEP21" s="7"/>
      <c r="BEQ21" s="7"/>
      <c r="BER21" s="7"/>
      <c r="BES21" s="7"/>
      <c r="BET21" s="7"/>
      <c r="BEU21" s="7"/>
      <c r="BEV21" s="7"/>
      <c r="BEW21" s="7"/>
      <c r="BEX21" s="7"/>
      <c r="BEY21" s="7"/>
      <c r="BEZ21" s="7"/>
      <c r="BFA21" s="7"/>
      <c r="BFB21" s="7"/>
      <c r="BFC21" s="7"/>
      <c r="BFD21" s="7"/>
      <c r="BFE21" s="7"/>
      <c r="BFF21" s="7"/>
      <c r="BFG21" s="7"/>
      <c r="BFH21" s="7"/>
      <c r="BFI21" s="7"/>
      <c r="BFJ21" s="7"/>
      <c r="BFK21" s="7"/>
      <c r="BFL21" s="7"/>
      <c r="BFM21" s="7"/>
      <c r="BFN21" s="7"/>
      <c r="BFO21" s="7"/>
      <c r="BFP21" s="7"/>
      <c r="BFQ21" s="7"/>
      <c r="BFR21" s="7"/>
      <c r="BFS21" s="7"/>
      <c r="BFT21" s="7"/>
      <c r="BFU21" s="7"/>
      <c r="BFV21" s="7"/>
      <c r="BFW21" s="7"/>
      <c r="BFX21" s="7"/>
      <c r="BFY21" s="7"/>
      <c r="BFZ21" s="7"/>
      <c r="BGA21" s="7"/>
      <c r="BGB21" s="7"/>
      <c r="BGC21" s="7"/>
      <c r="BGD21" s="7"/>
      <c r="BGE21" s="7"/>
      <c r="BGF21" s="7"/>
      <c r="BGG21" s="7"/>
      <c r="BGH21" s="7"/>
      <c r="BGI21" s="7"/>
      <c r="BGJ21" s="7"/>
      <c r="BGK21" s="7"/>
      <c r="BGL21" s="7"/>
      <c r="BGM21" s="7"/>
      <c r="BGN21" s="7"/>
      <c r="BGO21" s="7"/>
      <c r="BGP21" s="7"/>
      <c r="BGQ21" s="7"/>
      <c r="BGR21" s="7"/>
      <c r="BGS21" s="7"/>
      <c r="BGT21" s="7"/>
      <c r="BGU21" s="7"/>
      <c r="BGV21" s="7"/>
      <c r="BGW21" s="7"/>
      <c r="BGX21" s="7"/>
      <c r="BGY21" s="7"/>
      <c r="BGZ21" s="7"/>
      <c r="BHA21" s="7"/>
      <c r="BHB21" s="7"/>
      <c r="BHC21" s="7"/>
      <c r="BHD21" s="7"/>
      <c r="BHE21" s="7"/>
      <c r="BHF21" s="7"/>
      <c r="BHG21" s="7"/>
      <c r="BHH21" s="7"/>
      <c r="BHI21" s="7"/>
      <c r="BHJ21" s="7"/>
      <c r="BHK21" s="7"/>
      <c r="BHL21" s="7"/>
      <c r="BHM21" s="7"/>
      <c r="BHN21" s="7"/>
      <c r="BHO21" s="7"/>
      <c r="BHP21" s="7"/>
      <c r="BHQ21" s="7"/>
      <c r="BHR21" s="7"/>
      <c r="BHS21" s="7"/>
      <c r="BHT21" s="7"/>
      <c r="BHU21" s="7"/>
      <c r="BHV21" s="7"/>
      <c r="BHW21" s="7"/>
      <c r="BHX21" s="7"/>
      <c r="BHY21" s="7"/>
      <c r="BHZ21" s="7"/>
      <c r="BIA21" s="7"/>
      <c r="BIB21" s="7"/>
      <c r="BIC21" s="7"/>
      <c r="BID21" s="7"/>
      <c r="BIE21" s="7"/>
      <c r="BIF21" s="7"/>
      <c r="BIG21" s="7"/>
      <c r="BIH21" s="7"/>
      <c r="BII21" s="7"/>
      <c r="BIJ21" s="7"/>
      <c r="BIK21" s="7"/>
      <c r="BIL21" s="7"/>
      <c r="BIM21" s="7"/>
      <c r="BIN21" s="7"/>
      <c r="BIO21" s="7"/>
      <c r="BIP21" s="7"/>
      <c r="BIQ21" s="7"/>
      <c r="BIR21" s="7"/>
      <c r="BIS21" s="7"/>
      <c r="BIT21" s="7"/>
      <c r="BIU21" s="7"/>
      <c r="BIV21" s="7"/>
      <c r="BIW21" s="7"/>
      <c r="BIX21" s="7"/>
      <c r="BIY21" s="7"/>
      <c r="BIZ21" s="7"/>
      <c r="BJA21" s="7"/>
      <c r="BJB21" s="7"/>
      <c r="BJC21" s="7"/>
      <c r="BJD21" s="7"/>
      <c r="BJE21" s="7"/>
      <c r="BJF21" s="7"/>
      <c r="BJG21" s="7"/>
      <c r="BJH21" s="7"/>
      <c r="BJI21" s="7"/>
      <c r="BJJ21" s="7"/>
      <c r="BJK21" s="7"/>
      <c r="BJL21" s="7"/>
      <c r="BJM21" s="7"/>
      <c r="BJN21" s="7"/>
      <c r="BJO21" s="7"/>
      <c r="BJP21" s="7"/>
      <c r="BJQ21" s="7"/>
      <c r="BJR21" s="7"/>
      <c r="BJS21" s="7"/>
      <c r="BJT21" s="7"/>
      <c r="BJU21" s="7"/>
      <c r="BJV21" s="7"/>
      <c r="BJW21" s="7"/>
      <c r="BJX21" s="7"/>
      <c r="BJY21" s="7"/>
      <c r="BJZ21" s="7"/>
      <c r="BKA21" s="7"/>
      <c r="BKB21" s="7"/>
      <c r="BKC21" s="7"/>
      <c r="BKD21" s="7"/>
      <c r="BKE21" s="7"/>
      <c r="BKF21" s="7"/>
      <c r="BKG21" s="7"/>
      <c r="BKH21" s="7"/>
      <c r="BKI21" s="7"/>
      <c r="BKJ21" s="7"/>
      <c r="BKK21" s="7"/>
      <c r="BKL21" s="7"/>
      <c r="BKM21" s="7"/>
      <c r="BKN21" s="7"/>
      <c r="BKO21" s="7"/>
      <c r="BKP21" s="7"/>
      <c r="BKQ21" s="7"/>
      <c r="BKR21" s="7"/>
      <c r="BKS21" s="7"/>
      <c r="BKT21" s="7"/>
      <c r="BKU21" s="7"/>
      <c r="BKV21" s="7"/>
      <c r="BKW21" s="7"/>
      <c r="BKX21" s="7"/>
      <c r="BKY21" s="7"/>
      <c r="BKZ21" s="7"/>
      <c r="BLA21" s="7"/>
      <c r="BLB21" s="7"/>
      <c r="BLC21" s="7"/>
      <c r="BLD21" s="7"/>
      <c r="BLE21" s="7"/>
      <c r="BLF21" s="7"/>
      <c r="BLG21" s="7"/>
      <c r="BLH21" s="7"/>
      <c r="BLI21" s="7"/>
      <c r="BLJ21" s="7"/>
      <c r="BLK21" s="7"/>
      <c r="BLL21" s="7"/>
      <c r="BLM21" s="7"/>
      <c r="BLN21" s="7"/>
      <c r="BLO21" s="7"/>
      <c r="BLP21" s="7"/>
      <c r="BLQ21" s="7"/>
      <c r="BLR21" s="7"/>
      <c r="BLS21" s="7"/>
      <c r="BLT21" s="7"/>
      <c r="BLU21" s="7"/>
      <c r="BLV21" s="7"/>
      <c r="BLW21" s="7"/>
      <c r="BLX21" s="7"/>
      <c r="BLY21" s="7"/>
      <c r="BLZ21" s="7"/>
      <c r="BMA21" s="7"/>
      <c r="BMB21" s="7"/>
      <c r="BMC21" s="7"/>
      <c r="BMD21" s="7"/>
      <c r="BME21" s="7"/>
      <c r="BMF21" s="7"/>
      <c r="BMG21" s="7"/>
      <c r="BMH21" s="7"/>
      <c r="BMI21" s="7"/>
      <c r="BMJ21" s="7"/>
      <c r="BMK21" s="7"/>
      <c r="BML21" s="7"/>
      <c r="BMM21" s="7"/>
      <c r="BMN21" s="7"/>
      <c r="BMO21" s="7"/>
      <c r="BMP21" s="7"/>
      <c r="BMQ21" s="7"/>
      <c r="BMR21" s="7"/>
      <c r="BMS21" s="7"/>
      <c r="BMT21" s="7"/>
      <c r="BMU21" s="7"/>
      <c r="BMV21" s="7"/>
      <c r="BMW21" s="7"/>
      <c r="BMX21" s="7"/>
      <c r="BMY21" s="7"/>
      <c r="BMZ21" s="7"/>
      <c r="BNA21" s="7"/>
      <c r="BNB21" s="7"/>
      <c r="BNC21" s="7"/>
      <c r="BND21" s="7"/>
      <c r="BNE21" s="7"/>
      <c r="BNF21" s="7"/>
      <c r="BNG21" s="7"/>
      <c r="BNH21" s="7"/>
      <c r="BNI21" s="7"/>
      <c r="BNJ21" s="7"/>
      <c r="BNK21" s="7"/>
      <c r="BNL21" s="7"/>
      <c r="BNM21" s="7"/>
      <c r="BNN21" s="7"/>
      <c r="BNO21" s="7"/>
      <c r="BNP21" s="7"/>
      <c r="BNQ21" s="7"/>
      <c r="BNR21" s="7"/>
      <c r="BNS21" s="7"/>
      <c r="BNT21" s="7"/>
      <c r="BNU21" s="7"/>
      <c r="BNV21" s="7"/>
      <c r="BNW21" s="7"/>
      <c r="BNX21" s="7"/>
      <c r="BNY21" s="7"/>
      <c r="BNZ21" s="7"/>
      <c r="BOA21" s="7"/>
      <c r="BOB21" s="7"/>
      <c r="BOC21" s="7"/>
      <c r="BOD21" s="7"/>
      <c r="BOE21" s="7"/>
      <c r="BOF21" s="7"/>
      <c r="BOG21" s="7"/>
      <c r="BOH21" s="7"/>
      <c r="BOI21" s="7"/>
      <c r="BOJ21" s="7"/>
      <c r="BOK21" s="7"/>
      <c r="BOL21" s="7"/>
      <c r="BOM21" s="7"/>
      <c r="BON21" s="7"/>
      <c r="BOO21" s="7"/>
      <c r="BOP21" s="7"/>
      <c r="BOQ21" s="7"/>
      <c r="BOR21" s="7"/>
      <c r="BOS21" s="7"/>
      <c r="BOT21" s="7"/>
      <c r="BOU21" s="7"/>
      <c r="BOV21" s="7"/>
      <c r="BOW21" s="7"/>
      <c r="BOX21" s="7"/>
      <c r="BOY21" s="7"/>
      <c r="BOZ21" s="7"/>
      <c r="BPA21" s="7"/>
      <c r="BPB21" s="7"/>
      <c r="BPC21" s="7"/>
      <c r="BPD21" s="7"/>
      <c r="BPE21" s="7"/>
      <c r="BPF21" s="7"/>
      <c r="BPG21" s="7"/>
      <c r="BPH21" s="7"/>
      <c r="BPI21" s="7"/>
      <c r="BPJ21" s="7"/>
      <c r="BPK21" s="7"/>
      <c r="BPL21" s="7"/>
      <c r="BPM21" s="7"/>
      <c r="BPN21" s="7"/>
      <c r="BPO21" s="7"/>
      <c r="BPP21" s="7"/>
      <c r="BPQ21" s="7"/>
      <c r="BPR21" s="7"/>
      <c r="BPS21" s="7"/>
      <c r="BPT21" s="7"/>
      <c r="BPU21" s="7"/>
      <c r="BPV21" s="7"/>
      <c r="BPW21" s="7"/>
      <c r="BPX21" s="7"/>
      <c r="BPY21" s="7"/>
      <c r="BPZ21" s="7"/>
      <c r="BQA21" s="7"/>
      <c r="BQB21" s="7"/>
      <c r="BQC21" s="7"/>
      <c r="BQD21" s="7"/>
      <c r="BQE21" s="7"/>
      <c r="BQF21" s="7"/>
      <c r="BQG21" s="7"/>
      <c r="BQH21" s="7"/>
      <c r="BQI21" s="7"/>
      <c r="BQJ21" s="7"/>
      <c r="BQK21" s="7"/>
      <c r="BQL21" s="7"/>
      <c r="BQM21" s="7"/>
      <c r="BQN21" s="7"/>
      <c r="BQO21" s="7"/>
      <c r="BQP21" s="7"/>
      <c r="BQQ21" s="7"/>
      <c r="BQR21" s="7"/>
      <c r="BQS21" s="7"/>
      <c r="BQT21" s="7"/>
      <c r="BQU21" s="7"/>
      <c r="BQV21" s="7"/>
      <c r="BQW21" s="7"/>
      <c r="BQX21" s="7"/>
      <c r="BQY21" s="7"/>
      <c r="BQZ21" s="7"/>
      <c r="BRA21" s="7"/>
      <c r="BRB21" s="7"/>
      <c r="BRC21" s="7"/>
      <c r="BRD21" s="7"/>
      <c r="BRE21" s="7"/>
      <c r="BRF21" s="7"/>
      <c r="BRG21" s="7"/>
      <c r="BRH21" s="7"/>
      <c r="BRI21" s="7"/>
      <c r="BRJ21" s="7"/>
      <c r="BRK21" s="7"/>
      <c r="BRL21" s="7"/>
      <c r="BRM21" s="7"/>
      <c r="BRN21" s="7"/>
      <c r="BRO21" s="7"/>
      <c r="BRP21" s="7"/>
      <c r="BRQ21" s="7"/>
      <c r="BRR21" s="7"/>
      <c r="BRS21" s="7"/>
      <c r="BRT21" s="7"/>
      <c r="BRU21" s="7"/>
      <c r="BRV21" s="7"/>
      <c r="BRW21" s="7"/>
      <c r="BRX21" s="7"/>
      <c r="BRY21" s="7"/>
      <c r="BRZ21" s="7"/>
      <c r="BSA21" s="7"/>
      <c r="BSB21" s="7"/>
      <c r="BSC21" s="7"/>
      <c r="BSD21" s="7"/>
      <c r="BSE21" s="7"/>
      <c r="BSF21" s="7"/>
      <c r="BSG21" s="7"/>
      <c r="BSH21" s="7"/>
      <c r="BSI21" s="7"/>
      <c r="BSJ21" s="7"/>
      <c r="BSK21" s="7"/>
      <c r="BSL21" s="7"/>
      <c r="BSM21" s="7"/>
      <c r="BSN21" s="7"/>
      <c r="BSO21" s="7"/>
      <c r="BSP21" s="7"/>
      <c r="BSQ21" s="7"/>
      <c r="BSR21" s="7"/>
      <c r="BSS21" s="7"/>
      <c r="BST21" s="7"/>
      <c r="BSU21" s="7"/>
      <c r="BSV21" s="7"/>
      <c r="BSW21" s="7"/>
      <c r="BSX21" s="7"/>
      <c r="BSY21" s="7"/>
      <c r="BSZ21" s="7"/>
      <c r="BTA21" s="7"/>
      <c r="BTB21" s="7"/>
      <c r="BTC21" s="7"/>
      <c r="BTD21" s="7"/>
      <c r="BTE21" s="7"/>
      <c r="BTF21" s="7"/>
      <c r="BTG21" s="7"/>
      <c r="BTH21" s="7"/>
      <c r="BTI21" s="7"/>
      <c r="BTJ21" s="7"/>
      <c r="BTK21" s="7"/>
      <c r="BTL21" s="7"/>
      <c r="BTM21" s="7"/>
      <c r="BTN21" s="7"/>
      <c r="BTO21" s="7"/>
      <c r="BTP21" s="7"/>
      <c r="BTQ21" s="7"/>
      <c r="BTR21" s="7"/>
      <c r="BTS21" s="7"/>
      <c r="BTT21" s="7"/>
      <c r="BTU21" s="7"/>
      <c r="BTV21" s="7"/>
      <c r="BTW21" s="7"/>
      <c r="BTX21" s="7"/>
      <c r="BTY21" s="7"/>
      <c r="BTZ21" s="7"/>
      <c r="BUA21" s="7"/>
      <c r="BUB21" s="7"/>
      <c r="BUC21" s="7"/>
      <c r="BUD21" s="7"/>
      <c r="BUE21" s="7"/>
      <c r="BUF21" s="7"/>
      <c r="BUG21" s="7"/>
      <c r="BUH21" s="7"/>
      <c r="BUI21" s="7"/>
      <c r="BUJ21" s="7"/>
      <c r="BUK21" s="7"/>
      <c r="BUL21" s="7"/>
      <c r="BUM21" s="7"/>
      <c r="BUN21" s="7"/>
      <c r="BUO21" s="7"/>
      <c r="BUP21" s="7"/>
      <c r="BUQ21" s="7"/>
      <c r="BUR21" s="7"/>
      <c r="BUS21" s="7"/>
      <c r="BUT21" s="7"/>
      <c r="BUU21" s="7"/>
      <c r="BUV21" s="7"/>
      <c r="BUW21" s="7"/>
      <c r="BUX21" s="7"/>
      <c r="BUY21" s="7"/>
      <c r="BUZ21" s="7"/>
      <c r="BVA21" s="7"/>
      <c r="BVB21" s="7"/>
      <c r="BVC21" s="7"/>
      <c r="BVD21" s="7"/>
      <c r="BVE21" s="7"/>
      <c r="BVF21" s="7"/>
      <c r="BVG21" s="7"/>
      <c r="BVH21" s="7"/>
      <c r="BVI21" s="7"/>
      <c r="BVJ21" s="7"/>
      <c r="BVK21" s="7"/>
      <c r="BVL21" s="7"/>
      <c r="BVM21" s="7"/>
      <c r="BVN21" s="7"/>
      <c r="BVO21" s="7"/>
      <c r="BVP21" s="7"/>
      <c r="BVQ21" s="7"/>
      <c r="BVR21" s="7"/>
      <c r="BVS21" s="7"/>
      <c r="BVT21" s="7"/>
      <c r="BVU21" s="7"/>
      <c r="BVV21" s="7"/>
      <c r="BVW21" s="7"/>
      <c r="BVX21" s="7"/>
      <c r="BVY21" s="7"/>
      <c r="BVZ21" s="7"/>
      <c r="BWA21" s="7"/>
      <c r="BWB21" s="7"/>
      <c r="BWC21" s="7"/>
      <c r="BWD21" s="7"/>
      <c r="BWE21" s="7"/>
      <c r="BWF21" s="7"/>
      <c r="BWG21" s="7"/>
      <c r="BWH21" s="7"/>
      <c r="BWI21" s="7"/>
      <c r="BWJ21" s="7"/>
      <c r="BWK21" s="7"/>
      <c r="BWL21" s="7"/>
      <c r="BWM21" s="7"/>
      <c r="BWN21" s="7"/>
      <c r="BWO21" s="7"/>
      <c r="BWP21" s="7"/>
      <c r="BWQ21" s="7"/>
      <c r="BWR21" s="7"/>
      <c r="BWS21" s="7"/>
      <c r="BWT21" s="7"/>
      <c r="BWU21" s="7"/>
      <c r="BWV21" s="7"/>
      <c r="BWW21" s="7"/>
      <c r="BWX21" s="7"/>
      <c r="BWY21" s="7"/>
      <c r="BWZ21" s="7"/>
      <c r="BXA21" s="7"/>
      <c r="BXB21" s="7"/>
      <c r="BXC21" s="7"/>
      <c r="BXD21" s="7"/>
      <c r="BXE21" s="7"/>
      <c r="BXF21" s="7"/>
      <c r="BXG21" s="7"/>
      <c r="BXH21" s="7"/>
      <c r="BXI21" s="7"/>
      <c r="BXJ21" s="7"/>
      <c r="BXK21" s="7"/>
      <c r="BXL21" s="7"/>
      <c r="BXM21" s="7"/>
      <c r="BXN21" s="7"/>
      <c r="BXO21" s="7"/>
      <c r="BXP21" s="7"/>
      <c r="BXQ21" s="7"/>
      <c r="BXR21" s="7"/>
      <c r="BXS21" s="7"/>
      <c r="BXT21" s="7"/>
      <c r="BXU21" s="7"/>
      <c r="BXV21" s="7"/>
      <c r="BXW21" s="7"/>
      <c r="BXX21" s="7"/>
      <c r="BXY21" s="7"/>
      <c r="BXZ21" s="7"/>
      <c r="BYA21" s="7"/>
      <c r="BYB21" s="7"/>
      <c r="BYC21" s="7"/>
      <c r="BYD21" s="7"/>
      <c r="BYE21" s="7"/>
      <c r="BYF21" s="7"/>
      <c r="BYG21" s="7"/>
      <c r="BYH21" s="7"/>
      <c r="BYI21" s="7"/>
      <c r="BYJ21" s="7"/>
      <c r="BYK21" s="7"/>
      <c r="BYL21" s="7"/>
      <c r="BYM21" s="7"/>
      <c r="BYN21" s="7"/>
      <c r="BYO21" s="7"/>
      <c r="BYP21" s="7"/>
      <c r="BYQ21" s="7"/>
      <c r="BYR21" s="7"/>
      <c r="BYS21" s="7"/>
      <c r="BYT21" s="7"/>
      <c r="BYU21" s="7"/>
      <c r="BYV21" s="7"/>
      <c r="BYW21" s="7"/>
      <c r="BYX21" s="7"/>
      <c r="BYY21" s="7"/>
      <c r="BYZ21" s="7"/>
      <c r="BZA21" s="7"/>
      <c r="BZB21" s="7"/>
      <c r="BZC21" s="7"/>
      <c r="BZD21" s="7"/>
      <c r="BZE21" s="7"/>
      <c r="BZF21" s="7"/>
      <c r="BZG21" s="7"/>
      <c r="BZH21" s="7"/>
      <c r="BZI21" s="7"/>
      <c r="BZJ21" s="7"/>
      <c r="BZK21" s="7"/>
      <c r="BZL21" s="7"/>
      <c r="BZM21" s="7"/>
      <c r="BZN21" s="7"/>
      <c r="BZO21" s="7"/>
      <c r="BZP21" s="7"/>
      <c r="BZQ21" s="7"/>
      <c r="BZR21" s="7"/>
      <c r="BZS21" s="7"/>
      <c r="BZT21" s="7"/>
      <c r="BZU21" s="7"/>
      <c r="BZV21" s="7"/>
      <c r="BZW21" s="7"/>
      <c r="BZX21" s="7"/>
      <c r="BZY21" s="7"/>
      <c r="BZZ21" s="7"/>
      <c r="CAA21" s="7"/>
      <c r="CAB21" s="7"/>
      <c r="CAC21" s="7"/>
      <c r="CAD21" s="7"/>
      <c r="CAE21" s="7"/>
      <c r="CAF21" s="7"/>
      <c r="CAG21" s="7"/>
      <c r="CAH21" s="7"/>
      <c r="CAI21" s="7"/>
      <c r="CAJ21" s="7"/>
      <c r="CAK21" s="7"/>
      <c r="CAL21" s="7"/>
      <c r="CAM21" s="7"/>
      <c r="CAN21" s="7"/>
      <c r="CAO21" s="7"/>
      <c r="CAP21" s="7"/>
      <c r="CAQ21" s="7"/>
      <c r="CAR21" s="7"/>
      <c r="CAS21" s="7"/>
      <c r="CAT21" s="7"/>
      <c r="CAU21" s="7"/>
      <c r="CAV21" s="7"/>
      <c r="CAW21" s="7"/>
      <c r="CAX21" s="7"/>
      <c r="CAY21" s="7"/>
      <c r="CAZ21" s="7"/>
      <c r="CBA21" s="7"/>
      <c r="CBB21" s="7"/>
      <c r="CBC21" s="7"/>
      <c r="CBD21" s="7"/>
      <c r="CBE21" s="7"/>
      <c r="CBF21" s="7"/>
      <c r="CBG21" s="7"/>
      <c r="CBH21" s="7"/>
      <c r="CBI21" s="7"/>
      <c r="CBJ21" s="7"/>
      <c r="CBK21" s="7"/>
      <c r="CBL21" s="7"/>
      <c r="CBM21" s="7"/>
      <c r="CBN21" s="7"/>
      <c r="CBO21" s="7"/>
      <c r="CBP21" s="7"/>
      <c r="CBQ21" s="7"/>
      <c r="CBR21" s="7"/>
      <c r="CBS21" s="7"/>
      <c r="CBT21" s="7"/>
      <c r="CBU21" s="7"/>
      <c r="CBV21" s="7"/>
      <c r="CBW21" s="7"/>
      <c r="CBX21" s="7"/>
      <c r="CBY21" s="7"/>
      <c r="CBZ21" s="7"/>
      <c r="CCA21" s="7"/>
      <c r="CCB21" s="7"/>
      <c r="CCC21" s="7"/>
      <c r="CCD21" s="7"/>
      <c r="CCE21" s="7"/>
      <c r="CCF21" s="7"/>
      <c r="CCG21" s="7"/>
      <c r="CCH21" s="7"/>
      <c r="CCI21" s="7"/>
      <c r="CCJ21" s="7"/>
      <c r="CCK21" s="7"/>
      <c r="CCL21" s="7"/>
      <c r="CCM21" s="7"/>
      <c r="CCN21" s="7"/>
      <c r="CCO21" s="7"/>
      <c r="CCP21" s="7"/>
      <c r="CCQ21" s="7"/>
      <c r="CCR21" s="7"/>
      <c r="CCS21" s="7"/>
      <c r="CCT21" s="7"/>
      <c r="CCU21" s="7"/>
      <c r="CCV21" s="7"/>
      <c r="CCW21" s="7"/>
      <c r="CCX21" s="7"/>
      <c r="CCY21" s="7"/>
      <c r="CCZ21" s="7"/>
      <c r="CDA21" s="7"/>
      <c r="CDB21" s="7"/>
      <c r="CDC21" s="7"/>
      <c r="CDD21" s="7"/>
      <c r="CDE21" s="7"/>
      <c r="CDF21" s="7"/>
      <c r="CDG21" s="7"/>
      <c r="CDH21" s="7"/>
      <c r="CDI21" s="7"/>
      <c r="CDJ21" s="7"/>
      <c r="CDK21" s="7"/>
      <c r="CDL21" s="7"/>
      <c r="CDM21" s="7"/>
      <c r="CDN21" s="7"/>
      <c r="CDO21" s="7"/>
      <c r="CDP21" s="7"/>
      <c r="CDQ21" s="7"/>
      <c r="CDR21" s="7"/>
      <c r="CDS21" s="7"/>
      <c r="CDT21" s="7"/>
      <c r="CDU21" s="7"/>
      <c r="CDV21" s="7"/>
      <c r="CDW21" s="7"/>
      <c r="CDX21" s="7"/>
      <c r="CDY21" s="7"/>
      <c r="CDZ21" s="7"/>
      <c r="CEA21" s="7"/>
      <c r="CEB21" s="7"/>
      <c r="CEC21" s="7"/>
      <c r="CED21" s="7"/>
      <c r="CEE21" s="7"/>
      <c r="CEF21" s="7"/>
      <c r="CEG21" s="7"/>
      <c r="CEH21" s="7"/>
      <c r="CEI21" s="7"/>
      <c r="CEJ21" s="7"/>
      <c r="CEK21" s="7"/>
      <c r="CEL21" s="7"/>
      <c r="CEM21" s="7"/>
      <c r="CEN21" s="7"/>
      <c r="CEO21" s="7"/>
      <c r="CEP21" s="7"/>
      <c r="CEQ21" s="7"/>
      <c r="CER21" s="7"/>
      <c r="CES21" s="7"/>
      <c r="CET21" s="7"/>
      <c r="CEU21" s="7"/>
      <c r="CEV21" s="7"/>
      <c r="CEW21" s="7"/>
      <c r="CEX21" s="7"/>
      <c r="CEY21" s="7"/>
      <c r="CEZ21" s="7"/>
      <c r="CFA21" s="7"/>
      <c r="CFB21" s="7"/>
      <c r="CFC21" s="7"/>
      <c r="CFD21" s="7"/>
      <c r="CFE21" s="7"/>
      <c r="CFF21" s="7"/>
      <c r="CFG21" s="7"/>
      <c r="CFH21" s="7"/>
      <c r="CFI21" s="7"/>
      <c r="CFJ21" s="7"/>
      <c r="CFK21" s="7"/>
      <c r="CFL21" s="7"/>
      <c r="CFM21" s="7"/>
      <c r="CFN21" s="7"/>
      <c r="CFO21" s="7"/>
      <c r="CFP21" s="7"/>
      <c r="CFQ21" s="7"/>
      <c r="CFR21" s="7"/>
      <c r="CFS21" s="7"/>
      <c r="CFT21" s="7"/>
      <c r="CFU21" s="7"/>
      <c r="CFV21" s="7"/>
      <c r="CFW21" s="7"/>
      <c r="CFX21" s="7"/>
      <c r="CFY21" s="7"/>
      <c r="CFZ21" s="7"/>
      <c r="CGA21" s="7"/>
      <c r="CGB21" s="7"/>
      <c r="CGC21" s="7"/>
      <c r="CGD21" s="7"/>
      <c r="CGE21" s="7"/>
      <c r="CGF21" s="7"/>
      <c r="CGG21" s="7"/>
      <c r="CGH21" s="7"/>
      <c r="CGI21" s="7"/>
      <c r="CGJ21" s="7"/>
      <c r="CGK21" s="7"/>
      <c r="CGL21" s="7"/>
      <c r="CGM21" s="7"/>
      <c r="CGN21" s="7"/>
      <c r="CGO21" s="7"/>
      <c r="CGP21" s="7"/>
      <c r="CGQ21" s="7"/>
      <c r="CGR21" s="7"/>
      <c r="CGS21" s="7"/>
      <c r="CGT21" s="7"/>
      <c r="CGU21" s="7"/>
      <c r="CGV21" s="7"/>
      <c r="CGW21" s="7"/>
      <c r="CGX21" s="7"/>
      <c r="CGY21" s="7"/>
      <c r="CGZ21" s="7"/>
      <c r="CHA21" s="7"/>
      <c r="CHB21" s="7"/>
      <c r="CHC21" s="7"/>
      <c r="CHD21" s="7"/>
      <c r="CHE21" s="7"/>
      <c r="CHF21" s="7"/>
      <c r="CHG21" s="7"/>
      <c r="CHH21" s="7"/>
      <c r="CHI21" s="7"/>
      <c r="CHJ21" s="7"/>
      <c r="CHK21" s="7"/>
      <c r="CHL21" s="7"/>
      <c r="CHM21" s="7"/>
      <c r="CHN21" s="7"/>
      <c r="CHO21" s="7"/>
      <c r="CHP21" s="7"/>
      <c r="CHQ21" s="7"/>
      <c r="CHR21" s="7"/>
      <c r="CHS21" s="7"/>
      <c r="CHT21" s="7"/>
      <c r="CHU21" s="7"/>
      <c r="CHV21" s="7"/>
      <c r="CHW21" s="7"/>
      <c r="CHX21" s="7"/>
      <c r="CHY21" s="7"/>
      <c r="CHZ21" s="7"/>
      <c r="CIA21" s="7"/>
      <c r="CIB21" s="7"/>
      <c r="CIC21" s="7"/>
      <c r="CID21" s="7"/>
      <c r="CIE21" s="7"/>
      <c r="CIF21" s="7"/>
      <c r="CIG21" s="7"/>
      <c r="CIH21" s="7"/>
      <c r="CII21" s="7"/>
      <c r="CIJ21" s="7"/>
      <c r="CIK21" s="7"/>
      <c r="CIL21" s="7"/>
      <c r="CIM21" s="7"/>
      <c r="CIN21" s="7"/>
      <c r="CIO21" s="7"/>
      <c r="CIP21" s="7"/>
      <c r="CIQ21" s="7"/>
      <c r="CIR21" s="7"/>
      <c r="CIS21" s="7"/>
      <c r="CIT21" s="7"/>
      <c r="CIU21" s="7"/>
      <c r="CIV21" s="7"/>
      <c r="CIW21" s="7"/>
      <c r="CIX21" s="7"/>
      <c r="CIY21" s="7"/>
      <c r="CIZ21" s="7"/>
      <c r="CJA21" s="7"/>
      <c r="CJB21" s="7"/>
      <c r="CJC21" s="7"/>
      <c r="CJD21" s="7"/>
      <c r="CJE21" s="7"/>
      <c r="CJF21" s="7"/>
      <c r="CJG21" s="7"/>
      <c r="CJH21" s="7"/>
      <c r="CJI21" s="7"/>
      <c r="CJJ21" s="7"/>
      <c r="CJK21" s="7"/>
      <c r="CJL21" s="7"/>
      <c r="CJM21" s="7"/>
      <c r="CJN21" s="7"/>
      <c r="CJO21" s="7"/>
      <c r="CJP21" s="7"/>
      <c r="CJQ21" s="7"/>
      <c r="CJR21" s="7"/>
      <c r="CJS21" s="7"/>
      <c r="CJT21" s="7"/>
      <c r="CJU21" s="7"/>
      <c r="CJV21" s="7"/>
      <c r="CJW21" s="7"/>
      <c r="CJX21" s="7"/>
      <c r="CJY21" s="7"/>
      <c r="CJZ21" s="7"/>
      <c r="CKA21" s="7"/>
      <c r="CKB21" s="7"/>
      <c r="CKC21" s="7"/>
      <c r="CKD21" s="7"/>
      <c r="CKE21" s="7"/>
      <c r="CKF21" s="7"/>
      <c r="CKG21" s="7"/>
      <c r="CKH21" s="7"/>
      <c r="CKI21" s="7"/>
      <c r="CKJ21" s="7"/>
      <c r="CKK21" s="7"/>
      <c r="CKL21" s="7"/>
      <c r="CKM21" s="7"/>
      <c r="CKN21" s="7"/>
      <c r="CKO21" s="7"/>
      <c r="CKP21" s="7"/>
      <c r="CKQ21" s="7"/>
      <c r="CKR21" s="7"/>
      <c r="CKS21" s="7"/>
      <c r="CKT21" s="7"/>
      <c r="CKU21" s="7"/>
      <c r="CKV21" s="7"/>
      <c r="CKW21" s="7"/>
      <c r="CKX21" s="7"/>
      <c r="CKY21" s="7"/>
      <c r="CKZ21" s="7"/>
      <c r="CLA21" s="7"/>
      <c r="CLB21" s="7"/>
      <c r="CLC21" s="7"/>
      <c r="CLD21" s="7"/>
      <c r="CLE21" s="7"/>
      <c r="CLF21" s="7"/>
      <c r="CLG21" s="7"/>
      <c r="CLH21" s="7"/>
      <c r="CLI21" s="7"/>
      <c r="CLJ21" s="7"/>
      <c r="CLK21" s="7"/>
      <c r="CLL21" s="7"/>
      <c r="CLM21" s="7"/>
      <c r="CLN21" s="7"/>
      <c r="CLO21" s="7"/>
      <c r="CLP21" s="7"/>
      <c r="CLQ21" s="7"/>
      <c r="CLR21" s="7"/>
      <c r="CLS21" s="7"/>
      <c r="CLT21" s="7"/>
      <c r="CLU21" s="7"/>
      <c r="CLV21" s="7"/>
      <c r="CLW21" s="7"/>
      <c r="CLX21" s="7"/>
      <c r="CLY21" s="7"/>
      <c r="CLZ21" s="7"/>
      <c r="CMA21" s="7"/>
      <c r="CMB21" s="7"/>
      <c r="CMC21" s="7"/>
      <c r="CMD21" s="7"/>
      <c r="CME21" s="7"/>
      <c r="CMF21" s="7"/>
      <c r="CMG21" s="7"/>
      <c r="CMH21" s="7"/>
      <c r="CMI21" s="7"/>
      <c r="CMJ21" s="7"/>
      <c r="CMK21" s="7"/>
      <c r="CML21" s="7"/>
      <c r="CMM21" s="7"/>
      <c r="CMN21" s="7"/>
      <c r="CMO21" s="7"/>
      <c r="CMP21" s="7"/>
      <c r="CMQ21" s="7"/>
      <c r="CMR21" s="7"/>
      <c r="CMS21" s="7"/>
      <c r="CMT21" s="7"/>
      <c r="CMU21" s="7"/>
      <c r="CMV21" s="7"/>
      <c r="CMW21" s="7"/>
      <c r="CMX21" s="7"/>
      <c r="CMY21" s="7"/>
      <c r="CMZ21" s="7"/>
      <c r="CNA21" s="7"/>
      <c r="CNB21" s="7"/>
      <c r="CNC21" s="7"/>
      <c r="CND21" s="7"/>
      <c r="CNE21" s="7"/>
      <c r="CNF21" s="7"/>
      <c r="CNG21" s="7"/>
      <c r="CNH21" s="7"/>
      <c r="CNI21" s="7"/>
      <c r="CNJ21" s="7"/>
      <c r="CNK21" s="7"/>
      <c r="CNL21" s="7"/>
      <c r="CNM21" s="7"/>
      <c r="CNN21" s="7"/>
      <c r="CNO21" s="7"/>
      <c r="CNP21" s="7"/>
      <c r="CNQ21" s="7"/>
      <c r="CNR21" s="7"/>
      <c r="CNS21" s="7"/>
      <c r="CNT21" s="7"/>
      <c r="CNU21" s="7"/>
      <c r="CNV21" s="7"/>
      <c r="CNW21" s="7"/>
      <c r="CNX21" s="7"/>
      <c r="CNY21" s="7"/>
      <c r="CNZ21" s="7"/>
      <c r="COA21" s="7"/>
      <c r="COB21" s="7"/>
      <c r="COC21" s="7"/>
      <c r="COD21" s="7"/>
      <c r="COE21" s="7"/>
      <c r="COF21" s="7"/>
      <c r="COG21" s="7"/>
      <c r="COH21" s="7"/>
      <c r="COI21" s="7"/>
      <c r="COJ21" s="7"/>
      <c r="COK21" s="7"/>
      <c r="COL21" s="7"/>
      <c r="COM21" s="7"/>
      <c r="CON21" s="7"/>
      <c r="COO21" s="7"/>
      <c r="COP21" s="7"/>
      <c r="COQ21" s="7"/>
      <c r="COR21" s="7"/>
      <c r="COS21" s="7"/>
      <c r="COT21" s="7"/>
      <c r="COU21" s="7"/>
      <c r="COV21" s="7"/>
      <c r="COW21" s="7"/>
      <c r="COX21" s="7"/>
      <c r="COY21" s="7"/>
      <c r="COZ21" s="7"/>
      <c r="CPA21" s="7"/>
      <c r="CPB21" s="7"/>
      <c r="CPC21" s="7"/>
      <c r="CPD21" s="7"/>
      <c r="CPE21" s="7"/>
      <c r="CPF21" s="7"/>
      <c r="CPG21" s="7"/>
      <c r="CPH21" s="7"/>
      <c r="CPI21" s="7"/>
      <c r="CPJ21" s="7"/>
      <c r="CPK21" s="7"/>
      <c r="CPL21" s="7"/>
      <c r="CPM21" s="7"/>
      <c r="CPN21" s="7"/>
      <c r="CPO21" s="7"/>
      <c r="CPP21" s="7"/>
      <c r="CPQ21" s="7"/>
      <c r="CPR21" s="7"/>
      <c r="CPS21" s="7"/>
      <c r="CPT21" s="7"/>
      <c r="CPU21" s="7"/>
      <c r="CPV21" s="7"/>
      <c r="CPW21" s="7"/>
      <c r="CPX21" s="7"/>
      <c r="CPY21" s="7"/>
      <c r="CPZ21" s="7"/>
      <c r="CQA21" s="7"/>
      <c r="CQB21" s="7"/>
      <c r="CQC21" s="7"/>
      <c r="CQD21" s="7"/>
      <c r="CQE21" s="7"/>
      <c r="CQF21" s="7"/>
      <c r="CQG21" s="7"/>
      <c r="CQH21" s="7"/>
      <c r="CQI21" s="7"/>
      <c r="CQJ21" s="7"/>
      <c r="CQK21" s="7"/>
      <c r="CQL21" s="7"/>
      <c r="CQM21" s="7"/>
      <c r="CQN21" s="7"/>
      <c r="CQO21" s="7"/>
      <c r="CQP21" s="7"/>
      <c r="CQQ21" s="7"/>
      <c r="CQR21" s="7"/>
      <c r="CQS21" s="7"/>
      <c r="CQT21" s="7"/>
      <c r="CQU21" s="7"/>
      <c r="CQV21" s="7"/>
      <c r="CQW21" s="7"/>
      <c r="CQX21" s="7"/>
      <c r="CQY21" s="7"/>
      <c r="CQZ21" s="7"/>
      <c r="CRA21" s="7"/>
      <c r="CRB21" s="7"/>
      <c r="CRC21" s="7"/>
      <c r="CRD21" s="7"/>
      <c r="CRE21" s="7"/>
      <c r="CRF21" s="7"/>
      <c r="CRG21" s="7"/>
      <c r="CRH21" s="7"/>
      <c r="CRI21" s="7"/>
      <c r="CRJ21" s="7"/>
      <c r="CRK21" s="7"/>
      <c r="CRL21" s="7"/>
      <c r="CRM21" s="7"/>
      <c r="CRN21" s="7"/>
      <c r="CRO21" s="7"/>
      <c r="CRP21" s="7"/>
      <c r="CRQ21" s="7"/>
      <c r="CRR21" s="7"/>
      <c r="CRS21" s="7"/>
      <c r="CRT21" s="7"/>
      <c r="CRU21" s="7"/>
      <c r="CRV21" s="7"/>
      <c r="CRW21" s="7"/>
      <c r="CRX21" s="7"/>
      <c r="CRY21" s="7"/>
      <c r="CRZ21" s="7"/>
      <c r="CSA21" s="7"/>
      <c r="CSB21" s="7"/>
      <c r="CSC21" s="7"/>
      <c r="CSD21" s="7"/>
      <c r="CSE21" s="7"/>
      <c r="CSF21" s="7"/>
      <c r="CSG21" s="7"/>
      <c r="CSH21" s="7"/>
      <c r="CSI21" s="7"/>
      <c r="CSJ21" s="7"/>
      <c r="CSK21" s="7"/>
      <c r="CSL21" s="7"/>
      <c r="CSM21" s="7"/>
      <c r="CSN21" s="7"/>
      <c r="CSO21" s="7"/>
      <c r="CSP21" s="7"/>
      <c r="CSQ21" s="7"/>
      <c r="CSR21" s="7"/>
      <c r="CSS21" s="7"/>
      <c r="CST21" s="7"/>
      <c r="CSU21" s="7"/>
      <c r="CSV21" s="7"/>
      <c r="CSW21" s="7"/>
      <c r="CSX21" s="7"/>
      <c r="CSY21" s="7"/>
      <c r="CSZ21" s="7"/>
      <c r="CTA21" s="7"/>
      <c r="CTB21" s="7"/>
      <c r="CTC21" s="7"/>
      <c r="CTD21" s="7"/>
      <c r="CTE21" s="7"/>
      <c r="CTF21" s="7"/>
      <c r="CTG21" s="7"/>
      <c r="CTH21" s="7"/>
      <c r="CTI21" s="7"/>
      <c r="CTJ21" s="7"/>
      <c r="CTK21" s="7"/>
      <c r="CTL21" s="7"/>
      <c r="CTM21" s="7"/>
      <c r="CTN21" s="7"/>
      <c r="CTO21" s="7"/>
      <c r="CTP21" s="7"/>
      <c r="CTQ21" s="7"/>
      <c r="CTR21" s="7"/>
      <c r="CTS21" s="7"/>
      <c r="CTT21" s="7"/>
      <c r="CTU21" s="7"/>
      <c r="CTV21" s="7"/>
      <c r="CTW21" s="7"/>
      <c r="CTX21" s="7"/>
      <c r="CTY21" s="7"/>
      <c r="CTZ21" s="7"/>
      <c r="CUA21" s="7"/>
      <c r="CUB21" s="7"/>
      <c r="CUC21" s="7"/>
      <c r="CUD21" s="7"/>
      <c r="CUE21" s="7"/>
      <c r="CUF21" s="7"/>
      <c r="CUG21" s="7"/>
      <c r="CUH21" s="7"/>
      <c r="CUI21" s="7"/>
      <c r="CUJ21" s="7"/>
      <c r="CUK21" s="7"/>
      <c r="CUL21" s="7"/>
      <c r="CUM21" s="7"/>
      <c r="CUN21" s="7"/>
      <c r="CUO21" s="7"/>
      <c r="CUP21" s="7"/>
      <c r="CUQ21" s="7"/>
      <c r="CUR21" s="7"/>
      <c r="CUS21" s="7"/>
      <c r="CUT21" s="7"/>
      <c r="CUU21" s="7"/>
      <c r="CUV21" s="7"/>
      <c r="CUW21" s="7"/>
      <c r="CUX21" s="7"/>
      <c r="CUY21" s="7"/>
      <c r="CUZ21" s="7"/>
      <c r="CVA21" s="7"/>
      <c r="CVB21" s="7"/>
      <c r="CVC21" s="7"/>
      <c r="CVD21" s="7"/>
      <c r="CVE21" s="7"/>
      <c r="CVF21" s="7"/>
      <c r="CVG21" s="7"/>
      <c r="CVH21" s="7"/>
      <c r="CVI21" s="7"/>
      <c r="CVJ21" s="7"/>
      <c r="CVK21" s="7"/>
      <c r="CVL21" s="7"/>
      <c r="CVM21" s="7"/>
      <c r="CVN21" s="7"/>
      <c r="CVO21" s="7"/>
      <c r="CVP21" s="7"/>
      <c r="CVQ21" s="7"/>
      <c r="CVR21" s="7"/>
      <c r="CVS21" s="7"/>
      <c r="CVT21" s="7"/>
      <c r="CVU21" s="7"/>
      <c r="CVV21" s="7"/>
      <c r="CVW21" s="7"/>
      <c r="CVX21" s="7"/>
      <c r="CVY21" s="7"/>
      <c r="CVZ21" s="7"/>
      <c r="CWA21" s="7"/>
      <c r="CWB21" s="7"/>
      <c r="CWC21" s="7"/>
      <c r="CWD21" s="7"/>
      <c r="CWE21" s="7"/>
      <c r="CWF21" s="7"/>
      <c r="CWG21" s="7"/>
      <c r="CWH21" s="7"/>
      <c r="CWI21" s="7"/>
      <c r="CWJ21" s="7"/>
      <c r="CWK21" s="7"/>
      <c r="CWL21" s="7"/>
      <c r="CWM21" s="7"/>
      <c r="CWN21" s="7"/>
      <c r="CWO21" s="7"/>
      <c r="CWP21" s="7"/>
      <c r="CWQ21" s="7"/>
      <c r="CWR21" s="7"/>
      <c r="CWS21" s="7"/>
      <c r="CWT21" s="7"/>
      <c r="CWU21" s="7"/>
      <c r="CWV21" s="7"/>
      <c r="CWW21" s="7"/>
      <c r="CWX21" s="7"/>
      <c r="CWY21" s="7"/>
      <c r="CWZ21" s="7"/>
      <c r="CXA21" s="7"/>
      <c r="CXB21" s="7"/>
      <c r="CXC21" s="7"/>
      <c r="CXD21" s="7"/>
      <c r="CXE21" s="7"/>
      <c r="CXF21" s="7"/>
      <c r="CXG21" s="7"/>
      <c r="CXH21" s="7"/>
      <c r="CXI21" s="7"/>
      <c r="CXJ21" s="7"/>
      <c r="CXK21" s="7"/>
      <c r="CXL21" s="7"/>
      <c r="CXM21" s="7"/>
      <c r="CXN21" s="7"/>
      <c r="CXO21" s="7"/>
      <c r="CXP21" s="7"/>
      <c r="CXQ21" s="7"/>
      <c r="CXR21" s="7"/>
      <c r="CXS21" s="7"/>
      <c r="CXT21" s="7"/>
      <c r="CXU21" s="7"/>
      <c r="CXV21" s="7"/>
      <c r="CXW21" s="7"/>
      <c r="CXX21" s="7"/>
      <c r="CXY21" s="7"/>
      <c r="CXZ21" s="7"/>
      <c r="CYA21" s="7"/>
      <c r="CYB21" s="7"/>
      <c r="CYC21" s="7"/>
      <c r="CYD21" s="7"/>
      <c r="CYE21" s="7"/>
      <c r="CYF21" s="7"/>
      <c r="CYG21" s="7"/>
      <c r="CYH21" s="7"/>
      <c r="CYI21" s="7"/>
      <c r="CYJ21" s="7"/>
      <c r="CYK21" s="7"/>
      <c r="CYL21" s="7"/>
      <c r="CYM21" s="7"/>
      <c r="CYN21" s="7"/>
      <c r="CYO21" s="7"/>
      <c r="CYP21" s="7"/>
      <c r="CYQ21" s="7"/>
      <c r="CYR21" s="7"/>
      <c r="CYS21" s="7"/>
      <c r="CYT21" s="7"/>
      <c r="CYU21" s="7"/>
      <c r="CYV21" s="7"/>
      <c r="CYW21" s="7"/>
      <c r="CYX21" s="7"/>
      <c r="CYY21" s="7"/>
      <c r="CYZ21" s="7"/>
      <c r="CZA21" s="7"/>
      <c r="CZB21" s="7"/>
      <c r="CZC21" s="7"/>
      <c r="CZD21" s="7"/>
      <c r="CZE21" s="7"/>
      <c r="CZF21" s="7"/>
      <c r="CZG21" s="7"/>
      <c r="CZH21" s="7"/>
      <c r="CZI21" s="7"/>
      <c r="CZJ21" s="7"/>
      <c r="CZK21" s="7"/>
      <c r="CZL21" s="7"/>
      <c r="CZM21" s="7"/>
      <c r="CZN21" s="7"/>
      <c r="CZO21" s="7"/>
      <c r="CZP21" s="7"/>
      <c r="CZQ21" s="7"/>
      <c r="CZR21" s="7"/>
      <c r="CZS21" s="7"/>
      <c r="CZT21" s="7"/>
      <c r="CZU21" s="7"/>
      <c r="CZV21" s="7"/>
      <c r="CZW21" s="7"/>
      <c r="CZX21" s="7"/>
      <c r="CZY21" s="7"/>
      <c r="CZZ21" s="7"/>
      <c r="DAA21" s="7"/>
      <c r="DAB21" s="7"/>
      <c r="DAC21" s="7"/>
      <c r="DAD21" s="7"/>
      <c r="DAE21" s="7"/>
      <c r="DAF21" s="7"/>
      <c r="DAG21" s="7"/>
      <c r="DAH21" s="7"/>
      <c r="DAI21" s="7"/>
      <c r="DAJ21" s="7"/>
      <c r="DAK21" s="7"/>
      <c r="DAL21" s="7"/>
      <c r="DAM21" s="7"/>
      <c r="DAN21" s="7"/>
      <c r="DAO21" s="7"/>
      <c r="DAP21" s="7"/>
      <c r="DAQ21" s="7"/>
      <c r="DAR21" s="7"/>
      <c r="DAS21" s="7"/>
      <c r="DAT21" s="7"/>
      <c r="DAU21" s="7"/>
      <c r="DAV21" s="7"/>
      <c r="DAW21" s="7"/>
      <c r="DAX21" s="7"/>
      <c r="DAY21" s="7"/>
      <c r="DAZ21" s="7"/>
      <c r="DBA21" s="7"/>
      <c r="DBB21" s="7"/>
      <c r="DBC21" s="7"/>
      <c r="DBD21" s="7"/>
      <c r="DBE21" s="7"/>
      <c r="DBF21" s="7"/>
      <c r="DBG21" s="7"/>
      <c r="DBH21" s="7"/>
      <c r="DBI21" s="7"/>
      <c r="DBJ21" s="7"/>
      <c r="DBK21" s="7"/>
      <c r="DBL21" s="7"/>
      <c r="DBM21" s="7"/>
      <c r="DBN21" s="7"/>
      <c r="DBO21" s="7"/>
      <c r="DBP21" s="7"/>
      <c r="DBQ21" s="7"/>
      <c r="DBR21" s="7"/>
      <c r="DBS21" s="7"/>
      <c r="DBT21" s="7"/>
      <c r="DBU21" s="7"/>
      <c r="DBV21" s="7"/>
      <c r="DBW21" s="7"/>
      <c r="DBX21" s="7"/>
      <c r="DBY21" s="7"/>
      <c r="DBZ21" s="7"/>
      <c r="DCA21" s="7"/>
      <c r="DCB21" s="7"/>
      <c r="DCC21" s="7"/>
      <c r="DCD21" s="7"/>
      <c r="DCE21" s="7"/>
      <c r="DCF21" s="7"/>
      <c r="DCG21" s="7"/>
      <c r="DCH21" s="7"/>
      <c r="DCI21" s="7"/>
      <c r="DCJ21" s="7"/>
      <c r="DCK21" s="7"/>
      <c r="DCL21" s="7"/>
      <c r="DCM21" s="7"/>
      <c r="DCN21" s="7"/>
      <c r="DCO21" s="7"/>
      <c r="DCP21" s="7"/>
      <c r="DCQ21" s="7"/>
      <c r="DCR21" s="7"/>
      <c r="DCS21" s="7"/>
      <c r="DCT21" s="7"/>
      <c r="DCU21" s="7"/>
      <c r="DCV21" s="7"/>
      <c r="DCW21" s="7"/>
      <c r="DCX21" s="7"/>
      <c r="DCY21" s="7"/>
      <c r="DCZ21" s="7"/>
      <c r="DDA21" s="7"/>
      <c r="DDB21" s="7"/>
      <c r="DDC21" s="7"/>
      <c r="DDD21" s="7"/>
      <c r="DDE21" s="7"/>
      <c r="DDF21" s="7"/>
      <c r="DDG21" s="7"/>
      <c r="DDH21" s="7"/>
      <c r="DDI21" s="7"/>
      <c r="DDJ21" s="7"/>
      <c r="DDK21" s="7"/>
      <c r="DDL21" s="7"/>
      <c r="DDM21" s="7"/>
      <c r="DDN21" s="7"/>
      <c r="DDO21" s="7"/>
      <c r="DDP21" s="7"/>
      <c r="DDQ21" s="7"/>
      <c r="DDR21" s="7"/>
      <c r="DDS21" s="7"/>
      <c r="DDT21" s="7"/>
      <c r="DDU21" s="7"/>
      <c r="DDV21" s="7"/>
      <c r="DDW21" s="7"/>
      <c r="DDX21" s="7"/>
      <c r="DDY21" s="7"/>
      <c r="DDZ21" s="7"/>
      <c r="DEA21" s="7"/>
      <c r="DEB21" s="7"/>
      <c r="DEC21" s="7"/>
      <c r="DED21" s="7"/>
      <c r="DEE21" s="7"/>
      <c r="DEF21" s="7"/>
      <c r="DEG21" s="7"/>
      <c r="DEH21" s="7"/>
      <c r="DEI21" s="7"/>
      <c r="DEJ21" s="7"/>
      <c r="DEK21" s="7"/>
      <c r="DEL21" s="7"/>
      <c r="DEM21" s="7"/>
      <c r="DEN21" s="7"/>
      <c r="DEO21" s="7"/>
      <c r="DEP21" s="7"/>
      <c r="DEQ21" s="7"/>
      <c r="DER21" s="7"/>
      <c r="DES21" s="7"/>
      <c r="DET21" s="7"/>
      <c r="DEU21" s="7"/>
      <c r="DEV21" s="7"/>
      <c r="DEW21" s="7"/>
      <c r="DEX21" s="7"/>
      <c r="DEY21" s="7"/>
      <c r="DEZ21" s="7"/>
      <c r="DFA21" s="7"/>
      <c r="DFB21" s="7"/>
      <c r="DFC21" s="7"/>
      <c r="DFD21" s="7"/>
      <c r="DFE21" s="7"/>
      <c r="DFF21" s="7"/>
      <c r="DFG21" s="7"/>
      <c r="DFH21" s="7"/>
      <c r="DFI21" s="7"/>
      <c r="DFJ21" s="7"/>
      <c r="DFK21" s="7"/>
      <c r="DFL21" s="7"/>
      <c r="DFM21" s="7"/>
      <c r="DFN21" s="7"/>
      <c r="DFO21" s="7"/>
      <c r="DFP21" s="7"/>
      <c r="DFQ21" s="7"/>
      <c r="DFR21" s="7"/>
      <c r="DFS21" s="7"/>
      <c r="DFT21" s="7"/>
      <c r="DFU21" s="7"/>
      <c r="DFV21" s="7"/>
      <c r="DFW21" s="7"/>
      <c r="DFX21" s="7"/>
      <c r="DFY21" s="7"/>
      <c r="DFZ21" s="7"/>
      <c r="DGA21" s="7"/>
      <c r="DGB21" s="7"/>
      <c r="DGC21" s="7"/>
      <c r="DGD21" s="7"/>
      <c r="DGE21" s="7"/>
      <c r="DGF21" s="7"/>
      <c r="DGG21" s="7"/>
      <c r="DGH21" s="7"/>
      <c r="DGI21" s="7"/>
      <c r="DGJ21" s="7"/>
      <c r="DGK21" s="7"/>
      <c r="DGL21" s="7"/>
      <c r="DGM21" s="7"/>
      <c r="DGN21" s="7"/>
      <c r="DGO21" s="7"/>
      <c r="DGP21" s="7"/>
      <c r="DGQ21" s="7"/>
      <c r="DGR21" s="7"/>
      <c r="DGS21" s="7"/>
      <c r="DGT21" s="7"/>
      <c r="DGU21" s="7"/>
      <c r="DGV21" s="7"/>
      <c r="DGW21" s="7"/>
      <c r="DGX21" s="7"/>
      <c r="DGY21" s="7"/>
      <c r="DGZ21" s="7"/>
      <c r="DHA21" s="7"/>
      <c r="DHB21" s="7"/>
      <c r="DHC21" s="7"/>
      <c r="DHD21" s="7"/>
      <c r="DHE21" s="7"/>
      <c r="DHF21" s="7"/>
      <c r="DHG21" s="7"/>
      <c r="DHH21" s="7"/>
      <c r="DHI21" s="7"/>
      <c r="DHJ21" s="7"/>
      <c r="DHK21" s="7"/>
      <c r="DHL21" s="7"/>
      <c r="DHM21" s="7"/>
      <c r="DHN21" s="7"/>
      <c r="DHO21" s="7"/>
      <c r="DHP21" s="7"/>
      <c r="DHQ21" s="7"/>
      <c r="DHR21" s="7"/>
      <c r="DHS21" s="7"/>
      <c r="DHT21" s="7"/>
      <c r="DHU21" s="7"/>
      <c r="DHV21" s="7"/>
      <c r="DHW21" s="7"/>
      <c r="DHX21" s="7"/>
      <c r="DHY21" s="7"/>
      <c r="DHZ21" s="7"/>
      <c r="DIA21" s="7"/>
      <c r="DIB21" s="7"/>
      <c r="DIC21" s="7"/>
      <c r="DID21" s="7"/>
      <c r="DIE21" s="7"/>
      <c r="DIF21" s="7"/>
      <c r="DIG21" s="7"/>
      <c r="DIH21" s="7"/>
      <c r="DII21" s="7"/>
      <c r="DIJ21" s="7"/>
      <c r="DIK21" s="7"/>
      <c r="DIL21" s="7"/>
      <c r="DIM21" s="7"/>
      <c r="DIN21" s="7"/>
      <c r="DIO21" s="7"/>
      <c r="DIP21" s="7"/>
      <c r="DIQ21" s="7"/>
      <c r="DIR21" s="7"/>
      <c r="DIS21" s="7"/>
      <c r="DIT21" s="7"/>
      <c r="DIU21" s="7"/>
      <c r="DIV21" s="7"/>
      <c r="DIW21" s="7"/>
      <c r="DIX21" s="7"/>
      <c r="DIY21" s="7"/>
      <c r="DIZ21" s="7"/>
      <c r="DJA21" s="7"/>
      <c r="DJB21" s="7"/>
      <c r="DJC21" s="7"/>
      <c r="DJD21" s="7"/>
      <c r="DJE21" s="7"/>
      <c r="DJF21" s="7"/>
      <c r="DJG21" s="7"/>
      <c r="DJH21" s="7"/>
      <c r="DJI21" s="7"/>
      <c r="DJJ21" s="7"/>
      <c r="DJK21" s="7"/>
      <c r="DJL21" s="7"/>
      <c r="DJM21" s="7"/>
      <c r="DJN21" s="7"/>
      <c r="DJO21" s="7"/>
      <c r="DJP21" s="7"/>
      <c r="DJQ21" s="7"/>
      <c r="DJR21" s="7"/>
      <c r="DJS21" s="7"/>
      <c r="DJT21" s="7"/>
      <c r="DJU21" s="7"/>
      <c r="DJV21" s="7"/>
      <c r="DJW21" s="7"/>
      <c r="DJX21" s="7"/>
      <c r="DJY21" s="7"/>
      <c r="DJZ21" s="7"/>
      <c r="DKA21" s="7"/>
      <c r="DKB21" s="7"/>
      <c r="DKC21" s="7"/>
      <c r="DKD21" s="7"/>
      <c r="DKE21" s="7"/>
      <c r="DKF21" s="7"/>
      <c r="DKG21" s="7"/>
      <c r="DKH21" s="7"/>
      <c r="DKI21" s="7"/>
      <c r="DKJ21" s="7"/>
      <c r="DKK21" s="7"/>
      <c r="DKL21" s="7"/>
      <c r="DKM21" s="7"/>
      <c r="DKN21" s="7"/>
      <c r="DKO21" s="7"/>
      <c r="DKP21" s="7"/>
      <c r="DKQ21" s="7"/>
      <c r="DKR21" s="7"/>
      <c r="DKS21" s="7"/>
      <c r="DKT21" s="7"/>
      <c r="DKU21" s="7"/>
      <c r="DKV21" s="7"/>
      <c r="DKW21" s="7"/>
      <c r="DKX21" s="7"/>
      <c r="DKY21" s="7"/>
      <c r="DKZ21" s="7"/>
      <c r="DLA21" s="7"/>
      <c r="DLB21" s="7"/>
      <c r="DLC21" s="7"/>
      <c r="DLD21" s="7"/>
      <c r="DLE21" s="7"/>
      <c r="DLF21" s="7"/>
      <c r="DLG21" s="7"/>
      <c r="DLH21" s="7"/>
      <c r="DLI21" s="7"/>
      <c r="DLJ21" s="7"/>
      <c r="DLK21" s="7"/>
      <c r="DLL21" s="7"/>
      <c r="DLM21" s="7"/>
      <c r="DLN21" s="7"/>
      <c r="DLO21" s="7"/>
      <c r="DLP21" s="7"/>
      <c r="DLQ21" s="7"/>
      <c r="DLR21" s="7"/>
      <c r="DLS21" s="7"/>
      <c r="DLT21" s="7"/>
      <c r="DLU21" s="7"/>
      <c r="DLV21" s="7"/>
      <c r="DLW21" s="7"/>
      <c r="DLX21" s="7"/>
      <c r="DLY21" s="7"/>
      <c r="DLZ21" s="7"/>
      <c r="DMA21" s="7"/>
      <c r="DMB21" s="7"/>
      <c r="DMC21" s="7"/>
      <c r="DMD21" s="7"/>
      <c r="DME21" s="7"/>
      <c r="DMF21" s="7"/>
      <c r="DMG21" s="7"/>
      <c r="DMH21" s="7"/>
      <c r="DMI21" s="7"/>
      <c r="DMJ21" s="7"/>
      <c r="DMK21" s="7"/>
      <c r="DML21" s="7"/>
      <c r="DMM21" s="7"/>
      <c r="DMN21" s="7"/>
      <c r="DMO21" s="7"/>
      <c r="DMP21" s="7"/>
      <c r="DMQ21" s="7"/>
      <c r="DMR21" s="7"/>
      <c r="DMS21" s="7"/>
      <c r="DMT21" s="7"/>
      <c r="DMU21" s="7"/>
      <c r="DMV21" s="7"/>
      <c r="DMW21" s="7"/>
      <c r="DMX21" s="7"/>
      <c r="DMY21" s="7"/>
      <c r="DMZ21" s="7"/>
      <c r="DNA21" s="7"/>
      <c r="DNB21" s="7"/>
      <c r="DNC21" s="7"/>
      <c r="DND21" s="7"/>
      <c r="DNE21" s="7"/>
      <c r="DNF21" s="7"/>
      <c r="DNG21" s="7"/>
      <c r="DNH21" s="7"/>
      <c r="DNI21" s="7"/>
      <c r="DNJ21" s="7"/>
      <c r="DNK21" s="7"/>
      <c r="DNL21" s="7"/>
      <c r="DNM21" s="7"/>
      <c r="DNN21" s="7"/>
      <c r="DNO21" s="7"/>
      <c r="DNP21" s="7"/>
      <c r="DNQ21" s="7"/>
      <c r="DNR21" s="7"/>
      <c r="DNS21" s="7"/>
      <c r="DNT21" s="7"/>
      <c r="DNU21" s="7"/>
      <c r="DNV21" s="7"/>
      <c r="DNW21" s="7"/>
      <c r="DNX21" s="7"/>
      <c r="DNY21" s="7"/>
      <c r="DNZ21" s="7"/>
      <c r="DOA21" s="7"/>
      <c r="DOB21" s="7"/>
      <c r="DOC21" s="7"/>
      <c r="DOD21" s="7"/>
      <c r="DOE21" s="7"/>
      <c r="DOF21" s="7"/>
      <c r="DOG21" s="7"/>
      <c r="DOH21" s="7"/>
      <c r="DOI21" s="7"/>
      <c r="DOJ21" s="7"/>
      <c r="DOK21" s="7"/>
      <c r="DOL21" s="7"/>
      <c r="DOM21" s="7"/>
      <c r="DON21" s="7"/>
      <c r="DOO21" s="7"/>
      <c r="DOP21" s="7"/>
      <c r="DOQ21" s="7"/>
      <c r="DOR21" s="7"/>
      <c r="DOS21" s="7"/>
      <c r="DOT21" s="7"/>
      <c r="DOU21" s="7"/>
      <c r="DOV21" s="7"/>
      <c r="DOW21" s="7"/>
      <c r="DOX21" s="7"/>
      <c r="DOY21" s="7"/>
      <c r="DOZ21" s="7"/>
      <c r="DPA21" s="7"/>
      <c r="DPB21" s="7"/>
      <c r="DPC21" s="7"/>
      <c r="DPD21" s="7"/>
      <c r="DPE21" s="7"/>
      <c r="DPF21" s="7"/>
      <c r="DPG21" s="7"/>
      <c r="DPH21" s="7"/>
      <c r="DPI21" s="7"/>
      <c r="DPJ21" s="7"/>
      <c r="DPK21" s="7"/>
      <c r="DPL21" s="7"/>
      <c r="DPM21" s="7"/>
      <c r="DPN21" s="7"/>
      <c r="DPO21" s="7"/>
      <c r="DPP21" s="7"/>
      <c r="DPQ21" s="7"/>
      <c r="DPR21" s="7"/>
      <c r="DPS21" s="7"/>
      <c r="DPT21" s="7"/>
      <c r="DPU21" s="7"/>
      <c r="DPV21" s="7"/>
      <c r="DPW21" s="7"/>
      <c r="DPX21" s="7"/>
      <c r="DPY21" s="7"/>
      <c r="DPZ21" s="7"/>
      <c r="DQA21" s="7"/>
      <c r="DQB21" s="7"/>
      <c r="DQC21" s="7"/>
      <c r="DQD21" s="7"/>
      <c r="DQE21" s="7"/>
      <c r="DQF21" s="7"/>
      <c r="DQG21" s="7"/>
      <c r="DQH21" s="7"/>
      <c r="DQI21" s="7"/>
      <c r="DQJ21" s="7"/>
      <c r="DQK21" s="7"/>
      <c r="DQL21" s="7"/>
      <c r="DQM21" s="7"/>
      <c r="DQN21" s="7"/>
      <c r="DQO21" s="7"/>
      <c r="DQP21" s="7"/>
      <c r="DQQ21" s="7"/>
      <c r="DQR21" s="7"/>
      <c r="DQS21" s="7"/>
      <c r="DQT21" s="7"/>
      <c r="DQU21" s="7"/>
      <c r="DQV21" s="7"/>
      <c r="DQW21" s="7"/>
      <c r="DQX21" s="7"/>
      <c r="DQY21" s="7"/>
      <c r="DQZ21" s="7"/>
      <c r="DRA21" s="7"/>
      <c r="DRB21" s="7"/>
      <c r="DRC21" s="7"/>
      <c r="DRD21" s="7"/>
      <c r="DRE21" s="7"/>
      <c r="DRF21" s="7"/>
      <c r="DRG21" s="7"/>
      <c r="DRH21" s="7"/>
      <c r="DRI21" s="7"/>
      <c r="DRJ21" s="7"/>
      <c r="DRK21" s="7"/>
      <c r="DRL21" s="7"/>
      <c r="DRM21" s="7"/>
      <c r="DRN21" s="7"/>
      <c r="DRO21" s="7"/>
      <c r="DRP21" s="7"/>
      <c r="DRQ21" s="7"/>
      <c r="DRR21" s="7"/>
      <c r="DRS21" s="7"/>
      <c r="DRT21" s="7"/>
      <c r="DRU21" s="7"/>
      <c r="DRV21" s="7"/>
      <c r="DRW21" s="7"/>
      <c r="DRX21" s="7"/>
      <c r="DRY21" s="7"/>
      <c r="DRZ21" s="7"/>
      <c r="DSA21" s="7"/>
      <c r="DSB21" s="7"/>
      <c r="DSC21" s="7"/>
      <c r="DSD21" s="7"/>
      <c r="DSE21" s="7"/>
      <c r="DSF21" s="7"/>
      <c r="DSG21" s="7"/>
      <c r="DSH21" s="7"/>
      <c r="DSI21" s="7"/>
      <c r="DSJ21" s="7"/>
      <c r="DSK21" s="7"/>
      <c r="DSL21" s="7"/>
      <c r="DSM21" s="7"/>
      <c r="DSN21" s="7"/>
      <c r="DSO21" s="7"/>
      <c r="DSP21" s="7"/>
      <c r="DSQ21" s="7"/>
      <c r="DSR21" s="7"/>
      <c r="DSS21" s="7"/>
      <c r="DST21" s="7"/>
      <c r="DSU21" s="7"/>
      <c r="DSV21" s="7"/>
      <c r="DSW21" s="7"/>
      <c r="DSX21" s="7"/>
      <c r="DSY21" s="7"/>
      <c r="DSZ21" s="7"/>
      <c r="DTA21" s="7"/>
      <c r="DTB21" s="7"/>
      <c r="DTC21" s="7"/>
      <c r="DTD21" s="7"/>
      <c r="DTE21" s="7"/>
      <c r="DTF21" s="7"/>
      <c r="DTG21" s="7"/>
      <c r="DTH21" s="7"/>
      <c r="DTI21" s="7"/>
      <c r="DTJ21" s="7"/>
      <c r="DTK21" s="7"/>
      <c r="DTL21" s="7"/>
      <c r="DTM21" s="7"/>
      <c r="DTN21" s="7"/>
      <c r="DTO21" s="7"/>
      <c r="DTP21" s="7"/>
      <c r="DTQ21" s="7"/>
      <c r="DTR21" s="7"/>
      <c r="DTS21" s="7"/>
      <c r="DTT21" s="7"/>
      <c r="DTU21" s="7"/>
      <c r="DTV21" s="7"/>
      <c r="DTW21" s="7"/>
      <c r="DTX21" s="7"/>
      <c r="DTY21" s="7"/>
      <c r="DTZ21" s="7"/>
      <c r="DUA21" s="7"/>
      <c r="DUB21" s="7"/>
      <c r="DUC21" s="7"/>
      <c r="DUD21" s="7"/>
      <c r="DUE21" s="7"/>
      <c r="DUF21" s="7"/>
      <c r="DUG21" s="7"/>
      <c r="DUH21" s="7"/>
      <c r="DUI21" s="7"/>
      <c r="DUJ21" s="7"/>
      <c r="DUK21" s="7"/>
      <c r="DUL21" s="7"/>
      <c r="DUM21" s="7"/>
      <c r="DUN21" s="7"/>
      <c r="DUO21" s="7"/>
      <c r="DUP21" s="7"/>
      <c r="DUQ21" s="7"/>
      <c r="DUR21" s="7"/>
      <c r="DUS21" s="7"/>
      <c r="DUT21" s="7"/>
      <c r="DUU21" s="7"/>
      <c r="DUV21" s="7"/>
      <c r="DUW21" s="7"/>
      <c r="DUX21" s="7"/>
      <c r="DUY21" s="7"/>
      <c r="DUZ21" s="7"/>
      <c r="DVA21" s="7"/>
      <c r="DVB21" s="7"/>
      <c r="DVC21" s="7"/>
      <c r="DVD21" s="7"/>
      <c r="DVE21" s="7"/>
      <c r="DVF21" s="7"/>
      <c r="DVG21" s="7"/>
      <c r="DVH21" s="7"/>
      <c r="DVI21" s="7"/>
      <c r="DVJ21" s="7"/>
      <c r="DVK21" s="7"/>
      <c r="DVL21" s="7"/>
      <c r="DVM21" s="7"/>
      <c r="DVN21" s="7"/>
      <c r="DVO21" s="7"/>
      <c r="DVP21" s="7"/>
      <c r="DVQ21" s="7"/>
      <c r="DVR21" s="7"/>
      <c r="DVS21" s="7"/>
      <c r="DVT21" s="7"/>
      <c r="DVU21" s="7"/>
      <c r="DVV21" s="7"/>
      <c r="DVW21" s="7"/>
      <c r="DVX21" s="7"/>
      <c r="DVY21" s="7"/>
      <c r="DVZ21" s="7"/>
      <c r="DWA21" s="7"/>
      <c r="DWB21" s="7"/>
      <c r="DWC21" s="7"/>
      <c r="DWD21" s="7"/>
      <c r="DWE21" s="7"/>
      <c r="DWF21" s="7"/>
      <c r="DWG21" s="7"/>
      <c r="DWH21" s="7"/>
      <c r="DWI21" s="7"/>
      <c r="DWJ21" s="7"/>
      <c r="DWK21" s="7"/>
      <c r="DWL21" s="7"/>
      <c r="DWM21" s="7"/>
      <c r="DWN21" s="7"/>
      <c r="DWO21" s="7"/>
      <c r="DWP21" s="7"/>
      <c r="DWQ21" s="7"/>
      <c r="DWR21" s="7"/>
      <c r="DWS21" s="7"/>
      <c r="DWT21" s="7"/>
      <c r="DWU21" s="7"/>
      <c r="DWV21" s="7"/>
      <c r="DWW21" s="7"/>
      <c r="DWX21" s="7"/>
      <c r="DWY21" s="7"/>
      <c r="DWZ21" s="7"/>
      <c r="DXA21" s="7"/>
      <c r="DXB21" s="7"/>
      <c r="DXC21" s="7"/>
      <c r="DXD21" s="7"/>
      <c r="DXE21" s="7"/>
      <c r="DXF21" s="7"/>
      <c r="DXG21" s="7"/>
      <c r="DXH21" s="7"/>
      <c r="DXI21" s="7"/>
      <c r="DXJ21" s="7"/>
      <c r="DXK21" s="7"/>
      <c r="DXL21" s="7"/>
      <c r="DXM21" s="7"/>
      <c r="DXN21" s="7"/>
      <c r="DXO21" s="7"/>
      <c r="DXP21" s="7"/>
      <c r="DXQ21" s="7"/>
      <c r="DXR21" s="7"/>
      <c r="DXS21" s="7"/>
      <c r="DXT21" s="7"/>
      <c r="DXU21" s="7"/>
      <c r="DXV21" s="7"/>
      <c r="DXW21" s="7"/>
      <c r="DXX21" s="7"/>
      <c r="DXY21" s="7"/>
      <c r="DXZ21" s="7"/>
      <c r="DYA21" s="7"/>
      <c r="DYB21" s="7"/>
      <c r="DYC21" s="7"/>
      <c r="DYD21" s="7"/>
      <c r="DYE21" s="7"/>
      <c r="DYF21" s="7"/>
      <c r="DYG21" s="7"/>
      <c r="DYH21" s="7"/>
      <c r="DYI21" s="7"/>
      <c r="DYJ21" s="7"/>
      <c r="DYK21" s="7"/>
      <c r="DYL21" s="7"/>
      <c r="DYM21" s="7"/>
      <c r="DYN21" s="7"/>
      <c r="DYO21" s="7"/>
      <c r="DYP21" s="7"/>
      <c r="DYQ21" s="7"/>
      <c r="DYR21" s="7"/>
      <c r="DYS21" s="7"/>
      <c r="DYT21" s="7"/>
      <c r="DYU21" s="7"/>
      <c r="DYV21" s="7"/>
      <c r="DYW21" s="7"/>
      <c r="DYX21" s="7"/>
      <c r="DYY21" s="7"/>
      <c r="DYZ21" s="7"/>
      <c r="DZA21" s="7"/>
      <c r="DZB21" s="7"/>
      <c r="DZC21" s="7"/>
      <c r="DZD21" s="7"/>
      <c r="DZE21" s="7"/>
      <c r="DZF21" s="7"/>
      <c r="DZG21" s="7"/>
      <c r="DZH21" s="7"/>
      <c r="DZI21" s="7"/>
      <c r="DZJ21" s="7"/>
      <c r="DZK21" s="7"/>
      <c r="DZL21" s="7"/>
      <c r="DZM21" s="7"/>
      <c r="DZN21" s="7"/>
      <c r="DZO21" s="7"/>
      <c r="DZP21" s="7"/>
      <c r="DZQ21" s="7"/>
      <c r="DZR21" s="7"/>
      <c r="DZS21" s="7"/>
      <c r="DZT21" s="7"/>
      <c r="DZU21" s="7"/>
      <c r="DZV21" s="7"/>
      <c r="DZW21" s="7"/>
      <c r="DZX21" s="7"/>
      <c r="DZY21" s="7"/>
      <c r="DZZ21" s="7"/>
      <c r="EAA21" s="7"/>
      <c r="EAB21" s="7"/>
      <c r="EAC21" s="7"/>
      <c r="EAD21" s="7"/>
      <c r="EAE21" s="7"/>
      <c r="EAF21" s="7"/>
      <c r="EAG21" s="7"/>
      <c r="EAH21" s="7"/>
      <c r="EAI21" s="7"/>
      <c r="EAJ21" s="7"/>
      <c r="EAK21" s="7"/>
      <c r="EAL21" s="7"/>
      <c r="EAM21" s="7"/>
      <c r="EAN21" s="7"/>
      <c r="EAO21" s="7"/>
      <c r="EAP21" s="7"/>
      <c r="EAQ21" s="7"/>
      <c r="EAR21" s="7"/>
      <c r="EAS21" s="7"/>
      <c r="EAT21" s="7"/>
      <c r="EAU21" s="7"/>
      <c r="EAV21" s="7"/>
      <c r="EAW21" s="7"/>
      <c r="EAX21" s="7"/>
      <c r="EAY21" s="7"/>
      <c r="EAZ21" s="7"/>
      <c r="EBA21" s="7"/>
      <c r="EBB21" s="7"/>
      <c r="EBC21" s="7"/>
      <c r="EBD21" s="7"/>
      <c r="EBE21" s="7"/>
      <c r="EBF21" s="7"/>
      <c r="EBG21" s="7"/>
      <c r="EBH21" s="7"/>
      <c r="EBI21" s="7"/>
      <c r="EBJ21" s="7"/>
      <c r="EBK21" s="7"/>
      <c r="EBL21" s="7"/>
      <c r="EBM21" s="7"/>
      <c r="EBN21" s="7"/>
      <c r="EBO21" s="7"/>
      <c r="EBP21" s="7"/>
      <c r="EBQ21" s="7"/>
      <c r="EBR21" s="7"/>
      <c r="EBS21" s="7"/>
      <c r="EBT21" s="7"/>
      <c r="EBU21" s="7"/>
      <c r="EBV21" s="7"/>
      <c r="EBW21" s="7"/>
      <c r="EBX21" s="7"/>
      <c r="EBY21" s="7"/>
      <c r="EBZ21" s="7"/>
      <c r="ECA21" s="7"/>
      <c r="ECB21" s="7"/>
      <c r="ECC21" s="7"/>
      <c r="ECD21" s="7"/>
      <c r="ECE21" s="7"/>
      <c r="ECF21" s="7"/>
      <c r="ECG21" s="7"/>
      <c r="ECH21" s="7"/>
      <c r="ECI21" s="7"/>
      <c r="ECJ21" s="7"/>
      <c r="ECK21" s="7"/>
      <c r="ECL21" s="7"/>
      <c r="ECM21" s="7"/>
      <c r="ECN21" s="7"/>
      <c r="ECO21" s="7"/>
      <c r="ECP21" s="7"/>
      <c r="ECQ21" s="7"/>
      <c r="ECR21" s="7"/>
      <c r="ECS21" s="7"/>
      <c r="ECT21" s="7"/>
      <c r="ECU21" s="7"/>
      <c r="ECV21" s="7"/>
      <c r="ECW21" s="7"/>
      <c r="ECX21" s="7"/>
      <c r="ECY21" s="7"/>
      <c r="ECZ21" s="7"/>
      <c r="EDA21" s="7"/>
      <c r="EDB21" s="7"/>
      <c r="EDC21" s="7"/>
      <c r="EDD21" s="7"/>
      <c r="EDE21" s="7"/>
      <c r="EDF21" s="7"/>
      <c r="EDG21" s="7"/>
      <c r="EDH21" s="7"/>
      <c r="EDI21" s="7"/>
      <c r="EDJ21" s="7"/>
      <c r="EDK21" s="7"/>
      <c r="EDL21" s="7"/>
      <c r="EDM21" s="7"/>
      <c r="EDN21" s="7"/>
      <c r="EDO21" s="7"/>
      <c r="EDP21" s="7"/>
      <c r="EDQ21" s="7"/>
      <c r="EDR21" s="7"/>
      <c r="EDS21" s="7"/>
      <c r="EDT21" s="7"/>
      <c r="EDU21" s="7"/>
      <c r="EDV21" s="7"/>
      <c r="EDW21" s="7"/>
      <c r="EDX21" s="7"/>
      <c r="EDY21" s="7"/>
      <c r="EDZ21" s="7"/>
      <c r="EEA21" s="7"/>
      <c r="EEB21" s="7"/>
      <c r="EEC21" s="7"/>
      <c r="EED21" s="7"/>
      <c r="EEE21" s="7"/>
      <c r="EEF21" s="7"/>
      <c r="EEG21" s="7"/>
      <c r="EEH21" s="7"/>
      <c r="EEI21" s="7"/>
      <c r="EEJ21" s="7"/>
      <c r="EEK21" s="7"/>
      <c r="EEL21" s="7"/>
      <c r="EEM21" s="7"/>
      <c r="EEN21" s="7"/>
      <c r="EEO21" s="7"/>
      <c r="EEP21" s="7"/>
      <c r="EEQ21" s="7"/>
      <c r="EER21" s="7"/>
      <c r="EES21" s="7"/>
      <c r="EET21" s="7"/>
      <c r="EEU21" s="7"/>
      <c r="EEV21" s="7"/>
      <c r="EEW21" s="7"/>
      <c r="EEX21" s="7"/>
      <c r="EEY21" s="7"/>
      <c r="EEZ21" s="7"/>
      <c r="EFA21" s="7"/>
      <c r="EFB21" s="7"/>
      <c r="EFC21" s="7"/>
      <c r="EFD21" s="7"/>
      <c r="EFE21" s="7"/>
      <c r="EFF21" s="7"/>
      <c r="EFG21" s="7"/>
      <c r="EFH21" s="7"/>
      <c r="EFI21" s="7"/>
      <c r="EFJ21" s="7"/>
      <c r="EFK21" s="7"/>
      <c r="EFL21" s="7"/>
      <c r="EFM21" s="7"/>
      <c r="EFN21" s="7"/>
      <c r="EFO21" s="7"/>
      <c r="EFP21" s="7"/>
      <c r="EFQ21" s="7"/>
      <c r="EFR21" s="7"/>
      <c r="EFS21" s="7"/>
      <c r="EFT21" s="7"/>
      <c r="EFU21" s="7"/>
      <c r="EFV21" s="7"/>
      <c r="EFW21" s="7"/>
      <c r="EFX21" s="7"/>
      <c r="EFY21" s="7"/>
      <c r="EFZ21" s="7"/>
      <c r="EGA21" s="7"/>
      <c r="EGB21" s="7"/>
      <c r="EGC21" s="7"/>
      <c r="EGD21" s="7"/>
      <c r="EGE21" s="7"/>
      <c r="EGF21" s="7"/>
      <c r="EGG21" s="7"/>
      <c r="EGH21" s="7"/>
      <c r="EGI21" s="7"/>
      <c r="EGJ21" s="7"/>
      <c r="EGK21" s="7"/>
      <c r="EGL21" s="7"/>
      <c r="EGM21" s="7"/>
      <c r="EGN21" s="7"/>
      <c r="EGO21" s="7"/>
      <c r="EGP21" s="7"/>
      <c r="EGQ21" s="7"/>
      <c r="EGR21" s="7"/>
      <c r="EGS21" s="7"/>
      <c r="EGT21" s="7"/>
      <c r="EGU21" s="7"/>
      <c r="EGV21" s="7"/>
      <c r="EGW21" s="7"/>
      <c r="EGX21" s="7"/>
      <c r="EGY21" s="7"/>
      <c r="EGZ21" s="7"/>
      <c r="EHA21" s="7"/>
      <c r="EHB21" s="7"/>
      <c r="EHC21" s="7"/>
      <c r="EHD21" s="7"/>
      <c r="EHE21" s="7"/>
      <c r="EHF21" s="7"/>
      <c r="EHG21" s="7"/>
      <c r="EHH21" s="7"/>
      <c r="EHI21" s="7"/>
      <c r="EHJ21" s="7"/>
      <c r="EHK21" s="7"/>
      <c r="EHL21" s="7"/>
      <c r="EHM21" s="7"/>
      <c r="EHN21" s="7"/>
      <c r="EHO21" s="7"/>
      <c r="EHP21" s="7"/>
      <c r="EHQ21" s="7"/>
      <c r="EHR21" s="7"/>
      <c r="EHS21" s="7"/>
      <c r="EHT21" s="7"/>
      <c r="EHU21" s="7"/>
      <c r="EHV21" s="7"/>
      <c r="EHW21" s="7"/>
      <c r="EHX21" s="7"/>
      <c r="EHY21" s="7"/>
      <c r="EHZ21" s="7"/>
      <c r="EIA21" s="7"/>
      <c r="EIB21" s="7"/>
      <c r="EIC21" s="7"/>
      <c r="EID21" s="7"/>
      <c r="EIE21" s="7"/>
      <c r="EIF21" s="7"/>
      <c r="EIG21" s="7"/>
      <c r="EIH21" s="7"/>
      <c r="EII21" s="7"/>
      <c r="EIJ21" s="7"/>
      <c r="EIK21" s="7"/>
      <c r="EIL21" s="7"/>
      <c r="EIM21" s="7"/>
      <c r="EIN21" s="7"/>
      <c r="EIO21" s="7"/>
      <c r="EIP21" s="7"/>
      <c r="EIQ21" s="7"/>
      <c r="EIR21" s="7"/>
      <c r="EIS21" s="7"/>
      <c r="EIT21" s="7"/>
      <c r="EIU21" s="7"/>
      <c r="EIV21" s="7"/>
      <c r="EIW21" s="7"/>
      <c r="EIX21" s="7"/>
      <c r="EIY21" s="7"/>
      <c r="EIZ21" s="7"/>
      <c r="EJA21" s="7"/>
      <c r="EJB21" s="7"/>
      <c r="EJC21" s="7"/>
      <c r="EJD21" s="7"/>
      <c r="EJE21" s="7"/>
      <c r="EJF21" s="7"/>
      <c r="EJG21" s="7"/>
      <c r="EJH21" s="7"/>
      <c r="EJI21" s="7"/>
      <c r="EJJ21" s="7"/>
      <c r="EJK21" s="7"/>
      <c r="EJL21" s="7"/>
      <c r="EJM21" s="7"/>
      <c r="EJN21" s="7"/>
      <c r="EJO21" s="7"/>
      <c r="EJP21" s="7"/>
      <c r="EJQ21" s="7"/>
      <c r="EJR21" s="7"/>
      <c r="EJS21" s="7"/>
      <c r="EJT21" s="7"/>
      <c r="EJU21" s="7"/>
      <c r="EJV21" s="7"/>
      <c r="EJW21" s="7"/>
      <c r="EJX21" s="7"/>
      <c r="EJY21" s="7"/>
      <c r="EJZ21" s="7"/>
      <c r="EKA21" s="7"/>
      <c r="EKB21" s="7"/>
      <c r="EKC21" s="7"/>
      <c r="EKD21" s="7"/>
      <c r="EKE21" s="7"/>
      <c r="EKF21" s="7"/>
      <c r="EKG21" s="7"/>
      <c r="EKH21" s="7"/>
      <c r="EKI21" s="7"/>
      <c r="EKJ21" s="7"/>
      <c r="EKK21" s="7"/>
      <c r="EKL21" s="7"/>
      <c r="EKM21" s="7"/>
      <c r="EKN21" s="7"/>
      <c r="EKO21" s="7"/>
      <c r="EKP21" s="7"/>
      <c r="EKQ21" s="7"/>
      <c r="EKR21" s="7"/>
      <c r="EKS21" s="7"/>
      <c r="EKT21" s="7"/>
      <c r="EKU21" s="7"/>
      <c r="EKV21" s="7"/>
      <c r="EKW21" s="7"/>
      <c r="EKX21" s="7"/>
      <c r="EKY21" s="7"/>
      <c r="EKZ21" s="7"/>
      <c r="ELA21" s="7"/>
      <c r="ELB21" s="7"/>
      <c r="ELC21" s="7"/>
      <c r="ELD21" s="7"/>
      <c r="ELE21" s="7"/>
      <c r="ELF21" s="7"/>
      <c r="ELG21" s="7"/>
      <c r="ELH21" s="7"/>
      <c r="ELI21" s="7"/>
      <c r="ELJ21" s="7"/>
      <c r="ELK21" s="7"/>
      <c r="ELL21" s="7"/>
      <c r="ELM21" s="7"/>
      <c r="ELN21" s="7"/>
      <c r="ELO21" s="7"/>
      <c r="ELP21" s="7"/>
      <c r="ELQ21" s="7"/>
      <c r="ELR21" s="7"/>
      <c r="ELS21" s="7"/>
      <c r="ELT21" s="7"/>
      <c r="ELU21" s="7"/>
      <c r="ELV21" s="7"/>
      <c r="ELW21" s="7"/>
      <c r="ELX21" s="7"/>
      <c r="ELY21" s="7"/>
      <c r="ELZ21" s="7"/>
      <c r="EMA21" s="7"/>
      <c r="EMB21" s="7"/>
      <c r="EMC21" s="7"/>
      <c r="EMD21" s="7"/>
      <c r="EME21" s="7"/>
      <c r="EMF21" s="7"/>
      <c r="EMG21" s="7"/>
      <c r="EMH21" s="7"/>
      <c r="EMI21" s="7"/>
      <c r="EMJ21" s="7"/>
      <c r="EMK21" s="7"/>
      <c r="EML21" s="7"/>
      <c r="EMM21" s="7"/>
      <c r="EMN21" s="7"/>
      <c r="EMO21" s="7"/>
      <c r="EMP21" s="7"/>
      <c r="EMQ21" s="7"/>
      <c r="EMR21" s="7"/>
      <c r="EMS21" s="7"/>
      <c r="EMT21" s="7"/>
      <c r="EMU21" s="7"/>
      <c r="EMV21" s="7"/>
      <c r="EMW21" s="7"/>
      <c r="EMX21" s="7"/>
      <c r="EMY21" s="7"/>
      <c r="EMZ21" s="7"/>
      <c r="ENA21" s="7"/>
      <c r="ENB21" s="7"/>
      <c r="ENC21" s="7"/>
      <c r="END21" s="7"/>
      <c r="ENE21" s="7"/>
      <c r="ENF21" s="7"/>
      <c r="ENG21" s="7"/>
      <c r="ENH21" s="7"/>
      <c r="ENI21" s="7"/>
      <c r="ENJ21" s="7"/>
      <c r="ENK21" s="7"/>
      <c r="ENL21" s="7"/>
      <c r="ENM21" s="7"/>
      <c r="ENN21" s="7"/>
      <c r="ENO21" s="7"/>
      <c r="ENP21" s="7"/>
      <c r="ENQ21" s="7"/>
      <c r="ENR21" s="7"/>
      <c r="ENS21" s="7"/>
      <c r="ENT21" s="7"/>
      <c r="ENU21" s="7"/>
      <c r="ENV21" s="7"/>
      <c r="ENW21" s="7"/>
      <c r="ENX21" s="7"/>
      <c r="ENY21" s="7"/>
      <c r="ENZ21" s="7"/>
      <c r="EOA21" s="7"/>
      <c r="EOB21" s="7"/>
      <c r="EOC21" s="7"/>
      <c r="EOD21" s="7"/>
      <c r="EOE21" s="7"/>
      <c r="EOF21" s="7"/>
      <c r="EOG21" s="7"/>
      <c r="EOH21" s="7"/>
      <c r="EOI21" s="7"/>
      <c r="EOJ21" s="7"/>
      <c r="EOK21" s="7"/>
      <c r="EOL21" s="7"/>
      <c r="EOM21" s="7"/>
      <c r="EON21" s="7"/>
      <c r="EOO21" s="7"/>
      <c r="EOP21" s="7"/>
      <c r="EOQ21" s="7"/>
      <c r="EOR21" s="7"/>
      <c r="EOS21" s="7"/>
      <c r="EOT21" s="7"/>
      <c r="EOU21" s="7"/>
      <c r="EOV21" s="7"/>
      <c r="EOW21" s="7"/>
      <c r="EOX21" s="7"/>
      <c r="EOY21" s="7"/>
      <c r="EOZ21" s="7"/>
      <c r="EPA21" s="7"/>
      <c r="EPB21" s="7"/>
      <c r="EPC21" s="7"/>
      <c r="EPD21" s="7"/>
      <c r="EPE21" s="7"/>
      <c r="EPF21" s="7"/>
      <c r="EPG21" s="7"/>
      <c r="EPH21" s="7"/>
      <c r="EPI21" s="7"/>
      <c r="EPJ21" s="7"/>
      <c r="EPK21" s="7"/>
      <c r="EPL21" s="7"/>
      <c r="EPM21" s="7"/>
      <c r="EPN21" s="7"/>
      <c r="EPO21" s="7"/>
      <c r="EPP21" s="7"/>
      <c r="EPQ21" s="7"/>
      <c r="EPR21" s="7"/>
      <c r="EPS21" s="7"/>
      <c r="EPT21" s="7"/>
      <c r="EPU21" s="7"/>
      <c r="EPV21" s="7"/>
      <c r="EPW21" s="7"/>
      <c r="EPX21" s="7"/>
      <c r="EPY21" s="7"/>
      <c r="EPZ21" s="7"/>
      <c r="EQA21" s="7"/>
      <c r="EQB21" s="7"/>
      <c r="EQC21" s="7"/>
      <c r="EQD21" s="7"/>
      <c r="EQE21" s="7"/>
      <c r="EQF21" s="7"/>
      <c r="EQG21" s="7"/>
      <c r="EQH21" s="7"/>
      <c r="EQI21" s="7"/>
      <c r="EQJ21" s="7"/>
      <c r="EQK21" s="7"/>
      <c r="EQL21" s="7"/>
      <c r="EQM21" s="7"/>
      <c r="EQN21" s="7"/>
      <c r="EQO21" s="7"/>
      <c r="EQP21" s="7"/>
      <c r="EQQ21" s="7"/>
      <c r="EQR21" s="7"/>
      <c r="EQS21" s="7"/>
      <c r="EQT21" s="7"/>
      <c r="EQU21" s="7"/>
      <c r="EQV21" s="7"/>
      <c r="EQW21" s="7"/>
      <c r="EQX21" s="7"/>
      <c r="EQY21" s="7"/>
      <c r="EQZ21" s="7"/>
      <c r="ERA21" s="7"/>
      <c r="ERB21" s="7"/>
      <c r="ERC21" s="7"/>
      <c r="ERD21" s="7"/>
      <c r="ERE21" s="7"/>
      <c r="ERF21" s="7"/>
      <c r="ERG21" s="7"/>
      <c r="ERH21" s="7"/>
      <c r="ERI21" s="7"/>
      <c r="ERJ21" s="7"/>
      <c r="ERK21" s="7"/>
      <c r="ERL21" s="7"/>
      <c r="ERM21" s="7"/>
      <c r="ERN21" s="7"/>
      <c r="ERO21" s="7"/>
      <c r="ERP21" s="7"/>
      <c r="ERQ21" s="7"/>
      <c r="ERR21" s="7"/>
      <c r="ERS21" s="7"/>
      <c r="ERT21" s="7"/>
      <c r="ERU21" s="7"/>
      <c r="ERV21" s="7"/>
      <c r="ERW21" s="7"/>
      <c r="ERX21" s="7"/>
      <c r="ERY21" s="7"/>
      <c r="ERZ21" s="7"/>
      <c r="ESA21" s="7"/>
      <c r="ESB21" s="7"/>
      <c r="ESC21" s="7"/>
      <c r="ESD21" s="7"/>
      <c r="ESE21" s="7"/>
      <c r="ESF21" s="7"/>
      <c r="ESG21" s="7"/>
      <c r="ESH21" s="7"/>
      <c r="ESI21" s="7"/>
      <c r="ESJ21" s="7"/>
      <c r="ESK21" s="7"/>
      <c r="ESL21" s="7"/>
      <c r="ESM21" s="7"/>
      <c r="ESN21" s="7"/>
      <c r="ESO21" s="7"/>
      <c r="ESP21" s="7"/>
      <c r="ESQ21" s="7"/>
      <c r="ESR21" s="7"/>
      <c r="ESS21" s="7"/>
      <c r="EST21" s="7"/>
      <c r="ESU21" s="7"/>
      <c r="ESV21" s="7"/>
      <c r="ESW21" s="7"/>
      <c r="ESX21" s="7"/>
      <c r="ESY21" s="7"/>
      <c r="ESZ21" s="7"/>
      <c r="ETA21" s="7"/>
      <c r="ETB21" s="7"/>
      <c r="ETC21" s="7"/>
      <c r="ETD21" s="7"/>
      <c r="ETE21" s="7"/>
      <c r="ETF21" s="7"/>
      <c r="ETG21" s="7"/>
      <c r="ETH21" s="7"/>
      <c r="ETI21" s="7"/>
      <c r="ETJ21" s="7"/>
      <c r="ETK21" s="7"/>
      <c r="ETL21" s="7"/>
      <c r="ETM21" s="7"/>
      <c r="ETN21" s="7"/>
      <c r="ETO21" s="7"/>
      <c r="ETP21" s="7"/>
      <c r="ETQ21" s="7"/>
      <c r="ETR21" s="7"/>
      <c r="ETS21" s="7"/>
      <c r="ETT21" s="7"/>
      <c r="ETU21" s="7"/>
      <c r="ETV21" s="7"/>
      <c r="ETW21" s="7"/>
      <c r="ETX21" s="7"/>
      <c r="ETY21" s="7"/>
      <c r="ETZ21" s="7"/>
      <c r="EUA21" s="7"/>
      <c r="EUB21" s="7"/>
      <c r="EUC21" s="7"/>
      <c r="EUD21" s="7"/>
      <c r="EUE21" s="7"/>
      <c r="EUF21" s="7"/>
      <c r="EUG21" s="7"/>
      <c r="EUH21" s="7"/>
      <c r="EUI21" s="7"/>
      <c r="EUJ21" s="7"/>
      <c r="EUK21" s="7"/>
      <c r="EUL21" s="7"/>
      <c r="EUM21" s="7"/>
      <c r="EUN21" s="7"/>
      <c r="EUO21" s="7"/>
      <c r="EUP21" s="7"/>
      <c r="EUQ21" s="7"/>
      <c r="EUR21" s="7"/>
      <c r="EUS21" s="7"/>
      <c r="EUT21" s="7"/>
      <c r="EUU21" s="7"/>
      <c r="EUV21" s="7"/>
      <c r="EUW21" s="7"/>
      <c r="EUX21" s="7"/>
      <c r="EUY21" s="7"/>
      <c r="EUZ21" s="7"/>
      <c r="EVA21" s="7"/>
      <c r="EVB21" s="7"/>
      <c r="EVC21" s="7"/>
      <c r="EVD21" s="7"/>
      <c r="EVE21" s="7"/>
      <c r="EVF21" s="7"/>
      <c r="EVG21" s="7"/>
      <c r="EVH21" s="7"/>
      <c r="EVI21" s="7"/>
      <c r="EVJ21" s="7"/>
      <c r="EVK21" s="7"/>
      <c r="EVL21" s="7"/>
      <c r="EVM21" s="7"/>
      <c r="EVN21" s="7"/>
      <c r="EVO21" s="7"/>
      <c r="EVP21" s="7"/>
      <c r="EVQ21" s="7"/>
      <c r="EVR21" s="7"/>
      <c r="EVS21" s="7"/>
      <c r="EVT21" s="7"/>
      <c r="EVU21" s="7"/>
      <c r="EVV21" s="7"/>
      <c r="EVW21" s="7"/>
      <c r="EVX21" s="7"/>
      <c r="EVY21" s="7"/>
      <c r="EVZ21" s="7"/>
      <c r="EWA21" s="7"/>
      <c r="EWB21" s="7"/>
      <c r="EWC21" s="7"/>
      <c r="EWD21" s="7"/>
      <c r="EWE21" s="7"/>
      <c r="EWF21" s="7"/>
      <c r="EWG21" s="7"/>
      <c r="EWH21" s="7"/>
      <c r="EWI21" s="7"/>
      <c r="EWJ21" s="7"/>
      <c r="EWK21" s="7"/>
      <c r="EWL21" s="7"/>
      <c r="EWM21" s="7"/>
      <c r="EWN21" s="7"/>
      <c r="EWO21" s="7"/>
      <c r="EWP21" s="7"/>
      <c r="EWQ21" s="7"/>
      <c r="EWR21" s="7"/>
      <c r="EWS21" s="7"/>
      <c r="EWT21" s="7"/>
      <c r="EWU21" s="7"/>
      <c r="EWV21" s="7"/>
      <c r="EWW21" s="7"/>
      <c r="EWX21" s="7"/>
      <c r="EWY21" s="7"/>
      <c r="EWZ21" s="7"/>
      <c r="EXA21" s="7"/>
      <c r="EXB21" s="7"/>
      <c r="EXC21" s="7"/>
      <c r="EXD21" s="7"/>
      <c r="EXE21" s="7"/>
      <c r="EXF21" s="7"/>
      <c r="EXG21" s="7"/>
      <c r="EXH21" s="7"/>
      <c r="EXI21" s="7"/>
      <c r="EXJ21" s="7"/>
      <c r="EXK21" s="7"/>
      <c r="EXL21" s="7"/>
      <c r="EXM21" s="7"/>
      <c r="EXN21" s="7"/>
      <c r="EXO21" s="7"/>
      <c r="EXP21" s="7"/>
      <c r="EXQ21" s="7"/>
      <c r="EXR21" s="7"/>
      <c r="EXS21" s="7"/>
      <c r="EXT21" s="7"/>
      <c r="EXU21" s="7"/>
      <c r="EXV21" s="7"/>
      <c r="EXW21" s="7"/>
      <c r="EXX21" s="7"/>
      <c r="EXY21" s="7"/>
      <c r="EXZ21" s="7"/>
      <c r="EYA21" s="7"/>
      <c r="EYB21" s="7"/>
      <c r="EYC21" s="7"/>
      <c r="EYD21" s="7"/>
      <c r="EYE21" s="7"/>
      <c r="EYF21" s="7"/>
      <c r="EYG21" s="7"/>
      <c r="EYH21" s="7"/>
      <c r="EYI21" s="7"/>
      <c r="EYJ21" s="7"/>
      <c r="EYK21" s="7"/>
      <c r="EYL21" s="7"/>
      <c r="EYM21" s="7"/>
      <c r="EYN21" s="7"/>
      <c r="EYO21" s="7"/>
      <c r="EYP21" s="7"/>
      <c r="EYQ21" s="7"/>
      <c r="EYR21" s="7"/>
      <c r="EYS21" s="7"/>
      <c r="EYT21" s="7"/>
      <c r="EYU21" s="7"/>
      <c r="EYV21" s="7"/>
      <c r="EYW21" s="7"/>
      <c r="EYX21" s="7"/>
      <c r="EYY21" s="7"/>
      <c r="EYZ21" s="7"/>
      <c r="EZA21" s="7"/>
      <c r="EZB21" s="7"/>
      <c r="EZC21" s="7"/>
      <c r="EZD21" s="7"/>
      <c r="EZE21" s="7"/>
      <c r="EZF21" s="7"/>
      <c r="EZG21" s="7"/>
      <c r="EZH21" s="7"/>
      <c r="EZI21" s="7"/>
      <c r="EZJ21" s="7"/>
      <c r="EZK21" s="7"/>
      <c r="EZL21" s="7"/>
      <c r="EZM21" s="7"/>
      <c r="EZN21" s="7"/>
      <c r="EZO21" s="7"/>
      <c r="EZP21" s="7"/>
      <c r="EZQ21" s="7"/>
      <c r="EZR21" s="7"/>
      <c r="EZS21" s="7"/>
      <c r="EZT21" s="7"/>
      <c r="EZU21" s="7"/>
      <c r="EZV21" s="7"/>
      <c r="EZW21" s="7"/>
      <c r="EZX21" s="7"/>
      <c r="EZY21" s="7"/>
      <c r="EZZ21" s="7"/>
      <c r="FAA21" s="7"/>
      <c r="FAB21" s="7"/>
      <c r="FAC21" s="7"/>
      <c r="FAD21" s="7"/>
      <c r="FAE21" s="7"/>
      <c r="FAF21" s="7"/>
      <c r="FAG21" s="7"/>
      <c r="FAH21" s="7"/>
      <c r="FAI21" s="7"/>
      <c r="FAJ21" s="7"/>
      <c r="FAK21" s="7"/>
      <c r="FAL21" s="7"/>
      <c r="FAM21" s="7"/>
      <c r="FAN21" s="7"/>
      <c r="FAO21" s="7"/>
      <c r="FAP21" s="7"/>
      <c r="FAQ21" s="7"/>
      <c r="FAR21" s="7"/>
      <c r="FAS21" s="7"/>
      <c r="FAT21" s="7"/>
      <c r="FAU21" s="7"/>
      <c r="FAV21" s="7"/>
      <c r="FAW21" s="7"/>
      <c r="FAX21" s="7"/>
      <c r="FAY21" s="7"/>
      <c r="FAZ21" s="7"/>
      <c r="FBA21" s="7"/>
      <c r="FBB21" s="7"/>
      <c r="FBC21" s="7"/>
      <c r="FBD21" s="7"/>
      <c r="FBE21" s="7"/>
      <c r="FBF21" s="7"/>
      <c r="FBG21" s="7"/>
      <c r="FBH21" s="7"/>
      <c r="FBI21" s="7"/>
      <c r="FBJ21" s="7"/>
      <c r="FBK21" s="7"/>
      <c r="FBL21" s="7"/>
      <c r="FBM21" s="7"/>
      <c r="FBN21" s="7"/>
      <c r="FBO21" s="7"/>
      <c r="FBP21" s="7"/>
      <c r="FBQ21" s="7"/>
      <c r="FBR21" s="7"/>
      <c r="FBS21" s="7"/>
      <c r="FBT21" s="7"/>
      <c r="FBU21" s="7"/>
      <c r="FBV21" s="7"/>
      <c r="FBW21" s="7"/>
      <c r="FBX21" s="7"/>
      <c r="FBY21" s="7"/>
      <c r="FBZ21" s="7"/>
      <c r="FCA21" s="7"/>
      <c r="FCB21" s="7"/>
      <c r="FCC21" s="7"/>
      <c r="FCD21" s="7"/>
      <c r="FCE21" s="7"/>
      <c r="FCF21" s="7"/>
      <c r="FCG21" s="7"/>
      <c r="FCH21" s="7"/>
      <c r="FCI21" s="7"/>
      <c r="FCJ21" s="7"/>
      <c r="FCK21" s="7"/>
      <c r="FCL21" s="7"/>
      <c r="FCM21" s="7"/>
      <c r="FCN21" s="7"/>
      <c r="FCO21" s="7"/>
      <c r="FCP21" s="7"/>
      <c r="FCQ21" s="7"/>
      <c r="FCR21" s="7"/>
      <c r="FCS21" s="7"/>
      <c r="FCT21" s="7"/>
      <c r="FCU21" s="7"/>
      <c r="FCV21" s="7"/>
      <c r="FCW21" s="7"/>
      <c r="FCX21" s="7"/>
      <c r="FCY21" s="7"/>
      <c r="FCZ21" s="7"/>
      <c r="FDA21" s="7"/>
      <c r="FDB21" s="7"/>
      <c r="FDC21" s="7"/>
      <c r="FDD21" s="7"/>
      <c r="FDE21" s="7"/>
      <c r="FDF21" s="7"/>
      <c r="FDG21" s="7"/>
      <c r="FDH21" s="7"/>
      <c r="FDI21" s="7"/>
      <c r="FDJ21" s="7"/>
      <c r="FDK21" s="7"/>
      <c r="FDL21" s="7"/>
      <c r="FDM21" s="7"/>
      <c r="FDN21" s="7"/>
      <c r="FDO21" s="7"/>
      <c r="FDP21" s="7"/>
      <c r="FDQ21" s="7"/>
      <c r="FDR21" s="7"/>
      <c r="FDS21" s="7"/>
      <c r="FDT21" s="7"/>
      <c r="FDU21" s="7"/>
      <c r="FDV21" s="7"/>
      <c r="FDW21" s="7"/>
      <c r="FDX21" s="7"/>
      <c r="FDY21" s="7"/>
      <c r="FDZ21" s="7"/>
      <c r="FEA21" s="7"/>
      <c r="FEB21" s="7"/>
      <c r="FEC21" s="7"/>
      <c r="FED21" s="7"/>
      <c r="FEE21" s="7"/>
      <c r="FEF21" s="7"/>
      <c r="FEG21" s="7"/>
      <c r="FEH21" s="7"/>
      <c r="FEI21" s="7"/>
      <c r="FEJ21" s="7"/>
      <c r="FEK21" s="7"/>
      <c r="FEL21" s="7"/>
      <c r="FEM21" s="7"/>
      <c r="FEN21" s="7"/>
      <c r="FEO21" s="7"/>
      <c r="FEP21" s="7"/>
      <c r="FEQ21" s="7"/>
      <c r="FER21" s="7"/>
      <c r="FES21" s="7"/>
      <c r="FET21" s="7"/>
      <c r="FEU21" s="7"/>
      <c r="FEV21" s="7"/>
      <c r="FEW21" s="7"/>
      <c r="FEX21" s="7"/>
      <c r="FEY21" s="7"/>
      <c r="FEZ21" s="7"/>
      <c r="FFA21" s="7"/>
      <c r="FFB21" s="7"/>
      <c r="FFC21" s="7"/>
      <c r="FFD21" s="7"/>
      <c r="FFE21" s="7"/>
      <c r="FFF21" s="7"/>
      <c r="FFG21" s="7"/>
      <c r="FFH21" s="7"/>
      <c r="FFI21" s="7"/>
      <c r="FFJ21" s="7"/>
      <c r="FFK21" s="7"/>
      <c r="FFL21" s="7"/>
      <c r="FFM21" s="7"/>
      <c r="FFN21" s="7"/>
      <c r="FFO21" s="7"/>
      <c r="FFP21" s="7"/>
      <c r="FFQ21" s="7"/>
      <c r="FFR21" s="7"/>
      <c r="FFS21" s="7"/>
      <c r="FFT21" s="7"/>
      <c r="FFU21" s="7"/>
      <c r="FFV21" s="7"/>
      <c r="FFW21" s="7"/>
      <c r="FFX21" s="7"/>
      <c r="FFY21" s="7"/>
      <c r="FFZ21" s="7"/>
      <c r="FGA21" s="7"/>
      <c r="FGB21" s="7"/>
      <c r="FGC21" s="7"/>
      <c r="FGD21" s="7"/>
      <c r="FGE21" s="7"/>
      <c r="FGF21" s="7"/>
      <c r="FGG21" s="7"/>
      <c r="FGH21" s="7"/>
      <c r="FGI21" s="7"/>
      <c r="FGJ21" s="7"/>
      <c r="FGK21" s="7"/>
      <c r="FGL21" s="7"/>
      <c r="FGM21" s="7"/>
      <c r="FGN21" s="7"/>
      <c r="FGO21" s="7"/>
      <c r="FGP21" s="7"/>
      <c r="FGQ21" s="7"/>
      <c r="FGR21" s="7"/>
      <c r="FGS21" s="7"/>
      <c r="FGT21" s="7"/>
      <c r="FGU21" s="7"/>
      <c r="FGV21" s="7"/>
      <c r="FGW21" s="7"/>
      <c r="FGX21" s="7"/>
      <c r="FGY21" s="7"/>
      <c r="FGZ21" s="7"/>
      <c r="FHA21" s="7"/>
      <c r="FHB21" s="7"/>
      <c r="FHC21" s="7"/>
      <c r="FHD21" s="7"/>
      <c r="FHE21" s="7"/>
      <c r="FHF21" s="7"/>
      <c r="FHG21" s="7"/>
      <c r="FHH21" s="7"/>
      <c r="FHI21" s="7"/>
      <c r="FHJ21" s="7"/>
      <c r="FHK21" s="7"/>
      <c r="FHL21" s="7"/>
      <c r="FHM21" s="7"/>
      <c r="FHN21" s="7"/>
      <c r="FHO21" s="7"/>
      <c r="FHP21" s="7"/>
      <c r="FHQ21" s="7"/>
      <c r="FHR21" s="7"/>
      <c r="FHS21" s="7"/>
      <c r="FHT21" s="7"/>
      <c r="FHU21" s="7"/>
      <c r="FHV21" s="7"/>
      <c r="FHW21" s="7"/>
      <c r="FHX21" s="7"/>
      <c r="FHY21" s="7"/>
      <c r="FHZ21" s="7"/>
      <c r="FIA21" s="7"/>
      <c r="FIB21" s="7"/>
      <c r="FIC21" s="7"/>
      <c r="FID21" s="7"/>
      <c r="FIE21" s="7"/>
      <c r="FIF21" s="7"/>
      <c r="FIG21" s="7"/>
      <c r="FIH21" s="7"/>
      <c r="FII21" s="7"/>
      <c r="FIJ21" s="7"/>
      <c r="FIK21" s="7"/>
      <c r="FIL21" s="7"/>
      <c r="FIM21" s="7"/>
      <c r="FIN21" s="7"/>
      <c r="FIO21" s="7"/>
      <c r="FIP21" s="7"/>
      <c r="FIQ21" s="7"/>
      <c r="FIR21" s="7"/>
      <c r="FIS21" s="7"/>
      <c r="FIT21" s="7"/>
      <c r="FIU21" s="7"/>
      <c r="FIV21" s="7"/>
      <c r="FIW21" s="7"/>
      <c r="FIX21" s="7"/>
      <c r="FIY21" s="7"/>
      <c r="FIZ21" s="7"/>
      <c r="FJA21" s="7"/>
      <c r="FJB21" s="7"/>
      <c r="FJC21" s="7"/>
      <c r="FJD21" s="7"/>
      <c r="FJE21" s="7"/>
      <c r="FJF21" s="7"/>
      <c r="FJG21" s="7"/>
      <c r="FJH21" s="7"/>
      <c r="FJI21" s="7"/>
      <c r="FJJ21" s="7"/>
      <c r="FJK21" s="7"/>
      <c r="FJL21" s="7"/>
      <c r="FJM21" s="7"/>
      <c r="FJN21" s="7"/>
      <c r="FJO21" s="7"/>
      <c r="FJP21" s="7"/>
      <c r="FJQ21" s="7"/>
      <c r="FJR21" s="7"/>
      <c r="FJS21" s="7"/>
      <c r="FJT21" s="7"/>
      <c r="FJU21" s="7"/>
      <c r="FJV21" s="7"/>
      <c r="FJW21" s="7"/>
      <c r="FJX21" s="7"/>
      <c r="FJY21" s="7"/>
      <c r="FJZ21" s="7"/>
      <c r="FKA21" s="7"/>
      <c r="FKB21" s="7"/>
      <c r="FKC21" s="7"/>
      <c r="FKD21" s="7"/>
      <c r="FKE21" s="7"/>
      <c r="FKF21" s="7"/>
      <c r="FKG21" s="7"/>
      <c r="FKH21" s="7"/>
      <c r="FKI21" s="7"/>
      <c r="FKJ21" s="7"/>
      <c r="FKK21" s="7"/>
      <c r="FKL21" s="7"/>
      <c r="FKM21" s="7"/>
      <c r="FKN21" s="7"/>
      <c r="FKO21" s="7"/>
      <c r="FKP21" s="7"/>
      <c r="FKQ21" s="7"/>
      <c r="FKR21" s="7"/>
      <c r="FKS21" s="7"/>
      <c r="FKT21" s="7"/>
      <c r="FKU21" s="7"/>
      <c r="FKV21" s="7"/>
      <c r="FKW21" s="7"/>
      <c r="FKX21" s="7"/>
      <c r="FKY21" s="7"/>
      <c r="FKZ21" s="7"/>
      <c r="FLA21" s="7"/>
      <c r="FLB21" s="7"/>
      <c r="FLC21" s="7"/>
      <c r="FLD21" s="7"/>
      <c r="FLE21" s="7"/>
      <c r="FLF21" s="7"/>
      <c r="FLG21" s="7"/>
      <c r="FLH21" s="7"/>
      <c r="FLI21" s="7"/>
      <c r="FLJ21" s="7"/>
      <c r="FLK21" s="7"/>
      <c r="FLL21" s="7"/>
      <c r="FLM21" s="7"/>
      <c r="FLN21" s="7"/>
      <c r="FLO21" s="7"/>
      <c r="FLP21" s="7"/>
      <c r="FLQ21" s="7"/>
      <c r="FLR21" s="7"/>
      <c r="FLS21" s="7"/>
      <c r="FLT21" s="7"/>
      <c r="FLU21" s="7"/>
      <c r="FLV21" s="7"/>
      <c r="FLW21" s="7"/>
      <c r="FLX21" s="7"/>
      <c r="FLY21" s="7"/>
      <c r="FLZ21" s="7"/>
      <c r="FMA21" s="7"/>
      <c r="FMB21" s="7"/>
      <c r="FMC21" s="7"/>
      <c r="FMD21" s="7"/>
      <c r="FME21" s="7"/>
      <c r="FMF21" s="7"/>
      <c r="FMG21" s="7"/>
      <c r="FMH21" s="7"/>
      <c r="FMI21" s="7"/>
      <c r="FMJ21" s="7"/>
      <c r="FMK21" s="7"/>
      <c r="FML21" s="7"/>
      <c r="FMM21" s="7"/>
      <c r="FMN21" s="7"/>
      <c r="FMO21" s="7"/>
      <c r="FMP21" s="7"/>
      <c r="FMQ21" s="7"/>
      <c r="FMR21" s="7"/>
      <c r="FMS21" s="7"/>
      <c r="FMT21" s="7"/>
      <c r="FMU21" s="7"/>
      <c r="FMV21" s="7"/>
      <c r="FMW21" s="7"/>
      <c r="FMX21" s="7"/>
      <c r="FMY21" s="7"/>
      <c r="FMZ21" s="7"/>
      <c r="FNA21" s="7"/>
      <c r="FNB21" s="7"/>
      <c r="FNC21" s="7"/>
      <c r="FND21" s="7"/>
      <c r="FNE21" s="7"/>
      <c r="FNF21" s="7"/>
      <c r="FNG21" s="7"/>
      <c r="FNH21" s="7"/>
      <c r="FNI21" s="7"/>
      <c r="FNJ21" s="7"/>
      <c r="FNK21" s="7"/>
      <c r="FNL21" s="7"/>
      <c r="FNM21" s="7"/>
      <c r="FNN21" s="7"/>
      <c r="FNO21" s="7"/>
      <c r="FNP21" s="7"/>
      <c r="FNQ21" s="7"/>
      <c r="FNR21" s="7"/>
      <c r="FNS21" s="7"/>
      <c r="FNT21" s="7"/>
      <c r="FNU21" s="7"/>
      <c r="FNV21" s="7"/>
      <c r="FNW21" s="7"/>
      <c r="FNX21" s="7"/>
      <c r="FNY21" s="7"/>
      <c r="FNZ21" s="7"/>
      <c r="FOA21" s="7"/>
      <c r="FOB21" s="7"/>
      <c r="FOC21" s="7"/>
      <c r="FOD21" s="7"/>
      <c r="FOE21" s="7"/>
      <c r="FOF21" s="7"/>
      <c r="FOG21" s="7"/>
      <c r="FOH21" s="7"/>
      <c r="FOI21" s="7"/>
      <c r="FOJ21" s="7"/>
      <c r="FOK21" s="7"/>
      <c r="FOL21" s="7"/>
      <c r="FOM21" s="7"/>
      <c r="FON21" s="7"/>
      <c r="FOO21" s="7"/>
      <c r="FOP21" s="7"/>
      <c r="FOQ21" s="7"/>
      <c r="FOR21" s="7"/>
      <c r="FOS21" s="7"/>
      <c r="FOT21" s="7"/>
      <c r="FOU21" s="7"/>
      <c r="FOV21" s="7"/>
      <c r="FOW21" s="7"/>
      <c r="FOX21" s="7"/>
      <c r="FOY21" s="7"/>
      <c r="FOZ21" s="7"/>
      <c r="FPA21" s="7"/>
      <c r="FPB21" s="7"/>
      <c r="FPC21" s="7"/>
      <c r="FPD21" s="7"/>
      <c r="FPE21" s="7"/>
      <c r="FPF21" s="7"/>
      <c r="FPG21" s="7"/>
      <c r="FPH21" s="7"/>
      <c r="FPI21" s="7"/>
      <c r="FPJ21" s="7"/>
      <c r="FPK21" s="7"/>
      <c r="FPL21" s="7"/>
      <c r="FPM21" s="7"/>
      <c r="FPN21" s="7"/>
      <c r="FPO21" s="7"/>
      <c r="FPP21" s="7"/>
      <c r="FPQ21" s="7"/>
      <c r="FPR21" s="7"/>
      <c r="FPS21" s="7"/>
      <c r="FPT21" s="7"/>
      <c r="FPU21" s="7"/>
      <c r="FPV21" s="7"/>
      <c r="FPW21" s="7"/>
      <c r="FPX21" s="7"/>
      <c r="FPY21" s="7"/>
      <c r="FPZ21" s="7"/>
      <c r="FQA21" s="7"/>
      <c r="FQB21" s="7"/>
      <c r="FQC21" s="7"/>
      <c r="FQD21" s="7"/>
      <c r="FQE21" s="7"/>
      <c r="FQF21" s="7"/>
      <c r="FQG21" s="7"/>
      <c r="FQH21" s="7"/>
      <c r="FQI21" s="7"/>
      <c r="FQJ21" s="7"/>
      <c r="FQK21" s="7"/>
      <c r="FQL21" s="7"/>
      <c r="FQM21" s="7"/>
      <c r="FQN21" s="7"/>
      <c r="FQO21" s="7"/>
      <c r="FQP21" s="7"/>
      <c r="FQQ21" s="7"/>
      <c r="FQR21" s="7"/>
      <c r="FQS21" s="7"/>
      <c r="FQT21" s="7"/>
      <c r="FQU21" s="7"/>
      <c r="FQV21" s="7"/>
      <c r="FQW21" s="7"/>
      <c r="FQX21" s="7"/>
      <c r="FQY21" s="7"/>
      <c r="FQZ21" s="7"/>
      <c r="FRA21" s="7"/>
      <c r="FRB21" s="7"/>
      <c r="FRC21" s="7"/>
      <c r="FRD21" s="7"/>
      <c r="FRE21" s="7"/>
      <c r="FRF21" s="7"/>
      <c r="FRG21" s="7"/>
      <c r="FRH21" s="7"/>
      <c r="FRI21" s="7"/>
      <c r="FRJ21" s="7"/>
      <c r="FRK21" s="7"/>
      <c r="FRL21" s="7"/>
      <c r="FRM21" s="7"/>
      <c r="FRN21" s="7"/>
      <c r="FRO21" s="7"/>
      <c r="FRP21" s="7"/>
      <c r="FRQ21" s="7"/>
      <c r="FRR21" s="7"/>
      <c r="FRS21" s="7"/>
      <c r="FRT21" s="7"/>
      <c r="FRU21" s="7"/>
      <c r="FRV21" s="7"/>
      <c r="FRW21" s="7"/>
      <c r="FRX21" s="7"/>
      <c r="FRY21" s="7"/>
      <c r="FRZ21" s="7"/>
      <c r="FSA21" s="7"/>
      <c r="FSB21" s="7"/>
      <c r="FSC21" s="7"/>
      <c r="FSD21" s="7"/>
      <c r="FSE21" s="7"/>
      <c r="FSF21" s="7"/>
      <c r="FSG21" s="7"/>
      <c r="FSH21" s="7"/>
      <c r="FSI21" s="7"/>
      <c r="FSJ21" s="7"/>
      <c r="FSK21" s="7"/>
      <c r="FSL21" s="7"/>
      <c r="FSM21" s="7"/>
      <c r="FSN21" s="7"/>
      <c r="FSO21" s="7"/>
      <c r="FSP21" s="7"/>
      <c r="FSQ21" s="7"/>
      <c r="FSR21" s="7"/>
      <c r="FSS21" s="7"/>
      <c r="FST21" s="7"/>
      <c r="FSU21" s="7"/>
      <c r="FSV21" s="7"/>
      <c r="FSW21" s="7"/>
      <c r="FSX21" s="7"/>
      <c r="FSY21" s="7"/>
      <c r="FSZ21" s="7"/>
      <c r="FTA21" s="7"/>
      <c r="FTB21" s="7"/>
      <c r="FTC21" s="7"/>
      <c r="FTD21" s="7"/>
      <c r="FTE21" s="7"/>
      <c r="FTF21" s="7"/>
      <c r="FTG21" s="7"/>
      <c r="FTH21" s="7"/>
      <c r="FTI21" s="7"/>
      <c r="FTJ21" s="7"/>
      <c r="FTK21" s="7"/>
      <c r="FTL21" s="7"/>
      <c r="FTM21" s="7"/>
      <c r="FTN21" s="7"/>
      <c r="FTO21" s="7"/>
      <c r="FTP21" s="7"/>
      <c r="FTQ21" s="7"/>
      <c r="FTR21" s="7"/>
      <c r="FTS21" s="7"/>
      <c r="FTT21" s="7"/>
      <c r="FTU21" s="7"/>
      <c r="FTV21" s="7"/>
      <c r="FTW21" s="7"/>
      <c r="FTX21" s="7"/>
      <c r="FTY21" s="7"/>
      <c r="FTZ21" s="7"/>
      <c r="FUA21" s="7"/>
      <c r="FUB21" s="7"/>
      <c r="FUC21" s="7"/>
      <c r="FUD21" s="7"/>
      <c r="FUE21" s="7"/>
      <c r="FUF21" s="7"/>
      <c r="FUG21" s="7"/>
      <c r="FUH21" s="7"/>
      <c r="FUI21" s="7"/>
      <c r="FUJ21" s="7"/>
      <c r="FUK21" s="7"/>
      <c r="FUL21" s="7"/>
      <c r="FUM21" s="7"/>
      <c r="FUN21" s="7"/>
      <c r="FUO21" s="7"/>
      <c r="FUP21" s="7"/>
      <c r="FUQ21" s="7"/>
      <c r="FUR21" s="7"/>
      <c r="FUS21" s="7"/>
      <c r="FUT21" s="7"/>
      <c r="FUU21" s="7"/>
      <c r="FUV21" s="7"/>
      <c r="FUW21" s="7"/>
      <c r="FUX21" s="7"/>
      <c r="FUY21" s="7"/>
      <c r="FUZ21" s="7"/>
      <c r="FVA21" s="7"/>
      <c r="FVB21" s="7"/>
      <c r="FVC21" s="7"/>
      <c r="FVD21" s="7"/>
      <c r="FVE21" s="7"/>
      <c r="FVF21" s="7"/>
      <c r="FVG21" s="7"/>
      <c r="FVH21" s="7"/>
      <c r="FVI21" s="7"/>
      <c r="FVJ21" s="7"/>
      <c r="FVK21" s="7"/>
      <c r="FVL21" s="7"/>
      <c r="FVM21" s="7"/>
      <c r="FVN21" s="7"/>
      <c r="FVO21" s="7"/>
      <c r="FVP21" s="7"/>
      <c r="FVQ21" s="7"/>
      <c r="FVR21" s="7"/>
      <c r="FVS21" s="7"/>
      <c r="FVT21" s="7"/>
      <c r="FVU21" s="7"/>
      <c r="FVV21" s="7"/>
      <c r="FVW21" s="7"/>
      <c r="FVX21" s="7"/>
      <c r="FVY21" s="7"/>
      <c r="FVZ21" s="7"/>
      <c r="FWA21" s="7"/>
      <c r="FWB21" s="7"/>
      <c r="FWC21" s="7"/>
      <c r="FWD21" s="7"/>
      <c r="FWE21" s="7"/>
      <c r="FWF21" s="7"/>
      <c r="FWG21" s="7"/>
      <c r="FWH21" s="7"/>
      <c r="FWI21" s="7"/>
      <c r="FWJ21" s="7"/>
      <c r="FWK21" s="7"/>
      <c r="FWL21" s="7"/>
      <c r="FWM21" s="7"/>
      <c r="FWN21" s="7"/>
      <c r="FWO21" s="7"/>
      <c r="FWP21" s="7"/>
      <c r="FWQ21" s="7"/>
      <c r="FWR21" s="7"/>
      <c r="FWS21" s="7"/>
      <c r="FWT21" s="7"/>
      <c r="FWU21" s="7"/>
      <c r="FWV21" s="7"/>
      <c r="FWW21" s="7"/>
      <c r="FWX21" s="7"/>
      <c r="FWY21" s="7"/>
      <c r="FWZ21" s="7"/>
      <c r="FXA21" s="7"/>
      <c r="FXB21" s="7"/>
      <c r="FXC21" s="7"/>
      <c r="FXD21" s="7"/>
      <c r="FXE21" s="7"/>
      <c r="FXF21" s="7"/>
      <c r="FXG21" s="7"/>
      <c r="FXH21" s="7"/>
      <c r="FXI21" s="7"/>
      <c r="FXJ21" s="7"/>
      <c r="FXK21" s="7"/>
      <c r="FXL21" s="7"/>
      <c r="FXM21" s="7"/>
      <c r="FXN21" s="7"/>
      <c r="FXO21" s="7"/>
      <c r="FXP21" s="7"/>
      <c r="FXQ21" s="7"/>
      <c r="FXR21" s="7"/>
      <c r="FXS21" s="7"/>
      <c r="FXT21" s="7"/>
      <c r="FXU21" s="7"/>
      <c r="FXV21" s="7"/>
      <c r="FXW21" s="7"/>
      <c r="FXX21" s="7"/>
      <c r="FXY21" s="7"/>
      <c r="FXZ21" s="7"/>
      <c r="FYA21" s="7"/>
      <c r="FYB21" s="7"/>
      <c r="FYC21" s="7"/>
      <c r="FYD21" s="7"/>
      <c r="FYE21" s="7"/>
      <c r="FYF21" s="7"/>
      <c r="FYG21" s="7"/>
      <c r="FYH21" s="7"/>
      <c r="FYI21" s="7"/>
      <c r="FYJ21" s="7"/>
      <c r="FYK21" s="7"/>
      <c r="FYL21" s="7"/>
      <c r="FYM21" s="7"/>
      <c r="FYN21" s="7"/>
      <c r="FYO21" s="7"/>
      <c r="FYP21" s="7"/>
      <c r="FYQ21" s="7"/>
      <c r="FYR21" s="7"/>
      <c r="FYS21" s="7"/>
      <c r="FYT21" s="7"/>
      <c r="FYU21" s="7"/>
      <c r="FYV21" s="7"/>
      <c r="FYW21" s="7"/>
      <c r="FYX21" s="7"/>
      <c r="FYY21" s="7"/>
      <c r="FYZ21" s="7"/>
      <c r="FZA21" s="7"/>
      <c r="FZB21" s="7"/>
      <c r="FZC21" s="7"/>
      <c r="FZD21" s="7"/>
      <c r="FZE21" s="7"/>
      <c r="FZF21" s="7"/>
      <c r="FZG21" s="7"/>
      <c r="FZH21" s="7"/>
      <c r="FZI21" s="7"/>
      <c r="FZJ21" s="7"/>
      <c r="FZK21" s="7"/>
      <c r="FZL21" s="7"/>
      <c r="FZM21" s="7"/>
      <c r="FZN21" s="7"/>
      <c r="FZO21" s="7"/>
      <c r="FZP21" s="7"/>
      <c r="FZQ21" s="7"/>
      <c r="FZR21" s="7"/>
      <c r="FZS21" s="7"/>
      <c r="FZT21" s="7"/>
      <c r="FZU21" s="7"/>
      <c r="FZV21" s="7"/>
      <c r="FZW21" s="7"/>
      <c r="FZX21" s="7"/>
      <c r="FZY21" s="7"/>
      <c r="FZZ21" s="7"/>
      <c r="GAA21" s="7"/>
      <c r="GAB21" s="7"/>
      <c r="GAC21" s="7"/>
      <c r="GAD21" s="7"/>
      <c r="GAE21" s="7"/>
      <c r="GAF21" s="7"/>
      <c r="GAG21" s="7"/>
      <c r="GAH21" s="7"/>
      <c r="GAI21" s="7"/>
      <c r="GAJ21" s="7"/>
      <c r="GAK21" s="7"/>
      <c r="GAL21" s="7"/>
      <c r="GAM21" s="7"/>
      <c r="GAN21" s="7"/>
      <c r="GAO21" s="7"/>
      <c r="GAP21" s="7"/>
      <c r="GAQ21" s="7"/>
      <c r="GAR21" s="7"/>
      <c r="GAS21" s="7"/>
      <c r="GAT21" s="7"/>
      <c r="GAU21" s="7"/>
      <c r="GAV21" s="7"/>
      <c r="GAW21" s="7"/>
      <c r="GAX21" s="7"/>
      <c r="GAY21" s="7"/>
      <c r="GAZ21" s="7"/>
      <c r="GBA21" s="7"/>
      <c r="GBB21" s="7"/>
      <c r="GBC21" s="7"/>
      <c r="GBD21" s="7"/>
      <c r="GBE21" s="7"/>
      <c r="GBF21" s="7"/>
      <c r="GBG21" s="7"/>
      <c r="GBH21" s="7"/>
      <c r="GBI21" s="7"/>
      <c r="GBJ21" s="7"/>
      <c r="GBK21" s="7"/>
      <c r="GBL21" s="7"/>
      <c r="GBM21" s="7"/>
      <c r="GBN21" s="7"/>
      <c r="GBO21" s="7"/>
      <c r="GBP21" s="7"/>
      <c r="GBQ21" s="7"/>
      <c r="GBR21" s="7"/>
      <c r="GBS21" s="7"/>
      <c r="GBT21" s="7"/>
      <c r="GBU21" s="7"/>
      <c r="GBV21" s="7"/>
      <c r="GBW21" s="7"/>
      <c r="GBX21" s="7"/>
      <c r="GBY21" s="7"/>
      <c r="GBZ21" s="7"/>
      <c r="GCA21" s="7"/>
      <c r="GCB21" s="7"/>
      <c r="GCC21" s="7"/>
      <c r="GCD21" s="7"/>
      <c r="GCE21" s="7"/>
      <c r="GCF21" s="7"/>
      <c r="GCG21" s="7"/>
      <c r="GCH21" s="7"/>
      <c r="GCI21" s="7"/>
      <c r="GCJ21" s="7"/>
      <c r="GCK21" s="7"/>
      <c r="GCL21" s="7"/>
      <c r="GCM21" s="7"/>
      <c r="GCN21" s="7"/>
      <c r="GCO21" s="7"/>
      <c r="GCP21" s="7"/>
      <c r="GCQ21" s="7"/>
      <c r="GCR21" s="7"/>
      <c r="GCS21" s="7"/>
      <c r="GCT21" s="7"/>
      <c r="GCU21" s="7"/>
      <c r="GCV21" s="7"/>
      <c r="GCW21" s="7"/>
      <c r="GCX21" s="7"/>
      <c r="GCY21" s="7"/>
      <c r="GCZ21" s="7"/>
      <c r="GDA21" s="7"/>
      <c r="GDB21" s="7"/>
      <c r="GDC21" s="7"/>
      <c r="GDD21" s="7"/>
      <c r="GDE21" s="7"/>
      <c r="GDF21" s="7"/>
      <c r="GDG21" s="7"/>
      <c r="GDH21" s="7"/>
      <c r="GDI21" s="7"/>
      <c r="GDJ21" s="7"/>
      <c r="GDK21" s="7"/>
      <c r="GDL21" s="7"/>
      <c r="GDM21" s="7"/>
      <c r="GDN21" s="7"/>
      <c r="GDO21" s="7"/>
      <c r="GDP21" s="7"/>
      <c r="GDQ21" s="7"/>
      <c r="GDR21" s="7"/>
      <c r="GDS21" s="7"/>
      <c r="GDT21" s="7"/>
      <c r="GDU21" s="7"/>
      <c r="GDV21" s="7"/>
      <c r="GDW21" s="7"/>
      <c r="GDX21" s="7"/>
      <c r="GDY21" s="7"/>
      <c r="GDZ21" s="7"/>
      <c r="GEA21" s="7"/>
      <c r="GEB21" s="7"/>
      <c r="GEC21" s="7"/>
      <c r="GED21" s="7"/>
      <c r="GEE21" s="7"/>
      <c r="GEF21" s="7"/>
      <c r="GEG21" s="7"/>
      <c r="GEH21" s="7"/>
      <c r="GEI21" s="7"/>
      <c r="GEJ21" s="7"/>
      <c r="GEK21" s="7"/>
      <c r="GEL21" s="7"/>
      <c r="GEM21" s="7"/>
      <c r="GEN21" s="7"/>
      <c r="GEO21" s="7"/>
      <c r="GEP21" s="7"/>
      <c r="GEQ21" s="7"/>
      <c r="GER21" s="7"/>
      <c r="GES21" s="7"/>
      <c r="GET21" s="7"/>
      <c r="GEU21" s="7"/>
      <c r="GEV21" s="7"/>
      <c r="GEW21" s="7"/>
      <c r="GEX21" s="7"/>
      <c r="GEY21" s="7"/>
      <c r="GEZ21" s="7"/>
      <c r="GFA21" s="7"/>
      <c r="GFB21" s="7"/>
      <c r="GFC21" s="7"/>
      <c r="GFD21" s="7"/>
      <c r="GFE21" s="7"/>
      <c r="GFF21" s="7"/>
      <c r="GFG21" s="7"/>
      <c r="GFH21" s="7"/>
      <c r="GFI21" s="7"/>
      <c r="GFJ21" s="7"/>
      <c r="GFK21" s="7"/>
      <c r="GFL21" s="7"/>
      <c r="GFM21" s="7"/>
      <c r="GFN21" s="7"/>
      <c r="GFO21" s="7"/>
      <c r="GFP21" s="7"/>
      <c r="GFQ21" s="7"/>
      <c r="GFR21" s="7"/>
      <c r="GFS21" s="7"/>
      <c r="GFT21" s="7"/>
      <c r="GFU21" s="7"/>
      <c r="GFV21" s="7"/>
      <c r="GFW21" s="7"/>
      <c r="GFX21" s="7"/>
      <c r="GFY21" s="7"/>
      <c r="GFZ21" s="7"/>
      <c r="GGA21" s="7"/>
      <c r="GGB21" s="7"/>
      <c r="GGC21" s="7"/>
      <c r="GGD21" s="7"/>
      <c r="GGE21" s="7"/>
      <c r="GGF21" s="7"/>
      <c r="GGG21" s="7"/>
      <c r="GGH21" s="7"/>
      <c r="GGI21" s="7"/>
      <c r="GGJ21" s="7"/>
      <c r="GGK21" s="7"/>
      <c r="GGL21" s="7"/>
      <c r="GGM21" s="7"/>
      <c r="GGN21" s="7"/>
      <c r="GGO21" s="7"/>
      <c r="GGP21" s="7"/>
      <c r="GGQ21" s="7"/>
      <c r="GGR21" s="7"/>
      <c r="GGS21" s="7"/>
      <c r="GGT21" s="7"/>
      <c r="GGU21" s="7"/>
      <c r="GGV21" s="7"/>
      <c r="GGW21" s="7"/>
      <c r="GGX21" s="7"/>
      <c r="GGY21" s="7"/>
      <c r="GGZ21" s="7"/>
      <c r="GHA21" s="7"/>
      <c r="GHB21" s="7"/>
      <c r="GHC21" s="7"/>
      <c r="GHD21" s="7"/>
      <c r="GHE21" s="7"/>
      <c r="GHF21" s="7"/>
      <c r="GHG21" s="7"/>
      <c r="GHH21" s="7"/>
      <c r="GHI21" s="7"/>
      <c r="GHJ21" s="7"/>
      <c r="GHK21" s="7"/>
      <c r="GHL21" s="7"/>
      <c r="GHM21" s="7"/>
      <c r="GHN21" s="7"/>
      <c r="GHO21" s="7"/>
      <c r="GHP21" s="7"/>
      <c r="GHQ21" s="7"/>
      <c r="GHR21" s="7"/>
      <c r="GHS21" s="7"/>
      <c r="GHT21" s="7"/>
      <c r="GHU21" s="7"/>
      <c r="GHV21" s="7"/>
      <c r="GHW21" s="7"/>
      <c r="GHX21" s="7"/>
      <c r="GHY21" s="7"/>
      <c r="GHZ21" s="7"/>
      <c r="GIA21" s="7"/>
      <c r="GIB21" s="7"/>
      <c r="GIC21" s="7"/>
      <c r="GID21" s="7"/>
      <c r="GIE21" s="7"/>
      <c r="GIF21" s="7"/>
      <c r="GIG21" s="7"/>
      <c r="GIH21" s="7"/>
      <c r="GII21" s="7"/>
      <c r="GIJ21" s="7"/>
      <c r="GIK21" s="7"/>
      <c r="GIL21" s="7"/>
      <c r="GIM21" s="7"/>
      <c r="GIN21" s="7"/>
      <c r="GIO21" s="7"/>
      <c r="GIP21" s="7"/>
      <c r="GIQ21" s="7"/>
      <c r="GIR21" s="7"/>
      <c r="GIS21" s="7"/>
      <c r="GIT21" s="7"/>
      <c r="GIU21" s="7"/>
      <c r="GIV21" s="7"/>
      <c r="GIW21" s="7"/>
      <c r="GIX21" s="7"/>
      <c r="GIY21" s="7"/>
      <c r="GIZ21" s="7"/>
      <c r="GJA21" s="7"/>
      <c r="GJB21" s="7"/>
      <c r="GJC21" s="7"/>
      <c r="GJD21" s="7"/>
      <c r="GJE21" s="7"/>
      <c r="GJF21" s="7"/>
      <c r="GJG21" s="7"/>
      <c r="GJH21" s="7"/>
      <c r="GJI21" s="7"/>
      <c r="GJJ21" s="7"/>
      <c r="GJK21" s="7"/>
      <c r="GJL21" s="7"/>
      <c r="GJM21" s="7"/>
      <c r="GJN21" s="7"/>
      <c r="GJO21" s="7"/>
      <c r="GJP21" s="7"/>
      <c r="GJQ21" s="7"/>
      <c r="GJR21" s="7"/>
      <c r="GJS21" s="7"/>
      <c r="GJT21" s="7"/>
      <c r="GJU21" s="7"/>
      <c r="GJV21" s="7"/>
      <c r="GJW21" s="7"/>
      <c r="GJX21" s="7"/>
      <c r="GJY21" s="7"/>
      <c r="GJZ21" s="7"/>
      <c r="GKA21" s="7"/>
      <c r="GKB21" s="7"/>
      <c r="GKC21" s="7"/>
      <c r="GKD21" s="7"/>
      <c r="GKE21" s="7"/>
      <c r="GKF21" s="7"/>
      <c r="GKG21" s="7"/>
      <c r="GKH21" s="7"/>
      <c r="GKI21" s="7"/>
      <c r="GKJ21" s="7"/>
      <c r="GKK21" s="7"/>
      <c r="GKL21" s="7"/>
      <c r="GKM21" s="7"/>
      <c r="GKN21" s="7"/>
      <c r="GKO21" s="7"/>
      <c r="GKP21" s="7"/>
      <c r="GKQ21" s="7"/>
      <c r="GKR21" s="7"/>
      <c r="GKS21" s="7"/>
      <c r="GKT21" s="7"/>
      <c r="GKU21" s="7"/>
      <c r="GKV21" s="7"/>
      <c r="GKW21" s="7"/>
      <c r="GKX21" s="7"/>
      <c r="GKY21" s="7"/>
      <c r="GKZ21" s="7"/>
      <c r="GLA21" s="7"/>
      <c r="GLB21" s="7"/>
      <c r="GLC21" s="7"/>
      <c r="GLD21" s="7"/>
      <c r="GLE21" s="7"/>
      <c r="GLF21" s="7"/>
      <c r="GLG21" s="7"/>
      <c r="GLH21" s="7"/>
      <c r="GLI21" s="7"/>
      <c r="GLJ21" s="7"/>
      <c r="GLK21" s="7"/>
      <c r="GLL21" s="7"/>
      <c r="GLM21" s="7"/>
      <c r="GLN21" s="7"/>
      <c r="GLO21" s="7"/>
      <c r="GLP21" s="7"/>
      <c r="GLQ21" s="7"/>
      <c r="GLR21" s="7"/>
      <c r="GLS21" s="7"/>
      <c r="GLT21" s="7"/>
      <c r="GLU21" s="7"/>
      <c r="GLV21" s="7"/>
      <c r="GLW21" s="7"/>
      <c r="GLX21" s="7"/>
      <c r="GLY21" s="7"/>
      <c r="GLZ21" s="7"/>
      <c r="GMA21" s="7"/>
      <c r="GMB21" s="7"/>
      <c r="GMC21" s="7"/>
      <c r="GMD21" s="7"/>
      <c r="GME21" s="7"/>
      <c r="GMF21" s="7"/>
      <c r="GMG21" s="7"/>
      <c r="GMH21" s="7"/>
      <c r="GMI21" s="7"/>
      <c r="GMJ21" s="7"/>
      <c r="GMK21" s="7"/>
      <c r="GML21" s="7"/>
      <c r="GMM21" s="7"/>
      <c r="GMN21" s="7"/>
      <c r="GMO21" s="7"/>
      <c r="GMP21" s="7"/>
      <c r="GMQ21" s="7"/>
      <c r="GMR21" s="7"/>
      <c r="GMS21" s="7"/>
      <c r="GMT21" s="7"/>
      <c r="GMU21" s="7"/>
      <c r="GMV21" s="7"/>
      <c r="GMW21" s="7"/>
      <c r="GMX21" s="7"/>
      <c r="GMY21" s="7"/>
      <c r="GMZ21" s="7"/>
      <c r="GNA21" s="7"/>
      <c r="GNB21" s="7"/>
      <c r="GNC21" s="7"/>
      <c r="GND21" s="7"/>
      <c r="GNE21" s="7"/>
      <c r="GNF21" s="7"/>
      <c r="GNG21" s="7"/>
      <c r="GNH21" s="7"/>
      <c r="GNI21" s="7"/>
      <c r="GNJ21" s="7"/>
      <c r="GNK21" s="7"/>
      <c r="GNL21" s="7"/>
      <c r="GNM21" s="7"/>
      <c r="GNN21" s="7"/>
      <c r="GNO21" s="7"/>
      <c r="GNP21" s="7"/>
      <c r="GNQ21" s="7"/>
      <c r="GNR21" s="7"/>
      <c r="GNS21" s="7"/>
      <c r="GNT21" s="7"/>
      <c r="GNU21" s="7"/>
      <c r="GNV21" s="7"/>
      <c r="GNW21" s="7"/>
      <c r="GNX21" s="7"/>
      <c r="GNY21" s="7"/>
      <c r="GNZ21" s="7"/>
      <c r="GOA21" s="7"/>
      <c r="GOB21" s="7"/>
      <c r="GOC21" s="7"/>
      <c r="GOD21" s="7"/>
      <c r="GOE21" s="7"/>
      <c r="GOF21" s="7"/>
      <c r="GOG21" s="7"/>
      <c r="GOH21" s="7"/>
      <c r="GOI21" s="7"/>
      <c r="GOJ21" s="7"/>
      <c r="GOK21" s="7"/>
      <c r="GOL21" s="7"/>
      <c r="GOM21" s="7"/>
      <c r="GON21" s="7"/>
      <c r="GOO21" s="7"/>
      <c r="GOP21" s="7"/>
      <c r="GOQ21" s="7"/>
      <c r="GOR21" s="7"/>
      <c r="GOS21" s="7"/>
      <c r="GOT21" s="7"/>
      <c r="GOU21" s="7"/>
      <c r="GOV21" s="7"/>
      <c r="GOW21" s="7"/>
      <c r="GOX21" s="7"/>
      <c r="GOY21" s="7"/>
      <c r="GOZ21" s="7"/>
      <c r="GPA21" s="7"/>
      <c r="GPB21" s="7"/>
      <c r="GPC21" s="7"/>
      <c r="GPD21" s="7"/>
      <c r="GPE21" s="7"/>
      <c r="GPF21" s="7"/>
      <c r="GPG21" s="7"/>
      <c r="GPH21" s="7"/>
      <c r="GPI21" s="7"/>
      <c r="GPJ21" s="7"/>
      <c r="GPK21" s="7"/>
      <c r="GPL21" s="7"/>
      <c r="GPM21" s="7"/>
      <c r="GPN21" s="7"/>
      <c r="GPO21" s="7"/>
      <c r="GPP21" s="7"/>
      <c r="GPQ21" s="7"/>
      <c r="GPR21" s="7"/>
      <c r="GPS21" s="7"/>
      <c r="GPT21" s="7"/>
      <c r="GPU21" s="7"/>
      <c r="GPV21" s="7"/>
      <c r="GPW21" s="7"/>
      <c r="GPX21" s="7"/>
      <c r="GPY21" s="7"/>
      <c r="GPZ21" s="7"/>
      <c r="GQA21" s="7"/>
      <c r="GQB21" s="7"/>
      <c r="GQC21" s="7"/>
      <c r="GQD21" s="7"/>
      <c r="GQE21" s="7"/>
      <c r="GQF21" s="7"/>
      <c r="GQG21" s="7"/>
      <c r="GQH21" s="7"/>
      <c r="GQI21" s="7"/>
      <c r="GQJ21" s="7"/>
      <c r="GQK21" s="7"/>
      <c r="GQL21" s="7"/>
      <c r="GQM21" s="7"/>
      <c r="GQN21" s="7"/>
      <c r="GQO21" s="7"/>
      <c r="GQP21" s="7"/>
      <c r="GQQ21" s="7"/>
      <c r="GQR21" s="7"/>
      <c r="GQS21" s="7"/>
      <c r="GQT21" s="7"/>
      <c r="GQU21" s="7"/>
      <c r="GQV21" s="7"/>
      <c r="GQW21" s="7"/>
      <c r="GQX21" s="7"/>
      <c r="GQY21" s="7"/>
      <c r="GQZ21" s="7"/>
      <c r="GRA21" s="7"/>
      <c r="GRB21" s="7"/>
      <c r="GRC21" s="7"/>
      <c r="GRD21" s="7"/>
      <c r="GRE21" s="7"/>
      <c r="GRF21" s="7"/>
      <c r="GRG21" s="7"/>
      <c r="GRH21" s="7"/>
      <c r="GRI21" s="7"/>
      <c r="GRJ21" s="7"/>
      <c r="GRK21" s="7"/>
      <c r="GRL21" s="7"/>
      <c r="GRM21" s="7"/>
      <c r="GRN21" s="7"/>
      <c r="GRO21" s="7"/>
      <c r="GRP21" s="7"/>
      <c r="GRQ21" s="7"/>
      <c r="GRR21" s="7"/>
      <c r="GRS21" s="7"/>
      <c r="GRT21" s="7"/>
      <c r="GRU21" s="7"/>
      <c r="GRV21" s="7"/>
      <c r="GRW21" s="7"/>
      <c r="GRX21" s="7"/>
      <c r="GRY21" s="7"/>
      <c r="GRZ21" s="7"/>
      <c r="GSA21" s="7"/>
      <c r="GSB21" s="7"/>
      <c r="GSC21" s="7"/>
      <c r="GSD21" s="7"/>
      <c r="GSE21" s="7"/>
      <c r="GSF21" s="7"/>
      <c r="GSG21" s="7"/>
      <c r="GSH21" s="7"/>
      <c r="GSI21" s="7"/>
      <c r="GSJ21" s="7"/>
      <c r="GSK21" s="7"/>
      <c r="GSL21" s="7"/>
      <c r="GSM21" s="7"/>
      <c r="GSN21" s="7"/>
      <c r="GSO21" s="7"/>
      <c r="GSP21" s="7"/>
      <c r="GSQ21" s="7"/>
      <c r="GSR21" s="7"/>
      <c r="GSS21" s="7"/>
      <c r="GST21" s="7"/>
      <c r="GSU21" s="7"/>
      <c r="GSV21" s="7"/>
      <c r="GSW21" s="7"/>
      <c r="GSX21" s="7"/>
      <c r="GSY21" s="7"/>
      <c r="GSZ21" s="7"/>
      <c r="GTA21" s="7"/>
      <c r="GTB21" s="7"/>
      <c r="GTC21" s="7"/>
      <c r="GTD21" s="7"/>
      <c r="GTE21" s="7"/>
      <c r="GTF21" s="7"/>
      <c r="GTG21" s="7"/>
      <c r="GTH21" s="7"/>
      <c r="GTI21" s="7"/>
      <c r="GTJ21" s="7"/>
      <c r="GTK21" s="7"/>
      <c r="GTL21" s="7"/>
      <c r="GTM21" s="7"/>
      <c r="GTN21" s="7"/>
      <c r="GTO21" s="7"/>
      <c r="GTP21" s="7"/>
      <c r="GTQ21" s="7"/>
      <c r="GTR21" s="7"/>
      <c r="GTS21" s="7"/>
      <c r="GTT21" s="7"/>
      <c r="GTU21" s="7"/>
      <c r="GTV21" s="7"/>
      <c r="GTW21" s="7"/>
      <c r="GTX21" s="7"/>
      <c r="GTY21" s="7"/>
      <c r="GTZ21" s="7"/>
      <c r="GUA21" s="7"/>
      <c r="GUB21" s="7"/>
      <c r="GUC21" s="7"/>
      <c r="GUD21" s="7"/>
      <c r="GUE21" s="7"/>
      <c r="GUF21" s="7"/>
      <c r="GUG21" s="7"/>
      <c r="GUH21" s="7"/>
      <c r="GUI21" s="7"/>
      <c r="GUJ21" s="7"/>
      <c r="GUK21" s="7"/>
      <c r="GUL21" s="7"/>
      <c r="GUM21" s="7"/>
      <c r="GUN21" s="7"/>
      <c r="GUO21" s="7"/>
      <c r="GUP21" s="7"/>
      <c r="GUQ21" s="7"/>
      <c r="GUR21" s="7"/>
      <c r="GUS21" s="7"/>
      <c r="GUT21" s="7"/>
      <c r="GUU21" s="7"/>
      <c r="GUV21" s="7"/>
      <c r="GUW21" s="7"/>
      <c r="GUX21" s="7"/>
      <c r="GUY21" s="7"/>
      <c r="GUZ21" s="7"/>
      <c r="GVA21" s="7"/>
      <c r="GVB21" s="7"/>
      <c r="GVC21" s="7"/>
      <c r="GVD21" s="7"/>
      <c r="GVE21" s="7"/>
      <c r="GVF21" s="7"/>
      <c r="GVG21" s="7"/>
      <c r="GVH21" s="7"/>
      <c r="GVI21" s="7"/>
      <c r="GVJ21" s="7"/>
      <c r="GVK21" s="7"/>
      <c r="GVL21" s="7"/>
      <c r="GVM21" s="7"/>
      <c r="GVN21" s="7"/>
      <c r="GVO21" s="7"/>
      <c r="GVP21" s="7"/>
      <c r="GVQ21" s="7"/>
      <c r="GVR21" s="7"/>
      <c r="GVS21" s="7"/>
      <c r="GVT21" s="7"/>
      <c r="GVU21" s="7"/>
      <c r="GVV21" s="7"/>
      <c r="GVW21" s="7"/>
      <c r="GVX21" s="7"/>
      <c r="GVY21" s="7"/>
      <c r="GVZ21" s="7"/>
      <c r="GWA21" s="7"/>
      <c r="GWB21" s="7"/>
      <c r="GWC21" s="7"/>
      <c r="GWD21" s="7"/>
      <c r="GWE21" s="7"/>
      <c r="GWF21" s="7"/>
      <c r="GWG21" s="7"/>
      <c r="GWH21" s="7"/>
      <c r="GWI21" s="7"/>
      <c r="GWJ21" s="7"/>
      <c r="GWK21" s="7"/>
      <c r="GWL21" s="7"/>
      <c r="GWM21" s="7"/>
      <c r="GWN21" s="7"/>
      <c r="GWO21" s="7"/>
      <c r="GWP21" s="7"/>
      <c r="GWQ21" s="7"/>
      <c r="GWR21" s="7"/>
      <c r="GWS21" s="7"/>
      <c r="GWT21" s="7"/>
      <c r="GWU21" s="7"/>
      <c r="GWV21" s="7"/>
      <c r="GWW21" s="7"/>
      <c r="GWX21" s="7"/>
      <c r="GWY21" s="7"/>
      <c r="GWZ21" s="7"/>
      <c r="GXA21" s="7"/>
      <c r="GXB21" s="7"/>
      <c r="GXC21" s="7"/>
      <c r="GXD21" s="7"/>
      <c r="GXE21" s="7"/>
      <c r="GXF21" s="7"/>
      <c r="GXG21" s="7"/>
      <c r="GXH21" s="7"/>
      <c r="GXI21" s="7"/>
      <c r="GXJ21" s="7"/>
      <c r="GXK21" s="7"/>
      <c r="GXL21" s="7"/>
      <c r="GXM21" s="7"/>
      <c r="GXN21" s="7"/>
      <c r="GXO21" s="7"/>
      <c r="GXP21" s="7"/>
      <c r="GXQ21" s="7"/>
      <c r="GXR21" s="7"/>
      <c r="GXS21" s="7"/>
      <c r="GXT21" s="7"/>
      <c r="GXU21" s="7"/>
      <c r="GXV21" s="7"/>
      <c r="GXW21" s="7"/>
      <c r="GXX21" s="7"/>
      <c r="GXY21" s="7"/>
      <c r="GXZ21" s="7"/>
      <c r="GYA21" s="7"/>
      <c r="GYB21" s="7"/>
      <c r="GYC21" s="7"/>
      <c r="GYD21" s="7"/>
      <c r="GYE21" s="7"/>
      <c r="GYF21" s="7"/>
      <c r="GYG21" s="7"/>
      <c r="GYH21" s="7"/>
      <c r="GYI21" s="7"/>
      <c r="GYJ21" s="7"/>
      <c r="GYK21" s="7"/>
      <c r="GYL21" s="7"/>
      <c r="GYM21" s="7"/>
      <c r="GYN21" s="7"/>
      <c r="GYO21" s="7"/>
      <c r="GYP21" s="7"/>
      <c r="GYQ21" s="7"/>
      <c r="GYR21" s="7"/>
      <c r="GYS21" s="7"/>
      <c r="GYT21" s="7"/>
      <c r="GYU21" s="7"/>
      <c r="GYV21" s="7"/>
      <c r="GYW21" s="7"/>
      <c r="GYX21" s="7"/>
      <c r="GYY21" s="7"/>
      <c r="GYZ21" s="7"/>
      <c r="GZA21" s="7"/>
      <c r="GZB21" s="7"/>
      <c r="GZC21" s="7"/>
      <c r="GZD21" s="7"/>
      <c r="GZE21" s="7"/>
      <c r="GZF21" s="7"/>
      <c r="GZG21" s="7"/>
      <c r="GZH21" s="7"/>
      <c r="GZI21" s="7"/>
      <c r="GZJ21" s="7"/>
      <c r="GZK21" s="7"/>
      <c r="GZL21" s="7"/>
      <c r="GZM21" s="7"/>
      <c r="GZN21" s="7"/>
      <c r="GZO21" s="7"/>
      <c r="GZP21" s="7"/>
      <c r="GZQ21" s="7"/>
      <c r="GZR21" s="7"/>
      <c r="GZS21" s="7"/>
      <c r="GZT21" s="7"/>
      <c r="GZU21" s="7"/>
      <c r="GZV21" s="7"/>
      <c r="GZW21" s="7"/>
      <c r="GZX21" s="7"/>
      <c r="GZY21" s="7"/>
      <c r="GZZ21" s="7"/>
      <c r="HAA21" s="7"/>
      <c r="HAB21" s="7"/>
      <c r="HAC21" s="7"/>
      <c r="HAD21" s="7"/>
      <c r="HAE21" s="7"/>
      <c r="HAF21" s="7"/>
      <c r="HAG21" s="7"/>
      <c r="HAH21" s="7"/>
      <c r="HAI21" s="7"/>
      <c r="HAJ21" s="7"/>
      <c r="HAK21" s="7"/>
      <c r="HAL21" s="7"/>
      <c r="HAM21" s="7"/>
      <c r="HAN21" s="7"/>
      <c r="HAO21" s="7"/>
      <c r="HAP21" s="7"/>
      <c r="HAQ21" s="7"/>
      <c r="HAR21" s="7"/>
      <c r="HAS21" s="7"/>
      <c r="HAT21" s="7"/>
      <c r="HAU21" s="7"/>
      <c r="HAV21" s="7"/>
      <c r="HAW21" s="7"/>
      <c r="HAX21" s="7"/>
      <c r="HAY21" s="7"/>
      <c r="HAZ21" s="7"/>
      <c r="HBA21" s="7"/>
      <c r="HBB21" s="7"/>
      <c r="HBC21" s="7"/>
      <c r="HBD21" s="7"/>
      <c r="HBE21" s="7"/>
      <c r="HBF21" s="7"/>
      <c r="HBG21" s="7"/>
      <c r="HBH21" s="7"/>
      <c r="HBI21" s="7"/>
      <c r="HBJ21" s="7"/>
      <c r="HBK21" s="7"/>
      <c r="HBL21" s="7"/>
      <c r="HBM21" s="7"/>
      <c r="HBN21" s="7"/>
      <c r="HBO21" s="7"/>
      <c r="HBP21" s="7"/>
      <c r="HBQ21" s="7"/>
      <c r="HBR21" s="7"/>
      <c r="HBS21" s="7"/>
      <c r="HBT21" s="7"/>
      <c r="HBU21" s="7"/>
      <c r="HBV21" s="7"/>
      <c r="HBW21" s="7"/>
      <c r="HBX21" s="7"/>
      <c r="HBY21" s="7"/>
      <c r="HBZ21" s="7"/>
      <c r="HCA21" s="7"/>
      <c r="HCB21" s="7"/>
      <c r="HCC21" s="7"/>
      <c r="HCD21" s="7"/>
      <c r="HCE21" s="7"/>
      <c r="HCF21" s="7"/>
      <c r="HCG21" s="7"/>
      <c r="HCH21" s="7"/>
      <c r="HCI21" s="7"/>
      <c r="HCJ21" s="7"/>
      <c r="HCK21" s="7"/>
      <c r="HCL21" s="7"/>
      <c r="HCM21" s="7"/>
      <c r="HCN21" s="7"/>
      <c r="HCO21" s="7"/>
      <c r="HCP21" s="7"/>
      <c r="HCQ21" s="7"/>
      <c r="HCR21" s="7"/>
      <c r="HCS21" s="7"/>
      <c r="HCT21" s="7"/>
      <c r="HCU21" s="7"/>
      <c r="HCV21" s="7"/>
      <c r="HCW21" s="7"/>
      <c r="HCX21" s="7"/>
      <c r="HCY21" s="7"/>
      <c r="HCZ21" s="7"/>
      <c r="HDA21" s="7"/>
      <c r="HDB21" s="7"/>
      <c r="HDC21" s="7"/>
      <c r="HDD21" s="7"/>
      <c r="HDE21" s="7"/>
      <c r="HDF21" s="7"/>
      <c r="HDG21" s="7"/>
      <c r="HDH21" s="7"/>
      <c r="HDI21" s="7"/>
      <c r="HDJ21" s="7"/>
      <c r="HDK21" s="7"/>
      <c r="HDL21" s="7"/>
      <c r="HDM21" s="7"/>
      <c r="HDN21" s="7"/>
      <c r="HDO21" s="7"/>
      <c r="HDP21" s="7"/>
      <c r="HDQ21" s="7"/>
      <c r="HDR21" s="7"/>
      <c r="HDS21" s="7"/>
      <c r="HDT21" s="7"/>
      <c r="HDU21" s="7"/>
      <c r="HDV21" s="7"/>
      <c r="HDW21" s="7"/>
      <c r="HDX21" s="7"/>
      <c r="HDY21" s="7"/>
      <c r="HDZ21" s="7"/>
      <c r="HEA21" s="7"/>
      <c r="HEB21" s="7"/>
      <c r="HEC21" s="7"/>
      <c r="HED21" s="7"/>
      <c r="HEE21" s="7"/>
      <c r="HEF21" s="7"/>
      <c r="HEG21" s="7"/>
      <c r="HEH21" s="7"/>
      <c r="HEI21" s="7"/>
      <c r="HEJ21" s="7"/>
      <c r="HEK21" s="7"/>
      <c r="HEL21" s="7"/>
      <c r="HEM21" s="7"/>
      <c r="HEN21" s="7"/>
      <c r="HEO21" s="7"/>
      <c r="HEP21" s="7"/>
      <c r="HEQ21" s="7"/>
      <c r="HER21" s="7"/>
      <c r="HES21" s="7"/>
      <c r="HET21" s="7"/>
      <c r="HEU21" s="7"/>
      <c r="HEV21" s="7"/>
      <c r="HEW21" s="7"/>
      <c r="HEX21" s="7"/>
      <c r="HEY21" s="7"/>
      <c r="HEZ21" s="7"/>
      <c r="HFA21" s="7"/>
      <c r="HFB21" s="7"/>
      <c r="HFC21" s="7"/>
      <c r="HFD21" s="7"/>
      <c r="HFE21" s="7"/>
      <c r="HFF21" s="7"/>
      <c r="HFG21" s="7"/>
      <c r="HFH21" s="7"/>
      <c r="HFI21" s="7"/>
      <c r="HFJ21" s="7"/>
      <c r="HFK21" s="7"/>
      <c r="HFL21" s="7"/>
      <c r="HFM21" s="7"/>
      <c r="HFN21" s="7"/>
      <c r="HFO21" s="7"/>
      <c r="HFP21" s="7"/>
      <c r="HFQ21" s="7"/>
      <c r="HFR21" s="7"/>
      <c r="HFS21" s="7"/>
      <c r="HFT21" s="7"/>
      <c r="HFU21" s="7"/>
      <c r="HFV21" s="7"/>
      <c r="HFW21" s="7"/>
      <c r="HFX21" s="7"/>
      <c r="HFY21" s="7"/>
      <c r="HFZ21" s="7"/>
      <c r="HGA21" s="7"/>
      <c r="HGB21" s="7"/>
      <c r="HGC21" s="7"/>
      <c r="HGD21" s="7"/>
      <c r="HGE21" s="7"/>
      <c r="HGF21" s="7"/>
      <c r="HGG21" s="7"/>
      <c r="HGH21" s="7"/>
      <c r="HGI21" s="7"/>
      <c r="HGJ21" s="7"/>
      <c r="HGK21" s="7"/>
      <c r="HGL21" s="7"/>
      <c r="HGM21" s="7"/>
      <c r="HGN21" s="7"/>
      <c r="HGO21" s="7"/>
      <c r="HGP21" s="7"/>
      <c r="HGQ21" s="7"/>
      <c r="HGR21" s="7"/>
      <c r="HGS21" s="7"/>
      <c r="HGT21" s="7"/>
      <c r="HGU21" s="7"/>
      <c r="HGV21" s="7"/>
      <c r="HGW21" s="7"/>
      <c r="HGX21" s="7"/>
      <c r="HGY21" s="7"/>
      <c r="HGZ21" s="7"/>
      <c r="HHA21" s="7"/>
      <c r="HHB21" s="7"/>
      <c r="HHC21" s="7"/>
      <c r="HHD21" s="7"/>
      <c r="HHE21" s="7"/>
      <c r="HHF21" s="7"/>
      <c r="HHG21" s="7"/>
      <c r="HHH21" s="7"/>
      <c r="HHI21" s="7"/>
      <c r="HHJ21" s="7"/>
      <c r="HHK21" s="7"/>
      <c r="HHL21" s="7"/>
      <c r="HHM21" s="7"/>
      <c r="HHN21" s="7"/>
      <c r="HHO21" s="7"/>
      <c r="HHP21" s="7"/>
      <c r="HHQ21" s="7"/>
      <c r="HHR21" s="7"/>
      <c r="HHS21" s="7"/>
      <c r="HHT21" s="7"/>
      <c r="HHU21" s="7"/>
      <c r="HHV21" s="7"/>
      <c r="HHW21" s="7"/>
      <c r="HHX21" s="7"/>
      <c r="HHY21" s="7"/>
      <c r="HHZ21" s="7"/>
      <c r="HIA21" s="7"/>
      <c r="HIB21" s="7"/>
      <c r="HIC21" s="7"/>
      <c r="HID21" s="7"/>
      <c r="HIE21" s="7"/>
      <c r="HIF21" s="7"/>
      <c r="HIG21" s="7"/>
      <c r="HIH21" s="7"/>
      <c r="HII21" s="7"/>
      <c r="HIJ21" s="7"/>
      <c r="HIK21" s="7"/>
      <c r="HIL21" s="7"/>
      <c r="HIM21" s="7"/>
      <c r="HIN21" s="7"/>
      <c r="HIO21" s="7"/>
      <c r="HIP21" s="7"/>
      <c r="HIQ21" s="7"/>
      <c r="HIR21" s="7"/>
      <c r="HIS21" s="7"/>
      <c r="HIT21" s="7"/>
      <c r="HIU21" s="7"/>
      <c r="HIV21" s="7"/>
      <c r="HIW21" s="7"/>
      <c r="HIX21" s="7"/>
      <c r="HIY21" s="7"/>
      <c r="HIZ21" s="7"/>
      <c r="HJA21" s="7"/>
      <c r="HJB21" s="7"/>
      <c r="HJC21" s="7"/>
      <c r="HJD21" s="7"/>
      <c r="HJE21" s="7"/>
      <c r="HJF21" s="7"/>
      <c r="HJG21" s="7"/>
      <c r="HJH21" s="7"/>
      <c r="HJI21" s="7"/>
      <c r="HJJ21" s="7"/>
      <c r="HJK21" s="7"/>
      <c r="HJL21" s="7"/>
      <c r="HJM21" s="7"/>
      <c r="HJN21" s="7"/>
      <c r="HJO21" s="7"/>
      <c r="HJP21" s="7"/>
      <c r="HJQ21" s="7"/>
      <c r="HJR21" s="7"/>
      <c r="HJS21" s="7"/>
      <c r="HJT21" s="7"/>
      <c r="HJU21" s="7"/>
      <c r="HJV21" s="7"/>
      <c r="HJW21" s="7"/>
      <c r="HJX21" s="7"/>
      <c r="HJY21" s="7"/>
      <c r="HJZ21" s="7"/>
      <c r="HKA21" s="7"/>
      <c r="HKB21" s="7"/>
      <c r="HKC21" s="7"/>
      <c r="HKD21" s="7"/>
      <c r="HKE21" s="7"/>
      <c r="HKF21" s="7"/>
      <c r="HKG21" s="7"/>
      <c r="HKH21" s="7"/>
      <c r="HKI21" s="7"/>
      <c r="HKJ21" s="7"/>
      <c r="HKK21" s="7"/>
      <c r="HKL21" s="7"/>
      <c r="HKM21" s="7"/>
      <c r="HKN21" s="7"/>
      <c r="HKO21" s="7"/>
      <c r="HKP21" s="7"/>
      <c r="HKQ21" s="7"/>
      <c r="HKR21" s="7"/>
      <c r="HKS21" s="7"/>
      <c r="HKT21" s="7"/>
      <c r="HKU21" s="7"/>
      <c r="HKV21" s="7"/>
      <c r="HKW21" s="7"/>
      <c r="HKX21" s="7"/>
      <c r="HKY21" s="7"/>
      <c r="HKZ21" s="7"/>
      <c r="HLA21" s="7"/>
      <c r="HLB21" s="7"/>
      <c r="HLC21" s="7"/>
      <c r="HLD21" s="7"/>
      <c r="HLE21" s="7"/>
      <c r="HLF21" s="7"/>
      <c r="HLG21" s="7"/>
      <c r="HLH21" s="7"/>
      <c r="HLI21" s="7"/>
      <c r="HLJ21" s="7"/>
      <c r="HLK21" s="7"/>
      <c r="HLL21" s="7"/>
      <c r="HLM21" s="7"/>
      <c r="HLN21" s="7"/>
      <c r="HLO21" s="7"/>
      <c r="HLP21" s="7"/>
      <c r="HLQ21" s="7"/>
      <c r="HLR21" s="7"/>
      <c r="HLS21" s="7"/>
      <c r="HLT21" s="7"/>
      <c r="HLU21" s="7"/>
      <c r="HLV21" s="7"/>
      <c r="HLW21" s="7"/>
      <c r="HLX21" s="7"/>
      <c r="HLY21" s="7"/>
      <c r="HLZ21" s="7"/>
      <c r="HMA21" s="7"/>
      <c r="HMB21" s="7"/>
      <c r="HMC21" s="7"/>
      <c r="HMD21" s="7"/>
      <c r="HME21" s="7"/>
      <c r="HMF21" s="7"/>
      <c r="HMG21" s="7"/>
      <c r="HMH21" s="7"/>
      <c r="HMI21" s="7"/>
      <c r="HMJ21" s="7"/>
      <c r="HMK21" s="7"/>
      <c r="HML21" s="7"/>
      <c r="HMM21" s="7"/>
      <c r="HMN21" s="7"/>
      <c r="HMO21" s="7"/>
      <c r="HMP21" s="7"/>
      <c r="HMQ21" s="7"/>
      <c r="HMR21" s="7"/>
      <c r="HMS21" s="7"/>
      <c r="HMT21" s="7"/>
      <c r="HMU21" s="7"/>
      <c r="HMV21" s="7"/>
      <c r="HMW21" s="7"/>
      <c r="HMX21" s="7"/>
      <c r="HMY21" s="7"/>
      <c r="HMZ21" s="7"/>
      <c r="HNA21" s="7"/>
      <c r="HNB21" s="7"/>
      <c r="HNC21" s="7"/>
      <c r="HND21" s="7"/>
      <c r="HNE21" s="7"/>
      <c r="HNF21" s="7"/>
      <c r="HNG21" s="7"/>
      <c r="HNH21" s="7"/>
      <c r="HNI21" s="7"/>
      <c r="HNJ21" s="7"/>
      <c r="HNK21" s="7"/>
      <c r="HNL21" s="7"/>
      <c r="HNM21" s="7"/>
      <c r="HNN21" s="7"/>
      <c r="HNO21" s="7"/>
      <c r="HNP21" s="7"/>
      <c r="HNQ21" s="7"/>
      <c r="HNR21" s="7"/>
      <c r="HNS21" s="7"/>
      <c r="HNT21" s="7"/>
      <c r="HNU21" s="7"/>
      <c r="HNV21" s="7"/>
      <c r="HNW21" s="7"/>
      <c r="HNX21" s="7"/>
      <c r="HNY21" s="7"/>
      <c r="HNZ21" s="7"/>
      <c r="HOA21" s="7"/>
      <c r="HOB21" s="7"/>
      <c r="HOC21" s="7"/>
      <c r="HOD21" s="7"/>
      <c r="HOE21" s="7"/>
      <c r="HOF21" s="7"/>
      <c r="HOG21" s="7"/>
      <c r="HOH21" s="7"/>
      <c r="HOI21" s="7"/>
      <c r="HOJ21" s="7"/>
      <c r="HOK21" s="7"/>
      <c r="HOL21" s="7"/>
      <c r="HOM21" s="7"/>
      <c r="HON21" s="7"/>
      <c r="HOO21" s="7"/>
      <c r="HOP21" s="7"/>
      <c r="HOQ21" s="7"/>
      <c r="HOR21" s="7"/>
      <c r="HOS21" s="7"/>
      <c r="HOT21" s="7"/>
      <c r="HOU21" s="7"/>
      <c r="HOV21" s="7"/>
      <c r="HOW21" s="7"/>
      <c r="HOX21" s="7"/>
      <c r="HOY21" s="7"/>
      <c r="HOZ21" s="7"/>
      <c r="HPA21" s="7"/>
      <c r="HPB21" s="7"/>
      <c r="HPC21" s="7"/>
      <c r="HPD21" s="7"/>
      <c r="HPE21" s="7"/>
      <c r="HPF21" s="7"/>
      <c r="HPG21" s="7"/>
      <c r="HPH21" s="7"/>
      <c r="HPI21" s="7"/>
      <c r="HPJ21" s="7"/>
      <c r="HPK21" s="7"/>
      <c r="HPL21" s="7"/>
      <c r="HPM21" s="7"/>
      <c r="HPN21" s="7"/>
      <c r="HPO21" s="7"/>
      <c r="HPP21" s="7"/>
      <c r="HPQ21" s="7"/>
      <c r="HPR21" s="7"/>
      <c r="HPS21" s="7"/>
      <c r="HPT21" s="7"/>
      <c r="HPU21" s="7"/>
      <c r="HPV21" s="7"/>
      <c r="HPW21" s="7"/>
      <c r="HPX21" s="7"/>
      <c r="HPY21" s="7"/>
      <c r="HPZ21" s="7"/>
      <c r="HQA21" s="7"/>
      <c r="HQB21" s="7"/>
      <c r="HQC21" s="7"/>
      <c r="HQD21" s="7"/>
      <c r="HQE21" s="7"/>
      <c r="HQF21" s="7"/>
      <c r="HQG21" s="7"/>
      <c r="HQH21" s="7"/>
      <c r="HQI21" s="7"/>
      <c r="HQJ21" s="7"/>
      <c r="HQK21" s="7"/>
      <c r="HQL21" s="7"/>
      <c r="HQM21" s="7"/>
      <c r="HQN21" s="7"/>
      <c r="HQO21" s="7"/>
      <c r="HQP21" s="7"/>
      <c r="HQQ21" s="7"/>
      <c r="HQR21" s="7"/>
      <c r="HQS21" s="7"/>
      <c r="HQT21" s="7"/>
      <c r="HQU21" s="7"/>
      <c r="HQV21" s="7"/>
      <c r="HQW21" s="7"/>
      <c r="HQX21" s="7"/>
      <c r="HQY21" s="7"/>
      <c r="HQZ21" s="7"/>
      <c r="HRA21" s="7"/>
      <c r="HRB21" s="7"/>
      <c r="HRC21" s="7"/>
      <c r="HRD21" s="7"/>
      <c r="HRE21" s="7"/>
      <c r="HRF21" s="7"/>
      <c r="HRG21" s="7"/>
      <c r="HRH21" s="7"/>
      <c r="HRI21" s="7"/>
      <c r="HRJ21" s="7"/>
      <c r="HRK21" s="7"/>
      <c r="HRL21" s="7"/>
      <c r="HRM21" s="7"/>
      <c r="HRN21" s="7"/>
      <c r="HRO21" s="7"/>
      <c r="HRP21" s="7"/>
      <c r="HRQ21" s="7"/>
      <c r="HRR21" s="7"/>
      <c r="HRS21" s="7"/>
      <c r="HRT21" s="7"/>
      <c r="HRU21" s="7"/>
      <c r="HRV21" s="7"/>
      <c r="HRW21" s="7"/>
      <c r="HRX21" s="7"/>
      <c r="HRY21" s="7"/>
      <c r="HRZ21" s="7"/>
      <c r="HSA21" s="7"/>
      <c r="HSB21" s="7"/>
      <c r="HSC21" s="7"/>
      <c r="HSD21" s="7"/>
      <c r="HSE21" s="7"/>
      <c r="HSF21" s="7"/>
      <c r="HSG21" s="7"/>
      <c r="HSH21" s="7"/>
      <c r="HSI21" s="7"/>
      <c r="HSJ21" s="7"/>
      <c r="HSK21" s="7"/>
      <c r="HSL21" s="7"/>
      <c r="HSM21" s="7"/>
      <c r="HSN21" s="7"/>
      <c r="HSO21" s="7"/>
      <c r="HSP21" s="7"/>
      <c r="HSQ21" s="7"/>
      <c r="HSR21" s="7"/>
      <c r="HSS21" s="7"/>
      <c r="HST21" s="7"/>
      <c r="HSU21" s="7"/>
      <c r="HSV21" s="7"/>
      <c r="HSW21" s="7"/>
      <c r="HSX21" s="7"/>
      <c r="HSY21" s="7"/>
      <c r="HSZ21" s="7"/>
      <c r="HTA21" s="7"/>
      <c r="HTB21" s="7"/>
      <c r="HTC21" s="7"/>
      <c r="HTD21" s="7"/>
      <c r="HTE21" s="7"/>
      <c r="HTF21" s="7"/>
      <c r="HTG21" s="7"/>
      <c r="HTH21" s="7"/>
      <c r="HTI21" s="7"/>
      <c r="HTJ21" s="7"/>
      <c r="HTK21" s="7"/>
      <c r="HTL21" s="7"/>
      <c r="HTM21" s="7"/>
      <c r="HTN21" s="7"/>
      <c r="HTO21" s="7"/>
      <c r="HTP21" s="7"/>
      <c r="HTQ21" s="7"/>
      <c r="HTR21" s="7"/>
      <c r="HTS21" s="7"/>
      <c r="HTT21" s="7"/>
      <c r="HTU21" s="7"/>
      <c r="HTV21" s="7"/>
      <c r="HTW21" s="7"/>
      <c r="HTX21" s="7"/>
      <c r="HTY21" s="7"/>
      <c r="HTZ21" s="7"/>
      <c r="HUA21" s="7"/>
      <c r="HUB21" s="7"/>
      <c r="HUC21" s="7"/>
      <c r="HUD21" s="7"/>
      <c r="HUE21" s="7"/>
      <c r="HUF21" s="7"/>
      <c r="HUG21" s="7"/>
      <c r="HUH21" s="7"/>
      <c r="HUI21" s="7"/>
      <c r="HUJ21" s="7"/>
      <c r="HUK21" s="7"/>
      <c r="HUL21" s="7"/>
      <c r="HUM21" s="7"/>
      <c r="HUN21" s="7"/>
      <c r="HUO21" s="7"/>
      <c r="HUP21" s="7"/>
      <c r="HUQ21" s="7"/>
      <c r="HUR21" s="7"/>
      <c r="HUS21" s="7"/>
      <c r="HUT21" s="7"/>
      <c r="HUU21" s="7"/>
      <c r="HUV21" s="7"/>
      <c r="HUW21" s="7"/>
      <c r="HUX21" s="7"/>
      <c r="HUY21" s="7"/>
      <c r="HUZ21" s="7"/>
      <c r="HVA21" s="7"/>
      <c r="HVB21" s="7"/>
      <c r="HVC21" s="7"/>
      <c r="HVD21" s="7"/>
      <c r="HVE21" s="7"/>
      <c r="HVF21" s="7"/>
      <c r="HVG21" s="7"/>
      <c r="HVH21" s="7"/>
      <c r="HVI21" s="7"/>
      <c r="HVJ21" s="7"/>
      <c r="HVK21" s="7"/>
      <c r="HVL21" s="7"/>
      <c r="HVM21" s="7"/>
      <c r="HVN21" s="7"/>
      <c r="HVO21" s="7"/>
      <c r="HVP21" s="7"/>
      <c r="HVQ21" s="7"/>
      <c r="HVR21" s="7"/>
      <c r="HVS21" s="7"/>
      <c r="HVT21" s="7"/>
      <c r="HVU21" s="7"/>
      <c r="HVV21" s="7"/>
      <c r="HVW21" s="7"/>
      <c r="HVX21" s="7"/>
      <c r="HVY21" s="7"/>
      <c r="HVZ21" s="7"/>
      <c r="HWA21" s="7"/>
      <c r="HWB21" s="7"/>
      <c r="HWC21" s="7"/>
      <c r="HWD21" s="7"/>
      <c r="HWE21" s="7"/>
      <c r="HWF21" s="7"/>
      <c r="HWG21" s="7"/>
      <c r="HWH21" s="7"/>
      <c r="HWI21" s="7"/>
      <c r="HWJ21" s="7"/>
      <c r="HWK21" s="7"/>
      <c r="HWL21" s="7"/>
      <c r="HWM21" s="7"/>
      <c r="HWN21" s="7"/>
      <c r="HWO21" s="7"/>
      <c r="HWP21" s="7"/>
      <c r="HWQ21" s="7"/>
      <c r="HWR21" s="7"/>
      <c r="HWS21" s="7"/>
      <c r="HWT21" s="7"/>
      <c r="HWU21" s="7"/>
      <c r="HWV21" s="7"/>
      <c r="HWW21" s="7"/>
      <c r="HWX21" s="7"/>
      <c r="HWY21" s="7"/>
      <c r="HWZ21" s="7"/>
      <c r="HXA21" s="7"/>
      <c r="HXB21" s="7"/>
      <c r="HXC21" s="7"/>
      <c r="HXD21" s="7"/>
      <c r="HXE21" s="7"/>
      <c r="HXF21" s="7"/>
      <c r="HXG21" s="7"/>
      <c r="HXH21" s="7"/>
      <c r="HXI21" s="7"/>
      <c r="HXJ21" s="7"/>
      <c r="HXK21" s="7"/>
      <c r="HXL21" s="7"/>
      <c r="HXM21" s="7"/>
      <c r="HXN21" s="7"/>
      <c r="HXO21" s="7"/>
      <c r="HXP21" s="7"/>
      <c r="HXQ21" s="7"/>
      <c r="HXR21" s="7"/>
      <c r="HXS21" s="7"/>
      <c r="HXT21" s="7"/>
      <c r="HXU21" s="7"/>
      <c r="HXV21" s="7"/>
      <c r="HXW21" s="7"/>
      <c r="HXX21" s="7"/>
      <c r="HXY21" s="7"/>
      <c r="HXZ21" s="7"/>
      <c r="HYA21" s="7"/>
      <c r="HYB21" s="7"/>
      <c r="HYC21" s="7"/>
      <c r="HYD21" s="7"/>
      <c r="HYE21" s="7"/>
      <c r="HYF21" s="7"/>
      <c r="HYG21" s="7"/>
      <c r="HYH21" s="7"/>
      <c r="HYI21" s="7"/>
      <c r="HYJ21" s="7"/>
      <c r="HYK21" s="7"/>
      <c r="HYL21" s="7"/>
      <c r="HYM21" s="7"/>
      <c r="HYN21" s="7"/>
      <c r="HYO21" s="7"/>
      <c r="HYP21" s="7"/>
      <c r="HYQ21" s="7"/>
      <c r="HYR21" s="7"/>
      <c r="HYS21" s="7"/>
      <c r="HYT21" s="7"/>
      <c r="HYU21" s="7"/>
      <c r="HYV21" s="7"/>
      <c r="HYW21" s="7"/>
      <c r="HYX21" s="7"/>
      <c r="HYY21" s="7"/>
      <c r="HYZ21" s="7"/>
      <c r="HZA21" s="7"/>
      <c r="HZB21" s="7"/>
      <c r="HZC21" s="7"/>
      <c r="HZD21" s="7"/>
      <c r="HZE21" s="7"/>
      <c r="HZF21" s="7"/>
      <c r="HZG21" s="7"/>
      <c r="HZH21" s="7"/>
      <c r="HZI21" s="7"/>
      <c r="HZJ21" s="7"/>
      <c r="HZK21" s="7"/>
      <c r="HZL21" s="7"/>
      <c r="HZM21" s="7"/>
      <c r="HZN21" s="7"/>
      <c r="HZO21" s="7"/>
      <c r="HZP21" s="7"/>
      <c r="HZQ21" s="7"/>
      <c r="HZR21" s="7"/>
      <c r="HZS21" s="7"/>
      <c r="HZT21" s="7"/>
      <c r="HZU21" s="7"/>
      <c r="HZV21" s="7"/>
      <c r="HZW21" s="7"/>
      <c r="HZX21" s="7"/>
      <c r="HZY21" s="7"/>
      <c r="HZZ21" s="7"/>
      <c r="IAA21" s="7"/>
      <c r="IAB21" s="7"/>
      <c r="IAC21" s="7"/>
      <c r="IAD21" s="7"/>
      <c r="IAE21" s="7"/>
      <c r="IAF21" s="7"/>
      <c r="IAG21" s="7"/>
      <c r="IAH21" s="7"/>
      <c r="IAI21" s="7"/>
      <c r="IAJ21" s="7"/>
      <c r="IAK21" s="7"/>
      <c r="IAL21" s="7"/>
      <c r="IAM21" s="7"/>
      <c r="IAN21" s="7"/>
      <c r="IAO21" s="7"/>
      <c r="IAP21" s="7"/>
      <c r="IAQ21" s="7"/>
      <c r="IAR21" s="7"/>
      <c r="IAS21" s="7"/>
      <c r="IAT21" s="7"/>
      <c r="IAU21" s="7"/>
      <c r="IAV21" s="7"/>
      <c r="IAW21" s="7"/>
      <c r="IAX21" s="7"/>
      <c r="IAY21" s="7"/>
      <c r="IAZ21" s="7"/>
      <c r="IBA21" s="7"/>
      <c r="IBB21" s="7"/>
      <c r="IBC21" s="7"/>
      <c r="IBD21" s="7"/>
      <c r="IBE21" s="7"/>
      <c r="IBF21" s="7"/>
      <c r="IBG21" s="7"/>
      <c r="IBH21" s="7"/>
      <c r="IBI21" s="7"/>
      <c r="IBJ21" s="7"/>
      <c r="IBK21" s="7"/>
      <c r="IBL21" s="7"/>
      <c r="IBM21" s="7"/>
      <c r="IBN21" s="7"/>
      <c r="IBO21" s="7"/>
      <c r="IBP21" s="7"/>
      <c r="IBQ21" s="7"/>
      <c r="IBR21" s="7"/>
      <c r="IBS21" s="7"/>
      <c r="IBT21" s="7"/>
      <c r="IBU21" s="7"/>
      <c r="IBV21" s="7"/>
      <c r="IBW21" s="7"/>
      <c r="IBX21" s="7"/>
      <c r="IBY21" s="7"/>
      <c r="IBZ21" s="7"/>
      <c r="ICA21" s="7"/>
      <c r="ICB21" s="7"/>
      <c r="ICC21" s="7"/>
      <c r="ICD21" s="7"/>
      <c r="ICE21" s="7"/>
      <c r="ICF21" s="7"/>
      <c r="ICG21" s="7"/>
      <c r="ICH21" s="7"/>
      <c r="ICI21" s="7"/>
      <c r="ICJ21" s="7"/>
      <c r="ICK21" s="7"/>
      <c r="ICL21" s="7"/>
      <c r="ICM21" s="7"/>
      <c r="ICN21" s="7"/>
      <c r="ICO21" s="7"/>
      <c r="ICP21" s="7"/>
      <c r="ICQ21" s="7"/>
      <c r="ICR21" s="7"/>
      <c r="ICS21" s="7"/>
      <c r="ICT21" s="7"/>
      <c r="ICU21" s="7"/>
      <c r="ICV21" s="7"/>
      <c r="ICW21" s="7"/>
      <c r="ICX21" s="7"/>
      <c r="ICY21" s="7"/>
      <c r="ICZ21" s="7"/>
      <c r="IDA21" s="7"/>
      <c r="IDB21" s="7"/>
      <c r="IDC21" s="7"/>
      <c r="IDD21" s="7"/>
      <c r="IDE21" s="7"/>
      <c r="IDF21" s="7"/>
      <c r="IDG21" s="7"/>
      <c r="IDH21" s="7"/>
      <c r="IDI21" s="7"/>
      <c r="IDJ21" s="7"/>
      <c r="IDK21" s="7"/>
      <c r="IDL21" s="7"/>
      <c r="IDM21" s="7"/>
      <c r="IDN21" s="7"/>
      <c r="IDO21" s="7"/>
      <c r="IDP21" s="7"/>
      <c r="IDQ21" s="7"/>
      <c r="IDR21" s="7"/>
      <c r="IDS21" s="7"/>
      <c r="IDT21" s="7"/>
      <c r="IDU21" s="7"/>
      <c r="IDV21" s="7"/>
      <c r="IDW21" s="7"/>
      <c r="IDX21" s="7"/>
      <c r="IDY21" s="7"/>
      <c r="IDZ21" s="7"/>
      <c r="IEA21" s="7"/>
      <c r="IEB21" s="7"/>
      <c r="IEC21" s="7"/>
      <c r="IED21" s="7"/>
      <c r="IEE21" s="7"/>
      <c r="IEF21" s="7"/>
      <c r="IEG21" s="7"/>
      <c r="IEH21" s="7"/>
      <c r="IEI21" s="7"/>
      <c r="IEJ21" s="7"/>
      <c r="IEK21" s="7"/>
      <c r="IEL21" s="7"/>
      <c r="IEM21" s="7"/>
      <c r="IEN21" s="7"/>
      <c r="IEO21" s="7"/>
      <c r="IEP21" s="7"/>
      <c r="IEQ21" s="7"/>
      <c r="IER21" s="7"/>
      <c r="IES21" s="7"/>
      <c r="IET21" s="7"/>
      <c r="IEU21" s="7"/>
      <c r="IEV21" s="7"/>
      <c r="IEW21" s="7"/>
      <c r="IEX21" s="7"/>
      <c r="IEY21" s="7"/>
      <c r="IEZ21" s="7"/>
      <c r="IFA21" s="7"/>
      <c r="IFB21" s="7"/>
      <c r="IFC21" s="7"/>
      <c r="IFD21" s="7"/>
      <c r="IFE21" s="7"/>
      <c r="IFF21" s="7"/>
      <c r="IFG21" s="7"/>
      <c r="IFH21" s="7"/>
      <c r="IFI21" s="7"/>
      <c r="IFJ21" s="7"/>
      <c r="IFK21" s="7"/>
      <c r="IFL21" s="7"/>
      <c r="IFM21" s="7"/>
      <c r="IFN21" s="7"/>
      <c r="IFO21" s="7"/>
      <c r="IFP21" s="7"/>
      <c r="IFQ21" s="7"/>
      <c r="IFR21" s="7"/>
      <c r="IFS21" s="7"/>
      <c r="IFT21" s="7"/>
      <c r="IFU21" s="7"/>
      <c r="IFV21" s="7"/>
      <c r="IFW21" s="7"/>
      <c r="IFX21" s="7"/>
      <c r="IFY21" s="7"/>
      <c r="IFZ21" s="7"/>
      <c r="IGA21" s="7"/>
      <c r="IGB21" s="7"/>
      <c r="IGC21" s="7"/>
      <c r="IGD21" s="7"/>
      <c r="IGE21" s="7"/>
      <c r="IGF21" s="7"/>
      <c r="IGG21" s="7"/>
      <c r="IGH21" s="7"/>
      <c r="IGI21" s="7"/>
      <c r="IGJ21" s="7"/>
      <c r="IGK21" s="7"/>
      <c r="IGL21" s="7"/>
      <c r="IGM21" s="7"/>
      <c r="IGN21" s="7"/>
      <c r="IGO21" s="7"/>
      <c r="IGP21" s="7"/>
      <c r="IGQ21" s="7"/>
      <c r="IGR21" s="7"/>
      <c r="IGS21" s="7"/>
      <c r="IGT21" s="7"/>
      <c r="IGU21" s="7"/>
      <c r="IGV21" s="7"/>
      <c r="IGW21" s="7"/>
      <c r="IGX21" s="7"/>
      <c r="IGY21" s="7"/>
      <c r="IGZ21" s="7"/>
      <c r="IHA21" s="7"/>
      <c r="IHB21" s="7"/>
      <c r="IHC21" s="7"/>
      <c r="IHD21" s="7"/>
      <c r="IHE21" s="7"/>
      <c r="IHF21" s="7"/>
      <c r="IHG21" s="7"/>
      <c r="IHH21" s="7"/>
      <c r="IHI21" s="7"/>
      <c r="IHJ21" s="7"/>
      <c r="IHK21" s="7"/>
      <c r="IHL21" s="7"/>
      <c r="IHM21" s="7"/>
      <c r="IHN21" s="7"/>
      <c r="IHO21" s="7"/>
      <c r="IHP21" s="7"/>
      <c r="IHQ21" s="7"/>
      <c r="IHR21" s="7"/>
      <c r="IHS21" s="7"/>
      <c r="IHT21" s="7"/>
      <c r="IHU21" s="7"/>
      <c r="IHV21" s="7"/>
      <c r="IHW21" s="7"/>
      <c r="IHX21" s="7"/>
      <c r="IHY21" s="7"/>
      <c r="IHZ21" s="7"/>
      <c r="IIA21" s="7"/>
      <c r="IIB21" s="7"/>
      <c r="IIC21" s="7"/>
      <c r="IID21" s="7"/>
      <c r="IIE21" s="7"/>
      <c r="IIF21" s="7"/>
      <c r="IIG21" s="7"/>
      <c r="IIH21" s="7"/>
      <c r="III21" s="7"/>
      <c r="IIJ21" s="7"/>
      <c r="IIK21" s="7"/>
      <c r="IIL21" s="7"/>
      <c r="IIM21" s="7"/>
      <c r="IIN21" s="7"/>
      <c r="IIO21" s="7"/>
      <c r="IIP21" s="7"/>
      <c r="IIQ21" s="7"/>
      <c r="IIR21" s="7"/>
      <c r="IIS21" s="7"/>
      <c r="IIT21" s="7"/>
      <c r="IIU21" s="7"/>
      <c r="IIV21" s="7"/>
      <c r="IIW21" s="7"/>
      <c r="IIX21" s="7"/>
      <c r="IIY21" s="7"/>
      <c r="IIZ21" s="7"/>
      <c r="IJA21" s="7"/>
      <c r="IJB21" s="7"/>
      <c r="IJC21" s="7"/>
      <c r="IJD21" s="7"/>
      <c r="IJE21" s="7"/>
      <c r="IJF21" s="7"/>
      <c r="IJG21" s="7"/>
      <c r="IJH21" s="7"/>
      <c r="IJI21" s="7"/>
      <c r="IJJ21" s="7"/>
      <c r="IJK21" s="7"/>
      <c r="IJL21" s="7"/>
      <c r="IJM21" s="7"/>
      <c r="IJN21" s="7"/>
      <c r="IJO21" s="7"/>
      <c r="IJP21" s="7"/>
      <c r="IJQ21" s="7"/>
      <c r="IJR21" s="7"/>
      <c r="IJS21" s="7"/>
      <c r="IJT21" s="7"/>
      <c r="IJU21" s="7"/>
      <c r="IJV21" s="7"/>
      <c r="IJW21" s="7"/>
      <c r="IJX21" s="7"/>
      <c r="IJY21" s="7"/>
      <c r="IJZ21" s="7"/>
      <c r="IKA21" s="7"/>
      <c r="IKB21" s="7"/>
      <c r="IKC21" s="7"/>
      <c r="IKD21" s="7"/>
      <c r="IKE21" s="7"/>
      <c r="IKF21" s="7"/>
      <c r="IKG21" s="7"/>
      <c r="IKH21" s="7"/>
      <c r="IKI21" s="7"/>
      <c r="IKJ21" s="7"/>
      <c r="IKK21" s="7"/>
      <c r="IKL21" s="7"/>
      <c r="IKM21" s="7"/>
      <c r="IKN21" s="7"/>
      <c r="IKO21" s="7"/>
      <c r="IKP21" s="7"/>
      <c r="IKQ21" s="7"/>
      <c r="IKR21" s="7"/>
      <c r="IKS21" s="7"/>
      <c r="IKT21" s="7"/>
      <c r="IKU21" s="7"/>
      <c r="IKV21" s="7"/>
      <c r="IKW21" s="7"/>
      <c r="IKX21" s="7"/>
      <c r="IKY21" s="7"/>
      <c r="IKZ21" s="7"/>
      <c r="ILA21" s="7"/>
      <c r="ILB21" s="7"/>
      <c r="ILC21" s="7"/>
      <c r="ILD21" s="7"/>
      <c r="ILE21" s="7"/>
      <c r="ILF21" s="7"/>
      <c r="ILG21" s="7"/>
      <c r="ILH21" s="7"/>
      <c r="ILI21" s="7"/>
      <c r="ILJ21" s="7"/>
      <c r="ILK21" s="7"/>
      <c r="ILL21" s="7"/>
      <c r="ILM21" s="7"/>
      <c r="ILN21" s="7"/>
      <c r="ILO21" s="7"/>
      <c r="ILP21" s="7"/>
      <c r="ILQ21" s="7"/>
      <c r="ILR21" s="7"/>
      <c r="ILS21" s="7"/>
      <c r="ILT21" s="7"/>
      <c r="ILU21" s="7"/>
      <c r="ILV21" s="7"/>
      <c r="ILW21" s="7"/>
      <c r="ILX21" s="7"/>
      <c r="ILY21" s="7"/>
      <c r="ILZ21" s="7"/>
      <c r="IMA21" s="7"/>
      <c r="IMB21" s="7"/>
      <c r="IMC21" s="7"/>
      <c r="IMD21" s="7"/>
      <c r="IME21" s="7"/>
      <c r="IMF21" s="7"/>
      <c r="IMG21" s="7"/>
      <c r="IMH21" s="7"/>
      <c r="IMI21" s="7"/>
      <c r="IMJ21" s="7"/>
      <c r="IMK21" s="7"/>
      <c r="IML21" s="7"/>
      <c r="IMM21" s="7"/>
      <c r="IMN21" s="7"/>
      <c r="IMO21" s="7"/>
      <c r="IMP21" s="7"/>
      <c r="IMQ21" s="7"/>
      <c r="IMR21" s="7"/>
      <c r="IMS21" s="7"/>
      <c r="IMT21" s="7"/>
      <c r="IMU21" s="7"/>
      <c r="IMV21" s="7"/>
      <c r="IMW21" s="7"/>
      <c r="IMX21" s="7"/>
      <c r="IMY21" s="7"/>
      <c r="IMZ21" s="7"/>
      <c r="INA21" s="7"/>
      <c r="INB21" s="7"/>
      <c r="INC21" s="7"/>
      <c r="IND21" s="7"/>
      <c r="INE21" s="7"/>
      <c r="INF21" s="7"/>
      <c r="ING21" s="7"/>
      <c r="INH21" s="7"/>
      <c r="INI21" s="7"/>
      <c r="INJ21" s="7"/>
      <c r="INK21" s="7"/>
      <c r="INL21" s="7"/>
      <c r="INM21" s="7"/>
      <c r="INN21" s="7"/>
      <c r="INO21" s="7"/>
      <c r="INP21" s="7"/>
      <c r="INQ21" s="7"/>
      <c r="INR21" s="7"/>
      <c r="INS21" s="7"/>
      <c r="INT21" s="7"/>
      <c r="INU21" s="7"/>
      <c r="INV21" s="7"/>
      <c r="INW21" s="7"/>
      <c r="INX21" s="7"/>
      <c r="INY21" s="7"/>
      <c r="INZ21" s="7"/>
      <c r="IOA21" s="7"/>
      <c r="IOB21" s="7"/>
      <c r="IOC21" s="7"/>
      <c r="IOD21" s="7"/>
      <c r="IOE21" s="7"/>
      <c r="IOF21" s="7"/>
      <c r="IOG21" s="7"/>
      <c r="IOH21" s="7"/>
      <c r="IOI21" s="7"/>
      <c r="IOJ21" s="7"/>
      <c r="IOK21" s="7"/>
      <c r="IOL21" s="7"/>
      <c r="IOM21" s="7"/>
      <c r="ION21" s="7"/>
      <c r="IOO21" s="7"/>
      <c r="IOP21" s="7"/>
      <c r="IOQ21" s="7"/>
      <c r="IOR21" s="7"/>
      <c r="IOS21" s="7"/>
      <c r="IOT21" s="7"/>
      <c r="IOU21" s="7"/>
      <c r="IOV21" s="7"/>
      <c r="IOW21" s="7"/>
      <c r="IOX21" s="7"/>
      <c r="IOY21" s="7"/>
      <c r="IOZ21" s="7"/>
      <c r="IPA21" s="7"/>
      <c r="IPB21" s="7"/>
      <c r="IPC21" s="7"/>
      <c r="IPD21" s="7"/>
      <c r="IPE21" s="7"/>
      <c r="IPF21" s="7"/>
      <c r="IPG21" s="7"/>
      <c r="IPH21" s="7"/>
      <c r="IPI21" s="7"/>
      <c r="IPJ21" s="7"/>
      <c r="IPK21" s="7"/>
      <c r="IPL21" s="7"/>
      <c r="IPM21" s="7"/>
      <c r="IPN21" s="7"/>
      <c r="IPO21" s="7"/>
      <c r="IPP21" s="7"/>
      <c r="IPQ21" s="7"/>
      <c r="IPR21" s="7"/>
      <c r="IPS21" s="7"/>
      <c r="IPT21" s="7"/>
      <c r="IPU21" s="7"/>
      <c r="IPV21" s="7"/>
      <c r="IPW21" s="7"/>
      <c r="IPX21" s="7"/>
      <c r="IPY21" s="7"/>
      <c r="IPZ21" s="7"/>
      <c r="IQA21" s="7"/>
      <c r="IQB21" s="7"/>
      <c r="IQC21" s="7"/>
      <c r="IQD21" s="7"/>
      <c r="IQE21" s="7"/>
      <c r="IQF21" s="7"/>
      <c r="IQG21" s="7"/>
      <c r="IQH21" s="7"/>
      <c r="IQI21" s="7"/>
      <c r="IQJ21" s="7"/>
      <c r="IQK21" s="7"/>
      <c r="IQL21" s="7"/>
      <c r="IQM21" s="7"/>
      <c r="IQN21" s="7"/>
      <c r="IQO21" s="7"/>
      <c r="IQP21" s="7"/>
      <c r="IQQ21" s="7"/>
      <c r="IQR21" s="7"/>
      <c r="IQS21" s="7"/>
      <c r="IQT21" s="7"/>
      <c r="IQU21" s="7"/>
      <c r="IQV21" s="7"/>
      <c r="IQW21" s="7"/>
      <c r="IQX21" s="7"/>
      <c r="IQY21" s="7"/>
      <c r="IQZ21" s="7"/>
      <c r="IRA21" s="7"/>
      <c r="IRB21" s="7"/>
      <c r="IRC21" s="7"/>
      <c r="IRD21" s="7"/>
      <c r="IRE21" s="7"/>
      <c r="IRF21" s="7"/>
      <c r="IRG21" s="7"/>
      <c r="IRH21" s="7"/>
      <c r="IRI21" s="7"/>
      <c r="IRJ21" s="7"/>
      <c r="IRK21" s="7"/>
      <c r="IRL21" s="7"/>
      <c r="IRM21" s="7"/>
      <c r="IRN21" s="7"/>
      <c r="IRO21" s="7"/>
      <c r="IRP21" s="7"/>
      <c r="IRQ21" s="7"/>
      <c r="IRR21" s="7"/>
      <c r="IRS21" s="7"/>
      <c r="IRT21" s="7"/>
      <c r="IRU21" s="7"/>
      <c r="IRV21" s="7"/>
      <c r="IRW21" s="7"/>
      <c r="IRX21" s="7"/>
      <c r="IRY21" s="7"/>
      <c r="IRZ21" s="7"/>
      <c r="ISA21" s="7"/>
      <c r="ISB21" s="7"/>
      <c r="ISC21" s="7"/>
      <c r="ISD21" s="7"/>
      <c r="ISE21" s="7"/>
      <c r="ISF21" s="7"/>
      <c r="ISG21" s="7"/>
      <c r="ISH21" s="7"/>
      <c r="ISI21" s="7"/>
      <c r="ISJ21" s="7"/>
      <c r="ISK21" s="7"/>
      <c r="ISL21" s="7"/>
      <c r="ISM21" s="7"/>
      <c r="ISN21" s="7"/>
      <c r="ISO21" s="7"/>
      <c r="ISP21" s="7"/>
      <c r="ISQ21" s="7"/>
      <c r="ISR21" s="7"/>
      <c r="ISS21" s="7"/>
      <c r="IST21" s="7"/>
      <c r="ISU21" s="7"/>
      <c r="ISV21" s="7"/>
      <c r="ISW21" s="7"/>
      <c r="ISX21" s="7"/>
      <c r="ISY21" s="7"/>
      <c r="ISZ21" s="7"/>
      <c r="ITA21" s="7"/>
      <c r="ITB21" s="7"/>
      <c r="ITC21" s="7"/>
      <c r="ITD21" s="7"/>
      <c r="ITE21" s="7"/>
      <c r="ITF21" s="7"/>
      <c r="ITG21" s="7"/>
      <c r="ITH21" s="7"/>
      <c r="ITI21" s="7"/>
      <c r="ITJ21" s="7"/>
      <c r="ITK21" s="7"/>
      <c r="ITL21" s="7"/>
      <c r="ITM21" s="7"/>
      <c r="ITN21" s="7"/>
      <c r="ITO21" s="7"/>
      <c r="ITP21" s="7"/>
      <c r="ITQ21" s="7"/>
      <c r="ITR21" s="7"/>
      <c r="ITS21" s="7"/>
      <c r="ITT21" s="7"/>
      <c r="ITU21" s="7"/>
      <c r="ITV21" s="7"/>
      <c r="ITW21" s="7"/>
      <c r="ITX21" s="7"/>
      <c r="ITY21" s="7"/>
      <c r="ITZ21" s="7"/>
      <c r="IUA21" s="7"/>
      <c r="IUB21" s="7"/>
      <c r="IUC21" s="7"/>
      <c r="IUD21" s="7"/>
      <c r="IUE21" s="7"/>
      <c r="IUF21" s="7"/>
      <c r="IUG21" s="7"/>
      <c r="IUH21" s="7"/>
      <c r="IUI21" s="7"/>
      <c r="IUJ21" s="7"/>
      <c r="IUK21" s="7"/>
      <c r="IUL21" s="7"/>
      <c r="IUM21" s="7"/>
      <c r="IUN21" s="7"/>
      <c r="IUO21" s="7"/>
      <c r="IUP21" s="7"/>
      <c r="IUQ21" s="7"/>
      <c r="IUR21" s="7"/>
      <c r="IUS21" s="7"/>
      <c r="IUT21" s="7"/>
      <c r="IUU21" s="7"/>
      <c r="IUV21" s="7"/>
      <c r="IUW21" s="7"/>
      <c r="IUX21" s="7"/>
      <c r="IUY21" s="7"/>
      <c r="IUZ21" s="7"/>
      <c r="IVA21" s="7"/>
      <c r="IVB21" s="7"/>
      <c r="IVC21" s="7"/>
      <c r="IVD21" s="7"/>
      <c r="IVE21" s="7"/>
      <c r="IVF21" s="7"/>
      <c r="IVG21" s="7"/>
      <c r="IVH21" s="7"/>
      <c r="IVI21" s="7"/>
      <c r="IVJ21" s="7"/>
      <c r="IVK21" s="7"/>
      <c r="IVL21" s="7"/>
      <c r="IVM21" s="7"/>
      <c r="IVN21" s="7"/>
      <c r="IVO21" s="7"/>
      <c r="IVP21" s="7"/>
      <c r="IVQ21" s="7"/>
      <c r="IVR21" s="7"/>
      <c r="IVS21" s="7"/>
      <c r="IVT21" s="7"/>
      <c r="IVU21" s="7"/>
      <c r="IVV21" s="7"/>
      <c r="IVW21" s="7"/>
      <c r="IVX21" s="7"/>
      <c r="IVY21" s="7"/>
      <c r="IVZ21" s="7"/>
      <c r="IWA21" s="7"/>
      <c r="IWB21" s="7"/>
      <c r="IWC21" s="7"/>
      <c r="IWD21" s="7"/>
      <c r="IWE21" s="7"/>
      <c r="IWF21" s="7"/>
      <c r="IWG21" s="7"/>
      <c r="IWH21" s="7"/>
      <c r="IWI21" s="7"/>
      <c r="IWJ21" s="7"/>
      <c r="IWK21" s="7"/>
      <c r="IWL21" s="7"/>
      <c r="IWM21" s="7"/>
      <c r="IWN21" s="7"/>
      <c r="IWO21" s="7"/>
      <c r="IWP21" s="7"/>
      <c r="IWQ21" s="7"/>
      <c r="IWR21" s="7"/>
      <c r="IWS21" s="7"/>
      <c r="IWT21" s="7"/>
      <c r="IWU21" s="7"/>
      <c r="IWV21" s="7"/>
      <c r="IWW21" s="7"/>
      <c r="IWX21" s="7"/>
      <c r="IWY21" s="7"/>
      <c r="IWZ21" s="7"/>
      <c r="IXA21" s="7"/>
      <c r="IXB21" s="7"/>
      <c r="IXC21" s="7"/>
      <c r="IXD21" s="7"/>
      <c r="IXE21" s="7"/>
      <c r="IXF21" s="7"/>
      <c r="IXG21" s="7"/>
      <c r="IXH21" s="7"/>
      <c r="IXI21" s="7"/>
      <c r="IXJ21" s="7"/>
      <c r="IXK21" s="7"/>
      <c r="IXL21" s="7"/>
      <c r="IXM21" s="7"/>
      <c r="IXN21" s="7"/>
      <c r="IXO21" s="7"/>
      <c r="IXP21" s="7"/>
      <c r="IXQ21" s="7"/>
      <c r="IXR21" s="7"/>
      <c r="IXS21" s="7"/>
      <c r="IXT21" s="7"/>
      <c r="IXU21" s="7"/>
      <c r="IXV21" s="7"/>
      <c r="IXW21" s="7"/>
      <c r="IXX21" s="7"/>
      <c r="IXY21" s="7"/>
      <c r="IXZ21" s="7"/>
      <c r="IYA21" s="7"/>
      <c r="IYB21" s="7"/>
      <c r="IYC21" s="7"/>
      <c r="IYD21" s="7"/>
      <c r="IYE21" s="7"/>
      <c r="IYF21" s="7"/>
      <c r="IYG21" s="7"/>
      <c r="IYH21" s="7"/>
      <c r="IYI21" s="7"/>
      <c r="IYJ21" s="7"/>
      <c r="IYK21" s="7"/>
      <c r="IYL21" s="7"/>
      <c r="IYM21" s="7"/>
      <c r="IYN21" s="7"/>
      <c r="IYO21" s="7"/>
      <c r="IYP21" s="7"/>
      <c r="IYQ21" s="7"/>
      <c r="IYR21" s="7"/>
      <c r="IYS21" s="7"/>
      <c r="IYT21" s="7"/>
      <c r="IYU21" s="7"/>
      <c r="IYV21" s="7"/>
      <c r="IYW21" s="7"/>
      <c r="IYX21" s="7"/>
      <c r="IYY21" s="7"/>
      <c r="IYZ21" s="7"/>
      <c r="IZA21" s="7"/>
      <c r="IZB21" s="7"/>
      <c r="IZC21" s="7"/>
      <c r="IZD21" s="7"/>
      <c r="IZE21" s="7"/>
      <c r="IZF21" s="7"/>
      <c r="IZG21" s="7"/>
      <c r="IZH21" s="7"/>
      <c r="IZI21" s="7"/>
      <c r="IZJ21" s="7"/>
      <c r="IZK21" s="7"/>
      <c r="IZL21" s="7"/>
      <c r="IZM21" s="7"/>
      <c r="IZN21" s="7"/>
      <c r="IZO21" s="7"/>
      <c r="IZP21" s="7"/>
      <c r="IZQ21" s="7"/>
      <c r="IZR21" s="7"/>
      <c r="IZS21" s="7"/>
      <c r="IZT21" s="7"/>
      <c r="IZU21" s="7"/>
      <c r="IZV21" s="7"/>
      <c r="IZW21" s="7"/>
      <c r="IZX21" s="7"/>
      <c r="IZY21" s="7"/>
      <c r="IZZ21" s="7"/>
      <c r="JAA21" s="7"/>
      <c r="JAB21" s="7"/>
      <c r="JAC21" s="7"/>
      <c r="JAD21" s="7"/>
      <c r="JAE21" s="7"/>
      <c r="JAF21" s="7"/>
      <c r="JAG21" s="7"/>
      <c r="JAH21" s="7"/>
      <c r="JAI21" s="7"/>
      <c r="JAJ21" s="7"/>
      <c r="JAK21" s="7"/>
      <c r="JAL21" s="7"/>
      <c r="JAM21" s="7"/>
      <c r="JAN21" s="7"/>
      <c r="JAO21" s="7"/>
      <c r="JAP21" s="7"/>
      <c r="JAQ21" s="7"/>
      <c r="JAR21" s="7"/>
      <c r="JAS21" s="7"/>
      <c r="JAT21" s="7"/>
      <c r="JAU21" s="7"/>
      <c r="JAV21" s="7"/>
      <c r="JAW21" s="7"/>
      <c r="JAX21" s="7"/>
      <c r="JAY21" s="7"/>
      <c r="JAZ21" s="7"/>
      <c r="JBA21" s="7"/>
      <c r="JBB21" s="7"/>
      <c r="JBC21" s="7"/>
      <c r="JBD21" s="7"/>
      <c r="JBE21" s="7"/>
      <c r="JBF21" s="7"/>
      <c r="JBG21" s="7"/>
      <c r="JBH21" s="7"/>
      <c r="JBI21" s="7"/>
      <c r="JBJ21" s="7"/>
      <c r="JBK21" s="7"/>
      <c r="JBL21" s="7"/>
      <c r="JBM21" s="7"/>
      <c r="JBN21" s="7"/>
      <c r="JBO21" s="7"/>
      <c r="JBP21" s="7"/>
      <c r="JBQ21" s="7"/>
      <c r="JBR21" s="7"/>
      <c r="JBS21" s="7"/>
      <c r="JBT21" s="7"/>
      <c r="JBU21" s="7"/>
      <c r="JBV21" s="7"/>
      <c r="JBW21" s="7"/>
      <c r="JBX21" s="7"/>
      <c r="JBY21" s="7"/>
      <c r="JBZ21" s="7"/>
      <c r="JCA21" s="7"/>
      <c r="JCB21" s="7"/>
      <c r="JCC21" s="7"/>
      <c r="JCD21" s="7"/>
      <c r="JCE21" s="7"/>
      <c r="JCF21" s="7"/>
      <c r="JCG21" s="7"/>
      <c r="JCH21" s="7"/>
      <c r="JCI21" s="7"/>
      <c r="JCJ21" s="7"/>
      <c r="JCK21" s="7"/>
      <c r="JCL21" s="7"/>
      <c r="JCM21" s="7"/>
      <c r="JCN21" s="7"/>
      <c r="JCO21" s="7"/>
      <c r="JCP21" s="7"/>
      <c r="JCQ21" s="7"/>
      <c r="JCR21" s="7"/>
      <c r="JCS21" s="7"/>
      <c r="JCT21" s="7"/>
      <c r="JCU21" s="7"/>
      <c r="JCV21" s="7"/>
      <c r="JCW21" s="7"/>
      <c r="JCX21" s="7"/>
      <c r="JCY21" s="7"/>
      <c r="JCZ21" s="7"/>
      <c r="JDA21" s="7"/>
      <c r="JDB21" s="7"/>
      <c r="JDC21" s="7"/>
      <c r="JDD21" s="7"/>
      <c r="JDE21" s="7"/>
      <c r="JDF21" s="7"/>
      <c r="JDG21" s="7"/>
      <c r="JDH21" s="7"/>
      <c r="JDI21" s="7"/>
      <c r="JDJ21" s="7"/>
      <c r="JDK21" s="7"/>
      <c r="JDL21" s="7"/>
      <c r="JDM21" s="7"/>
      <c r="JDN21" s="7"/>
      <c r="JDO21" s="7"/>
      <c r="JDP21" s="7"/>
      <c r="JDQ21" s="7"/>
      <c r="JDR21" s="7"/>
      <c r="JDS21" s="7"/>
      <c r="JDT21" s="7"/>
      <c r="JDU21" s="7"/>
      <c r="JDV21" s="7"/>
      <c r="JDW21" s="7"/>
      <c r="JDX21" s="7"/>
      <c r="JDY21" s="7"/>
      <c r="JDZ21" s="7"/>
      <c r="JEA21" s="7"/>
      <c r="JEB21" s="7"/>
      <c r="JEC21" s="7"/>
      <c r="JED21" s="7"/>
      <c r="JEE21" s="7"/>
      <c r="JEF21" s="7"/>
      <c r="JEG21" s="7"/>
      <c r="JEH21" s="7"/>
      <c r="JEI21" s="7"/>
      <c r="JEJ21" s="7"/>
      <c r="JEK21" s="7"/>
      <c r="JEL21" s="7"/>
      <c r="JEM21" s="7"/>
      <c r="JEN21" s="7"/>
      <c r="JEO21" s="7"/>
      <c r="JEP21" s="7"/>
      <c r="JEQ21" s="7"/>
      <c r="JER21" s="7"/>
      <c r="JES21" s="7"/>
      <c r="JET21" s="7"/>
      <c r="JEU21" s="7"/>
      <c r="JEV21" s="7"/>
      <c r="JEW21" s="7"/>
      <c r="JEX21" s="7"/>
      <c r="JEY21" s="7"/>
      <c r="JEZ21" s="7"/>
      <c r="JFA21" s="7"/>
      <c r="JFB21" s="7"/>
      <c r="JFC21" s="7"/>
      <c r="JFD21" s="7"/>
      <c r="JFE21" s="7"/>
      <c r="JFF21" s="7"/>
      <c r="JFG21" s="7"/>
      <c r="JFH21" s="7"/>
      <c r="JFI21" s="7"/>
      <c r="JFJ21" s="7"/>
      <c r="JFK21" s="7"/>
      <c r="JFL21" s="7"/>
      <c r="JFM21" s="7"/>
      <c r="JFN21" s="7"/>
      <c r="JFO21" s="7"/>
      <c r="JFP21" s="7"/>
      <c r="JFQ21" s="7"/>
      <c r="JFR21" s="7"/>
      <c r="JFS21" s="7"/>
      <c r="JFT21" s="7"/>
      <c r="JFU21" s="7"/>
      <c r="JFV21" s="7"/>
      <c r="JFW21" s="7"/>
      <c r="JFX21" s="7"/>
      <c r="JFY21" s="7"/>
      <c r="JFZ21" s="7"/>
      <c r="JGA21" s="7"/>
      <c r="JGB21" s="7"/>
      <c r="JGC21" s="7"/>
      <c r="JGD21" s="7"/>
      <c r="JGE21" s="7"/>
      <c r="JGF21" s="7"/>
      <c r="JGG21" s="7"/>
      <c r="JGH21" s="7"/>
      <c r="JGI21" s="7"/>
      <c r="JGJ21" s="7"/>
      <c r="JGK21" s="7"/>
      <c r="JGL21" s="7"/>
      <c r="JGM21" s="7"/>
      <c r="JGN21" s="7"/>
      <c r="JGO21" s="7"/>
      <c r="JGP21" s="7"/>
      <c r="JGQ21" s="7"/>
      <c r="JGR21" s="7"/>
      <c r="JGS21" s="7"/>
      <c r="JGT21" s="7"/>
      <c r="JGU21" s="7"/>
      <c r="JGV21" s="7"/>
      <c r="JGW21" s="7"/>
      <c r="JGX21" s="7"/>
      <c r="JGY21" s="7"/>
      <c r="JGZ21" s="7"/>
      <c r="JHA21" s="7"/>
      <c r="JHB21" s="7"/>
      <c r="JHC21" s="7"/>
      <c r="JHD21" s="7"/>
      <c r="JHE21" s="7"/>
      <c r="JHF21" s="7"/>
      <c r="JHG21" s="7"/>
      <c r="JHH21" s="7"/>
      <c r="JHI21" s="7"/>
      <c r="JHJ21" s="7"/>
      <c r="JHK21" s="7"/>
      <c r="JHL21" s="7"/>
      <c r="JHM21" s="7"/>
      <c r="JHN21" s="7"/>
      <c r="JHO21" s="7"/>
      <c r="JHP21" s="7"/>
      <c r="JHQ21" s="7"/>
      <c r="JHR21" s="7"/>
      <c r="JHS21" s="7"/>
      <c r="JHT21" s="7"/>
      <c r="JHU21" s="7"/>
      <c r="JHV21" s="7"/>
      <c r="JHW21" s="7"/>
      <c r="JHX21" s="7"/>
      <c r="JHY21" s="7"/>
      <c r="JHZ21" s="7"/>
      <c r="JIA21" s="7"/>
      <c r="JIB21" s="7"/>
      <c r="JIC21" s="7"/>
      <c r="JID21" s="7"/>
      <c r="JIE21" s="7"/>
      <c r="JIF21" s="7"/>
      <c r="JIG21" s="7"/>
      <c r="JIH21" s="7"/>
      <c r="JII21" s="7"/>
      <c r="JIJ21" s="7"/>
      <c r="JIK21" s="7"/>
      <c r="JIL21" s="7"/>
      <c r="JIM21" s="7"/>
      <c r="JIN21" s="7"/>
      <c r="JIO21" s="7"/>
      <c r="JIP21" s="7"/>
      <c r="JIQ21" s="7"/>
      <c r="JIR21" s="7"/>
      <c r="JIS21" s="7"/>
      <c r="JIT21" s="7"/>
      <c r="JIU21" s="7"/>
      <c r="JIV21" s="7"/>
      <c r="JIW21" s="7"/>
      <c r="JIX21" s="7"/>
      <c r="JIY21" s="7"/>
      <c r="JIZ21" s="7"/>
      <c r="JJA21" s="7"/>
      <c r="JJB21" s="7"/>
      <c r="JJC21" s="7"/>
      <c r="JJD21" s="7"/>
      <c r="JJE21" s="7"/>
      <c r="JJF21" s="7"/>
      <c r="JJG21" s="7"/>
      <c r="JJH21" s="7"/>
      <c r="JJI21" s="7"/>
      <c r="JJJ21" s="7"/>
      <c r="JJK21" s="7"/>
      <c r="JJL21" s="7"/>
      <c r="JJM21" s="7"/>
      <c r="JJN21" s="7"/>
      <c r="JJO21" s="7"/>
      <c r="JJP21" s="7"/>
      <c r="JJQ21" s="7"/>
      <c r="JJR21" s="7"/>
      <c r="JJS21" s="7"/>
      <c r="JJT21" s="7"/>
      <c r="JJU21" s="7"/>
      <c r="JJV21" s="7"/>
      <c r="JJW21" s="7"/>
      <c r="JJX21" s="7"/>
      <c r="JJY21" s="7"/>
      <c r="JJZ21" s="7"/>
      <c r="JKA21" s="7"/>
      <c r="JKB21" s="7"/>
      <c r="JKC21" s="7"/>
      <c r="JKD21" s="7"/>
      <c r="JKE21" s="7"/>
      <c r="JKF21" s="7"/>
      <c r="JKG21" s="7"/>
      <c r="JKH21" s="7"/>
      <c r="JKI21" s="7"/>
      <c r="JKJ21" s="7"/>
      <c r="JKK21" s="7"/>
      <c r="JKL21" s="7"/>
      <c r="JKM21" s="7"/>
      <c r="JKN21" s="7"/>
      <c r="JKO21" s="7"/>
      <c r="JKP21" s="7"/>
      <c r="JKQ21" s="7"/>
      <c r="JKR21" s="7"/>
      <c r="JKS21" s="7"/>
      <c r="JKT21" s="7"/>
      <c r="JKU21" s="7"/>
      <c r="JKV21" s="7"/>
      <c r="JKW21" s="7"/>
      <c r="JKX21" s="7"/>
      <c r="JKY21" s="7"/>
      <c r="JKZ21" s="7"/>
      <c r="JLA21" s="7"/>
      <c r="JLB21" s="7"/>
      <c r="JLC21" s="7"/>
      <c r="JLD21" s="7"/>
      <c r="JLE21" s="7"/>
      <c r="JLF21" s="7"/>
      <c r="JLG21" s="7"/>
      <c r="JLH21" s="7"/>
      <c r="JLI21" s="7"/>
      <c r="JLJ21" s="7"/>
      <c r="JLK21" s="7"/>
      <c r="JLL21" s="7"/>
      <c r="JLM21" s="7"/>
      <c r="JLN21" s="7"/>
      <c r="JLO21" s="7"/>
      <c r="JLP21" s="7"/>
      <c r="JLQ21" s="7"/>
      <c r="JLR21" s="7"/>
      <c r="JLS21" s="7"/>
      <c r="JLT21" s="7"/>
      <c r="JLU21" s="7"/>
      <c r="JLV21" s="7"/>
      <c r="JLW21" s="7"/>
      <c r="JLX21" s="7"/>
      <c r="JLY21" s="7"/>
      <c r="JLZ21" s="7"/>
      <c r="JMA21" s="7"/>
      <c r="JMB21" s="7"/>
      <c r="JMC21" s="7"/>
      <c r="JMD21" s="7"/>
      <c r="JME21" s="7"/>
      <c r="JMF21" s="7"/>
      <c r="JMG21" s="7"/>
      <c r="JMH21" s="7"/>
      <c r="JMI21" s="7"/>
      <c r="JMJ21" s="7"/>
      <c r="JMK21" s="7"/>
      <c r="JML21" s="7"/>
      <c r="JMM21" s="7"/>
      <c r="JMN21" s="7"/>
      <c r="JMO21" s="7"/>
      <c r="JMP21" s="7"/>
      <c r="JMQ21" s="7"/>
      <c r="JMR21" s="7"/>
      <c r="JMS21" s="7"/>
      <c r="JMT21" s="7"/>
      <c r="JMU21" s="7"/>
      <c r="JMV21" s="7"/>
      <c r="JMW21" s="7"/>
      <c r="JMX21" s="7"/>
      <c r="JMY21" s="7"/>
      <c r="JMZ21" s="7"/>
      <c r="JNA21" s="7"/>
      <c r="JNB21" s="7"/>
      <c r="JNC21" s="7"/>
      <c r="JND21" s="7"/>
      <c r="JNE21" s="7"/>
      <c r="JNF21" s="7"/>
      <c r="JNG21" s="7"/>
      <c r="JNH21" s="7"/>
      <c r="JNI21" s="7"/>
      <c r="JNJ21" s="7"/>
      <c r="JNK21" s="7"/>
      <c r="JNL21" s="7"/>
      <c r="JNM21" s="7"/>
      <c r="JNN21" s="7"/>
      <c r="JNO21" s="7"/>
      <c r="JNP21" s="7"/>
      <c r="JNQ21" s="7"/>
      <c r="JNR21" s="7"/>
      <c r="JNS21" s="7"/>
      <c r="JNT21" s="7"/>
      <c r="JNU21" s="7"/>
      <c r="JNV21" s="7"/>
      <c r="JNW21" s="7"/>
      <c r="JNX21" s="7"/>
      <c r="JNY21" s="7"/>
      <c r="JNZ21" s="7"/>
      <c r="JOA21" s="7"/>
      <c r="JOB21" s="7"/>
      <c r="JOC21" s="7"/>
      <c r="JOD21" s="7"/>
      <c r="JOE21" s="7"/>
      <c r="JOF21" s="7"/>
      <c r="JOG21" s="7"/>
      <c r="JOH21" s="7"/>
      <c r="JOI21" s="7"/>
      <c r="JOJ21" s="7"/>
      <c r="JOK21" s="7"/>
      <c r="JOL21" s="7"/>
      <c r="JOM21" s="7"/>
      <c r="JON21" s="7"/>
      <c r="JOO21" s="7"/>
      <c r="JOP21" s="7"/>
      <c r="JOQ21" s="7"/>
      <c r="JOR21" s="7"/>
      <c r="JOS21" s="7"/>
      <c r="JOT21" s="7"/>
      <c r="JOU21" s="7"/>
      <c r="JOV21" s="7"/>
      <c r="JOW21" s="7"/>
      <c r="JOX21" s="7"/>
      <c r="JOY21" s="7"/>
      <c r="JOZ21" s="7"/>
      <c r="JPA21" s="7"/>
      <c r="JPB21" s="7"/>
      <c r="JPC21" s="7"/>
      <c r="JPD21" s="7"/>
      <c r="JPE21" s="7"/>
      <c r="JPF21" s="7"/>
      <c r="JPG21" s="7"/>
      <c r="JPH21" s="7"/>
      <c r="JPI21" s="7"/>
      <c r="JPJ21" s="7"/>
      <c r="JPK21" s="7"/>
      <c r="JPL21" s="7"/>
      <c r="JPM21" s="7"/>
      <c r="JPN21" s="7"/>
      <c r="JPO21" s="7"/>
      <c r="JPP21" s="7"/>
      <c r="JPQ21" s="7"/>
      <c r="JPR21" s="7"/>
      <c r="JPS21" s="7"/>
      <c r="JPT21" s="7"/>
      <c r="JPU21" s="7"/>
      <c r="JPV21" s="7"/>
      <c r="JPW21" s="7"/>
      <c r="JPX21" s="7"/>
      <c r="JPY21" s="7"/>
      <c r="JPZ21" s="7"/>
      <c r="JQA21" s="7"/>
      <c r="JQB21" s="7"/>
      <c r="JQC21" s="7"/>
      <c r="JQD21" s="7"/>
      <c r="JQE21" s="7"/>
      <c r="JQF21" s="7"/>
      <c r="JQG21" s="7"/>
      <c r="JQH21" s="7"/>
      <c r="JQI21" s="7"/>
      <c r="JQJ21" s="7"/>
      <c r="JQK21" s="7"/>
      <c r="JQL21" s="7"/>
      <c r="JQM21" s="7"/>
      <c r="JQN21" s="7"/>
      <c r="JQO21" s="7"/>
      <c r="JQP21" s="7"/>
      <c r="JQQ21" s="7"/>
      <c r="JQR21" s="7"/>
      <c r="JQS21" s="7"/>
      <c r="JQT21" s="7"/>
      <c r="JQU21" s="7"/>
      <c r="JQV21" s="7"/>
      <c r="JQW21" s="7"/>
      <c r="JQX21" s="7"/>
      <c r="JQY21" s="7"/>
      <c r="JQZ21" s="7"/>
      <c r="JRA21" s="7"/>
      <c r="JRB21" s="7"/>
      <c r="JRC21" s="7"/>
      <c r="JRD21" s="7"/>
      <c r="JRE21" s="7"/>
      <c r="JRF21" s="7"/>
      <c r="JRG21" s="7"/>
      <c r="JRH21" s="7"/>
      <c r="JRI21" s="7"/>
      <c r="JRJ21" s="7"/>
      <c r="JRK21" s="7"/>
      <c r="JRL21" s="7"/>
      <c r="JRM21" s="7"/>
      <c r="JRN21" s="7"/>
      <c r="JRO21" s="7"/>
      <c r="JRP21" s="7"/>
      <c r="JRQ21" s="7"/>
      <c r="JRR21" s="7"/>
      <c r="JRS21" s="7"/>
      <c r="JRT21" s="7"/>
      <c r="JRU21" s="7"/>
      <c r="JRV21" s="7"/>
      <c r="JRW21" s="7"/>
      <c r="JRX21" s="7"/>
      <c r="JRY21" s="7"/>
      <c r="JRZ21" s="7"/>
      <c r="JSA21" s="7"/>
      <c r="JSB21" s="7"/>
      <c r="JSC21" s="7"/>
      <c r="JSD21" s="7"/>
      <c r="JSE21" s="7"/>
      <c r="JSF21" s="7"/>
      <c r="JSG21" s="7"/>
      <c r="JSH21" s="7"/>
      <c r="JSI21" s="7"/>
      <c r="JSJ21" s="7"/>
      <c r="JSK21" s="7"/>
      <c r="JSL21" s="7"/>
      <c r="JSM21" s="7"/>
      <c r="JSN21" s="7"/>
      <c r="JSO21" s="7"/>
      <c r="JSP21" s="7"/>
      <c r="JSQ21" s="7"/>
      <c r="JSR21" s="7"/>
      <c r="JSS21" s="7"/>
      <c r="JST21" s="7"/>
      <c r="JSU21" s="7"/>
      <c r="JSV21" s="7"/>
      <c r="JSW21" s="7"/>
      <c r="JSX21" s="7"/>
      <c r="JSY21" s="7"/>
      <c r="JSZ21" s="7"/>
      <c r="JTA21" s="7"/>
      <c r="JTB21" s="7"/>
      <c r="JTC21" s="7"/>
      <c r="JTD21" s="7"/>
      <c r="JTE21" s="7"/>
      <c r="JTF21" s="7"/>
      <c r="JTG21" s="7"/>
      <c r="JTH21" s="7"/>
      <c r="JTI21" s="7"/>
      <c r="JTJ21" s="7"/>
      <c r="JTK21" s="7"/>
      <c r="JTL21" s="7"/>
      <c r="JTM21" s="7"/>
      <c r="JTN21" s="7"/>
      <c r="JTO21" s="7"/>
      <c r="JTP21" s="7"/>
      <c r="JTQ21" s="7"/>
      <c r="JTR21" s="7"/>
      <c r="JTS21" s="7"/>
      <c r="JTT21" s="7"/>
      <c r="JTU21" s="7"/>
      <c r="JTV21" s="7"/>
      <c r="JTW21" s="7"/>
      <c r="JTX21" s="7"/>
      <c r="JTY21" s="7"/>
      <c r="JTZ21" s="7"/>
      <c r="JUA21" s="7"/>
      <c r="JUB21" s="7"/>
      <c r="JUC21" s="7"/>
      <c r="JUD21" s="7"/>
      <c r="JUE21" s="7"/>
      <c r="JUF21" s="7"/>
      <c r="JUG21" s="7"/>
      <c r="JUH21" s="7"/>
      <c r="JUI21" s="7"/>
      <c r="JUJ21" s="7"/>
      <c r="JUK21" s="7"/>
      <c r="JUL21" s="7"/>
      <c r="JUM21" s="7"/>
      <c r="JUN21" s="7"/>
      <c r="JUO21" s="7"/>
      <c r="JUP21" s="7"/>
      <c r="JUQ21" s="7"/>
      <c r="JUR21" s="7"/>
      <c r="JUS21" s="7"/>
      <c r="JUT21" s="7"/>
      <c r="JUU21" s="7"/>
      <c r="JUV21" s="7"/>
      <c r="JUW21" s="7"/>
      <c r="JUX21" s="7"/>
      <c r="JUY21" s="7"/>
      <c r="JUZ21" s="7"/>
      <c r="JVA21" s="7"/>
      <c r="JVB21" s="7"/>
      <c r="JVC21" s="7"/>
      <c r="JVD21" s="7"/>
      <c r="JVE21" s="7"/>
      <c r="JVF21" s="7"/>
      <c r="JVG21" s="7"/>
      <c r="JVH21" s="7"/>
      <c r="JVI21" s="7"/>
      <c r="JVJ21" s="7"/>
      <c r="JVK21" s="7"/>
      <c r="JVL21" s="7"/>
      <c r="JVM21" s="7"/>
      <c r="JVN21" s="7"/>
      <c r="JVO21" s="7"/>
      <c r="JVP21" s="7"/>
      <c r="JVQ21" s="7"/>
      <c r="JVR21" s="7"/>
      <c r="JVS21" s="7"/>
      <c r="JVT21" s="7"/>
      <c r="JVU21" s="7"/>
      <c r="JVV21" s="7"/>
      <c r="JVW21" s="7"/>
      <c r="JVX21" s="7"/>
      <c r="JVY21" s="7"/>
      <c r="JVZ21" s="7"/>
      <c r="JWA21" s="7"/>
      <c r="JWB21" s="7"/>
      <c r="JWC21" s="7"/>
      <c r="JWD21" s="7"/>
      <c r="JWE21" s="7"/>
      <c r="JWF21" s="7"/>
      <c r="JWG21" s="7"/>
      <c r="JWH21" s="7"/>
      <c r="JWI21" s="7"/>
      <c r="JWJ21" s="7"/>
      <c r="JWK21" s="7"/>
      <c r="JWL21" s="7"/>
      <c r="JWM21" s="7"/>
      <c r="JWN21" s="7"/>
      <c r="JWO21" s="7"/>
      <c r="JWP21" s="7"/>
      <c r="JWQ21" s="7"/>
      <c r="JWR21" s="7"/>
      <c r="JWS21" s="7"/>
      <c r="JWT21" s="7"/>
      <c r="JWU21" s="7"/>
      <c r="JWV21" s="7"/>
      <c r="JWW21" s="7"/>
      <c r="JWX21" s="7"/>
      <c r="JWY21" s="7"/>
      <c r="JWZ21" s="7"/>
      <c r="JXA21" s="7"/>
      <c r="JXB21" s="7"/>
      <c r="JXC21" s="7"/>
      <c r="JXD21" s="7"/>
      <c r="JXE21" s="7"/>
      <c r="JXF21" s="7"/>
      <c r="JXG21" s="7"/>
      <c r="JXH21" s="7"/>
      <c r="JXI21" s="7"/>
      <c r="JXJ21" s="7"/>
      <c r="JXK21" s="7"/>
      <c r="JXL21" s="7"/>
      <c r="JXM21" s="7"/>
      <c r="JXN21" s="7"/>
      <c r="JXO21" s="7"/>
      <c r="JXP21" s="7"/>
      <c r="JXQ21" s="7"/>
      <c r="JXR21" s="7"/>
      <c r="JXS21" s="7"/>
      <c r="JXT21" s="7"/>
      <c r="JXU21" s="7"/>
      <c r="JXV21" s="7"/>
      <c r="JXW21" s="7"/>
      <c r="JXX21" s="7"/>
      <c r="JXY21" s="7"/>
      <c r="JXZ21" s="7"/>
      <c r="JYA21" s="7"/>
      <c r="JYB21" s="7"/>
      <c r="JYC21" s="7"/>
      <c r="JYD21" s="7"/>
      <c r="JYE21" s="7"/>
      <c r="JYF21" s="7"/>
      <c r="JYG21" s="7"/>
      <c r="JYH21" s="7"/>
      <c r="JYI21" s="7"/>
      <c r="JYJ21" s="7"/>
      <c r="JYK21" s="7"/>
      <c r="JYL21" s="7"/>
      <c r="JYM21" s="7"/>
      <c r="JYN21" s="7"/>
      <c r="JYO21" s="7"/>
      <c r="JYP21" s="7"/>
      <c r="JYQ21" s="7"/>
      <c r="JYR21" s="7"/>
      <c r="JYS21" s="7"/>
      <c r="JYT21" s="7"/>
      <c r="JYU21" s="7"/>
      <c r="JYV21" s="7"/>
      <c r="JYW21" s="7"/>
      <c r="JYX21" s="7"/>
      <c r="JYY21" s="7"/>
      <c r="JYZ21" s="7"/>
      <c r="JZA21" s="7"/>
      <c r="JZB21" s="7"/>
      <c r="JZC21" s="7"/>
      <c r="JZD21" s="7"/>
      <c r="JZE21" s="7"/>
      <c r="JZF21" s="7"/>
      <c r="JZG21" s="7"/>
      <c r="JZH21" s="7"/>
      <c r="JZI21" s="7"/>
      <c r="JZJ21" s="7"/>
      <c r="JZK21" s="7"/>
      <c r="JZL21" s="7"/>
      <c r="JZM21" s="7"/>
      <c r="JZN21" s="7"/>
      <c r="JZO21" s="7"/>
      <c r="JZP21" s="7"/>
      <c r="JZQ21" s="7"/>
      <c r="JZR21" s="7"/>
      <c r="JZS21" s="7"/>
      <c r="JZT21" s="7"/>
      <c r="JZU21" s="7"/>
      <c r="JZV21" s="7"/>
      <c r="JZW21" s="7"/>
      <c r="JZX21" s="7"/>
      <c r="JZY21" s="7"/>
      <c r="JZZ21" s="7"/>
      <c r="KAA21" s="7"/>
      <c r="KAB21" s="7"/>
      <c r="KAC21" s="7"/>
      <c r="KAD21" s="7"/>
      <c r="KAE21" s="7"/>
      <c r="KAF21" s="7"/>
      <c r="KAG21" s="7"/>
      <c r="KAH21" s="7"/>
      <c r="KAI21" s="7"/>
      <c r="KAJ21" s="7"/>
      <c r="KAK21" s="7"/>
      <c r="KAL21" s="7"/>
      <c r="KAM21" s="7"/>
      <c r="KAN21" s="7"/>
      <c r="KAO21" s="7"/>
      <c r="KAP21" s="7"/>
      <c r="KAQ21" s="7"/>
      <c r="KAR21" s="7"/>
      <c r="KAS21" s="7"/>
      <c r="KAT21" s="7"/>
      <c r="KAU21" s="7"/>
      <c r="KAV21" s="7"/>
      <c r="KAW21" s="7"/>
      <c r="KAX21" s="7"/>
      <c r="KAY21" s="7"/>
      <c r="KAZ21" s="7"/>
      <c r="KBA21" s="7"/>
      <c r="KBB21" s="7"/>
      <c r="KBC21" s="7"/>
      <c r="KBD21" s="7"/>
      <c r="KBE21" s="7"/>
      <c r="KBF21" s="7"/>
      <c r="KBG21" s="7"/>
      <c r="KBH21" s="7"/>
      <c r="KBI21" s="7"/>
      <c r="KBJ21" s="7"/>
      <c r="KBK21" s="7"/>
      <c r="KBL21" s="7"/>
      <c r="KBM21" s="7"/>
      <c r="KBN21" s="7"/>
      <c r="KBO21" s="7"/>
      <c r="KBP21" s="7"/>
      <c r="KBQ21" s="7"/>
      <c r="KBR21" s="7"/>
      <c r="KBS21" s="7"/>
      <c r="KBT21" s="7"/>
      <c r="KBU21" s="7"/>
      <c r="KBV21" s="7"/>
      <c r="KBW21" s="7"/>
      <c r="KBX21" s="7"/>
      <c r="KBY21" s="7"/>
      <c r="KBZ21" s="7"/>
      <c r="KCA21" s="7"/>
      <c r="KCB21" s="7"/>
      <c r="KCC21" s="7"/>
      <c r="KCD21" s="7"/>
      <c r="KCE21" s="7"/>
      <c r="KCF21" s="7"/>
      <c r="KCG21" s="7"/>
      <c r="KCH21" s="7"/>
      <c r="KCI21" s="7"/>
      <c r="KCJ21" s="7"/>
      <c r="KCK21" s="7"/>
      <c r="KCL21" s="7"/>
      <c r="KCM21" s="7"/>
      <c r="KCN21" s="7"/>
      <c r="KCO21" s="7"/>
      <c r="KCP21" s="7"/>
      <c r="KCQ21" s="7"/>
      <c r="KCR21" s="7"/>
      <c r="KCS21" s="7"/>
      <c r="KCT21" s="7"/>
      <c r="KCU21" s="7"/>
      <c r="KCV21" s="7"/>
      <c r="KCW21" s="7"/>
      <c r="KCX21" s="7"/>
      <c r="KCY21" s="7"/>
      <c r="KCZ21" s="7"/>
      <c r="KDA21" s="7"/>
      <c r="KDB21" s="7"/>
      <c r="KDC21" s="7"/>
      <c r="KDD21" s="7"/>
      <c r="KDE21" s="7"/>
      <c r="KDF21" s="7"/>
      <c r="KDG21" s="7"/>
      <c r="KDH21" s="7"/>
      <c r="KDI21" s="7"/>
      <c r="KDJ21" s="7"/>
      <c r="KDK21" s="7"/>
      <c r="KDL21" s="7"/>
      <c r="KDM21" s="7"/>
      <c r="KDN21" s="7"/>
      <c r="KDO21" s="7"/>
      <c r="KDP21" s="7"/>
      <c r="KDQ21" s="7"/>
      <c r="KDR21" s="7"/>
      <c r="KDS21" s="7"/>
      <c r="KDT21" s="7"/>
      <c r="KDU21" s="7"/>
      <c r="KDV21" s="7"/>
      <c r="KDW21" s="7"/>
      <c r="KDX21" s="7"/>
      <c r="KDY21" s="7"/>
      <c r="KDZ21" s="7"/>
      <c r="KEA21" s="7"/>
      <c r="KEB21" s="7"/>
      <c r="KEC21" s="7"/>
      <c r="KED21" s="7"/>
      <c r="KEE21" s="7"/>
      <c r="KEF21" s="7"/>
      <c r="KEG21" s="7"/>
      <c r="KEH21" s="7"/>
      <c r="KEI21" s="7"/>
      <c r="KEJ21" s="7"/>
      <c r="KEK21" s="7"/>
      <c r="KEL21" s="7"/>
      <c r="KEM21" s="7"/>
      <c r="KEN21" s="7"/>
      <c r="KEO21" s="7"/>
      <c r="KEP21" s="7"/>
      <c r="KEQ21" s="7"/>
      <c r="KER21" s="7"/>
      <c r="KES21" s="7"/>
      <c r="KET21" s="7"/>
      <c r="KEU21" s="7"/>
      <c r="KEV21" s="7"/>
      <c r="KEW21" s="7"/>
      <c r="KEX21" s="7"/>
      <c r="KEY21" s="7"/>
      <c r="KEZ21" s="7"/>
      <c r="KFA21" s="7"/>
      <c r="KFB21" s="7"/>
      <c r="KFC21" s="7"/>
      <c r="KFD21" s="7"/>
      <c r="KFE21" s="7"/>
      <c r="KFF21" s="7"/>
      <c r="KFG21" s="7"/>
      <c r="KFH21" s="7"/>
      <c r="KFI21" s="7"/>
      <c r="KFJ21" s="7"/>
      <c r="KFK21" s="7"/>
      <c r="KFL21" s="7"/>
      <c r="KFM21" s="7"/>
      <c r="KFN21" s="7"/>
      <c r="KFO21" s="7"/>
      <c r="KFP21" s="7"/>
      <c r="KFQ21" s="7"/>
      <c r="KFR21" s="7"/>
      <c r="KFS21" s="7"/>
      <c r="KFT21" s="7"/>
      <c r="KFU21" s="7"/>
      <c r="KFV21" s="7"/>
      <c r="KFW21" s="7"/>
      <c r="KFX21" s="7"/>
      <c r="KFY21" s="7"/>
      <c r="KFZ21" s="7"/>
      <c r="KGA21" s="7"/>
      <c r="KGB21" s="7"/>
      <c r="KGC21" s="7"/>
      <c r="KGD21" s="7"/>
      <c r="KGE21" s="7"/>
      <c r="KGF21" s="7"/>
      <c r="KGG21" s="7"/>
      <c r="KGH21" s="7"/>
      <c r="KGI21" s="7"/>
      <c r="KGJ21" s="7"/>
      <c r="KGK21" s="7"/>
      <c r="KGL21" s="7"/>
      <c r="KGM21" s="7"/>
      <c r="KGN21" s="7"/>
      <c r="KGO21" s="7"/>
      <c r="KGP21" s="7"/>
      <c r="KGQ21" s="7"/>
      <c r="KGR21" s="7"/>
      <c r="KGS21" s="7"/>
      <c r="KGT21" s="7"/>
      <c r="KGU21" s="7"/>
      <c r="KGV21" s="7"/>
      <c r="KGW21" s="7"/>
      <c r="KGX21" s="7"/>
      <c r="KGY21" s="7"/>
      <c r="KGZ21" s="7"/>
      <c r="KHA21" s="7"/>
      <c r="KHB21" s="7"/>
      <c r="KHC21" s="7"/>
      <c r="KHD21" s="7"/>
      <c r="KHE21" s="7"/>
      <c r="KHF21" s="7"/>
      <c r="KHG21" s="7"/>
      <c r="KHH21" s="7"/>
      <c r="KHI21" s="7"/>
      <c r="KHJ21" s="7"/>
      <c r="KHK21" s="7"/>
      <c r="KHL21" s="7"/>
      <c r="KHM21" s="7"/>
      <c r="KHN21" s="7"/>
      <c r="KHO21" s="7"/>
      <c r="KHP21" s="7"/>
      <c r="KHQ21" s="7"/>
      <c r="KHR21" s="7"/>
      <c r="KHS21" s="7"/>
      <c r="KHT21" s="7"/>
      <c r="KHU21" s="7"/>
      <c r="KHV21" s="7"/>
      <c r="KHW21" s="7"/>
      <c r="KHX21" s="7"/>
      <c r="KHY21" s="7"/>
      <c r="KHZ21" s="7"/>
      <c r="KIA21" s="7"/>
      <c r="KIB21" s="7"/>
      <c r="KIC21" s="7"/>
      <c r="KID21" s="7"/>
      <c r="KIE21" s="7"/>
      <c r="KIF21" s="7"/>
      <c r="KIG21" s="7"/>
      <c r="KIH21" s="7"/>
      <c r="KII21" s="7"/>
      <c r="KIJ21" s="7"/>
      <c r="KIK21" s="7"/>
      <c r="KIL21" s="7"/>
      <c r="KIM21" s="7"/>
      <c r="KIN21" s="7"/>
      <c r="KIO21" s="7"/>
      <c r="KIP21" s="7"/>
      <c r="KIQ21" s="7"/>
      <c r="KIR21" s="7"/>
      <c r="KIS21" s="7"/>
      <c r="KIT21" s="7"/>
      <c r="KIU21" s="7"/>
      <c r="KIV21" s="7"/>
      <c r="KIW21" s="7"/>
      <c r="KIX21" s="7"/>
      <c r="KIY21" s="7"/>
      <c r="KIZ21" s="7"/>
      <c r="KJA21" s="7"/>
      <c r="KJB21" s="7"/>
      <c r="KJC21" s="7"/>
      <c r="KJD21" s="7"/>
      <c r="KJE21" s="7"/>
      <c r="KJF21" s="7"/>
      <c r="KJG21" s="7"/>
      <c r="KJH21" s="7"/>
      <c r="KJI21" s="7"/>
      <c r="KJJ21" s="7"/>
      <c r="KJK21" s="7"/>
      <c r="KJL21" s="7"/>
      <c r="KJM21" s="7"/>
      <c r="KJN21" s="7"/>
      <c r="KJO21" s="7"/>
      <c r="KJP21" s="7"/>
      <c r="KJQ21" s="7"/>
      <c r="KJR21" s="7"/>
      <c r="KJS21" s="7"/>
      <c r="KJT21" s="7"/>
      <c r="KJU21" s="7"/>
      <c r="KJV21" s="7"/>
      <c r="KJW21" s="7"/>
      <c r="KJX21" s="7"/>
      <c r="KJY21" s="7"/>
      <c r="KJZ21" s="7"/>
      <c r="KKA21" s="7"/>
      <c r="KKB21" s="7"/>
      <c r="KKC21" s="7"/>
      <c r="KKD21" s="7"/>
      <c r="KKE21" s="7"/>
      <c r="KKF21" s="7"/>
      <c r="KKG21" s="7"/>
      <c r="KKH21" s="7"/>
      <c r="KKI21" s="7"/>
      <c r="KKJ21" s="7"/>
      <c r="KKK21" s="7"/>
      <c r="KKL21" s="7"/>
      <c r="KKM21" s="7"/>
      <c r="KKN21" s="7"/>
      <c r="KKO21" s="7"/>
      <c r="KKP21" s="7"/>
      <c r="KKQ21" s="7"/>
      <c r="KKR21" s="7"/>
      <c r="KKS21" s="7"/>
      <c r="KKT21" s="7"/>
      <c r="KKU21" s="7"/>
      <c r="KKV21" s="7"/>
      <c r="KKW21" s="7"/>
      <c r="KKX21" s="7"/>
      <c r="KKY21" s="7"/>
      <c r="KKZ21" s="7"/>
      <c r="KLA21" s="7"/>
      <c r="KLB21" s="7"/>
      <c r="KLC21" s="7"/>
      <c r="KLD21" s="7"/>
      <c r="KLE21" s="7"/>
      <c r="KLF21" s="7"/>
      <c r="KLG21" s="7"/>
      <c r="KLH21" s="7"/>
      <c r="KLI21" s="7"/>
      <c r="KLJ21" s="7"/>
      <c r="KLK21" s="7"/>
      <c r="KLL21" s="7"/>
      <c r="KLM21" s="7"/>
      <c r="KLN21" s="7"/>
      <c r="KLO21" s="7"/>
      <c r="KLP21" s="7"/>
      <c r="KLQ21" s="7"/>
      <c r="KLR21" s="7"/>
      <c r="KLS21" s="7"/>
      <c r="KLT21" s="7"/>
      <c r="KLU21" s="7"/>
      <c r="KLV21" s="7"/>
      <c r="KLW21" s="7"/>
      <c r="KLX21" s="7"/>
      <c r="KLY21" s="7"/>
      <c r="KLZ21" s="7"/>
      <c r="KMA21" s="7"/>
      <c r="KMB21" s="7"/>
      <c r="KMC21" s="7"/>
      <c r="KMD21" s="7"/>
      <c r="KME21" s="7"/>
      <c r="KMF21" s="7"/>
      <c r="KMG21" s="7"/>
      <c r="KMH21" s="7"/>
      <c r="KMI21" s="7"/>
      <c r="KMJ21" s="7"/>
      <c r="KMK21" s="7"/>
      <c r="KML21" s="7"/>
      <c r="KMM21" s="7"/>
      <c r="KMN21" s="7"/>
      <c r="KMO21" s="7"/>
      <c r="KMP21" s="7"/>
      <c r="KMQ21" s="7"/>
      <c r="KMR21" s="7"/>
      <c r="KMS21" s="7"/>
      <c r="KMT21" s="7"/>
      <c r="KMU21" s="7"/>
      <c r="KMV21" s="7"/>
      <c r="KMW21" s="7"/>
      <c r="KMX21" s="7"/>
      <c r="KMY21" s="7"/>
      <c r="KMZ21" s="7"/>
      <c r="KNA21" s="7"/>
      <c r="KNB21" s="7"/>
      <c r="KNC21" s="7"/>
      <c r="KND21" s="7"/>
      <c r="KNE21" s="7"/>
      <c r="KNF21" s="7"/>
      <c r="KNG21" s="7"/>
      <c r="KNH21" s="7"/>
      <c r="KNI21" s="7"/>
      <c r="KNJ21" s="7"/>
      <c r="KNK21" s="7"/>
      <c r="KNL21" s="7"/>
      <c r="KNM21" s="7"/>
      <c r="KNN21" s="7"/>
      <c r="KNO21" s="7"/>
      <c r="KNP21" s="7"/>
      <c r="KNQ21" s="7"/>
      <c r="KNR21" s="7"/>
      <c r="KNS21" s="7"/>
      <c r="KNT21" s="7"/>
      <c r="KNU21" s="7"/>
      <c r="KNV21" s="7"/>
      <c r="KNW21" s="7"/>
      <c r="KNX21" s="7"/>
      <c r="KNY21" s="7"/>
      <c r="KNZ21" s="7"/>
      <c r="KOA21" s="7"/>
      <c r="KOB21" s="7"/>
      <c r="KOC21" s="7"/>
      <c r="KOD21" s="7"/>
      <c r="KOE21" s="7"/>
      <c r="KOF21" s="7"/>
      <c r="KOG21" s="7"/>
      <c r="KOH21" s="7"/>
      <c r="KOI21" s="7"/>
      <c r="KOJ21" s="7"/>
      <c r="KOK21" s="7"/>
      <c r="KOL21" s="7"/>
      <c r="KOM21" s="7"/>
      <c r="KON21" s="7"/>
      <c r="KOO21" s="7"/>
      <c r="KOP21" s="7"/>
      <c r="KOQ21" s="7"/>
      <c r="KOR21" s="7"/>
      <c r="KOS21" s="7"/>
      <c r="KOT21" s="7"/>
      <c r="KOU21" s="7"/>
      <c r="KOV21" s="7"/>
      <c r="KOW21" s="7"/>
      <c r="KOX21" s="7"/>
      <c r="KOY21" s="7"/>
      <c r="KOZ21" s="7"/>
      <c r="KPA21" s="7"/>
      <c r="KPB21" s="7"/>
      <c r="KPC21" s="7"/>
      <c r="KPD21" s="7"/>
      <c r="KPE21" s="7"/>
      <c r="KPF21" s="7"/>
      <c r="KPG21" s="7"/>
      <c r="KPH21" s="7"/>
      <c r="KPI21" s="7"/>
      <c r="KPJ21" s="7"/>
      <c r="KPK21" s="7"/>
      <c r="KPL21" s="7"/>
      <c r="KPM21" s="7"/>
      <c r="KPN21" s="7"/>
      <c r="KPO21" s="7"/>
      <c r="KPP21" s="7"/>
      <c r="KPQ21" s="7"/>
      <c r="KPR21" s="7"/>
      <c r="KPS21" s="7"/>
      <c r="KPT21" s="7"/>
      <c r="KPU21" s="7"/>
      <c r="KPV21" s="7"/>
      <c r="KPW21" s="7"/>
      <c r="KPX21" s="7"/>
      <c r="KPY21" s="7"/>
      <c r="KPZ21" s="7"/>
      <c r="KQA21" s="7"/>
      <c r="KQB21" s="7"/>
      <c r="KQC21" s="7"/>
      <c r="KQD21" s="7"/>
      <c r="KQE21" s="7"/>
      <c r="KQF21" s="7"/>
      <c r="KQG21" s="7"/>
      <c r="KQH21" s="7"/>
      <c r="KQI21" s="7"/>
      <c r="KQJ21" s="7"/>
      <c r="KQK21" s="7"/>
      <c r="KQL21" s="7"/>
      <c r="KQM21" s="7"/>
      <c r="KQN21" s="7"/>
      <c r="KQO21" s="7"/>
      <c r="KQP21" s="7"/>
      <c r="KQQ21" s="7"/>
      <c r="KQR21" s="7"/>
      <c r="KQS21" s="7"/>
      <c r="KQT21" s="7"/>
      <c r="KQU21" s="7"/>
      <c r="KQV21" s="7"/>
      <c r="KQW21" s="7"/>
      <c r="KQX21" s="7"/>
      <c r="KQY21" s="7"/>
      <c r="KQZ21" s="7"/>
      <c r="KRA21" s="7"/>
      <c r="KRB21" s="7"/>
      <c r="KRC21" s="7"/>
      <c r="KRD21" s="7"/>
      <c r="KRE21" s="7"/>
      <c r="KRF21" s="7"/>
      <c r="KRG21" s="7"/>
      <c r="KRH21" s="7"/>
      <c r="KRI21" s="7"/>
      <c r="KRJ21" s="7"/>
      <c r="KRK21" s="7"/>
      <c r="KRL21" s="7"/>
      <c r="KRM21" s="7"/>
      <c r="KRN21" s="7"/>
      <c r="KRO21" s="7"/>
      <c r="KRP21" s="7"/>
      <c r="KRQ21" s="7"/>
      <c r="KRR21" s="7"/>
      <c r="KRS21" s="7"/>
      <c r="KRT21" s="7"/>
      <c r="KRU21" s="7"/>
      <c r="KRV21" s="7"/>
      <c r="KRW21" s="7"/>
      <c r="KRX21" s="7"/>
      <c r="KRY21" s="7"/>
      <c r="KRZ21" s="7"/>
      <c r="KSA21" s="7"/>
      <c r="KSB21" s="7"/>
      <c r="KSC21" s="7"/>
      <c r="KSD21" s="7"/>
      <c r="KSE21" s="7"/>
      <c r="KSF21" s="7"/>
      <c r="KSG21" s="7"/>
      <c r="KSH21" s="7"/>
      <c r="KSI21" s="7"/>
      <c r="KSJ21" s="7"/>
      <c r="KSK21" s="7"/>
      <c r="KSL21" s="7"/>
      <c r="KSM21" s="7"/>
      <c r="KSN21" s="7"/>
      <c r="KSO21" s="7"/>
      <c r="KSP21" s="7"/>
      <c r="KSQ21" s="7"/>
      <c r="KSR21" s="7"/>
      <c r="KSS21" s="7"/>
      <c r="KST21" s="7"/>
      <c r="KSU21" s="7"/>
      <c r="KSV21" s="7"/>
      <c r="KSW21" s="7"/>
      <c r="KSX21" s="7"/>
      <c r="KSY21" s="7"/>
      <c r="KSZ21" s="7"/>
      <c r="KTA21" s="7"/>
      <c r="KTB21" s="7"/>
      <c r="KTC21" s="7"/>
      <c r="KTD21" s="7"/>
      <c r="KTE21" s="7"/>
      <c r="KTF21" s="7"/>
      <c r="KTG21" s="7"/>
      <c r="KTH21" s="7"/>
      <c r="KTI21" s="7"/>
      <c r="KTJ21" s="7"/>
      <c r="KTK21" s="7"/>
      <c r="KTL21" s="7"/>
      <c r="KTM21" s="7"/>
      <c r="KTN21" s="7"/>
      <c r="KTO21" s="7"/>
      <c r="KTP21" s="7"/>
      <c r="KTQ21" s="7"/>
      <c r="KTR21" s="7"/>
      <c r="KTS21" s="7"/>
      <c r="KTT21" s="7"/>
      <c r="KTU21" s="7"/>
      <c r="KTV21" s="7"/>
      <c r="KTW21" s="7"/>
      <c r="KTX21" s="7"/>
      <c r="KTY21" s="7"/>
      <c r="KTZ21" s="7"/>
      <c r="KUA21" s="7"/>
      <c r="KUB21" s="7"/>
      <c r="KUC21" s="7"/>
      <c r="KUD21" s="7"/>
      <c r="KUE21" s="7"/>
      <c r="KUF21" s="7"/>
      <c r="KUG21" s="7"/>
      <c r="KUH21" s="7"/>
      <c r="KUI21" s="7"/>
      <c r="KUJ21" s="7"/>
      <c r="KUK21" s="7"/>
      <c r="KUL21" s="7"/>
      <c r="KUM21" s="7"/>
      <c r="KUN21" s="7"/>
      <c r="KUO21" s="7"/>
      <c r="KUP21" s="7"/>
      <c r="KUQ21" s="7"/>
      <c r="KUR21" s="7"/>
      <c r="KUS21" s="7"/>
      <c r="KUT21" s="7"/>
      <c r="KUU21" s="7"/>
      <c r="KUV21" s="7"/>
      <c r="KUW21" s="7"/>
      <c r="KUX21" s="7"/>
      <c r="KUY21" s="7"/>
      <c r="KUZ21" s="7"/>
      <c r="KVA21" s="7"/>
      <c r="KVB21" s="7"/>
      <c r="KVC21" s="7"/>
      <c r="KVD21" s="7"/>
      <c r="KVE21" s="7"/>
      <c r="KVF21" s="7"/>
      <c r="KVG21" s="7"/>
      <c r="KVH21" s="7"/>
      <c r="KVI21" s="7"/>
      <c r="KVJ21" s="7"/>
      <c r="KVK21" s="7"/>
      <c r="KVL21" s="7"/>
      <c r="KVM21" s="7"/>
      <c r="KVN21" s="7"/>
      <c r="KVO21" s="7"/>
      <c r="KVP21" s="7"/>
      <c r="KVQ21" s="7"/>
      <c r="KVR21" s="7"/>
      <c r="KVS21" s="7"/>
      <c r="KVT21" s="7"/>
      <c r="KVU21" s="7"/>
      <c r="KVV21" s="7"/>
      <c r="KVW21" s="7"/>
      <c r="KVX21" s="7"/>
      <c r="KVY21" s="7"/>
      <c r="KVZ21" s="7"/>
      <c r="KWA21" s="7"/>
      <c r="KWB21" s="7"/>
      <c r="KWC21" s="7"/>
      <c r="KWD21" s="7"/>
      <c r="KWE21" s="7"/>
      <c r="KWF21" s="7"/>
      <c r="KWG21" s="7"/>
      <c r="KWH21" s="7"/>
      <c r="KWI21" s="7"/>
      <c r="KWJ21" s="7"/>
      <c r="KWK21" s="7"/>
      <c r="KWL21" s="7"/>
      <c r="KWM21" s="7"/>
      <c r="KWN21" s="7"/>
      <c r="KWO21" s="7"/>
      <c r="KWP21" s="7"/>
      <c r="KWQ21" s="7"/>
      <c r="KWR21" s="7"/>
      <c r="KWS21" s="7"/>
      <c r="KWT21" s="7"/>
      <c r="KWU21" s="7"/>
      <c r="KWV21" s="7"/>
      <c r="KWW21" s="7"/>
      <c r="KWX21" s="7"/>
      <c r="KWY21" s="7"/>
      <c r="KWZ21" s="7"/>
      <c r="KXA21" s="7"/>
      <c r="KXB21" s="7"/>
      <c r="KXC21" s="7"/>
      <c r="KXD21" s="7"/>
      <c r="KXE21" s="7"/>
      <c r="KXF21" s="7"/>
      <c r="KXG21" s="7"/>
      <c r="KXH21" s="7"/>
      <c r="KXI21" s="7"/>
      <c r="KXJ21" s="7"/>
      <c r="KXK21" s="7"/>
      <c r="KXL21" s="7"/>
      <c r="KXM21" s="7"/>
      <c r="KXN21" s="7"/>
      <c r="KXO21" s="7"/>
      <c r="KXP21" s="7"/>
      <c r="KXQ21" s="7"/>
      <c r="KXR21" s="7"/>
      <c r="KXS21" s="7"/>
      <c r="KXT21" s="7"/>
      <c r="KXU21" s="7"/>
      <c r="KXV21" s="7"/>
      <c r="KXW21" s="7"/>
      <c r="KXX21" s="7"/>
      <c r="KXY21" s="7"/>
      <c r="KXZ21" s="7"/>
      <c r="KYA21" s="7"/>
      <c r="KYB21" s="7"/>
      <c r="KYC21" s="7"/>
      <c r="KYD21" s="7"/>
      <c r="KYE21" s="7"/>
      <c r="KYF21" s="7"/>
      <c r="KYG21" s="7"/>
      <c r="KYH21" s="7"/>
      <c r="KYI21" s="7"/>
      <c r="KYJ21" s="7"/>
      <c r="KYK21" s="7"/>
      <c r="KYL21" s="7"/>
      <c r="KYM21" s="7"/>
      <c r="KYN21" s="7"/>
      <c r="KYO21" s="7"/>
      <c r="KYP21" s="7"/>
      <c r="KYQ21" s="7"/>
      <c r="KYR21" s="7"/>
      <c r="KYS21" s="7"/>
      <c r="KYT21" s="7"/>
      <c r="KYU21" s="7"/>
      <c r="KYV21" s="7"/>
      <c r="KYW21" s="7"/>
      <c r="KYX21" s="7"/>
      <c r="KYY21" s="7"/>
      <c r="KYZ21" s="7"/>
      <c r="KZA21" s="7"/>
      <c r="KZB21" s="7"/>
      <c r="KZC21" s="7"/>
      <c r="KZD21" s="7"/>
      <c r="KZE21" s="7"/>
      <c r="KZF21" s="7"/>
      <c r="KZG21" s="7"/>
      <c r="KZH21" s="7"/>
      <c r="KZI21" s="7"/>
      <c r="KZJ21" s="7"/>
      <c r="KZK21" s="7"/>
      <c r="KZL21" s="7"/>
      <c r="KZM21" s="7"/>
      <c r="KZN21" s="7"/>
      <c r="KZO21" s="7"/>
      <c r="KZP21" s="7"/>
      <c r="KZQ21" s="7"/>
      <c r="KZR21" s="7"/>
      <c r="KZS21" s="7"/>
      <c r="KZT21" s="7"/>
      <c r="KZU21" s="7"/>
      <c r="KZV21" s="7"/>
      <c r="KZW21" s="7"/>
      <c r="KZX21" s="7"/>
      <c r="KZY21" s="7"/>
      <c r="KZZ21" s="7"/>
      <c r="LAA21" s="7"/>
      <c r="LAB21" s="7"/>
      <c r="LAC21" s="7"/>
      <c r="LAD21" s="7"/>
      <c r="LAE21" s="7"/>
      <c r="LAF21" s="7"/>
      <c r="LAG21" s="7"/>
      <c r="LAH21" s="7"/>
      <c r="LAI21" s="7"/>
      <c r="LAJ21" s="7"/>
      <c r="LAK21" s="7"/>
      <c r="LAL21" s="7"/>
      <c r="LAM21" s="7"/>
      <c r="LAN21" s="7"/>
      <c r="LAO21" s="7"/>
      <c r="LAP21" s="7"/>
      <c r="LAQ21" s="7"/>
      <c r="LAR21" s="7"/>
      <c r="LAS21" s="7"/>
      <c r="LAT21" s="7"/>
      <c r="LAU21" s="7"/>
      <c r="LAV21" s="7"/>
      <c r="LAW21" s="7"/>
      <c r="LAX21" s="7"/>
      <c r="LAY21" s="7"/>
      <c r="LAZ21" s="7"/>
      <c r="LBA21" s="7"/>
      <c r="LBB21" s="7"/>
      <c r="LBC21" s="7"/>
      <c r="LBD21" s="7"/>
      <c r="LBE21" s="7"/>
      <c r="LBF21" s="7"/>
      <c r="LBG21" s="7"/>
      <c r="LBH21" s="7"/>
      <c r="LBI21" s="7"/>
      <c r="LBJ21" s="7"/>
      <c r="LBK21" s="7"/>
      <c r="LBL21" s="7"/>
      <c r="LBM21" s="7"/>
      <c r="LBN21" s="7"/>
      <c r="LBO21" s="7"/>
      <c r="LBP21" s="7"/>
      <c r="LBQ21" s="7"/>
      <c r="LBR21" s="7"/>
      <c r="LBS21" s="7"/>
      <c r="LBT21" s="7"/>
      <c r="LBU21" s="7"/>
      <c r="LBV21" s="7"/>
      <c r="LBW21" s="7"/>
      <c r="LBX21" s="7"/>
      <c r="LBY21" s="7"/>
      <c r="LBZ21" s="7"/>
      <c r="LCA21" s="7"/>
      <c r="LCB21" s="7"/>
      <c r="LCC21" s="7"/>
      <c r="LCD21" s="7"/>
      <c r="LCE21" s="7"/>
      <c r="LCF21" s="7"/>
      <c r="LCG21" s="7"/>
      <c r="LCH21" s="7"/>
      <c r="LCI21" s="7"/>
      <c r="LCJ21" s="7"/>
      <c r="LCK21" s="7"/>
      <c r="LCL21" s="7"/>
      <c r="LCM21" s="7"/>
      <c r="LCN21" s="7"/>
      <c r="LCO21" s="7"/>
      <c r="LCP21" s="7"/>
      <c r="LCQ21" s="7"/>
      <c r="LCR21" s="7"/>
      <c r="LCS21" s="7"/>
      <c r="LCT21" s="7"/>
      <c r="LCU21" s="7"/>
      <c r="LCV21" s="7"/>
      <c r="LCW21" s="7"/>
      <c r="LCX21" s="7"/>
      <c r="LCY21" s="7"/>
      <c r="LCZ21" s="7"/>
      <c r="LDA21" s="7"/>
      <c r="LDB21" s="7"/>
      <c r="LDC21" s="7"/>
      <c r="LDD21" s="7"/>
      <c r="LDE21" s="7"/>
      <c r="LDF21" s="7"/>
      <c r="LDG21" s="7"/>
      <c r="LDH21" s="7"/>
      <c r="LDI21" s="7"/>
      <c r="LDJ21" s="7"/>
      <c r="LDK21" s="7"/>
      <c r="LDL21" s="7"/>
      <c r="LDM21" s="7"/>
      <c r="LDN21" s="7"/>
      <c r="LDO21" s="7"/>
      <c r="LDP21" s="7"/>
      <c r="LDQ21" s="7"/>
      <c r="LDR21" s="7"/>
      <c r="LDS21" s="7"/>
      <c r="LDT21" s="7"/>
      <c r="LDU21" s="7"/>
      <c r="LDV21" s="7"/>
      <c r="LDW21" s="7"/>
      <c r="LDX21" s="7"/>
      <c r="LDY21" s="7"/>
      <c r="LDZ21" s="7"/>
      <c r="LEA21" s="7"/>
      <c r="LEB21" s="7"/>
      <c r="LEC21" s="7"/>
      <c r="LED21" s="7"/>
      <c r="LEE21" s="7"/>
      <c r="LEF21" s="7"/>
      <c r="LEG21" s="7"/>
      <c r="LEH21" s="7"/>
      <c r="LEI21" s="7"/>
      <c r="LEJ21" s="7"/>
      <c r="LEK21" s="7"/>
      <c r="LEL21" s="7"/>
      <c r="LEM21" s="7"/>
      <c r="LEN21" s="7"/>
      <c r="LEO21" s="7"/>
      <c r="LEP21" s="7"/>
      <c r="LEQ21" s="7"/>
      <c r="LER21" s="7"/>
      <c r="LES21" s="7"/>
      <c r="LET21" s="7"/>
      <c r="LEU21" s="7"/>
      <c r="LEV21" s="7"/>
      <c r="LEW21" s="7"/>
      <c r="LEX21" s="7"/>
      <c r="LEY21" s="7"/>
      <c r="LEZ21" s="7"/>
      <c r="LFA21" s="7"/>
      <c r="LFB21" s="7"/>
      <c r="LFC21" s="7"/>
      <c r="LFD21" s="7"/>
      <c r="LFE21" s="7"/>
      <c r="LFF21" s="7"/>
      <c r="LFG21" s="7"/>
      <c r="LFH21" s="7"/>
      <c r="LFI21" s="7"/>
      <c r="LFJ21" s="7"/>
      <c r="LFK21" s="7"/>
      <c r="LFL21" s="7"/>
      <c r="LFM21" s="7"/>
      <c r="LFN21" s="7"/>
      <c r="LFO21" s="7"/>
      <c r="LFP21" s="7"/>
      <c r="LFQ21" s="7"/>
      <c r="LFR21" s="7"/>
      <c r="LFS21" s="7"/>
      <c r="LFT21" s="7"/>
      <c r="LFU21" s="7"/>
      <c r="LFV21" s="7"/>
      <c r="LFW21" s="7"/>
      <c r="LFX21" s="7"/>
      <c r="LFY21" s="7"/>
      <c r="LFZ21" s="7"/>
      <c r="LGA21" s="7"/>
      <c r="LGB21" s="7"/>
      <c r="LGC21" s="7"/>
      <c r="LGD21" s="7"/>
      <c r="LGE21" s="7"/>
      <c r="LGF21" s="7"/>
      <c r="LGG21" s="7"/>
      <c r="LGH21" s="7"/>
      <c r="LGI21" s="7"/>
      <c r="LGJ21" s="7"/>
      <c r="LGK21" s="7"/>
      <c r="LGL21" s="7"/>
      <c r="LGM21" s="7"/>
      <c r="LGN21" s="7"/>
      <c r="LGO21" s="7"/>
      <c r="LGP21" s="7"/>
      <c r="LGQ21" s="7"/>
      <c r="LGR21" s="7"/>
      <c r="LGS21" s="7"/>
      <c r="LGT21" s="7"/>
      <c r="LGU21" s="7"/>
      <c r="LGV21" s="7"/>
      <c r="LGW21" s="7"/>
      <c r="LGX21" s="7"/>
      <c r="LGY21" s="7"/>
      <c r="LGZ21" s="7"/>
      <c r="LHA21" s="7"/>
      <c r="LHB21" s="7"/>
      <c r="LHC21" s="7"/>
      <c r="LHD21" s="7"/>
      <c r="LHE21" s="7"/>
      <c r="LHF21" s="7"/>
      <c r="LHG21" s="7"/>
      <c r="LHH21" s="7"/>
      <c r="LHI21" s="7"/>
      <c r="LHJ21" s="7"/>
      <c r="LHK21" s="7"/>
      <c r="LHL21" s="7"/>
      <c r="LHM21" s="7"/>
      <c r="LHN21" s="7"/>
      <c r="LHO21" s="7"/>
      <c r="LHP21" s="7"/>
      <c r="LHQ21" s="7"/>
      <c r="LHR21" s="7"/>
      <c r="LHS21" s="7"/>
      <c r="LHT21" s="7"/>
      <c r="LHU21" s="7"/>
      <c r="LHV21" s="7"/>
      <c r="LHW21" s="7"/>
      <c r="LHX21" s="7"/>
      <c r="LHY21" s="7"/>
      <c r="LHZ21" s="7"/>
      <c r="LIA21" s="7"/>
      <c r="LIB21" s="7"/>
      <c r="LIC21" s="7"/>
      <c r="LID21" s="7"/>
      <c r="LIE21" s="7"/>
      <c r="LIF21" s="7"/>
      <c r="LIG21" s="7"/>
      <c r="LIH21" s="7"/>
      <c r="LII21" s="7"/>
      <c r="LIJ21" s="7"/>
      <c r="LIK21" s="7"/>
      <c r="LIL21" s="7"/>
      <c r="LIM21" s="7"/>
      <c r="LIN21" s="7"/>
      <c r="LIO21" s="7"/>
      <c r="LIP21" s="7"/>
      <c r="LIQ21" s="7"/>
      <c r="LIR21" s="7"/>
      <c r="LIS21" s="7"/>
      <c r="LIT21" s="7"/>
      <c r="LIU21" s="7"/>
      <c r="LIV21" s="7"/>
      <c r="LIW21" s="7"/>
      <c r="LIX21" s="7"/>
      <c r="LIY21" s="7"/>
      <c r="LIZ21" s="7"/>
      <c r="LJA21" s="7"/>
      <c r="LJB21" s="7"/>
      <c r="LJC21" s="7"/>
      <c r="LJD21" s="7"/>
      <c r="LJE21" s="7"/>
      <c r="LJF21" s="7"/>
      <c r="LJG21" s="7"/>
      <c r="LJH21" s="7"/>
      <c r="LJI21" s="7"/>
      <c r="LJJ21" s="7"/>
      <c r="LJK21" s="7"/>
      <c r="LJL21" s="7"/>
      <c r="LJM21" s="7"/>
      <c r="LJN21" s="7"/>
      <c r="LJO21" s="7"/>
      <c r="LJP21" s="7"/>
      <c r="LJQ21" s="7"/>
      <c r="LJR21" s="7"/>
      <c r="LJS21" s="7"/>
      <c r="LJT21" s="7"/>
      <c r="LJU21" s="7"/>
      <c r="LJV21" s="7"/>
      <c r="LJW21" s="7"/>
      <c r="LJX21" s="7"/>
      <c r="LJY21" s="7"/>
      <c r="LJZ21" s="7"/>
      <c r="LKA21" s="7"/>
      <c r="LKB21" s="7"/>
      <c r="LKC21" s="7"/>
      <c r="LKD21" s="7"/>
      <c r="LKE21" s="7"/>
      <c r="LKF21" s="7"/>
      <c r="LKG21" s="7"/>
      <c r="LKH21" s="7"/>
      <c r="LKI21" s="7"/>
      <c r="LKJ21" s="7"/>
      <c r="LKK21" s="7"/>
      <c r="LKL21" s="7"/>
      <c r="LKM21" s="7"/>
      <c r="LKN21" s="7"/>
      <c r="LKO21" s="7"/>
      <c r="LKP21" s="7"/>
      <c r="LKQ21" s="7"/>
      <c r="LKR21" s="7"/>
      <c r="LKS21" s="7"/>
      <c r="LKT21" s="7"/>
      <c r="LKU21" s="7"/>
      <c r="LKV21" s="7"/>
      <c r="LKW21" s="7"/>
      <c r="LKX21" s="7"/>
      <c r="LKY21" s="7"/>
      <c r="LKZ21" s="7"/>
      <c r="LLA21" s="7"/>
      <c r="LLB21" s="7"/>
      <c r="LLC21" s="7"/>
      <c r="LLD21" s="7"/>
      <c r="LLE21" s="7"/>
      <c r="LLF21" s="7"/>
      <c r="LLG21" s="7"/>
      <c r="LLH21" s="7"/>
      <c r="LLI21" s="7"/>
      <c r="LLJ21" s="7"/>
      <c r="LLK21" s="7"/>
      <c r="LLL21" s="7"/>
      <c r="LLM21" s="7"/>
      <c r="LLN21" s="7"/>
      <c r="LLO21" s="7"/>
      <c r="LLP21" s="7"/>
      <c r="LLQ21" s="7"/>
      <c r="LLR21" s="7"/>
      <c r="LLS21" s="7"/>
      <c r="LLT21" s="7"/>
      <c r="LLU21" s="7"/>
      <c r="LLV21" s="7"/>
      <c r="LLW21" s="7"/>
      <c r="LLX21" s="7"/>
      <c r="LLY21" s="7"/>
      <c r="LLZ21" s="7"/>
      <c r="LMA21" s="7"/>
      <c r="LMB21" s="7"/>
      <c r="LMC21" s="7"/>
      <c r="LMD21" s="7"/>
      <c r="LME21" s="7"/>
      <c r="LMF21" s="7"/>
      <c r="LMG21" s="7"/>
      <c r="LMH21" s="7"/>
      <c r="LMI21" s="7"/>
      <c r="LMJ21" s="7"/>
      <c r="LMK21" s="7"/>
      <c r="LML21" s="7"/>
      <c r="LMM21" s="7"/>
      <c r="LMN21" s="7"/>
      <c r="LMO21" s="7"/>
      <c r="LMP21" s="7"/>
      <c r="LMQ21" s="7"/>
      <c r="LMR21" s="7"/>
      <c r="LMS21" s="7"/>
      <c r="LMT21" s="7"/>
      <c r="LMU21" s="7"/>
      <c r="LMV21" s="7"/>
      <c r="LMW21" s="7"/>
      <c r="LMX21" s="7"/>
      <c r="LMY21" s="7"/>
      <c r="LMZ21" s="7"/>
      <c r="LNA21" s="7"/>
      <c r="LNB21" s="7"/>
      <c r="LNC21" s="7"/>
      <c r="LND21" s="7"/>
      <c r="LNE21" s="7"/>
      <c r="LNF21" s="7"/>
      <c r="LNG21" s="7"/>
      <c r="LNH21" s="7"/>
      <c r="LNI21" s="7"/>
      <c r="LNJ21" s="7"/>
      <c r="LNK21" s="7"/>
      <c r="LNL21" s="7"/>
      <c r="LNM21" s="7"/>
      <c r="LNN21" s="7"/>
      <c r="LNO21" s="7"/>
      <c r="LNP21" s="7"/>
      <c r="LNQ21" s="7"/>
      <c r="LNR21" s="7"/>
      <c r="LNS21" s="7"/>
      <c r="LNT21" s="7"/>
      <c r="LNU21" s="7"/>
      <c r="LNV21" s="7"/>
      <c r="LNW21" s="7"/>
      <c r="LNX21" s="7"/>
      <c r="LNY21" s="7"/>
      <c r="LNZ21" s="7"/>
      <c r="LOA21" s="7"/>
      <c r="LOB21" s="7"/>
      <c r="LOC21" s="7"/>
      <c r="LOD21" s="7"/>
      <c r="LOE21" s="7"/>
      <c r="LOF21" s="7"/>
      <c r="LOG21" s="7"/>
      <c r="LOH21" s="7"/>
      <c r="LOI21" s="7"/>
      <c r="LOJ21" s="7"/>
      <c r="LOK21" s="7"/>
      <c r="LOL21" s="7"/>
      <c r="LOM21" s="7"/>
      <c r="LON21" s="7"/>
      <c r="LOO21" s="7"/>
      <c r="LOP21" s="7"/>
      <c r="LOQ21" s="7"/>
      <c r="LOR21" s="7"/>
      <c r="LOS21" s="7"/>
      <c r="LOT21" s="7"/>
      <c r="LOU21" s="7"/>
      <c r="LOV21" s="7"/>
      <c r="LOW21" s="7"/>
      <c r="LOX21" s="7"/>
      <c r="LOY21" s="7"/>
      <c r="LOZ21" s="7"/>
      <c r="LPA21" s="7"/>
      <c r="LPB21" s="7"/>
      <c r="LPC21" s="7"/>
      <c r="LPD21" s="7"/>
      <c r="LPE21" s="7"/>
      <c r="LPF21" s="7"/>
      <c r="LPG21" s="7"/>
      <c r="LPH21" s="7"/>
      <c r="LPI21" s="7"/>
      <c r="LPJ21" s="7"/>
      <c r="LPK21" s="7"/>
      <c r="LPL21" s="7"/>
      <c r="LPM21" s="7"/>
      <c r="LPN21" s="7"/>
      <c r="LPO21" s="7"/>
      <c r="LPP21" s="7"/>
      <c r="LPQ21" s="7"/>
      <c r="LPR21" s="7"/>
      <c r="LPS21" s="7"/>
      <c r="LPT21" s="7"/>
      <c r="LPU21" s="7"/>
      <c r="LPV21" s="7"/>
      <c r="LPW21" s="7"/>
      <c r="LPX21" s="7"/>
      <c r="LPY21" s="7"/>
      <c r="LPZ21" s="7"/>
      <c r="LQA21" s="7"/>
      <c r="LQB21" s="7"/>
      <c r="LQC21" s="7"/>
      <c r="LQD21" s="7"/>
      <c r="LQE21" s="7"/>
      <c r="LQF21" s="7"/>
      <c r="LQG21" s="7"/>
      <c r="LQH21" s="7"/>
      <c r="LQI21" s="7"/>
      <c r="LQJ21" s="7"/>
      <c r="LQK21" s="7"/>
      <c r="LQL21" s="7"/>
      <c r="LQM21" s="7"/>
      <c r="LQN21" s="7"/>
      <c r="LQO21" s="7"/>
      <c r="LQP21" s="7"/>
      <c r="LQQ21" s="7"/>
      <c r="LQR21" s="7"/>
      <c r="LQS21" s="7"/>
      <c r="LQT21" s="7"/>
      <c r="LQU21" s="7"/>
      <c r="LQV21" s="7"/>
      <c r="LQW21" s="7"/>
      <c r="LQX21" s="7"/>
      <c r="LQY21" s="7"/>
      <c r="LQZ21" s="7"/>
      <c r="LRA21" s="7"/>
      <c r="LRB21" s="7"/>
      <c r="LRC21" s="7"/>
      <c r="LRD21" s="7"/>
      <c r="LRE21" s="7"/>
      <c r="LRF21" s="7"/>
      <c r="LRG21" s="7"/>
      <c r="LRH21" s="7"/>
      <c r="LRI21" s="7"/>
      <c r="LRJ21" s="7"/>
      <c r="LRK21" s="7"/>
      <c r="LRL21" s="7"/>
      <c r="LRM21" s="7"/>
      <c r="LRN21" s="7"/>
      <c r="LRO21" s="7"/>
      <c r="LRP21" s="7"/>
      <c r="LRQ21" s="7"/>
      <c r="LRR21" s="7"/>
      <c r="LRS21" s="7"/>
      <c r="LRT21" s="7"/>
      <c r="LRU21" s="7"/>
      <c r="LRV21" s="7"/>
      <c r="LRW21" s="7"/>
      <c r="LRX21" s="7"/>
      <c r="LRY21" s="7"/>
      <c r="LRZ21" s="7"/>
      <c r="LSA21" s="7"/>
      <c r="LSB21" s="7"/>
      <c r="LSC21" s="7"/>
      <c r="LSD21" s="7"/>
      <c r="LSE21" s="7"/>
      <c r="LSF21" s="7"/>
      <c r="LSG21" s="7"/>
      <c r="LSH21" s="7"/>
      <c r="LSI21" s="7"/>
      <c r="LSJ21" s="7"/>
      <c r="LSK21" s="7"/>
      <c r="LSL21" s="7"/>
      <c r="LSM21" s="7"/>
      <c r="LSN21" s="7"/>
      <c r="LSO21" s="7"/>
      <c r="LSP21" s="7"/>
      <c r="LSQ21" s="7"/>
      <c r="LSR21" s="7"/>
      <c r="LSS21" s="7"/>
      <c r="LST21" s="7"/>
      <c r="LSU21" s="7"/>
      <c r="LSV21" s="7"/>
      <c r="LSW21" s="7"/>
      <c r="LSX21" s="7"/>
      <c r="LSY21" s="7"/>
      <c r="LSZ21" s="7"/>
      <c r="LTA21" s="7"/>
      <c r="LTB21" s="7"/>
      <c r="LTC21" s="7"/>
      <c r="LTD21" s="7"/>
      <c r="LTE21" s="7"/>
      <c r="LTF21" s="7"/>
      <c r="LTG21" s="7"/>
      <c r="LTH21" s="7"/>
      <c r="LTI21" s="7"/>
      <c r="LTJ21" s="7"/>
      <c r="LTK21" s="7"/>
      <c r="LTL21" s="7"/>
      <c r="LTM21" s="7"/>
      <c r="LTN21" s="7"/>
      <c r="LTO21" s="7"/>
      <c r="LTP21" s="7"/>
      <c r="LTQ21" s="7"/>
      <c r="LTR21" s="7"/>
      <c r="LTS21" s="7"/>
      <c r="LTT21" s="7"/>
      <c r="LTU21" s="7"/>
      <c r="LTV21" s="7"/>
      <c r="LTW21" s="7"/>
      <c r="LTX21" s="7"/>
      <c r="LTY21" s="7"/>
      <c r="LTZ21" s="7"/>
      <c r="LUA21" s="7"/>
      <c r="LUB21" s="7"/>
      <c r="LUC21" s="7"/>
      <c r="LUD21" s="7"/>
      <c r="LUE21" s="7"/>
      <c r="LUF21" s="7"/>
      <c r="LUG21" s="7"/>
      <c r="LUH21" s="7"/>
      <c r="LUI21" s="7"/>
      <c r="LUJ21" s="7"/>
      <c r="LUK21" s="7"/>
      <c r="LUL21" s="7"/>
      <c r="LUM21" s="7"/>
      <c r="LUN21" s="7"/>
      <c r="LUO21" s="7"/>
      <c r="LUP21" s="7"/>
      <c r="LUQ21" s="7"/>
      <c r="LUR21" s="7"/>
      <c r="LUS21" s="7"/>
      <c r="LUT21" s="7"/>
      <c r="LUU21" s="7"/>
      <c r="LUV21" s="7"/>
      <c r="LUW21" s="7"/>
      <c r="LUX21" s="7"/>
      <c r="LUY21" s="7"/>
      <c r="LUZ21" s="7"/>
      <c r="LVA21" s="7"/>
      <c r="LVB21" s="7"/>
      <c r="LVC21" s="7"/>
      <c r="LVD21" s="7"/>
      <c r="LVE21" s="7"/>
      <c r="LVF21" s="7"/>
      <c r="LVG21" s="7"/>
      <c r="LVH21" s="7"/>
      <c r="LVI21" s="7"/>
      <c r="LVJ21" s="7"/>
      <c r="LVK21" s="7"/>
      <c r="LVL21" s="7"/>
      <c r="LVM21" s="7"/>
      <c r="LVN21" s="7"/>
      <c r="LVO21" s="7"/>
      <c r="LVP21" s="7"/>
      <c r="LVQ21" s="7"/>
      <c r="LVR21" s="7"/>
      <c r="LVS21" s="7"/>
      <c r="LVT21" s="7"/>
      <c r="LVU21" s="7"/>
      <c r="LVV21" s="7"/>
      <c r="LVW21" s="7"/>
      <c r="LVX21" s="7"/>
      <c r="LVY21" s="7"/>
      <c r="LVZ21" s="7"/>
      <c r="LWA21" s="7"/>
      <c r="LWB21" s="7"/>
      <c r="LWC21" s="7"/>
      <c r="LWD21" s="7"/>
      <c r="LWE21" s="7"/>
      <c r="LWF21" s="7"/>
      <c r="LWG21" s="7"/>
      <c r="LWH21" s="7"/>
      <c r="LWI21" s="7"/>
      <c r="LWJ21" s="7"/>
      <c r="LWK21" s="7"/>
      <c r="LWL21" s="7"/>
      <c r="LWM21" s="7"/>
      <c r="LWN21" s="7"/>
      <c r="LWO21" s="7"/>
      <c r="LWP21" s="7"/>
      <c r="LWQ21" s="7"/>
      <c r="LWR21" s="7"/>
      <c r="LWS21" s="7"/>
      <c r="LWT21" s="7"/>
      <c r="LWU21" s="7"/>
      <c r="LWV21" s="7"/>
      <c r="LWW21" s="7"/>
      <c r="LWX21" s="7"/>
      <c r="LWY21" s="7"/>
      <c r="LWZ21" s="7"/>
      <c r="LXA21" s="7"/>
      <c r="LXB21" s="7"/>
      <c r="LXC21" s="7"/>
      <c r="LXD21" s="7"/>
      <c r="LXE21" s="7"/>
      <c r="LXF21" s="7"/>
      <c r="LXG21" s="7"/>
      <c r="LXH21" s="7"/>
      <c r="LXI21" s="7"/>
      <c r="LXJ21" s="7"/>
      <c r="LXK21" s="7"/>
      <c r="LXL21" s="7"/>
      <c r="LXM21" s="7"/>
      <c r="LXN21" s="7"/>
      <c r="LXO21" s="7"/>
      <c r="LXP21" s="7"/>
      <c r="LXQ21" s="7"/>
      <c r="LXR21" s="7"/>
      <c r="LXS21" s="7"/>
      <c r="LXT21" s="7"/>
      <c r="LXU21" s="7"/>
      <c r="LXV21" s="7"/>
      <c r="LXW21" s="7"/>
      <c r="LXX21" s="7"/>
      <c r="LXY21" s="7"/>
      <c r="LXZ21" s="7"/>
      <c r="LYA21" s="7"/>
      <c r="LYB21" s="7"/>
      <c r="LYC21" s="7"/>
      <c r="LYD21" s="7"/>
      <c r="LYE21" s="7"/>
      <c r="LYF21" s="7"/>
      <c r="LYG21" s="7"/>
      <c r="LYH21" s="7"/>
      <c r="LYI21" s="7"/>
      <c r="LYJ21" s="7"/>
      <c r="LYK21" s="7"/>
      <c r="LYL21" s="7"/>
      <c r="LYM21" s="7"/>
      <c r="LYN21" s="7"/>
      <c r="LYO21" s="7"/>
      <c r="LYP21" s="7"/>
      <c r="LYQ21" s="7"/>
      <c r="LYR21" s="7"/>
      <c r="LYS21" s="7"/>
      <c r="LYT21" s="7"/>
      <c r="LYU21" s="7"/>
      <c r="LYV21" s="7"/>
      <c r="LYW21" s="7"/>
      <c r="LYX21" s="7"/>
      <c r="LYY21" s="7"/>
      <c r="LYZ21" s="7"/>
      <c r="LZA21" s="7"/>
      <c r="LZB21" s="7"/>
      <c r="LZC21" s="7"/>
      <c r="LZD21" s="7"/>
      <c r="LZE21" s="7"/>
      <c r="LZF21" s="7"/>
      <c r="LZG21" s="7"/>
      <c r="LZH21" s="7"/>
      <c r="LZI21" s="7"/>
      <c r="LZJ21" s="7"/>
      <c r="LZK21" s="7"/>
      <c r="LZL21" s="7"/>
      <c r="LZM21" s="7"/>
      <c r="LZN21" s="7"/>
      <c r="LZO21" s="7"/>
      <c r="LZP21" s="7"/>
      <c r="LZQ21" s="7"/>
      <c r="LZR21" s="7"/>
      <c r="LZS21" s="7"/>
      <c r="LZT21" s="7"/>
      <c r="LZU21" s="7"/>
      <c r="LZV21" s="7"/>
      <c r="LZW21" s="7"/>
      <c r="LZX21" s="7"/>
      <c r="LZY21" s="7"/>
      <c r="LZZ21" s="7"/>
      <c r="MAA21" s="7"/>
      <c r="MAB21" s="7"/>
      <c r="MAC21" s="7"/>
      <c r="MAD21" s="7"/>
      <c r="MAE21" s="7"/>
      <c r="MAF21" s="7"/>
      <c r="MAG21" s="7"/>
      <c r="MAH21" s="7"/>
      <c r="MAI21" s="7"/>
      <c r="MAJ21" s="7"/>
      <c r="MAK21" s="7"/>
      <c r="MAL21" s="7"/>
      <c r="MAM21" s="7"/>
      <c r="MAN21" s="7"/>
      <c r="MAO21" s="7"/>
      <c r="MAP21" s="7"/>
      <c r="MAQ21" s="7"/>
      <c r="MAR21" s="7"/>
      <c r="MAS21" s="7"/>
      <c r="MAT21" s="7"/>
      <c r="MAU21" s="7"/>
      <c r="MAV21" s="7"/>
      <c r="MAW21" s="7"/>
      <c r="MAX21" s="7"/>
      <c r="MAY21" s="7"/>
      <c r="MAZ21" s="7"/>
      <c r="MBA21" s="7"/>
      <c r="MBB21" s="7"/>
      <c r="MBC21" s="7"/>
      <c r="MBD21" s="7"/>
      <c r="MBE21" s="7"/>
      <c r="MBF21" s="7"/>
      <c r="MBG21" s="7"/>
      <c r="MBH21" s="7"/>
      <c r="MBI21" s="7"/>
      <c r="MBJ21" s="7"/>
      <c r="MBK21" s="7"/>
      <c r="MBL21" s="7"/>
      <c r="MBM21" s="7"/>
      <c r="MBN21" s="7"/>
      <c r="MBO21" s="7"/>
      <c r="MBP21" s="7"/>
      <c r="MBQ21" s="7"/>
      <c r="MBR21" s="7"/>
      <c r="MBS21" s="7"/>
      <c r="MBT21" s="7"/>
      <c r="MBU21" s="7"/>
      <c r="MBV21" s="7"/>
      <c r="MBW21" s="7"/>
      <c r="MBX21" s="7"/>
      <c r="MBY21" s="7"/>
      <c r="MBZ21" s="7"/>
      <c r="MCA21" s="7"/>
      <c r="MCB21" s="7"/>
      <c r="MCC21" s="7"/>
      <c r="MCD21" s="7"/>
      <c r="MCE21" s="7"/>
      <c r="MCF21" s="7"/>
      <c r="MCG21" s="7"/>
      <c r="MCH21" s="7"/>
      <c r="MCI21" s="7"/>
      <c r="MCJ21" s="7"/>
      <c r="MCK21" s="7"/>
      <c r="MCL21" s="7"/>
      <c r="MCM21" s="7"/>
      <c r="MCN21" s="7"/>
      <c r="MCO21" s="7"/>
      <c r="MCP21" s="7"/>
      <c r="MCQ21" s="7"/>
      <c r="MCR21" s="7"/>
      <c r="MCS21" s="7"/>
      <c r="MCT21" s="7"/>
      <c r="MCU21" s="7"/>
      <c r="MCV21" s="7"/>
      <c r="MCW21" s="7"/>
      <c r="MCX21" s="7"/>
      <c r="MCY21" s="7"/>
      <c r="MCZ21" s="7"/>
      <c r="MDA21" s="7"/>
      <c r="MDB21" s="7"/>
      <c r="MDC21" s="7"/>
      <c r="MDD21" s="7"/>
      <c r="MDE21" s="7"/>
      <c r="MDF21" s="7"/>
      <c r="MDG21" s="7"/>
      <c r="MDH21" s="7"/>
      <c r="MDI21" s="7"/>
      <c r="MDJ21" s="7"/>
      <c r="MDK21" s="7"/>
      <c r="MDL21" s="7"/>
      <c r="MDM21" s="7"/>
      <c r="MDN21" s="7"/>
      <c r="MDO21" s="7"/>
      <c r="MDP21" s="7"/>
      <c r="MDQ21" s="7"/>
      <c r="MDR21" s="7"/>
      <c r="MDS21" s="7"/>
      <c r="MDT21" s="7"/>
      <c r="MDU21" s="7"/>
      <c r="MDV21" s="7"/>
      <c r="MDW21" s="7"/>
      <c r="MDX21" s="7"/>
      <c r="MDY21" s="7"/>
      <c r="MDZ21" s="7"/>
      <c r="MEA21" s="7"/>
      <c r="MEB21" s="7"/>
      <c r="MEC21" s="7"/>
      <c r="MED21" s="7"/>
      <c r="MEE21" s="7"/>
      <c r="MEF21" s="7"/>
      <c r="MEG21" s="7"/>
      <c r="MEH21" s="7"/>
      <c r="MEI21" s="7"/>
      <c r="MEJ21" s="7"/>
      <c r="MEK21" s="7"/>
      <c r="MEL21" s="7"/>
      <c r="MEM21" s="7"/>
      <c r="MEN21" s="7"/>
      <c r="MEO21" s="7"/>
      <c r="MEP21" s="7"/>
      <c r="MEQ21" s="7"/>
      <c r="MER21" s="7"/>
      <c r="MES21" s="7"/>
      <c r="MET21" s="7"/>
      <c r="MEU21" s="7"/>
      <c r="MEV21" s="7"/>
      <c r="MEW21" s="7"/>
      <c r="MEX21" s="7"/>
      <c r="MEY21" s="7"/>
      <c r="MEZ21" s="7"/>
      <c r="MFA21" s="7"/>
      <c r="MFB21" s="7"/>
      <c r="MFC21" s="7"/>
      <c r="MFD21" s="7"/>
      <c r="MFE21" s="7"/>
      <c r="MFF21" s="7"/>
      <c r="MFG21" s="7"/>
      <c r="MFH21" s="7"/>
      <c r="MFI21" s="7"/>
      <c r="MFJ21" s="7"/>
      <c r="MFK21" s="7"/>
      <c r="MFL21" s="7"/>
      <c r="MFM21" s="7"/>
      <c r="MFN21" s="7"/>
      <c r="MFO21" s="7"/>
      <c r="MFP21" s="7"/>
      <c r="MFQ21" s="7"/>
      <c r="MFR21" s="7"/>
      <c r="MFS21" s="7"/>
      <c r="MFT21" s="7"/>
      <c r="MFU21" s="7"/>
      <c r="MFV21" s="7"/>
      <c r="MFW21" s="7"/>
      <c r="MFX21" s="7"/>
      <c r="MFY21" s="7"/>
      <c r="MFZ21" s="7"/>
      <c r="MGA21" s="7"/>
      <c r="MGB21" s="7"/>
      <c r="MGC21" s="7"/>
      <c r="MGD21" s="7"/>
      <c r="MGE21" s="7"/>
      <c r="MGF21" s="7"/>
      <c r="MGG21" s="7"/>
      <c r="MGH21" s="7"/>
      <c r="MGI21" s="7"/>
      <c r="MGJ21" s="7"/>
      <c r="MGK21" s="7"/>
      <c r="MGL21" s="7"/>
      <c r="MGM21" s="7"/>
      <c r="MGN21" s="7"/>
      <c r="MGO21" s="7"/>
      <c r="MGP21" s="7"/>
      <c r="MGQ21" s="7"/>
      <c r="MGR21" s="7"/>
      <c r="MGS21" s="7"/>
      <c r="MGT21" s="7"/>
      <c r="MGU21" s="7"/>
      <c r="MGV21" s="7"/>
      <c r="MGW21" s="7"/>
      <c r="MGX21" s="7"/>
      <c r="MGY21" s="7"/>
      <c r="MGZ21" s="7"/>
      <c r="MHA21" s="7"/>
      <c r="MHB21" s="7"/>
      <c r="MHC21" s="7"/>
      <c r="MHD21" s="7"/>
      <c r="MHE21" s="7"/>
      <c r="MHF21" s="7"/>
      <c r="MHG21" s="7"/>
      <c r="MHH21" s="7"/>
      <c r="MHI21" s="7"/>
      <c r="MHJ21" s="7"/>
      <c r="MHK21" s="7"/>
      <c r="MHL21" s="7"/>
      <c r="MHM21" s="7"/>
      <c r="MHN21" s="7"/>
      <c r="MHO21" s="7"/>
      <c r="MHP21" s="7"/>
      <c r="MHQ21" s="7"/>
      <c r="MHR21" s="7"/>
      <c r="MHS21" s="7"/>
      <c r="MHT21" s="7"/>
      <c r="MHU21" s="7"/>
      <c r="MHV21" s="7"/>
      <c r="MHW21" s="7"/>
      <c r="MHX21" s="7"/>
      <c r="MHY21" s="7"/>
      <c r="MHZ21" s="7"/>
      <c r="MIA21" s="7"/>
      <c r="MIB21" s="7"/>
      <c r="MIC21" s="7"/>
      <c r="MID21" s="7"/>
      <c r="MIE21" s="7"/>
      <c r="MIF21" s="7"/>
      <c r="MIG21" s="7"/>
      <c r="MIH21" s="7"/>
      <c r="MII21" s="7"/>
      <c r="MIJ21" s="7"/>
      <c r="MIK21" s="7"/>
      <c r="MIL21" s="7"/>
      <c r="MIM21" s="7"/>
      <c r="MIN21" s="7"/>
      <c r="MIO21" s="7"/>
      <c r="MIP21" s="7"/>
      <c r="MIQ21" s="7"/>
      <c r="MIR21" s="7"/>
      <c r="MIS21" s="7"/>
      <c r="MIT21" s="7"/>
      <c r="MIU21" s="7"/>
      <c r="MIV21" s="7"/>
      <c r="MIW21" s="7"/>
      <c r="MIX21" s="7"/>
      <c r="MIY21" s="7"/>
      <c r="MIZ21" s="7"/>
      <c r="MJA21" s="7"/>
      <c r="MJB21" s="7"/>
      <c r="MJC21" s="7"/>
      <c r="MJD21" s="7"/>
      <c r="MJE21" s="7"/>
      <c r="MJF21" s="7"/>
      <c r="MJG21" s="7"/>
      <c r="MJH21" s="7"/>
      <c r="MJI21" s="7"/>
      <c r="MJJ21" s="7"/>
      <c r="MJK21" s="7"/>
      <c r="MJL21" s="7"/>
      <c r="MJM21" s="7"/>
      <c r="MJN21" s="7"/>
      <c r="MJO21" s="7"/>
      <c r="MJP21" s="7"/>
      <c r="MJQ21" s="7"/>
      <c r="MJR21" s="7"/>
      <c r="MJS21" s="7"/>
      <c r="MJT21" s="7"/>
      <c r="MJU21" s="7"/>
      <c r="MJV21" s="7"/>
      <c r="MJW21" s="7"/>
      <c r="MJX21" s="7"/>
      <c r="MJY21" s="7"/>
      <c r="MJZ21" s="7"/>
      <c r="MKA21" s="7"/>
      <c r="MKB21" s="7"/>
      <c r="MKC21" s="7"/>
      <c r="MKD21" s="7"/>
      <c r="MKE21" s="7"/>
      <c r="MKF21" s="7"/>
      <c r="MKG21" s="7"/>
      <c r="MKH21" s="7"/>
      <c r="MKI21" s="7"/>
      <c r="MKJ21" s="7"/>
      <c r="MKK21" s="7"/>
      <c r="MKL21" s="7"/>
      <c r="MKM21" s="7"/>
      <c r="MKN21" s="7"/>
      <c r="MKO21" s="7"/>
      <c r="MKP21" s="7"/>
      <c r="MKQ21" s="7"/>
      <c r="MKR21" s="7"/>
      <c r="MKS21" s="7"/>
      <c r="MKT21" s="7"/>
      <c r="MKU21" s="7"/>
      <c r="MKV21" s="7"/>
      <c r="MKW21" s="7"/>
      <c r="MKX21" s="7"/>
      <c r="MKY21" s="7"/>
      <c r="MKZ21" s="7"/>
      <c r="MLA21" s="7"/>
      <c r="MLB21" s="7"/>
      <c r="MLC21" s="7"/>
      <c r="MLD21" s="7"/>
      <c r="MLE21" s="7"/>
      <c r="MLF21" s="7"/>
      <c r="MLG21" s="7"/>
      <c r="MLH21" s="7"/>
      <c r="MLI21" s="7"/>
      <c r="MLJ21" s="7"/>
      <c r="MLK21" s="7"/>
      <c r="MLL21" s="7"/>
      <c r="MLM21" s="7"/>
      <c r="MLN21" s="7"/>
      <c r="MLO21" s="7"/>
      <c r="MLP21" s="7"/>
      <c r="MLQ21" s="7"/>
      <c r="MLR21" s="7"/>
      <c r="MLS21" s="7"/>
      <c r="MLT21" s="7"/>
      <c r="MLU21" s="7"/>
      <c r="MLV21" s="7"/>
      <c r="MLW21" s="7"/>
      <c r="MLX21" s="7"/>
      <c r="MLY21" s="7"/>
      <c r="MLZ21" s="7"/>
      <c r="MMA21" s="7"/>
      <c r="MMB21" s="7"/>
      <c r="MMC21" s="7"/>
      <c r="MMD21" s="7"/>
      <c r="MME21" s="7"/>
      <c r="MMF21" s="7"/>
      <c r="MMG21" s="7"/>
      <c r="MMH21" s="7"/>
      <c r="MMI21" s="7"/>
      <c r="MMJ21" s="7"/>
      <c r="MMK21" s="7"/>
      <c r="MML21" s="7"/>
      <c r="MMM21" s="7"/>
      <c r="MMN21" s="7"/>
      <c r="MMO21" s="7"/>
      <c r="MMP21" s="7"/>
      <c r="MMQ21" s="7"/>
      <c r="MMR21" s="7"/>
      <c r="MMS21" s="7"/>
      <c r="MMT21" s="7"/>
      <c r="MMU21" s="7"/>
      <c r="MMV21" s="7"/>
      <c r="MMW21" s="7"/>
      <c r="MMX21" s="7"/>
      <c r="MMY21" s="7"/>
      <c r="MMZ21" s="7"/>
      <c r="MNA21" s="7"/>
      <c r="MNB21" s="7"/>
      <c r="MNC21" s="7"/>
      <c r="MND21" s="7"/>
      <c r="MNE21" s="7"/>
      <c r="MNF21" s="7"/>
      <c r="MNG21" s="7"/>
      <c r="MNH21" s="7"/>
      <c r="MNI21" s="7"/>
      <c r="MNJ21" s="7"/>
      <c r="MNK21" s="7"/>
      <c r="MNL21" s="7"/>
      <c r="MNM21" s="7"/>
      <c r="MNN21" s="7"/>
      <c r="MNO21" s="7"/>
      <c r="MNP21" s="7"/>
      <c r="MNQ21" s="7"/>
      <c r="MNR21" s="7"/>
      <c r="MNS21" s="7"/>
      <c r="MNT21" s="7"/>
      <c r="MNU21" s="7"/>
      <c r="MNV21" s="7"/>
      <c r="MNW21" s="7"/>
      <c r="MNX21" s="7"/>
      <c r="MNY21" s="7"/>
      <c r="MNZ21" s="7"/>
      <c r="MOA21" s="7"/>
      <c r="MOB21" s="7"/>
      <c r="MOC21" s="7"/>
      <c r="MOD21" s="7"/>
      <c r="MOE21" s="7"/>
      <c r="MOF21" s="7"/>
      <c r="MOG21" s="7"/>
      <c r="MOH21" s="7"/>
      <c r="MOI21" s="7"/>
      <c r="MOJ21" s="7"/>
      <c r="MOK21" s="7"/>
      <c r="MOL21" s="7"/>
      <c r="MOM21" s="7"/>
      <c r="MON21" s="7"/>
      <c r="MOO21" s="7"/>
      <c r="MOP21" s="7"/>
      <c r="MOQ21" s="7"/>
      <c r="MOR21" s="7"/>
      <c r="MOS21" s="7"/>
      <c r="MOT21" s="7"/>
      <c r="MOU21" s="7"/>
      <c r="MOV21" s="7"/>
      <c r="MOW21" s="7"/>
      <c r="MOX21" s="7"/>
      <c r="MOY21" s="7"/>
      <c r="MOZ21" s="7"/>
      <c r="MPA21" s="7"/>
      <c r="MPB21" s="7"/>
      <c r="MPC21" s="7"/>
      <c r="MPD21" s="7"/>
      <c r="MPE21" s="7"/>
      <c r="MPF21" s="7"/>
      <c r="MPG21" s="7"/>
      <c r="MPH21" s="7"/>
      <c r="MPI21" s="7"/>
      <c r="MPJ21" s="7"/>
      <c r="MPK21" s="7"/>
      <c r="MPL21" s="7"/>
      <c r="MPM21" s="7"/>
      <c r="MPN21" s="7"/>
      <c r="MPO21" s="7"/>
      <c r="MPP21" s="7"/>
      <c r="MPQ21" s="7"/>
      <c r="MPR21" s="7"/>
      <c r="MPS21" s="7"/>
      <c r="MPT21" s="7"/>
      <c r="MPU21" s="7"/>
      <c r="MPV21" s="7"/>
      <c r="MPW21" s="7"/>
      <c r="MPX21" s="7"/>
      <c r="MPY21" s="7"/>
      <c r="MPZ21" s="7"/>
      <c r="MQA21" s="7"/>
      <c r="MQB21" s="7"/>
      <c r="MQC21" s="7"/>
      <c r="MQD21" s="7"/>
      <c r="MQE21" s="7"/>
      <c r="MQF21" s="7"/>
      <c r="MQG21" s="7"/>
      <c r="MQH21" s="7"/>
      <c r="MQI21" s="7"/>
      <c r="MQJ21" s="7"/>
      <c r="MQK21" s="7"/>
      <c r="MQL21" s="7"/>
      <c r="MQM21" s="7"/>
      <c r="MQN21" s="7"/>
      <c r="MQO21" s="7"/>
      <c r="MQP21" s="7"/>
      <c r="MQQ21" s="7"/>
      <c r="MQR21" s="7"/>
      <c r="MQS21" s="7"/>
      <c r="MQT21" s="7"/>
      <c r="MQU21" s="7"/>
      <c r="MQV21" s="7"/>
      <c r="MQW21" s="7"/>
      <c r="MQX21" s="7"/>
      <c r="MQY21" s="7"/>
      <c r="MQZ21" s="7"/>
      <c r="MRA21" s="7"/>
      <c r="MRB21" s="7"/>
      <c r="MRC21" s="7"/>
      <c r="MRD21" s="7"/>
      <c r="MRE21" s="7"/>
      <c r="MRF21" s="7"/>
      <c r="MRG21" s="7"/>
      <c r="MRH21" s="7"/>
      <c r="MRI21" s="7"/>
      <c r="MRJ21" s="7"/>
      <c r="MRK21" s="7"/>
      <c r="MRL21" s="7"/>
      <c r="MRM21" s="7"/>
      <c r="MRN21" s="7"/>
      <c r="MRO21" s="7"/>
      <c r="MRP21" s="7"/>
      <c r="MRQ21" s="7"/>
      <c r="MRR21" s="7"/>
      <c r="MRS21" s="7"/>
      <c r="MRT21" s="7"/>
      <c r="MRU21" s="7"/>
      <c r="MRV21" s="7"/>
      <c r="MRW21" s="7"/>
      <c r="MRX21" s="7"/>
      <c r="MRY21" s="7"/>
      <c r="MRZ21" s="7"/>
      <c r="MSA21" s="7"/>
      <c r="MSB21" s="7"/>
      <c r="MSC21" s="7"/>
      <c r="MSD21" s="7"/>
      <c r="MSE21" s="7"/>
      <c r="MSF21" s="7"/>
      <c r="MSG21" s="7"/>
      <c r="MSH21" s="7"/>
      <c r="MSI21" s="7"/>
      <c r="MSJ21" s="7"/>
      <c r="MSK21" s="7"/>
      <c r="MSL21" s="7"/>
      <c r="MSM21" s="7"/>
      <c r="MSN21" s="7"/>
      <c r="MSO21" s="7"/>
      <c r="MSP21" s="7"/>
      <c r="MSQ21" s="7"/>
      <c r="MSR21" s="7"/>
      <c r="MSS21" s="7"/>
      <c r="MST21" s="7"/>
      <c r="MSU21" s="7"/>
      <c r="MSV21" s="7"/>
      <c r="MSW21" s="7"/>
      <c r="MSX21" s="7"/>
      <c r="MSY21" s="7"/>
      <c r="MSZ21" s="7"/>
      <c r="MTA21" s="7"/>
      <c r="MTB21" s="7"/>
      <c r="MTC21" s="7"/>
      <c r="MTD21" s="7"/>
      <c r="MTE21" s="7"/>
      <c r="MTF21" s="7"/>
      <c r="MTG21" s="7"/>
      <c r="MTH21" s="7"/>
      <c r="MTI21" s="7"/>
      <c r="MTJ21" s="7"/>
      <c r="MTK21" s="7"/>
      <c r="MTL21" s="7"/>
      <c r="MTM21" s="7"/>
      <c r="MTN21" s="7"/>
      <c r="MTO21" s="7"/>
      <c r="MTP21" s="7"/>
      <c r="MTQ21" s="7"/>
      <c r="MTR21" s="7"/>
      <c r="MTS21" s="7"/>
      <c r="MTT21" s="7"/>
      <c r="MTU21" s="7"/>
      <c r="MTV21" s="7"/>
      <c r="MTW21" s="7"/>
      <c r="MTX21" s="7"/>
      <c r="MTY21" s="7"/>
      <c r="MTZ21" s="7"/>
      <c r="MUA21" s="7"/>
      <c r="MUB21" s="7"/>
      <c r="MUC21" s="7"/>
      <c r="MUD21" s="7"/>
      <c r="MUE21" s="7"/>
      <c r="MUF21" s="7"/>
      <c r="MUG21" s="7"/>
      <c r="MUH21" s="7"/>
      <c r="MUI21" s="7"/>
      <c r="MUJ21" s="7"/>
      <c r="MUK21" s="7"/>
      <c r="MUL21" s="7"/>
      <c r="MUM21" s="7"/>
      <c r="MUN21" s="7"/>
      <c r="MUO21" s="7"/>
      <c r="MUP21" s="7"/>
      <c r="MUQ21" s="7"/>
      <c r="MUR21" s="7"/>
      <c r="MUS21" s="7"/>
      <c r="MUT21" s="7"/>
      <c r="MUU21" s="7"/>
      <c r="MUV21" s="7"/>
      <c r="MUW21" s="7"/>
      <c r="MUX21" s="7"/>
      <c r="MUY21" s="7"/>
      <c r="MUZ21" s="7"/>
      <c r="MVA21" s="7"/>
      <c r="MVB21" s="7"/>
      <c r="MVC21" s="7"/>
      <c r="MVD21" s="7"/>
      <c r="MVE21" s="7"/>
      <c r="MVF21" s="7"/>
      <c r="MVG21" s="7"/>
      <c r="MVH21" s="7"/>
      <c r="MVI21" s="7"/>
      <c r="MVJ21" s="7"/>
      <c r="MVK21" s="7"/>
      <c r="MVL21" s="7"/>
      <c r="MVM21" s="7"/>
      <c r="MVN21" s="7"/>
      <c r="MVO21" s="7"/>
      <c r="MVP21" s="7"/>
      <c r="MVQ21" s="7"/>
      <c r="MVR21" s="7"/>
      <c r="MVS21" s="7"/>
      <c r="MVT21" s="7"/>
      <c r="MVU21" s="7"/>
      <c r="MVV21" s="7"/>
      <c r="MVW21" s="7"/>
      <c r="MVX21" s="7"/>
      <c r="MVY21" s="7"/>
      <c r="MVZ21" s="7"/>
      <c r="MWA21" s="7"/>
      <c r="MWB21" s="7"/>
      <c r="MWC21" s="7"/>
      <c r="MWD21" s="7"/>
      <c r="MWE21" s="7"/>
      <c r="MWF21" s="7"/>
      <c r="MWG21" s="7"/>
      <c r="MWH21" s="7"/>
      <c r="MWI21" s="7"/>
      <c r="MWJ21" s="7"/>
      <c r="MWK21" s="7"/>
      <c r="MWL21" s="7"/>
      <c r="MWM21" s="7"/>
      <c r="MWN21" s="7"/>
      <c r="MWO21" s="7"/>
      <c r="MWP21" s="7"/>
      <c r="MWQ21" s="7"/>
      <c r="MWR21" s="7"/>
      <c r="MWS21" s="7"/>
      <c r="MWT21" s="7"/>
      <c r="MWU21" s="7"/>
      <c r="MWV21" s="7"/>
      <c r="MWW21" s="7"/>
      <c r="MWX21" s="7"/>
      <c r="MWY21" s="7"/>
      <c r="MWZ21" s="7"/>
      <c r="MXA21" s="7"/>
      <c r="MXB21" s="7"/>
      <c r="MXC21" s="7"/>
      <c r="MXD21" s="7"/>
      <c r="MXE21" s="7"/>
      <c r="MXF21" s="7"/>
      <c r="MXG21" s="7"/>
      <c r="MXH21" s="7"/>
      <c r="MXI21" s="7"/>
      <c r="MXJ21" s="7"/>
      <c r="MXK21" s="7"/>
      <c r="MXL21" s="7"/>
      <c r="MXM21" s="7"/>
      <c r="MXN21" s="7"/>
      <c r="MXO21" s="7"/>
      <c r="MXP21" s="7"/>
      <c r="MXQ21" s="7"/>
      <c r="MXR21" s="7"/>
      <c r="MXS21" s="7"/>
      <c r="MXT21" s="7"/>
      <c r="MXU21" s="7"/>
      <c r="MXV21" s="7"/>
      <c r="MXW21" s="7"/>
      <c r="MXX21" s="7"/>
      <c r="MXY21" s="7"/>
      <c r="MXZ21" s="7"/>
      <c r="MYA21" s="7"/>
      <c r="MYB21" s="7"/>
      <c r="MYC21" s="7"/>
      <c r="MYD21" s="7"/>
      <c r="MYE21" s="7"/>
      <c r="MYF21" s="7"/>
      <c r="MYG21" s="7"/>
      <c r="MYH21" s="7"/>
      <c r="MYI21" s="7"/>
      <c r="MYJ21" s="7"/>
      <c r="MYK21" s="7"/>
      <c r="MYL21" s="7"/>
      <c r="MYM21" s="7"/>
      <c r="MYN21" s="7"/>
      <c r="MYO21" s="7"/>
      <c r="MYP21" s="7"/>
      <c r="MYQ21" s="7"/>
      <c r="MYR21" s="7"/>
      <c r="MYS21" s="7"/>
      <c r="MYT21" s="7"/>
      <c r="MYU21" s="7"/>
      <c r="MYV21" s="7"/>
      <c r="MYW21" s="7"/>
      <c r="MYX21" s="7"/>
      <c r="MYY21" s="7"/>
      <c r="MYZ21" s="7"/>
      <c r="MZA21" s="7"/>
      <c r="MZB21" s="7"/>
      <c r="MZC21" s="7"/>
      <c r="MZD21" s="7"/>
      <c r="MZE21" s="7"/>
      <c r="MZF21" s="7"/>
      <c r="MZG21" s="7"/>
      <c r="MZH21" s="7"/>
      <c r="MZI21" s="7"/>
      <c r="MZJ21" s="7"/>
      <c r="MZK21" s="7"/>
      <c r="MZL21" s="7"/>
      <c r="MZM21" s="7"/>
      <c r="MZN21" s="7"/>
      <c r="MZO21" s="7"/>
      <c r="MZP21" s="7"/>
      <c r="MZQ21" s="7"/>
      <c r="MZR21" s="7"/>
      <c r="MZS21" s="7"/>
      <c r="MZT21" s="7"/>
      <c r="MZU21" s="7"/>
      <c r="MZV21" s="7"/>
      <c r="MZW21" s="7"/>
      <c r="MZX21" s="7"/>
      <c r="MZY21" s="7"/>
      <c r="MZZ21" s="7"/>
      <c r="NAA21" s="7"/>
      <c r="NAB21" s="7"/>
      <c r="NAC21" s="7"/>
      <c r="NAD21" s="7"/>
      <c r="NAE21" s="7"/>
      <c r="NAF21" s="7"/>
      <c r="NAG21" s="7"/>
      <c r="NAH21" s="7"/>
      <c r="NAI21" s="7"/>
      <c r="NAJ21" s="7"/>
      <c r="NAK21" s="7"/>
      <c r="NAL21" s="7"/>
      <c r="NAM21" s="7"/>
      <c r="NAN21" s="7"/>
      <c r="NAO21" s="7"/>
      <c r="NAP21" s="7"/>
      <c r="NAQ21" s="7"/>
      <c r="NAR21" s="7"/>
      <c r="NAS21" s="7"/>
      <c r="NAT21" s="7"/>
      <c r="NAU21" s="7"/>
      <c r="NAV21" s="7"/>
      <c r="NAW21" s="7"/>
      <c r="NAX21" s="7"/>
      <c r="NAY21" s="7"/>
      <c r="NAZ21" s="7"/>
      <c r="NBA21" s="7"/>
      <c r="NBB21" s="7"/>
      <c r="NBC21" s="7"/>
      <c r="NBD21" s="7"/>
      <c r="NBE21" s="7"/>
      <c r="NBF21" s="7"/>
      <c r="NBG21" s="7"/>
      <c r="NBH21" s="7"/>
      <c r="NBI21" s="7"/>
      <c r="NBJ21" s="7"/>
      <c r="NBK21" s="7"/>
      <c r="NBL21" s="7"/>
      <c r="NBM21" s="7"/>
      <c r="NBN21" s="7"/>
      <c r="NBO21" s="7"/>
      <c r="NBP21" s="7"/>
      <c r="NBQ21" s="7"/>
      <c r="NBR21" s="7"/>
      <c r="NBS21" s="7"/>
      <c r="NBT21" s="7"/>
      <c r="NBU21" s="7"/>
      <c r="NBV21" s="7"/>
      <c r="NBW21" s="7"/>
      <c r="NBX21" s="7"/>
      <c r="NBY21" s="7"/>
      <c r="NBZ21" s="7"/>
      <c r="NCA21" s="7"/>
      <c r="NCB21" s="7"/>
      <c r="NCC21" s="7"/>
      <c r="NCD21" s="7"/>
      <c r="NCE21" s="7"/>
      <c r="NCF21" s="7"/>
      <c r="NCG21" s="7"/>
      <c r="NCH21" s="7"/>
      <c r="NCI21" s="7"/>
      <c r="NCJ21" s="7"/>
      <c r="NCK21" s="7"/>
      <c r="NCL21" s="7"/>
      <c r="NCM21" s="7"/>
      <c r="NCN21" s="7"/>
      <c r="NCO21" s="7"/>
      <c r="NCP21" s="7"/>
      <c r="NCQ21" s="7"/>
      <c r="NCR21" s="7"/>
      <c r="NCS21" s="7"/>
      <c r="NCT21" s="7"/>
      <c r="NCU21" s="7"/>
      <c r="NCV21" s="7"/>
      <c r="NCW21" s="7"/>
      <c r="NCX21" s="7"/>
      <c r="NCY21" s="7"/>
      <c r="NCZ21" s="7"/>
      <c r="NDA21" s="7"/>
      <c r="NDB21" s="7"/>
      <c r="NDC21" s="7"/>
      <c r="NDD21" s="7"/>
      <c r="NDE21" s="7"/>
      <c r="NDF21" s="7"/>
      <c r="NDG21" s="7"/>
      <c r="NDH21" s="7"/>
      <c r="NDI21" s="7"/>
      <c r="NDJ21" s="7"/>
      <c r="NDK21" s="7"/>
      <c r="NDL21" s="7"/>
      <c r="NDM21" s="7"/>
      <c r="NDN21" s="7"/>
      <c r="NDO21" s="7"/>
      <c r="NDP21" s="7"/>
      <c r="NDQ21" s="7"/>
      <c r="NDR21" s="7"/>
      <c r="NDS21" s="7"/>
      <c r="NDT21" s="7"/>
      <c r="NDU21" s="7"/>
      <c r="NDV21" s="7"/>
      <c r="NDW21" s="7"/>
      <c r="NDX21" s="7"/>
      <c r="NDY21" s="7"/>
      <c r="NDZ21" s="7"/>
      <c r="NEA21" s="7"/>
      <c r="NEB21" s="7"/>
      <c r="NEC21" s="7"/>
      <c r="NED21" s="7"/>
      <c r="NEE21" s="7"/>
      <c r="NEF21" s="7"/>
      <c r="NEG21" s="7"/>
      <c r="NEH21" s="7"/>
      <c r="NEI21" s="7"/>
      <c r="NEJ21" s="7"/>
      <c r="NEK21" s="7"/>
      <c r="NEL21" s="7"/>
      <c r="NEM21" s="7"/>
      <c r="NEN21" s="7"/>
      <c r="NEO21" s="7"/>
      <c r="NEP21" s="7"/>
      <c r="NEQ21" s="7"/>
      <c r="NER21" s="7"/>
      <c r="NES21" s="7"/>
      <c r="NET21" s="7"/>
      <c r="NEU21" s="7"/>
      <c r="NEV21" s="7"/>
      <c r="NEW21" s="7"/>
      <c r="NEX21" s="7"/>
      <c r="NEY21" s="7"/>
      <c r="NEZ21" s="7"/>
      <c r="NFA21" s="7"/>
      <c r="NFB21" s="7"/>
      <c r="NFC21" s="7"/>
      <c r="NFD21" s="7"/>
      <c r="NFE21" s="7"/>
      <c r="NFF21" s="7"/>
      <c r="NFG21" s="7"/>
      <c r="NFH21" s="7"/>
      <c r="NFI21" s="7"/>
      <c r="NFJ21" s="7"/>
      <c r="NFK21" s="7"/>
      <c r="NFL21" s="7"/>
      <c r="NFM21" s="7"/>
      <c r="NFN21" s="7"/>
      <c r="NFO21" s="7"/>
      <c r="NFP21" s="7"/>
      <c r="NFQ21" s="7"/>
      <c r="NFR21" s="7"/>
      <c r="NFS21" s="7"/>
      <c r="NFT21" s="7"/>
      <c r="NFU21" s="7"/>
      <c r="NFV21" s="7"/>
      <c r="NFW21" s="7"/>
      <c r="NFX21" s="7"/>
      <c r="NFY21" s="7"/>
      <c r="NFZ21" s="7"/>
      <c r="NGA21" s="7"/>
      <c r="NGB21" s="7"/>
      <c r="NGC21" s="7"/>
      <c r="NGD21" s="7"/>
      <c r="NGE21" s="7"/>
      <c r="NGF21" s="7"/>
      <c r="NGG21" s="7"/>
      <c r="NGH21" s="7"/>
      <c r="NGI21" s="7"/>
      <c r="NGJ21" s="7"/>
      <c r="NGK21" s="7"/>
      <c r="NGL21" s="7"/>
      <c r="NGM21" s="7"/>
      <c r="NGN21" s="7"/>
      <c r="NGO21" s="7"/>
      <c r="NGP21" s="7"/>
      <c r="NGQ21" s="7"/>
      <c r="NGR21" s="7"/>
      <c r="NGS21" s="7"/>
      <c r="NGT21" s="7"/>
      <c r="NGU21" s="7"/>
      <c r="NGV21" s="7"/>
      <c r="NGW21" s="7"/>
      <c r="NGX21" s="7"/>
      <c r="NGY21" s="7"/>
      <c r="NGZ21" s="7"/>
      <c r="NHA21" s="7"/>
      <c r="NHB21" s="7"/>
      <c r="NHC21" s="7"/>
      <c r="NHD21" s="7"/>
      <c r="NHE21" s="7"/>
      <c r="NHF21" s="7"/>
      <c r="NHG21" s="7"/>
      <c r="NHH21" s="7"/>
      <c r="NHI21" s="7"/>
      <c r="NHJ21" s="7"/>
      <c r="NHK21" s="7"/>
      <c r="NHL21" s="7"/>
      <c r="NHM21" s="7"/>
      <c r="NHN21" s="7"/>
      <c r="NHO21" s="7"/>
      <c r="NHP21" s="7"/>
      <c r="NHQ21" s="7"/>
      <c r="NHR21" s="7"/>
      <c r="NHS21" s="7"/>
      <c r="NHT21" s="7"/>
      <c r="NHU21" s="7"/>
      <c r="NHV21" s="7"/>
      <c r="NHW21" s="7"/>
      <c r="NHX21" s="7"/>
      <c r="NHY21" s="7"/>
      <c r="NHZ21" s="7"/>
      <c r="NIA21" s="7"/>
      <c r="NIB21" s="7"/>
      <c r="NIC21" s="7"/>
      <c r="NID21" s="7"/>
      <c r="NIE21" s="7"/>
      <c r="NIF21" s="7"/>
      <c r="NIG21" s="7"/>
      <c r="NIH21" s="7"/>
      <c r="NII21" s="7"/>
      <c r="NIJ21" s="7"/>
      <c r="NIK21" s="7"/>
      <c r="NIL21" s="7"/>
      <c r="NIM21" s="7"/>
      <c r="NIN21" s="7"/>
      <c r="NIO21" s="7"/>
      <c r="NIP21" s="7"/>
      <c r="NIQ21" s="7"/>
      <c r="NIR21" s="7"/>
      <c r="NIS21" s="7"/>
      <c r="NIT21" s="7"/>
      <c r="NIU21" s="7"/>
      <c r="NIV21" s="7"/>
      <c r="NIW21" s="7"/>
      <c r="NIX21" s="7"/>
      <c r="NIY21" s="7"/>
      <c r="NIZ21" s="7"/>
      <c r="NJA21" s="7"/>
      <c r="NJB21" s="7"/>
      <c r="NJC21" s="7"/>
      <c r="NJD21" s="7"/>
      <c r="NJE21" s="7"/>
      <c r="NJF21" s="7"/>
      <c r="NJG21" s="7"/>
      <c r="NJH21" s="7"/>
      <c r="NJI21" s="7"/>
      <c r="NJJ21" s="7"/>
      <c r="NJK21" s="7"/>
      <c r="NJL21" s="7"/>
      <c r="NJM21" s="7"/>
      <c r="NJN21" s="7"/>
      <c r="NJO21" s="7"/>
      <c r="NJP21" s="7"/>
      <c r="NJQ21" s="7"/>
      <c r="NJR21" s="7"/>
      <c r="NJS21" s="7"/>
      <c r="NJT21" s="7"/>
      <c r="NJU21" s="7"/>
      <c r="NJV21" s="7"/>
      <c r="NJW21" s="7"/>
      <c r="NJX21" s="7"/>
      <c r="NJY21" s="7"/>
      <c r="NJZ21" s="7"/>
      <c r="NKA21" s="7"/>
      <c r="NKB21" s="7"/>
      <c r="NKC21" s="7"/>
      <c r="NKD21" s="7"/>
      <c r="NKE21" s="7"/>
      <c r="NKF21" s="7"/>
      <c r="NKG21" s="7"/>
      <c r="NKH21" s="7"/>
      <c r="NKI21" s="7"/>
      <c r="NKJ21" s="7"/>
      <c r="NKK21" s="7"/>
      <c r="NKL21" s="7"/>
      <c r="NKM21" s="7"/>
      <c r="NKN21" s="7"/>
      <c r="NKO21" s="7"/>
      <c r="NKP21" s="7"/>
      <c r="NKQ21" s="7"/>
      <c r="NKR21" s="7"/>
      <c r="NKS21" s="7"/>
      <c r="NKT21" s="7"/>
      <c r="NKU21" s="7"/>
      <c r="NKV21" s="7"/>
      <c r="NKW21" s="7"/>
      <c r="NKX21" s="7"/>
      <c r="NKY21" s="7"/>
      <c r="NKZ21" s="7"/>
      <c r="NLA21" s="7"/>
      <c r="NLB21" s="7"/>
      <c r="NLC21" s="7"/>
      <c r="NLD21" s="7"/>
      <c r="NLE21" s="7"/>
      <c r="NLF21" s="7"/>
      <c r="NLG21" s="7"/>
      <c r="NLH21" s="7"/>
      <c r="NLI21" s="7"/>
      <c r="NLJ21" s="7"/>
      <c r="NLK21" s="7"/>
      <c r="NLL21" s="7"/>
      <c r="NLM21" s="7"/>
      <c r="NLN21" s="7"/>
      <c r="NLO21" s="7"/>
      <c r="NLP21" s="7"/>
      <c r="NLQ21" s="7"/>
      <c r="NLR21" s="7"/>
      <c r="NLS21" s="7"/>
      <c r="NLT21" s="7"/>
      <c r="NLU21" s="7"/>
      <c r="NLV21" s="7"/>
      <c r="NLW21" s="7"/>
      <c r="NLX21" s="7"/>
      <c r="NLY21" s="7"/>
      <c r="NLZ21" s="7"/>
      <c r="NMA21" s="7"/>
      <c r="NMB21" s="7"/>
      <c r="NMC21" s="7"/>
      <c r="NMD21" s="7"/>
      <c r="NME21" s="7"/>
      <c r="NMF21" s="7"/>
      <c r="NMG21" s="7"/>
      <c r="NMH21" s="7"/>
      <c r="NMI21" s="7"/>
      <c r="NMJ21" s="7"/>
      <c r="NMK21" s="7"/>
      <c r="NML21" s="7"/>
      <c r="NMM21" s="7"/>
      <c r="NMN21" s="7"/>
      <c r="NMO21" s="7"/>
      <c r="NMP21" s="7"/>
      <c r="NMQ21" s="7"/>
      <c r="NMR21" s="7"/>
      <c r="NMS21" s="7"/>
      <c r="NMT21" s="7"/>
      <c r="NMU21" s="7"/>
      <c r="NMV21" s="7"/>
      <c r="NMW21" s="7"/>
      <c r="NMX21" s="7"/>
      <c r="NMY21" s="7"/>
      <c r="NMZ21" s="7"/>
      <c r="NNA21" s="7"/>
      <c r="NNB21" s="7"/>
      <c r="NNC21" s="7"/>
      <c r="NND21" s="7"/>
      <c r="NNE21" s="7"/>
      <c r="NNF21" s="7"/>
      <c r="NNG21" s="7"/>
      <c r="NNH21" s="7"/>
      <c r="NNI21" s="7"/>
      <c r="NNJ21" s="7"/>
      <c r="NNK21" s="7"/>
      <c r="NNL21" s="7"/>
      <c r="NNM21" s="7"/>
      <c r="NNN21" s="7"/>
      <c r="NNO21" s="7"/>
      <c r="NNP21" s="7"/>
      <c r="NNQ21" s="7"/>
      <c r="NNR21" s="7"/>
      <c r="NNS21" s="7"/>
      <c r="NNT21" s="7"/>
      <c r="NNU21" s="7"/>
      <c r="NNV21" s="7"/>
      <c r="NNW21" s="7"/>
      <c r="NNX21" s="7"/>
      <c r="NNY21" s="7"/>
      <c r="NNZ21" s="7"/>
      <c r="NOA21" s="7"/>
      <c r="NOB21" s="7"/>
      <c r="NOC21" s="7"/>
      <c r="NOD21" s="7"/>
      <c r="NOE21" s="7"/>
      <c r="NOF21" s="7"/>
      <c r="NOG21" s="7"/>
      <c r="NOH21" s="7"/>
      <c r="NOI21" s="7"/>
      <c r="NOJ21" s="7"/>
      <c r="NOK21" s="7"/>
      <c r="NOL21" s="7"/>
      <c r="NOM21" s="7"/>
      <c r="NON21" s="7"/>
      <c r="NOO21" s="7"/>
      <c r="NOP21" s="7"/>
      <c r="NOQ21" s="7"/>
      <c r="NOR21" s="7"/>
      <c r="NOS21" s="7"/>
      <c r="NOT21" s="7"/>
      <c r="NOU21" s="7"/>
      <c r="NOV21" s="7"/>
      <c r="NOW21" s="7"/>
      <c r="NOX21" s="7"/>
      <c r="NOY21" s="7"/>
      <c r="NOZ21" s="7"/>
      <c r="NPA21" s="7"/>
      <c r="NPB21" s="7"/>
      <c r="NPC21" s="7"/>
      <c r="NPD21" s="7"/>
      <c r="NPE21" s="7"/>
      <c r="NPF21" s="7"/>
      <c r="NPG21" s="7"/>
      <c r="NPH21" s="7"/>
      <c r="NPI21" s="7"/>
      <c r="NPJ21" s="7"/>
      <c r="NPK21" s="7"/>
      <c r="NPL21" s="7"/>
      <c r="NPM21" s="7"/>
      <c r="NPN21" s="7"/>
      <c r="NPO21" s="7"/>
      <c r="NPP21" s="7"/>
      <c r="NPQ21" s="7"/>
      <c r="NPR21" s="7"/>
      <c r="NPS21" s="7"/>
      <c r="NPT21" s="7"/>
      <c r="NPU21" s="7"/>
      <c r="NPV21" s="7"/>
      <c r="NPW21" s="7"/>
      <c r="NPX21" s="7"/>
      <c r="NPY21" s="7"/>
      <c r="NPZ21" s="7"/>
      <c r="NQA21" s="7"/>
      <c r="NQB21" s="7"/>
      <c r="NQC21" s="7"/>
      <c r="NQD21" s="7"/>
      <c r="NQE21" s="7"/>
      <c r="NQF21" s="7"/>
      <c r="NQG21" s="7"/>
      <c r="NQH21" s="7"/>
      <c r="NQI21" s="7"/>
      <c r="NQJ21" s="7"/>
      <c r="NQK21" s="7"/>
      <c r="NQL21" s="7"/>
      <c r="NQM21" s="7"/>
      <c r="NQN21" s="7"/>
      <c r="NQO21" s="7"/>
      <c r="NQP21" s="7"/>
      <c r="NQQ21" s="7"/>
      <c r="NQR21" s="7"/>
      <c r="NQS21" s="7"/>
      <c r="NQT21" s="7"/>
      <c r="NQU21" s="7"/>
      <c r="NQV21" s="7"/>
      <c r="NQW21" s="7"/>
      <c r="NQX21" s="7"/>
      <c r="NQY21" s="7"/>
      <c r="NQZ21" s="7"/>
      <c r="NRA21" s="7"/>
      <c r="NRB21" s="7"/>
      <c r="NRC21" s="7"/>
      <c r="NRD21" s="7"/>
      <c r="NRE21" s="7"/>
      <c r="NRF21" s="7"/>
      <c r="NRG21" s="7"/>
      <c r="NRH21" s="7"/>
      <c r="NRI21" s="7"/>
      <c r="NRJ21" s="7"/>
      <c r="NRK21" s="7"/>
      <c r="NRL21" s="7"/>
      <c r="NRM21" s="7"/>
      <c r="NRN21" s="7"/>
      <c r="NRO21" s="7"/>
      <c r="NRP21" s="7"/>
      <c r="NRQ21" s="7"/>
      <c r="NRR21" s="7"/>
      <c r="NRS21" s="7"/>
      <c r="NRT21" s="7"/>
      <c r="NRU21" s="7"/>
      <c r="NRV21" s="7"/>
      <c r="NRW21" s="7"/>
      <c r="NRX21" s="7"/>
      <c r="NRY21" s="7"/>
      <c r="NRZ21" s="7"/>
      <c r="NSA21" s="7"/>
      <c r="NSB21" s="7"/>
      <c r="NSC21" s="7"/>
      <c r="NSD21" s="7"/>
      <c r="NSE21" s="7"/>
      <c r="NSF21" s="7"/>
      <c r="NSG21" s="7"/>
      <c r="NSH21" s="7"/>
      <c r="NSI21" s="7"/>
      <c r="NSJ21" s="7"/>
      <c r="NSK21" s="7"/>
      <c r="NSL21" s="7"/>
      <c r="NSM21" s="7"/>
      <c r="NSN21" s="7"/>
      <c r="NSO21" s="7"/>
      <c r="NSP21" s="7"/>
      <c r="NSQ21" s="7"/>
      <c r="NSR21" s="7"/>
      <c r="NSS21" s="7"/>
      <c r="NST21" s="7"/>
      <c r="NSU21" s="7"/>
      <c r="NSV21" s="7"/>
      <c r="NSW21" s="7"/>
      <c r="NSX21" s="7"/>
      <c r="NSY21" s="7"/>
      <c r="NSZ21" s="7"/>
      <c r="NTA21" s="7"/>
      <c r="NTB21" s="7"/>
      <c r="NTC21" s="7"/>
      <c r="NTD21" s="7"/>
      <c r="NTE21" s="7"/>
      <c r="NTF21" s="7"/>
      <c r="NTG21" s="7"/>
      <c r="NTH21" s="7"/>
      <c r="NTI21" s="7"/>
      <c r="NTJ21" s="7"/>
      <c r="NTK21" s="7"/>
      <c r="NTL21" s="7"/>
      <c r="NTM21" s="7"/>
      <c r="NTN21" s="7"/>
      <c r="NTO21" s="7"/>
      <c r="NTP21" s="7"/>
      <c r="NTQ21" s="7"/>
      <c r="NTR21" s="7"/>
      <c r="NTS21" s="7"/>
      <c r="NTT21" s="7"/>
      <c r="NTU21" s="7"/>
      <c r="NTV21" s="7"/>
      <c r="NTW21" s="7"/>
      <c r="NTX21" s="7"/>
      <c r="NTY21" s="7"/>
      <c r="NTZ21" s="7"/>
      <c r="NUA21" s="7"/>
      <c r="NUB21" s="7"/>
      <c r="NUC21" s="7"/>
      <c r="NUD21" s="7"/>
      <c r="NUE21" s="7"/>
      <c r="NUF21" s="7"/>
      <c r="NUG21" s="7"/>
      <c r="NUH21" s="7"/>
      <c r="NUI21" s="7"/>
      <c r="NUJ21" s="7"/>
      <c r="NUK21" s="7"/>
      <c r="NUL21" s="7"/>
      <c r="NUM21" s="7"/>
      <c r="NUN21" s="7"/>
      <c r="NUO21" s="7"/>
      <c r="NUP21" s="7"/>
      <c r="NUQ21" s="7"/>
      <c r="NUR21" s="7"/>
      <c r="NUS21" s="7"/>
      <c r="NUT21" s="7"/>
      <c r="NUU21" s="7"/>
      <c r="NUV21" s="7"/>
      <c r="NUW21" s="7"/>
      <c r="NUX21" s="7"/>
      <c r="NUY21" s="7"/>
      <c r="NUZ21" s="7"/>
      <c r="NVA21" s="7"/>
      <c r="NVB21" s="7"/>
      <c r="NVC21" s="7"/>
      <c r="NVD21" s="7"/>
      <c r="NVE21" s="7"/>
      <c r="NVF21" s="7"/>
      <c r="NVG21" s="7"/>
      <c r="NVH21" s="7"/>
      <c r="NVI21" s="7"/>
      <c r="NVJ21" s="7"/>
      <c r="NVK21" s="7"/>
      <c r="NVL21" s="7"/>
      <c r="NVM21" s="7"/>
      <c r="NVN21" s="7"/>
      <c r="NVO21" s="7"/>
      <c r="NVP21" s="7"/>
      <c r="NVQ21" s="7"/>
      <c r="NVR21" s="7"/>
      <c r="NVS21" s="7"/>
      <c r="NVT21" s="7"/>
      <c r="NVU21" s="7"/>
      <c r="NVV21" s="7"/>
      <c r="NVW21" s="7"/>
      <c r="NVX21" s="7"/>
      <c r="NVY21" s="7"/>
      <c r="NVZ21" s="7"/>
      <c r="NWA21" s="7"/>
      <c r="NWB21" s="7"/>
      <c r="NWC21" s="7"/>
      <c r="NWD21" s="7"/>
      <c r="NWE21" s="7"/>
      <c r="NWF21" s="7"/>
      <c r="NWG21" s="7"/>
      <c r="NWH21" s="7"/>
      <c r="NWI21" s="7"/>
      <c r="NWJ21" s="7"/>
      <c r="NWK21" s="7"/>
      <c r="NWL21" s="7"/>
      <c r="NWM21" s="7"/>
      <c r="NWN21" s="7"/>
      <c r="NWO21" s="7"/>
      <c r="NWP21" s="7"/>
      <c r="NWQ21" s="7"/>
      <c r="NWR21" s="7"/>
      <c r="NWS21" s="7"/>
      <c r="NWT21" s="7"/>
      <c r="NWU21" s="7"/>
      <c r="NWV21" s="7"/>
      <c r="NWW21" s="7"/>
      <c r="NWX21" s="7"/>
      <c r="NWY21" s="7"/>
      <c r="NWZ21" s="7"/>
      <c r="NXA21" s="7"/>
      <c r="NXB21" s="7"/>
      <c r="NXC21" s="7"/>
      <c r="NXD21" s="7"/>
      <c r="NXE21" s="7"/>
      <c r="NXF21" s="7"/>
      <c r="NXG21" s="7"/>
      <c r="NXH21" s="7"/>
      <c r="NXI21" s="7"/>
      <c r="NXJ21" s="7"/>
      <c r="NXK21" s="7"/>
      <c r="NXL21" s="7"/>
      <c r="NXM21" s="7"/>
      <c r="NXN21" s="7"/>
      <c r="NXO21" s="7"/>
      <c r="NXP21" s="7"/>
      <c r="NXQ21" s="7"/>
      <c r="NXR21" s="7"/>
      <c r="NXS21" s="7"/>
      <c r="NXT21" s="7"/>
      <c r="NXU21" s="7"/>
      <c r="NXV21" s="7"/>
      <c r="NXW21" s="7"/>
      <c r="NXX21" s="7"/>
      <c r="NXY21" s="7"/>
      <c r="NXZ21" s="7"/>
      <c r="NYA21" s="7"/>
      <c r="NYB21" s="7"/>
      <c r="NYC21" s="7"/>
      <c r="NYD21" s="7"/>
      <c r="NYE21" s="7"/>
      <c r="NYF21" s="7"/>
      <c r="NYG21" s="7"/>
      <c r="NYH21" s="7"/>
      <c r="NYI21" s="7"/>
      <c r="NYJ21" s="7"/>
      <c r="NYK21" s="7"/>
      <c r="NYL21" s="7"/>
      <c r="NYM21" s="7"/>
      <c r="NYN21" s="7"/>
      <c r="NYO21" s="7"/>
      <c r="NYP21" s="7"/>
      <c r="NYQ21" s="7"/>
      <c r="NYR21" s="7"/>
      <c r="NYS21" s="7"/>
      <c r="NYT21" s="7"/>
      <c r="NYU21" s="7"/>
      <c r="NYV21" s="7"/>
      <c r="NYW21" s="7"/>
      <c r="NYX21" s="7"/>
      <c r="NYY21" s="7"/>
      <c r="NYZ21" s="7"/>
      <c r="NZA21" s="7"/>
      <c r="NZB21" s="7"/>
      <c r="NZC21" s="7"/>
      <c r="NZD21" s="7"/>
      <c r="NZE21" s="7"/>
      <c r="NZF21" s="7"/>
      <c r="NZG21" s="7"/>
      <c r="NZH21" s="7"/>
      <c r="NZI21" s="7"/>
      <c r="NZJ21" s="7"/>
      <c r="NZK21" s="7"/>
      <c r="NZL21" s="7"/>
      <c r="NZM21" s="7"/>
      <c r="NZN21" s="7"/>
      <c r="NZO21" s="7"/>
      <c r="NZP21" s="7"/>
      <c r="NZQ21" s="7"/>
      <c r="NZR21" s="7"/>
      <c r="NZS21" s="7"/>
      <c r="NZT21" s="7"/>
      <c r="NZU21" s="7"/>
      <c r="NZV21" s="7"/>
      <c r="NZW21" s="7"/>
      <c r="NZX21" s="7"/>
      <c r="NZY21" s="7"/>
      <c r="NZZ21" s="7"/>
      <c r="OAA21" s="7"/>
      <c r="OAB21" s="7"/>
      <c r="OAC21" s="7"/>
      <c r="OAD21" s="7"/>
      <c r="OAE21" s="7"/>
      <c r="OAF21" s="7"/>
      <c r="OAG21" s="7"/>
      <c r="OAH21" s="7"/>
      <c r="OAI21" s="7"/>
      <c r="OAJ21" s="7"/>
      <c r="OAK21" s="7"/>
      <c r="OAL21" s="7"/>
      <c r="OAM21" s="7"/>
      <c r="OAN21" s="7"/>
      <c r="OAO21" s="7"/>
      <c r="OAP21" s="7"/>
      <c r="OAQ21" s="7"/>
      <c r="OAR21" s="7"/>
      <c r="OAS21" s="7"/>
      <c r="OAT21" s="7"/>
      <c r="OAU21" s="7"/>
      <c r="OAV21" s="7"/>
      <c r="OAW21" s="7"/>
      <c r="OAX21" s="7"/>
      <c r="OAY21" s="7"/>
      <c r="OAZ21" s="7"/>
      <c r="OBA21" s="7"/>
      <c r="OBB21" s="7"/>
      <c r="OBC21" s="7"/>
      <c r="OBD21" s="7"/>
      <c r="OBE21" s="7"/>
      <c r="OBF21" s="7"/>
      <c r="OBG21" s="7"/>
      <c r="OBH21" s="7"/>
      <c r="OBI21" s="7"/>
      <c r="OBJ21" s="7"/>
      <c r="OBK21" s="7"/>
      <c r="OBL21" s="7"/>
      <c r="OBM21" s="7"/>
      <c r="OBN21" s="7"/>
      <c r="OBO21" s="7"/>
      <c r="OBP21" s="7"/>
      <c r="OBQ21" s="7"/>
      <c r="OBR21" s="7"/>
      <c r="OBS21" s="7"/>
      <c r="OBT21" s="7"/>
      <c r="OBU21" s="7"/>
      <c r="OBV21" s="7"/>
      <c r="OBW21" s="7"/>
      <c r="OBX21" s="7"/>
      <c r="OBY21" s="7"/>
      <c r="OBZ21" s="7"/>
      <c r="OCA21" s="7"/>
      <c r="OCB21" s="7"/>
      <c r="OCC21" s="7"/>
      <c r="OCD21" s="7"/>
      <c r="OCE21" s="7"/>
      <c r="OCF21" s="7"/>
      <c r="OCG21" s="7"/>
      <c r="OCH21" s="7"/>
      <c r="OCI21" s="7"/>
      <c r="OCJ21" s="7"/>
      <c r="OCK21" s="7"/>
      <c r="OCL21" s="7"/>
      <c r="OCM21" s="7"/>
      <c r="OCN21" s="7"/>
      <c r="OCO21" s="7"/>
      <c r="OCP21" s="7"/>
      <c r="OCQ21" s="7"/>
      <c r="OCR21" s="7"/>
      <c r="OCS21" s="7"/>
      <c r="OCT21" s="7"/>
      <c r="OCU21" s="7"/>
      <c r="OCV21" s="7"/>
      <c r="OCW21" s="7"/>
      <c r="OCX21" s="7"/>
      <c r="OCY21" s="7"/>
      <c r="OCZ21" s="7"/>
      <c r="ODA21" s="7"/>
      <c r="ODB21" s="7"/>
      <c r="ODC21" s="7"/>
      <c r="ODD21" s="7"/>
      <c r="ODE21" s="7"/>
      <c r="ODF21" s="7"/>
      <c r="ODG21" s="7"/>
      <c r="ODH21" s="7"/>
      <c r="ODI21" s="7"/>
      <c r="ODJ21" s="7"/>
      <c r="ODK21" s="7"/>
      <c r="ODL21" s="7"/>
      <c r="ODM21" s="7"/>
      <c r="ODN21" s="7"/>
      <c r="ODO21" s="7"/>
      <c r="ODP21" s="7"/>
      <c r="ODQ21" s="7"/>
      <c r="ODR21" s="7"/>
      <c r="ODS21" s="7"/>
      <c r="ODT21" s="7"/>
      <c r="ODU21" s="7"/>
      <c r="ODV21" s="7"/>
      <c r="ODW21" s="7"/>
      <c r="ODX21" s="7"/>
      <c r="ODY21" s="7"/>
      <c r="ODZ21" s="7"/>
      <c r="OEA21" s="7"/>
      <c r="OEB21" s="7"/>
      <c r="OEC21" s="7"/>
      <c r="OED21" s="7"/>
      <c r="OEE21" s="7"/>
      <c r="OEF21" s="7"/>
      <c r="OEG21" s="7"/>
      <c r="OEH21" s="7"/>
      <c r="OEI21" s="7"/>
      <c r="OEJ21" s="7"/>
      <c r="OEK21" s="7"/>
      <c r="OEL21" s="7"/>
      <c r="OEM21" s="7"/>
      <c r="OEN21" s="7"/>
      <c r="OEO21" s="7"/>
      <c r="OEP21" s="7"/>
      <c r="OEQ21" s="7"/>
      <c r="OER21" s="7"/>
      <c r="OES21" s="7"/>
      <c r="OET21" s="7"/>
      <c r="OEU21" s="7"/>
      <c r="OEV21" s="7"/>
      <c r="OEW21" s="7"/>
      <c r="OEX21" s="7"/>
      <c r="OEY21" s="7"/>
      <c r="OEZ21" s="7"/>
      <c r="OFA21" s="7"/>
      <c r="OFB21" s="7"/>
      <c r="OFC21" s="7"/>
      <c r="OFD21" s="7"/>
      <c r="OFE21" s="7"/>
      <c r="OFF21" s="7"/>
      <c r="OFG21" s="7"/>
      <c r="OFH21" s="7"/>
      <c r="OFI21" s="7"/>
      <c r="OFJ21" s="7"/>
      <c r="OFK21" s="7"/>
      <c r="OFL21" s="7"/>
      <c r="OFM21" s="7"/>
      <c r="OFN21" s="7"/>
      <c r="OFO21" s="7"/>
      <c r="OFP21" s="7"/>
      <c r="OFQ21" s="7"/>
      <c r="OFR21" s="7"/>
      <c r="OFS21" s="7"/>
      <c r="OFT21" s="7"/>
      <c r="OFU21" s="7"/>
      <c r="OFV21" s="7"/>
      <c r="OFW21" s="7"/>
      <c r="OFX21" s="7"/>
      <c r="OFY21" s="7"/>
      <c r="OFZ21" s="7"/>
      <c r="OGA21" s="7"/>
      <c r="OGB21" s="7"/>
      <c r="OGC21" s="7"/>
      <c r="OGD21" s="7"/>
      <c r="OGE21" s="7"/>
      <c r="OGF21" s="7"/>
      <c r="OGG21" s="7"/>
      <c r="OGH21" s="7"/>
      <c r="OGI21" s="7"/>
      <c r="OGJ21" s="7"/>
      <c r="OGK21" s="7"/>
      <c r="OGL21" s="7"/>
      <c r="OGM21" s="7"/>
      <c r="OGN21" s="7"/>
      <c r="OGO21" s="7"/>
      <c r="OGP21" s="7"/>
      <c r="OGQ21" s="7"/>
      <c r="OGR21" s="7"/>
      <c r="OGS21" s="7"/>
      <c r="OGT21" s="7"/>
      <c r="OGU21" s="7"/>
      <c r="OGV21" s="7"/>
      <c r="OGW21" s="7"/>
      <c r="OGX21" s="7"/>
      <c r="OGY21" s="7"/>
      <c r="OGZ21" s="7"/>
      <c r="OHA21" s="7"/>
      <c r="OHB21" s="7"/>
      <c r="OHC21" s="7"/>
      <c r="OHD21" s="7"/>
      <c r="OHE21" s="7"/>
      <c r="OHF21" s="7"/>
      <c r="OHG21" s="7"/>
      <c r="OHH21" s="7"/>
      <c r="OHI21" s="7"/>
      <c r="OHJ21" s="7"/>
      <c r="OHK21" s="7"/>
      <c r="OHL21" s="7"/>
      <c r="OHM21" s="7"/>
      <c r="OHN21" s="7"/>
      <c r="OHO21" s="7"/>
      <c r="OHP21" s="7"/>
      <c r="OHQ21" s="7"/>
      <c r="OHR21" s="7"/>
      <c r="OHS21" s="7"/>
      <c r="OHT21" s="7"/>
      <c r="OHU21" s="7"/>
      <c r="OHV21" s="7"/>
      <c r="OHW21" s="7"/>
      <c r="OHX21" s="7"/>
      <c r="OHY21" s="7"/>
      <c r="OHZ21" s="7"/>
      <c r="OIA21" s="7"/>
      <c r="OIB21" s="7"/>
      <c r="OIC21" s="7"/>
      <c r="OID21" s="7"/>
      <c r="OIE21" s="7"/>
      <c r="OIF21" s="7"/>
      <c r="OIG21" s="7"/>
      <c r="OIH21" s="7"/>
      <c r="OII21" s="7"/>
      <c r="OIJ21" s="7"/>
      <c r="OIK21" s="7"/>
      <c r="OIL21" s="7"/>
      <c r="OIM21" s="7"/>
      <c r="OIN21" s="7"/>
      <c r="OIO21" s="7"/>
      <c r="OIP21" s="7"/>
      <c r="OIQ21" s="7"/>
      <c r="OIR21" s="7"/>
      <c r="OIS21" s="7"/>
      <c r="OIT21" s="7"/>
      <c r="OIU21" s="7"/>
      <c r="OIV21" s="7"/>
      <c r="OIW21" s="7"/>
      <c r="OIX21" s="7"/>
      <c r="OIY21" s="7"/>
      <c r="OIZ21" s="7"/>
      <c r="OJA21" s="7"/>
      <c r="OJB21" s="7"/>
      <c r="OJC21" s="7"/>
      <c r="OJD21" s="7"/>
      <c r="OJE21" s="7"/>
      <c r="OJF21" s="7"/>
      <c r="OJG21" s="7"/>
      <c r="OJH21" s="7"/>
      <c r="OJI21" s="7"/>
      <c r="OJJ21" s="7"/>
      <c r="OJK21" s="7"/>
      <c r="OJL21" s="7"/>
      <c r="OJM21" s="7"/>
      <c r="OJN21" s="7"/>
      <c r="OJO21" s="7"/>
      <c r="OJP21" s="7"/>
      <c r="OJQ21" s="7"/>
      <c r="OJR21" s="7"/>
      <c r="OJS21" s="7"/>
      <c r="OJT21" s="7"/>
      <c r="OJU21" s="7"/>
      <c r="OJV21" s="7"/>
      <c r="OJW21" s="7"/>
      <c r="OJX21" s="7"/>
      <c r="OJY21" s="7"/>
      <c r="OJZ21" s="7"/>
      <c r="OKA21" s="7"/>
      <c r="OKB21" s="7"/>
      <c r="OKC21" s="7"/>
      <c r="OKD21" s="7"/>
      <c r="OKE21" s="7"/>
      <c r="OKF21" s="7"/>
      <c r="OKG21" s="7"/>
      <c r="OKH21" s="7"/>
      <c r="OKI21" s="7"/>
      <c r="OKJ21" s="7"/>
      <c r="OKK21" s="7"/>
      <c r="OKL21" s="7"/>
      <c r="OKM21" s="7"/>
      <c r="OKN21" s="7"/>
      <c r="OKO21" s="7"/>
      <c r="OKP21" s="7"/>
      <c r="OKQ21" s="7"/>
      <c r="OKR21" s="7"/>
      <c r="OKS21" s="7"/>
      <c r="OKT21" s="7"/>
      <c r="OKU21" s="7"/>
      <c r="OKV21" s="7"/>
      <c r="OKW21" s="7"/>
      <c r="OKX21" s="7"/>
      <c r="OKY21" s="7"/>
      <c r="OKZ21" s="7"/>
      <c r="OLA21" s="7"/>
      <c r="OLB21" s="7"/>
      <c r="OLC21" s="7"/>
      <c r="OLD21" s="7"/>
      <c r="OLE21" s="7"/>
      <c r="OLF21" s="7"/>
      <c r="OLG21" s="7"/>
      <c r="OLH21" s="7"/>
      <c r="OLI21" s="7"/>
      <c r="OLJ21" s="7"/>
      <c r="OLK21" s="7"/>
      <c r="OLL21" s="7"/>
      <c r="OLM21" s="7"/>
      <c r="OLN21" s="7"/>
      <c r="OLO21" s="7"/>
      <c r="OLP21" s="7"/>
      <c r="OLQ21" s="7"/>
      <c r="OLR21" s="7"/>
      <c r="OLS21" s="7"/>
      <c r="OLT21" s="7"/>
      <c r="OLU21" s="7"/>
      <c r="OLV21" s="7"/>
      <c r="OLW21" s="7"/>
      <c r="OLX21" s="7"/>
      <c r="OLY21" s="7"/>
      <c r="OLZ21" s="7"/>
      <c r="OMA21" s="7"/>
      <c r="OMB21" s="7"/>
      <c r="OMC21" s="7"/>
      <c r="OMD21" s="7"/>
      <c r="OME21" s="7"/>
      <c r="OMF21" s="7"/>
      <c r="OMG21" s="7"/>
      <c r="OMH21" s="7"/>
      <c r="OMI21" s="7"/>
      <c r="OMJ21" s="7"/>
      <c r="OMK21" s="7"/>
      <c r="OML21" s="7"/>
      <c r="OMM21" s="7"/>
      <c r="OMN21" s="7"/>
      <c r="OMO21" s="7"/>
      <c r="OMP21" s="7"/>
      <c r="OMQ21" s="7"/>
      <c r="OMR21" s="7"/>
      <c r="OMS21" s="7"/>
      <c r="OMT21" s="7"/>
      <c r="OMU21" s="7"/>
      <c r="OMV21" s="7"/>
      <c r="OMW21" s="7"/>
      <c r="OMX21" s="7"/>
      <c r="OMY21" s="7"/>
      <c r="OMZ21" s="7"/>
      <c r="ONA21" s="7"/>
      <c r="ONB21" s="7"/>
      <c r="ONC21" s="7"/>
      <c r="OND21" s="7"/>
      <c r="ONE21" s="7"/>
      <c r="ONF21" s="7"/>
      <c r="ONG21" s="7"/>
      <c r="ONH21" s="7"/>
      <c r="ONI21" s="7"/>
      <c r="ONJ21" s="7"/>
      <c r="ONK21" s="7"/>
      <c r="ONL21" s="7"/>
      <c r="ONM21" s="7"/>
      <c r="ONN21" s="7"/>
      <c r="ONO21" s="7"/>
      <c r="ONP21" s="7"/>
      <c r="ONQ21" s="7"/>
      <c r="ONR21" s="7"/>
      <c r="ONS21" s="7"/>
      <c r="ONT21" s="7"/>
      <c r="ONU21" s="7"/>
      <c r="ONV21" s="7"/>
      <c r="ONW21" s="7"/>
      <c r="ONX21" s="7"/>
      <c r="ONY21" s="7"/>
      <c r="ONZ21" s="7"/>
      <c r="OOA21" s="7"/>
      <c r="OOB21" s="7"/>
      <c r="OOC21" s="7"/>
      <c r="OOD21" s="7"/>
      <c r="OOE21" s="7"/>
      <c r="OOF21" s="7"/>
      <c r="OOG21" s="7"/>
      <c r="OOH21" s="7"/>
      <c r="OOI21" s="7"/>
      <c r="OOJ21" s="7"/>
      <c r="OOK21" s="7"/>
      <c r="OOL21" s="7"/>
      <c r="OOM21" s="7"/>
      <c r="OON21" s="7"/>
      <c r="OOO21" s="7"/>
      <c r="OOP21" s="7"/>
      <c r="OOQ21" s="7"/>
      <c r="OOR21" s="7"/>
      <c r="OOS21" s="7"/>
      <c r="OOT21" s="7"/>
      <c r="OOU21" s="7"/>
      <c r="OOV21" s="7"/>
      <c r="OOW21" s="7"/>
      <c r="OOX21" s="7"/>
      <c r="OOY21" s="7"/>
      <c r="OOZ21" s="7"/>
      <c r="OPA21" s="7"/>
      <c r="OPB21" s="7"/>
      <c r="OPC21" s="7"/>
      <c r="OPD21" s="7"/>
      <c r="OPE21" s="7"/>
      <c r="OPF21" s="7"/>
      <c r="OPG21" s="7"/>
      <c r="OPH21" s="7"/>
      <c r="OPI21" s="7"/>
      <c r="OPJ21" s="7"/>
      <c r="OPK21" s="7"/>
      <c r="OPL21" s="7"/>
      <c r="OPM21" s="7"/>
      <c r="OPN21" s="7"/>
      <c r="OPO21" s="7"/>
      <c r="OPP21" s="7"/>
      <c r="OPQ21" s="7"/>
      <c r="OPR21" s="7"/>
      <c r="OPS21" s="7"/>
      <c r="OPT21" s="7"/>
      <c r="OPU21" s="7"/>
      <c r="OPV21" s="7"/>
      <c r="OPW21" s="7"/>
      <c r="OPX21" s="7"/>
      <c r="OPY21" s="7"/>
      <c r="OPZ21" s="7"/>
      <c r="OQA21" s="7"/>
      <c r="OQB21" s="7"/>
      <c r="OQC21" s="7"/>
      <c r="OQD21" s="7"/>
      <c r="OQE21" s="7"/>
      <c r="OQF21" s="7"/>
      <c r="OQG21" s="7"/>
      <c r="OQH21" s="7"/>
      <c r="OQI21" s="7"/>
      <c r="OQJ21" s="7"/>
      <c r="OQK21" s="7"/>
      <c r="OQL21" s="7"/>
      <c r="OQM21" s="7"/>
      <c r="OQN21" s="7"/>
      <c r="OQO21" s="7"/>
      <c r="OQP21" s="7"/>
      <c r="OQQ21" s="7"/>
      <c r="OQR21" s="7"/>
      <c r="OQS21" s="7"/>
      <c r="OQT21" s="7"/>
      <c r="OQU21" s="7"/>
      <c r="OQV21" s="7"/>
      <c r="OQW21" s="7"/>
      <c r="OQX21" s="7"/>
      <c r="OQY21" s="7"/>
      <c r="OQZ21" s="7"/>
      <c r="ORA21" s="7"/>
      <c r="ORB21" s="7"/>
      <c r="ORC21" s="7"/>
      <c r="ORD21" s="7"/>
      <c r="ORE21" s="7"/>
      <c r="ORF21" s="7"/>
      <c r="ORG21" s="7"/>
      <c r="ORH21" s="7"/>
      <c r="ORI21" s="7"/>
      <c r="ORJ21" s="7"/>
      <c r="ORK21" s="7"/>
      <c r="ORL21" s="7"/>
      <c r="ORM21" s="7"/>
      <c r="ORN21" s="7"/>
      <c r="ORO21" s="7"/>
      <c r="ORP21" s="7"/>
      <c r="ORQ21" s="7"/>
      <c r="ORR21" s="7"/>
      <c r="ORS21" s="7"/>
      <c r="ORT21" s="7"/>
      <c r="ORU21" s="7"/>
      <c r="ORV21" s="7"/>
      <c r="ORW21" s="7"/>
      <c r="ORX21" s="7"/>
      <c r="ORY21" s="7"/>
      <c r="ORZ21" s="7"/>
      <c r="OSA21" s="7"/>
      <c r="OSB21" s="7"/>
      <c r="OSC21" s="7"/>
      <c r="OSD21" s="7"/>
      <c r="OSE21" s="7"/>
      <c r="OSF21" s="7"/>
      <c r="OSG21" s="7"/>
      <c r="OSH21" s="7"/>
      <c r="OSI21" s="7"/>
      <c r="OSJ21" s="7"/>
      <c r="OSK21" s="7"/>
      <c r="OSL21" s="7"/>
      <c r="OSM21" s="7"/>
      <c r="OSN21" s="7"/>
      <c r="OSO21" s="7"/>
      <c r="OSP21" s="7"/>
      <c r="OSQ21" s="7"/>
      <c r="OSR21" s="7"/>
      <c r="OSS21" s="7"/>
      <c r="OST21" s="7"/>
      <c r="OSU21" s="7"/>
      <c r="OSV21" s="7"/>
      <c r="OSW21" s="7"/>
      <c r="OSX21" s="7"/>
      <c r="OSY21" s="7"/>
      <c r="OSZ21" s="7"/>
      <c r="OTA21" s="7"/>
      <c r="OTB21" s="7"/>
      <c r="OTC21" s="7"/>
      <c r="OTD21" s="7"/>
      <c r="OTE21" s="7"/>
      <c r="OTF21" s="7"/>
      <c r="OTG21" s="7"/>
      <c r="OTH21" s="7"/>
      <c r="OTI21" s="7"/>
      <c r="OTJ21" s="7"/>
      <c r="OTK21" s="7"/>
      <c r="OTL21" s="7"/>
      <c r="OTM21" s="7"/>
      <c r="OTN21" s="7"/>
      <c r="OTO21" s="7"/>
      <c r="OTP21" s="7"/>
      <c r="OTQ21" s="7"/>
      <c r="OTR21" s="7"/>
      <c r="OTS21" s="7"/>
      <c r="OTT21" s="7"/>
      <c r="OTU21" s="7"/>
      <c r="OTV21" s="7"/>
      <c r="OTW21" s="7"/>
      <c r="OTX21" s="7"/>
      <c r="OTY21" s="7"/>
      <c r="OTZ21" s="7"/>
      <c r="OUA21" s="7"/>
      <c r="OUB21" s="7"/>
      <c r="OUC21" s="7"/>
      <c r="OUD21" s="7"/>
      <c r="OUE21" s="7"/>
      <c r="OUF21" s="7"/>
      <c r="OUG21" s="7"/>
      <c r="OUH21" s="7"/>
      <c r="OUI21" s="7"/>
      <c r="OUJ21" s="7"/>
      <c r="OUK21" s="7"/>
      <c r="OUL21" s="7"/>
      <c r="OUM21" s="7"/>
      <c r="OUN21" s="7"/>
      <c r="OUO21" s="7"/>
      <c r="OUP21" s="7"/>
      <c r="OUQ21" s="7"/>
      <c r="OUR21" s="7"/>
      <c r="OUS21" s="7"/>
      <c r="OUT21" s="7"/>
      <c r="OUU21" s="7"/>
      <c r="OUV21" s="7"/>
      <c r="OUW21" s="7"/>
      <c r="OUX21" s="7"/>
      <c r="OUY21" s="7"/>
      <c r="OUZ21" s="7"/>
      <c r="OVA21" s="7"/>
      <c r="OVB21" s="7"/>
      <c r="OVC21" s="7"/>
      <c r="OVD21" s="7"/>
      <c r="OVE21" s="7"/>
      <c r="OVF21" s="7"/>
      <c r="OVG21" s="7"/>
      <c r="OVH21" s="7"/>
      <c r="OVI21" s="7"/>
      <c r="OVJ21" s="7"/>
      <c r="OVK21" s="7"/>
      <c r="OVL21" s="7"/>
      <c r="OVM21" s="7"/>
      <c r="OVN21" s="7"/>
      <c r="OVO21" s="7"/>
      <c r="OVP21" s="7"/>
      <c r="OVQ21" s="7"/>
      <c r="OVR21" s="7"/>
      <c r="OVS21" s="7"/>
      <c r="OVT21" s="7"/>
      <c r="OVU21" s="7"/>
      <c r="OVV21" s="7"/>
      <c r="OVW21" s="7"/>
      <c r="OVX21" s="7"/>
      <c r="OVY21" s="7"/>
      <c r="OVZ21" s="7"/>
      <c r="OWA21" s="7"/>
      <c r="OWB21" s="7"/>
      <c r="OWC21" s="7"/>
      <c r="OWD21" s="7"/>
      <c r="OWE21" s="7"/>
      <c r="OWF21" s="7"/>
      <c r="OWG21" s="7"/>
      <c r="OWH21" s="7"/>
      <c r="OWI21" s="7"/>
      <c r="OWJ21" s="7"/>
      <c r="OWK21" s="7"/>
      <c r="OWL21" s="7"/>
      <c r="OWM21" s="7"/>
      <c r="OWN21" s="7"/>
      <c r="OWO21" s="7"/>
      <c r="OWP21" s="7"/>
      <c r="OWQ21" s="7"/>
      <c r="OWR21" s="7"/>
      <c r="OWS21" s="7"/>
      <c r="OWT21" s="7"/>
      <c r="OWU21" s="7"/>
      <c r="OWV21" s="7"/>
      <c r="OWW21" s="7"/>
      <c r="OWX21" s="7"/>
      <c r="OWY21" s="7"/>
      <c r="OWZ21" s="7"/>
      <c r="OXA21" s="7"/>
      <c r="OXB21" s="7"/>
      <c r="OXC21" s="7"/>
      <c r="OXD21" s="7"/>
      <c r="OXE21" s="7"/>
      <c r="OXF21" s="7"/>
      <c r="OXG21" s="7"/>
      <c r="OXH21" s="7"/>
      <c r="OXI21" s="7"/>
      <c r="OXJ21" s="7"/>
      <c r="OXK21" s="7"/>
      <c r="OXL21" s="7"/>
      <c r="OXM21" s="7"/>
      <c r="OXN21" s="7"/>
      <c r="OXO21" s="7"/>
      <c r="OXP21" s="7"/>
      <c r="OXQ21" s="7"/>
      <c r="OXR21" s="7"/>
      <c r="OXS21" s="7"/>
      <c r="OXT21" s="7"/>
      <c r="OXU21" s="7"/>
      <c r="OXV21" s="7"/>
      <c r="OXW21" s="7"/>
      <c r="OXX21" s="7"/>
      <c r="OXY21" s="7"/>
      <c r="OXZ21" s="7"/>
      <c r="OYA21" s="7"/>
      <c r="OYB21" s="7"/>
      <c r="OYC21" s="7"/>
      <c r="OYD21" s="7"/>
      <c r="OYE21" s="7"/>
      <c r="OYF21" s="7"/>
      <c r="OYG21" s="7"/>
      <c r="OYH21" s="7"/>
      <c r="OYI21" s="7"/>
      <c r="OYJ21" s="7"/>
      <c r="OYK21" s="7"/>
      <c r="OYL21" s="7"/>
      <c r="OYM21" s="7"/>
      <c r="OYN21" s="7"/>
      <c r="OYO21" s="7"/>
      <c r="OYP21" s="7"/>
      <c r="OYQ21" s="7"/>
      <c r="OYR21" s="7"/>
      <c r="OYS21" s="7"/>
      <c r="OYT21" s="7"/>
      <c r="OYU21" s="7"/>
      <c r="OYV21" s="7"/>
      <c r="OYW21" s="7"/>
      <c r="OYX21" s="7"/>
      <c r="OYY21" s="7"/>
      <c r="OYZ21" s="7"/>
      <c r="OZA21" s="7"/>
      <c r="OZB21" s="7"/>
      <c r="OZC21" s="7"/>
      <c r="OZD21" s="7"/>
      <c r="OZE21" s="7"/>
      <c r="OZF21" s="7"/>
      <c r="OZG21" s="7"/>
      <c r="OZH21" s="7"/>
      <c r="OZI21" s="7"/>
      <c r="OZJ21" s="7"/>
      <c r="OZK21" s="7"/>
      <c r="OZL21" s="7"/>
      <c r="OZM21" s="7"/>
      <c r="OZN21" s="7"/>
      <c r="OZO21" s="7"/>
      <c r="OZP21" s="7"/>
      <c r="OZQ21" s="7"/>
      <c r="OZR21" s="7"/>
      <c r="OZS21" s="7"/>
      <c r="OZT21" s="7"/>
      <c r="OZU21" s="7"/>
      <c r="OZV21" s="7"/>
      <c r="OZW21" s="7"/>
      <c r="OZX21" s="7"/>
      <c r="OZY21" s="7"/>
      <c r="OZZ21" s="7"/>
      <c r="PAA21" s="7"/>
      <c r="PAB21" s="7"/>
      <c r="PAC21" s="7"/>
      <c r="PAD21" s="7"/>
      <c r="PAE21" s="7"/>
      <c r="PAF21" s="7"/>
      <c r="PAG21" s="7"/>
      <c r="PAH21" s="7"/>
      <c r="PAI21" s="7"/>
      <c r="PAJ21" s="7"/>
      <c r="PAK21" s="7"/>
      <c r="PAL21" s="7"/>
      <c r="PAM21" s="7"/>
      <c r="PAN21" s="7"/>
      <c r="PAO21" s="7"/>
      <c r="PAP21" s="7"/>
      <c r="PAQ21" s="7"/>
      <c r="PAR21" s="7"/>
      <c r="PAS21" s="7"/>
      <c r="PAT21" s="7"/>
      <c r="PAU21" s="7"/>
      <c r="PAV21" s="7"/>
      <c r="PAW21" s="7"/>
      <c r="PAX21" s="7"/>
      <c r="PAY21" s="7"/>
      <c r="PAZ21" s="7"/>
      <c r="PBA21" s="7"/>
      <c r="PBB21" s="7"/>
      <c r="PBC21" s="7"/>
      <c r="PBD21" s="7"/>
      <c r="PBE21" s="7"/>
      <c r="PBF21" s="7"/>
      <c r="PBG21" s="7"/>
      <c r="PBH21" s="7"/>
      <c r="PBI21" s="7"/>
      <c r="PBJ21" s="7"/>
      <c r="PBK21" s="7"/>
      <c r="PBL21" s="7"/>
      <c r="PBM21" s="7"/>
      <c r="PBN21" s="7"/>
      <c r="PBO21" s="7"/>
      <c r="PBP21" s="7"/>
      <c r="PBQ21" s="7"/>
      <c r="PBR21" s="7"/>
      <c r="PBS21" s="7"/>
      <c r="PBT21" s="7"/>
      <c r="PBU21" s="7"/>
      <c r="PBV21" s="7"/>
      <c r="PBW21" s="7"/>
      <c r="PBX21" s="7"/>
      <c r="PBY21" s="7"/>
      <c r="PBZ21" s="7"/>
      <c r="PCA21" s="7"/>
      <c r="PCB21" s="7"/>
      <c r="PCC21" s="7"/>
      <c r="PCD21" s="7"/>
      <c r="PCE21" s="7"/>
      <c r="PCF21" s="7"/>
      <c r="PCG21" s="7"/>
      <c r="PCH21" s="7"/>
      <c r="PCI21" s="7"/>
      <c r="PCJ21" s="7"/>
      <c r="PCK21" s="7"/>
      <c r="PCL21" s="7"/>
      <c r="PCM21" s="7"/>
      <c r="PCN21" s="7"/>
      <c r="PCO21" s="7"/>
      <c r="PCP21" s="7"/>
      <c r="PCQ21" s="7"/>
      <c r="PCR21" s="7"/>
      <c r="PCS21" s="7"/>
      <c r="PCT21" s="7"/>
      <c r="PCU21" s="7"/>
      <c r="PCV21" s="7"/>
      <c r="PCW21" s="7"/>
      <c r="PCX21" s="7"/>
      <c r="PCY21" s="7"/>
      <c r="PCZ21" s="7"/>
      <c r="PDA21" s="7"/>
      <c r="PDB21" s="7"/>
      <c r="PDC21" s="7"/>
      <c r="PDD21" s="7"/>
      <c r="PDE21" s="7"/>
      <c r="PDF21" s="7"/>
      <c r="PDG21" s="7"/>
      <c r="PDH21" s="7"/>
      <c r="PDI21" s="7"/>
      <c r="PDJ21" s="7"/>
      <c r="PDK21" s="7"/>
      <c r="PDL21" s="7"/>
      <c r="PDM21" s="7"/>
      <c r="PDN21" s="7"/>
      <c r="PDO21" s="7"/>
      <c r="PDP21" s="7"/>
      <c r="PDQ21" s="7"/>
      <c r="PDR21" s="7"/>
      <c r="PDS21" s="7"/>
      <c r="PDT21" s="7"/>
      <c r="PDU21" s="7"/>
      <c r="PDV21" s="7"/>
      <c r="PDW21" s="7"/>
      <c r="PDX21" s="7"/>
      <c r="PDY21" s="7"/>
      <c r="PDZ21" s="7"/>
      <c r="PEA21" s="7"/>
      <c r="PEB21" s="7"/>
      <c r="PEC21" s="7"/>
      <c r="PED21" s="7"/>
      <c r="PEE21" s="7"/>
      <c r="PEF21" s="7"/>
      <c r="PEG21" s="7"/>
      <c r="PEH21" s="7"/>
      <c r="PEI21" s="7"/>
      <c r="PEJ21" s="7"/>
      <c r="PEK21" s="7"/>
      <c r="PEL21" s="7"/>
      <c r="PEM21" s="7"/>
      <c r="PEN21" s="7"/>
      <c r="PEO21" s="7"/>
      <c r="PEP21" s="7"/>
      <c r="PEQ21" s="7"/>
      <c r="PER21" s="7"/>
      <c r="PES21" s="7"/>
      <c r="PET21" s="7"/>
      <c r="PEU21" s="7"/>
      <c r="PEV21" s="7"/>
      <c r="PEW21" s="7"/>
      <c r="PEX21" s="7"/>
      <c r="PEY21" s="7"/>
      <c r="PEZ21" s="7"/>
      <c r="PFA21" s="7"/>
      <c r="PFB21" s="7"/>
      <c r="PFC21" s="7"/>
      <c r="PFD21" s="7"/>
      <c r="PFE21" s="7"/>
      <c r="PFF21" s="7"/>
      <c r="PFG21" s="7"/>
      <c r="PFH21" s="7"/>
      <c r="PFI21" s="7"/>
      <c r="PFJ21" s="7"/>
      <c r="PFK21" s="7"/>
      <c r="PFL21" s="7"/>
      <c r="PFM21" s="7"/>
      <c r="PFN21" s="7"/>
      <c r="PFO21" s="7"/>
      <c r="PFP21" s="7"/>
      <c r="PFQ21" s="7"/>
      <c r="PFR21" s="7"/>
      <c r="PFS21" s="7"/>
      <c r="PFT21" s="7"/>
      <c r="PFU21" s="7"/>
      <c r="PFV21" s="7"/>
      <c r="PFW21" s="7"/>
      <c r="PFX21" s="7"/>
      <c r="PFY21" s="7"/>
      <c r="PFZ21" s="7"/>
      <c r="PGA21" s="7"/>
      <c r="PGB21" s="7"/>
      <c r="PGC21" s="7"/>
      <c r="PGD21" s="7"/>
      <c r="PGE21" s="7"/>
      <c r="PGF21" s="7"/>
      <c r="PGG21" s="7"/>
      <c r="PGH21" s="7"/>
      <c r="PGI21" s="7"/>
      <c r="PGJ21" s="7"/>
      <c r="PGK21" s="7"/>
      <c r="PGL21" s="7"/>
      <c r="PGM21" s="7"/>
      <c r="PGN21" s="7"/>
      <c r="PGO21" s="7"/>
      <c r="PGP21" s="7"/>
      <c r="PGQ21" s="7"/>
      <c r="PGR21" s="7"/>
      <c r="PGS21" s="7"/>
      <c r="PGT21" s="7"/>
      <c r="PGU21" s="7"/>
      <c r="PGV21" s="7"/>
      <c r="PGW21" s="7"/>
      <c r="PGX21" s="7"/>
      <c r="PGY21" s="7"/>
      <c r="PGZ21" s="7"/>
      <c r="PHA21" s="7"/>
      <c r="PHB21" s="7"/>
      <c r="PHC21" s="7"/>
      <c r="PHD21" s="7"/>
      <c r="PHE21" s="7"/>
      <c r="PHF21" s="7"/>
      <c r="PHG21" s="7"/>
      <c r="PHH21" s="7"/>
      <c r="PHI21" s="7"/>
      <c r="PHJ21" s="7"/>
      <c r="PHK21" s="7"/>
      <c r="PHL21" s="7"/>
      <c r="PHM21" s="7"/>
      <c r="PHN21" s="7"/>
      <c r="PHO21" s="7"/>
      <c r="PHP21" s="7"/>
      <c r="PHQ21" s="7"/>
      <c r="PHR21" s="7"/>
      <c r="PHS21" s="7"/>
      <c r="PHT21" s="7"/>
      <c r="PHU21" s="7"/>
      <c r="PHV21" s="7"/>
      <c r="PHW21" s="7"/>
      <c r="PHX21" s="7"/>
      <c r="PHY21" s="7"/>
      <c r="PHZ21" s="7"/>
      <c r="PIA21" s="7"/>
      <c r="PIB21" s="7"/>
      <c r="PIC21" s="7"/>
      <c r="PID21" s="7"/>
      <c r="PIE21" s="7"/>
      <c r="PIF21" s="7"/>
      <c r="PIG21" s="7"/>
      <c r="PIH21" s="7"/>
      <c r="PII21" s="7"/>
      <c r="PIJ21" s="7"/>
      <c r="PIK21" s="7"/>
      <c r="PIL21" s="7"/>
      <c r="PIM21" s="7"/>
      <c r="PIN21" s="7"/>
      <c r="PIO21" s="7"/>
      <c r="PIP21" s="7"/>
      <c r="PIQ21" s="7"/>
      <c r="PIR21" s="7"/>
      <c r="PIS21" s="7"/>
      <c r="PIT21" s="7"/>
      <c r="PIU21" s="7"/>
      <c r="PIV21" s="7"/>
      <c r="PIW21" s="7"/>
      <c r="PIX21" s="7"/>
      <c r="PIY21" s="7"/>
      <c r="PIZ21" s="7"/>
      <c r="PJA21" s="7"/>
      <c r="PJB21" s="7"/>
      <c r="PJC21" s="7"/>
      <c r="PJD21" s="7"/>
      <c r="PJE21" s="7"/>
      <c r="PJF21" s="7"/>
      <c r="PJG21" s="7"/>
      <c r="PJH21" s="7"/>
      <c r="PJI21" s="7"/>
      <c r="PJJ21" s="7"/>
      <c r="PJK21" s="7"/>
      <c r="PJL21" s="7"/>
      <c r="PJM21" s="7"/>
      <c r="PJN21" s="7"/>
      <c r="PJO21" s="7"/>
      <c r="PJP21" s="7"/>
      <c r="PJQ21" s="7"/>
      <c r="PJR21" s="7"/>
      <c r="PJS21" s="7"/>
      <c r="PJT21" s="7"/>
      <c r="PJU21" s="7"/>
      <c r="PJV21" s="7"/>
      <c r="PJW21" s="7"/>
      <c r="PJX21" s="7"/>
      <c r="PJY21" s="7"/>
      <c r="PJZ21" s="7"/>
      <c r="PKA21" s="7"/>
      <c r="PKB21" s="7"/>
      <c r="PKC21" s="7"/>
      <c r="PKD21" s="7"/>
      <c r="PKE21" s="7"/>
      <c r="PKF21" s="7"/>
      <c r="PKG21" s="7"/>
      <c r="PKH21" s="7"/>
      <c r="PKI21" s="7"/>
      <c r="PKJ21" s="7"/>
      <c r="PKK21" s="7"/>
      <c r="PKL21" s="7"/>
      <c r="PKM21" s="7"/>
      <c r="PKN21" s="7"/>
      <c r="PKO21" s="7"/>
      <c r="PKP21" s="7"/>
      <c r="PKQ21" s="7"/>
      <c r="PKR21" s="7"/>
      <c r="PKS21" s="7"/>
      <c r="PKT21" s="7"/>
      <c r="PKU21" s="7"/>
      <c r="PKV21" s="7"/>
      <c r="PKW21" s="7"/>
      <c r="PKX21" s="7"/>
      <c r="PKY21" s="7"/>
      <c r="PKZ21" s="7"/>
      <c r="PLA21" s="7"/>
      <c r="PLB21" s="7"/>
      <c r="PLC21" s="7"/>
      <c r="PLD21" s="7"/>
      <c r="PLE21" s="7"/>
      <c r="PLF21" s="7"/>
      <c r="PLG21" s="7"/>
      <c r="PLH21" s="7"/>
      <c r="PLI21" s="7"/>
      <c r="PLJ21" s="7"/>
      <c r="PLK21" s="7"/>
      <c r="PLL21" s="7"/>
      <c r="PLM21" s="7"/>
      <c r="PLN21" s="7"/>
      <c r="PLO21" s="7"/>
      <c r="PLP21" s="7"/>
      <c r="PLQ21" s="7"/>
      <c r="PLR21" s="7"/>
      <c r="PLS21" s="7"/>
      <c r="PLT21" s="7"/>
      <c r="PLU21" s="7"/>
      <c r="PLV21" s="7"/>
      <c r="PLW21" s="7"/>
      <c r="PLX21" s="7"/>
      <c r="PLY21" s="7"/>
      <c r="PLZ21" s="7"/>
      <c r="PMA21" s="7"/>
      <c r="PMB21" s="7"/>
      <c r="PMC21" s="7"/>
      <c r="PMD21" s="7"/>
      <c r="PME21" s="7"/>
      <c r="PMF21" s="7"/>
      <c r="PMG21" s="7"/>
      <c r="PMH21" s="7"/>
      <c r="PMI21" s="7"/>
      <c r="PMJ21" s="7"/>
      <c r="PMK21" s="7"/>
      <c r="PML21" s="7"/>
      <c r="PMM21" s="7"/>
      <c r="PMN21" s="7"/>
      <c r="PMO21" s="7"/>
      <c r="PMP21" s="7"/>
      <c r="PMQ21" s="7"/>
      <c r="PMR21" s="7"/>
      <c r="PMS21" s="7"/>
      <c r="PMT21" s="7"/>
      <c r="PMU21" s="7"/>
      <c r="PMV21" s="7"/>
      <c r="PMW21" s="7"/>
      <c r="PMX21" s="7"/>
      <c r="PMY21" s="7"/>
      <c r="PMZ21" s="7"/>
      <c r="PNA21" s="7"/>
      <c r="PNB21" s="7"/>
      <c r="PNC21" s="7"/>
      <c r="PND21" s="7"/>
      <c r="PNE21" s="7"/>
      <c r="PNF21" s="7"/>
      <c r="PNG21" s="7"/>
      <c r="PNH21" s="7"/>
      <c r="PNI21" s="7"/>
      <c r="PNJ21" s="7"/>
      <c r="PNK21" s="7"/>
      <c r="PNL21" s="7"/>
      <c r="PNM21" s="7"/>
      <c r="PNN21" s="7"/>
      <c r="PNO21" s="7"/>
      <c r="PNP21" s="7"/>
      <c r="PNQ21" s="7"/>
      <c r="PNR21" s="7"/>
      <c r="PNS21" s="7"/>
      <c r="PNT21" s="7"/>
      <c r="PNU21" s="7"/>
      <c r="PNV21" s="7"/>
      <c r="PNW21" s="7"/>
      <c r="PNX21" s="7"/>
      <c r="PNY21" s="7"/>
      <c r="PNZ21" s="7"/>
      <c r="POA21" s="7"/>
      <c r="POB21" s="7"/>
      <c r="POC21" s="7"/>
      <c r="POD21" s="7"/>
      <c r="POE21" s="7"/>
      <c r="POF21" s="7"/>
      <c r="POG21" s="7"/>
      <c r="POH21" s="7"/>
      <c r="POI21" s="7"/>
      <c r="POJ21" s="7"/>
      <c r="POK21" s="7"/>
      <c r="POL21" s="7"/>
      <c r="POM21" s="7"/>
      <c r="PON21" s="7"/>
      <c r="POO21" s="7"/>
      <c r="POP21" s="7"/>
      <c r="POQ21" s="7"/>
      <c r="POR21" s="7"/>
      <c r="POS21" s="7"/>
      <c r="POT21" s="7"/>
      <c r="POU21" s="7"/>
      <c r="POV21" s="7"/>
      <c r="POW21" s="7"/>
      <c r="POX21" s="7"/>
      <c r="POY21" s="7"/>
      <c r="POZ21" s="7"/>
      <c r="PPA21" s="7"/>
      <c r="PPB21" s="7"/>
      <c r="PPC21" s="7"/>
      <c r="PPD21" s="7"/>
      <c r="PPE21" s="7"/>
      <c r="PPF21" s="7"/>
      <c r="PPG21" s="7"/>
      <c r="PPH21" s="7"/>
      <c r="PPI21" s="7"/>
      <c r="PPJ21" s="7"/>
      <c r="PPK21" s="7"/>
      <c r="PPL21" s="7"/>
      <c r="PPM21" s="7"/>
      <c r="PPN21" s="7"/>
      <c r="PPO21" s="7"/>
      <c r="PPP21" s="7"/>
      <c r="PPQ21" s="7"/>
      <c r="PPR21" s="7"/>
      <c r="PPS21" s="7"/>
      <c r="PPT21" s="7"/>
      <c r="PPU21" s="7"/>
      <c r="PPV21" s="7"/>
      <c r="PPW21" s="7"/>
      <c r="PPX21" s="7"/>
      <c r="PPY21" s="7"/>
      <c r="PPZ21" s="7"/>
      <c r="PQA21" s="7"/>
      <c r="PQB21" s="7"/>
      <c r="PQC21" s="7"/>
      <c r="PQD21" s="7"/>
      <c r="PQE21" s="7"/>
      <c r="PQF21" s="7"/>
      <c r="PQG21" s="7"/>
      <c r="PQH21" s="7"/>
      <c r="PQI21" s="7"/>
      <c r="PQJ21" s="7"/>
      <c r="PQK21" s="7"/>
      <c r="PQL21" s="7"/>
      <c r="PQM21" s="7"/>
      <c r="PQN21" s="7"/>
      <c r="PQO21" s="7"/>
      <c r="PQP21" s="7"/>
      <c r="PQQ21" s="7"/>
      <c r="PQR21" s="7"/>
      <c r="PQS21" s="7"/>
      <c r="PQT21" s="7"/>
      <c r="PQU21" s="7"/>
      <c r="PQV21" s="7"/>
      <c r="PQW21" s="7"/>
      <c r="PQX21" s="7"/>
      <c r="PQY21" s="7"/>
      <c r="PQZ21" s="7"/>
      <c r="PRA21" s="7"/>
      <c r="PRB21" s="7"/>
      <c r="PRC21" s="7"/>
      <c r="PRD21" s="7"/>
      <c r="PRE21" s="7"/>
      <c r="PRF21" s="7"/>
      <c r="PRG21" s="7"/>
      <c r="PRH21" s="7"/>
      <c r="PRI21" s="7"/>
      <c r="PRJ21" s="7"/>
      <c r="PRK21" s="7"/>
      <c r="PRL21" s="7"/>
      <c r="PRM21" s="7"/>
      <c r="PRN21" s="7"/>
      <c r="PRO21" s="7"/>
      <c r="PRP21" s="7"/>
      <c r="PRQ21" s="7"/>
      <c r="PRR21" s="7"/>
      <c r="PRS21" s="7"/>
      <c r="PRT21" s="7"/>
      <c r="PRU21" s="7"/>
      <c r="PRV21" s="7"/>
      <c r="PRW21" s="7"/>
      <c r="PRX21" s="7"/>
      <c r="PRY21" s="7"/>
      <c r="PRZ21" s="7"/>
      <c r="PSA21" s="7"/>
      <c r="PSB21" s="7"/>
      <c r="PSC21" s="7"/>
      <c r="PSD21" s="7"/>
      <c r="PSE21" s="7"/>
      <c r="PSF21" s="7"/>
      <c r="PSG21" s="7"/>
      <c r="PSH21" s="7"/>
      <c r="PSI21" s="7"/>
      <c r="PSJ21" s="7"/>
      <c r="PSK21" s="7"/>
      <c r="PSL21" s="7"/>
      <c r="PSM21" s="7"/>
      <c r="PSN21" s="7"/>
      <c r="PSO21" s="7"/>
      <c r="PSP21" s="7"/>
      <c r="PSQ21" s="7"/>
      <c r="PSR21" s="7"/>
      <c r="PSS21" s="7"/>
      <c r="PST21" s="7"/>
      <c r="PSU21" s="7"/>
      <c r="PSV21" s="7"/>
      <c r="PSW21" s="7"/>
      <c r="PSX21" s="7"/>
      <c r="PSY21" s="7"/>
      <c r="PSZ21" s="7"/>
      <c r="PTA21" s="7"/>
      <c r="PTB21" s="7"/>
      <c r="PTC21" s="7"/>
      <c r="PTD21" s="7"/>
      <c r="PTE21" s="7"/>
      <c r="PTF21" s="7"/>
      <c r="PTG21" s="7"/>
      <c r="PTH21" s="7"/>
      <c r="PTI21" s="7"/>
      <c r="PTJ21" s="7"/>
      <c r="PTK21" s="7"/>
      <c r="PTL21" s="7"/>
      <c r="PTM21" s="7"/>
      <c r="PTN21" s="7"/>
      <c r="PTO21" s="7"/>
      <c r="PTP21" s="7"/>
      <c r="PTQ21" s="7"/>
      <c r="PTR21" s="7"/>
      <c r="PTS21" s="7"/>
      <c r="PTT21" s="7"/>
      <c r="PTU21" s="7"/>
      <c r="PTV21" s="7"/>
      <c r="PTW21" s="7"/>
      <c r="PTX21" s="7"/>
      <c r="PTY21" s="7"/>
      <c r="PTZ21" s="7"/>
      <c r="PUA21" s="7"/>
      <c r="PUB21" s="7"/>
      <c r="PUC21" s="7"/>
      <c r="PUD21" s="7"/>
      <c r="PUE21" s="7"/>
      <c r="PUF21" s="7"/>
      <c r="PUG21" s="7"/>
      <c r="PUH21" s="7"/>
      <c r="PUI21" s="7"/>
      <c r="PUJ21" s="7"/>
      <c r="PUK21" s="7"/>
      <c r="PUL21" s="7"/>
      <c r="PUM21" s="7"/>
      <c r="PUN21" s="7"/>
      <c r="PUO21" s="7"/>
      <c r="PUP21" s="7"/>
      <c r="PUQ21" s="7"/>
      <c r="PUR21" s="7"/>
      <c r="PUS21" s="7"/>
      <c r="PUT21" s="7"/>
      <c r="PUU21" s="7"/>
      <c r="PUV21" s="7"/>
      <c r="PUW21" s="7"/>
      <c r="PUX21" s="7"/>
      <c r="PUY21" s="7"/>
      <c r="PUZ21" s="7"/>
      <c r="PVA21" s="7"/>
      <c r="PVB21" s="7"/>
      <c r="PVC21" s="7"/>
      <c r="PVD21" s="7"/>
      <c r="PVE21" s="7"/>
      <c r="PVF21" s="7"/>
      <c r="PVG21" s="7"/>
      <c r="PVH21" s="7"/>
      <c r="PVI21" s="7"/>
      <c r="PVJ21" s="7"/>
      <c r="PVK21" s="7"/>
      <c r="PVL21" s="7"/>
      <c r="PVM21" s="7"/>
      <c r="PVN21" s="7"/>
      <c r="PVO21" s="7"/>
      <c r="PVP21" s="7"/>
      <c r="PVQ21" s="7"/>
      <c r="PVR21" s="7"/>
      <c r="PVS21" s="7"/>
      <c r="PVT21" s="7"/>
      <c r="PVU21" s="7"/>
      <c r="PVV21" s="7"/>
      <c r="PVW21" s="7"/>
      <c r="PVX21" s="7"/>
      <c r="PVY21" s="7"/>
      <c r="PVZ21" s="7"/>
      <c r="PWA21" s="7"/>
      <c r="PWB21" s="7"/>
      <c r="PWC21" s="7"/>
      <c r="PWD21" s="7"/>
      <c r="PWE21" s="7"/>
      <c r="PWF21" s="7"/>
      <c r="PWG21" s="7"/>
      <c r="PWH21" s="7"/>
      <c r="PWI21" s="7"/>
      <c r="PWJ21" s="7"/>
      <c r="PWK21" s="7"/>
      <c r="PWL21" s="7"/>
      <c r="PWM21" s="7"/>
      <c r="PWN21" s="7"/>
      <c r="PWO21" s="7"/>
      <c r="PWP21" s="7"/>
      <c r="PWQ21" s="7"/>
      <c r="PWR21" s="7"/>
      <c r="PWS21" s="7"/>
      <c r="PWT21" s="7"/>
      <c r="PWU21" s="7"/>
      <c r="PWV21" s="7"/>
      <c r="PWW21" s="7"/>
      <c r="PWX21" s="7"/>
      <c r="PWY21" s="7"/>
      <c r="PWZ21" s="7"/>
      <c r="PXA21" s="7"/>
      <c r="PXB21" s="7"/>
      <c r="PXC21" s="7"/>
      <c r="PXD21" s="7"/>
      <c r="PXE21" s="7"/>
      <c r="PXF21" s="7"/>
      <c r="PXG21" s="7"/>
      <c r="PXH21" s="7"/>
      <c r="PXI21" s="7"/>
      <c r="PXJ21" s="7"/>
      <c r="PXK21" s="7"/>
      <c r="PXL21" s="7"/>
      <c r="PXM21" s="7"/>
      <c r="PXN21" s="7"/>
      <c r="PXO21" s="7"/>
      <c r="PXP21" s="7"/>
      <c r="PXQ21" s="7"/>
      <c r="PXR21" s="7"/>
      <c r="PXS21" s="7"/>
      <c r="PXT21" s="7"/>
      <c r="PXU21" s="7"/>
      <c r="PXV21" s="7"/>
      <c r="PXW21" s="7"/>
      <c r="PXX21" s="7"/>
      <c r="PXY21" s="7"/>
      <c r="PXZ21" s="7"/>
      <c r="PYA21" s="7"/>
      <c r="PYB21" s="7"/>
      <c r="PYC21" s="7"/>
      <c r="PYD21" s="7"/>
      <c r="PYE21" s="7"/>
      <c r="PYF21" s="7"/>
      <c r="PYG21" s="7"/>
      <c r="PYH21" s="7"/>
      <c r="PYI21" s="7"/>
      <c r="PYJ21" s="7"/>
      <c r="PYK21" s="7"/>
      <c r="PYL21" s="7"/>
      <c r="PYM21" s="7"/>
      <c r="PYN21" s="7"/>
      <c r="PYO21" s="7"/>
      <c r="PYP21" s="7"/>
      <c r="PYQ21" s="7"/>
      <c r="PYR21" s="7"/>
      <c r="PYS21" s="7"/>
      <c r="PYT21" s="7"/>
      <c r="PYU21" s="7"/>
      <c r="PYV21" s="7"/>
      <c r="PYW21" s="7"/>
      <c r="PYX21" s="7"/>
      <c r="PYY21" s="7"/>
      <c r="PYZ21" s="7"/>
      <c r="PZA21" s="7"/>
      <c r="PZB21" s="7"/>
      <c r="PZC21" s="7"/>
      <c r="PZD21" s="7"/>
      <c r="PZE21" s="7"/>
      <c r="PZF21" s="7"/>
      <c r="PZG21" s="7"/>
      <c r="PZH21" s="7"/>
      <c r="PZI21" s="7"/>
      <c r="PZJ21" s="7"/>
      <c r="PZK21" s="7"/>
      <c r="PZL21" s="7"/>
      <c r="PZM21" s="7"/>
      <c r="PZN21" s="7"/>
      <c r="PZO21" s="7"/>
      <c r="PZP21" s="7"/>
      <c r="PZQ21" s="7"/>
      <c r="PZR21" s="7"/>
      <c r="PZS21" s="7"/>
      <c r="PZT21" s="7"/>
      <c r="PZU21" s="7"/>
      <c r="PZV21" s="7"/>
      <c r="PZW21" s="7"/>
      <c r="PZX21" s="7"/>
      <c r="PZY21" s="7"/>
      <c r="PZZ21" s="7"/>
      <c r="QAA21" s="7"/>
      <c r="QAB21" s="7"/>
      <c r="QAC21" s="7"/>
      <c r="QAD21" s="7"/>
      <c r="QAE21" s="7"/>
      <c r="QAF21" s="7"/>
      <c r="QAG21" s="7"/>
      <c r="QAH21" s="7"/>
      <c r="QAI21" s="7"/>
      <c r="QAJ21" s="7"/>
      <c r="QAK21" s="7"/>
      <c r="QAL21" s="7"/>
      <c r="QAM21" s="7"/>
      <c r="QAN21" s="7"/>
      <c r="QAO21" s="7"/>
      <c r="QAP21" s="7"/>
      <c r="QAQ21" s="7"/>
      <c r="QAR21" s="7"/>
      <c r="QAS21" s="7"/>
      <c r="QAT21" s="7"/>
      <c r="QAU21" s="7"/>
      <c r="QAV21" s="7"/>
      <c r="QAW21" s="7"/>
      <c r="QAX21" s="7"/>
      <c r="QAY21" s="7"/>
      <c r="QAZ21" s="7"/>
      <c r="QBA21" s="7"/>
      <c r="QBB21" s="7"/>
      <c r="QBC21" s="7"/>
      <c r="QBD21" s="7"/>
      <c r="QBE21" s="7"/>
      <c r="QBF21" s="7"/>
      <c r="QBG21" s="7"/>
      <c r="QBH21" s="7"/>
      <c r="QBI21" s="7"/>
      <c r="QBJ21" s="7"/>
      <c r="QBK21" s="7"/>
      <c r="QBL21" s="7"/>
      <c r="QBM21" s="7"/>
      <c r="QBN21" s="7"/>
      <c r="QBO21" s="7"/>
      <c r="QBP21" s="7"/>
      <c r="QBQ21" s="7"/>
      <c r="QBR21" s="7"/>
      <c r="QBS21" s="7"/>
      <c r="QBT21" s="7"/>
      <c r="QBU21" s="7"/>
      <c r="QBV21" s="7"/>
      <c r="QBW21" s="7"/>
      <c r="QBX21" s="7"/>
      <c r="QBY21" s="7"/>
      <c r="QBZ21" s="7"/>
      <c r="QCA21" s="7"/>
      <c r="QCB21" s="7"/>
      <c r="QCC21" s="7"/>
      <c r="QCD21" s="7"/>
      <c r="QCE21" s="7"/>
      <c r="QCF21" s="7"/>
      <c r="QCG21" s="7"/>
      <c r="QCH21" s="7"/>
      <c r="QCI21" s="7"/>
      <c r="QCJ21" s="7"/>
      <c r="QCK21" s="7"/>
      <c r="QCL21" s="7"/>
      <c r="QCM21" s="7"/>
      <c r="QCN21" s="7"/>
      <c r="QCO21" s="7"/>
      <c r="QCP21" s="7"/>
      <c r="QCQ21" s="7"/>
      <c r="QCR21" s="7"/>
      <c r="QCS21" s="7"/>
      <c r="QCT21" s="7"/>
      <c r="QCU21" s="7"/>
      <c r="QCV21" s="7"/>
      <c r="QCW21" s="7"/>
      <c r="QCX21" s="7"/>
      <c r="QCY21" s="7"/>
      <c r="QCZ21" s="7"/>
      <c r="QDA21" s="7"/>
      <c r="QDB21" s="7"/>
      <c r="QDC21" s="7"/>
      <c r="QDD21" s="7"/>
      <c r="QDE21" s="7"/>
      <c r="QDF21" s="7"/>
      <c r="QDG21" s="7"/>
      <c r="QDH21" s="7"/>
      <c r="QDI21" s="7"/>
      <c r="QDJ21" s="7"/>
      <c r="QDK21" s="7"/>
      <c r="QDL21" s="7"/>
      <c r="QDM21" s="7"/>
      <c r="QDN21" s="7"/>
      <c r="QDO21" s="7"/>
      <c r="QDP21" s="7"/>
      <c r="QDQ21" s="7"/>
      <c r="QDR21" s="7"/>
      <c r="QDS21" s="7"/>
      <c r="QDT21" s="7"/>
      <c r="QDU21" s="7"/>
      <c r="QDV21" s="7"/>
      <c r="QDW21" s="7"/>
      <c r="QDX21" s="7"/>
      <c r="QDY21" s="7"/>
      <c r="QDZ21" s="7"/>
      <c r="QEA21" s="7"/>
      <c r="QEB21" s="7"/>
      <c r="QEC21" s="7"/>
      <c r="QED21" s="7"/>
      <c r="QEE21" s="7"/>
      <c r="QEF21" s="7"/>
      <c r="QEG21" s="7"/>
      <c r="QEH21" s="7"/>
      <c r="QEI21" s="7"/>
      <c r="QEJ21" s="7"/>
      <c r="QEK21" s="7"/>
      <c r="QEL21" s="7"/>
      <c r="QEM21" s="7"/>
      <c r="QEN21" s="7"/>
      <c r="QEO21" s="7"/>
      <c r="QEP21" s="7"/>
      <c r="QEQ21" s="7"/>
      <c r="QER21" s="7"/>
      <c r="QES21" s="7"/>
      <c r="QET21" s="7"/>
      <c r="QEU21" s="7"/>
      <c r="QEV21" s="7"/>
      <c r="QEW21" s="7"/>
      <c r="QEX21" s="7"/>
      <c r="QEY21" s="7"/>
      <c r="QEZ21" s="7"/>
      <c r="QFA21" s="7"/>
      <c r="QFB21" s="7"/>
      <c r="QFC21" s="7"/>
      <c r="QFD21" s="7"/>
      <c r="QFE21" s="7"/>
      <c r="QFF21" s="7"/>
      <c r="QFG21" s="7"/>
      <c r="QFH21" s="7"/>
      <c r="QFI21" s="7"/>
      <c r="QFJ21" s="7"/>
      <c r="QFK21" s="7"/>
      <c r="QFL21" s="7"/>
      <c r="QFM21" s="7"/>
      <c r="QFN21" s="7"/>
      <c r="QFO21" s="7"/>
      <c r="QFP21" s="7"/>
      <c r="QFQ21" s="7"/>
      <c r="QFR21" s="7"/>
      <c r="QFS21" s="7"/>
      <c r="QFT21" s="7"/>
      <c r="QFU21" s="7"/>
      <c r="QFV21" s="7"/>
      <c r="QFW21" s="7"/>
      <c r="QFX21" s="7"/>
      <c r="QFY21" s="7"/>
      <c r="QFZ21" s="7"/>
      <c r="QGA21" s="7"/>
      <c r="QGB21" s="7"/>
      <c r="QGC21" s="7"/>
      <c r="QGD21" s="7"/>
      <c r="QGE21" s="7"/>
      <c r="QGF21" s="7"/>
      <c r="QGG21" s="7"/>
      <c r="QGH21" s="7"/>
      <c r="QGI21" s="7"/>
      <c r="QGJ21" s="7"/>
      <c r="QGK21" s="7"/>
      <c r="QGL21" s="7"/>
      <c r="QGM21" s="7"/>
      <c r="QGN21" s="7"/>
      <c r="QGO21" s="7"/>
      <c r="QGP21" s="7"/>
      <c r="QGQ21" s="7"/>
      <c r="QGR21" s="7"/>
      <c r="QGS21" s="7"/>
      <c r="QGT21" s="7"/>
      <c r="QGU21" s="7"/>
      <c r="QGV21" s="7"/>
      <c r="QGW21" s="7"/>
      <c r="QGX21" s="7"/>
      <c r="QGY21" s="7"/>
      <c r="QGZ21" s="7"/>
      <c r="QHA21" s="7"/>
      <c r="QHB21" s="7"/>
      <c r="QHC21" s="7"/>
      <c r="QHD21" s="7"/>
      <c r="QHE21" s="7"/>
      <c r="QHF21" s="7"/>
      <c r="QHG21" s="7"/>
      <c r="QHH21" s="7"/>
      <c r="QHI21" s="7"/>
      <c r="QHJ21" s="7"/>
      <c r="QHK21" s="7"/>
      <c r="QHL21" s="7"/>
      <c r="QHM21" s="7"/>
      <c r="QHN21" s="7"/>
      <c r="QHO21" s="7"/>
      <c r="QHP21" s="7"/>
      <c r="QHQ21" s="7"/>
      <c r="QHR21" s="7"/>
      <c r="QHS21" s="7"/>
      <c r="QHT21" s="7"/>
      <c r="QHU21" s="7"/>
      <c r="QHV21" s="7"/>
      <c r="QHW21" s="7"/>
      <c r="QHX21" s="7"/>
      <c r="QHY21" s="7"/>
      <c r="QHZ21" s="7"/>
      <c r="QIA21" s="7"/>
      <c r="QIB21" s="7"/>
      <c r="QIC21" s="7"/>
      <c r="QID21" s="7"/>
      <c r="QIE21" s="7"/>
      <c r="QIF21" s="7"/>
      <c r="QIG21" s="7"/>
      <c r="QIH21" s="7"/>
      <c r="QII21" s="7"/>
      <c r="QIJ21" s="7"/>
      <c r="QIK21" s="7"/>
      <c r="QIL21" s="7"/>
      <c r="QIM21" s="7"/>
      <c r="QIN21" s="7"/>
      <c r="QIO21" s="7"/>
      <c r="QIP21" s="7"/>
      <c r="QIQ21" s="7"/>
      <c r="QIR21" s="7"/>
      <c r="QIS21" s="7"/>
      <c r="QIT21" s="7"/>
      <c r="QIU21" s="7"/>
      <c r="QIV21" s="7"/>
      <c r="QIW21" s="7"/>
      <c r="QIX21" s="7"/>
      <c r="QIY21" s="7"/>
      <c r="QIZ21" s="7"/>
      <c r="QJA21" s="7"/>
      <c r="QJB21" s="7"/>
      <c r="QJC21" s="7"/>
      <c r="QJD21" s="7"/>
      <c r="QJE21" s="7"/>
      <c r="QJF21" s="7"/>
      <c r="QJG21" s="7"/>
      <c r="QJH21" s="7"/>
      <c r="QJI21" s="7"/>
      <c r="QJJ21" s="7"/>
      <c r="QJK21" s="7"/>
      <c r="QJL21" s="7"/>
      <c r="QJM21" s="7"/>
      <c r="QJN21" s="7"/>
      <c r="QJO21" s="7"/>
      <c r="QJP21" s="7"/>
      <c r="QJQ21" s="7"/>
      <c r="QJR21" s="7"/>
      <c r="QJS21" s="7"/>
      <c r="QJT21" s="7"/>
      <c r="QJU21" s="7"/>
      <c r="QJV21" s="7"/>
      <c r="QJW21" s="7"/>
      <c r="QJX21" s="7"/>
      <c r="QJY21" s="7"/>
      <c r="QJZ21" s="7"/>
      <c r="QKA21" s="7"/>
      <c r="QKB21" s="7"/>
      <c r="QKC21" s="7"/>
      <c r="QKD21" s="7"/>
      <c r="QKE21" s="7"/>
      <c r="QKF21" s="7"/>
      <c r="QKG21" s="7"/>
      <c r="QKH21" s="7"/>
      <c r="QKI21" s="7"/>
      <c r="QKJ21" s="7"/>
      <c r="QKK21" s="7"/>
      <c r="QKL21" s="7"/>
      <c r="QKM21" s="7"/>
      <c r="QKN21" s="7"/>
      <c r="QKO21" s="7"/>
      <c r="QKP21" s="7"/>
      <c r="QKQ21" s="7"/>
      <c r="QKR21" s="7"/>
      <c r="QKS21" s="7"/>
      <c r="QKT21" s="7"/>
      <c r="QKU21" s="7"/>
      <c r="QKV21" s="7"/>
      <c r="QKW21" s="7"/>
      <c r="QKX21" s="7"/>
      <c r="QKY21" s="7"/>
      <c r="QKZ21" s="7"/>
      <c r="QLA21" s="7"/>
      <c r="QLB21" s="7"/>
      <c r="QLC21" s="7"/>
      <c r="QLD21" s="7"/>
      <c r="QLE21" s="7"/>
      <c r="QLF21" s="7"/>
      <c r="QLG21" s="7"/>
      <c r="QLH21" s="7"/>
      <c r="QLI21" s="7"/>
      <c r="QLJ21" s="7"/>
      <c r="QLK21" s="7"/>
      <c r="QLL21" s="7"/>
      <c r="QLM21" s="7"/>
      <c r="QLN21" s="7"/>
      <c r="QLO21" s="7"/>
      <c r="QLP21" s="7"/>
      <c r="QLQ21" s="7"/>
      <c r="QLR21" s="7"/>
      <c r="QLS21" s="7"/>
      <c r="QLT21" s="7"/>
      <c r="QLU21" s="7"/>
      <c r="QLV21" s="7"/>
      <c r="QLW21" s="7"/>
      <c r="QLX21" s="7"/>
      <c r="QLY21" s="7"/>
      <c r="QLZ21" s="7"/>
      <c r="QMA21" s="7"/>
      <c r="QMB21" s="7"/>
      <c r="QMC21" s="7"/>
      <c r="QMD21" s="7"/>
      <c r="QME21" s="7"/>
      <c r="QMF21" s="7"/>
      <c r="QMG21" s="7"/>
      <c r="QMH21" s="7"/>
      <c r="QMI21" s="7"/>
      <c r="QMJ21" s="7"/>
      <c r="QMK21" s="7"/>
      <c r="QML21" s="7"/>
      <c r="QMM21" s="7"/>
      <c r="QMN21" s="7"/>
      <c r="QMO21" s="7"/>
      <c r="QMP21" s="7"/>
      <c r="QMQ21" s="7"/>
      <c r="QMR21" s="7"/>
      <c r="QMS21" s="7"/>
      <c r="QMT21" s="7"/>
      <c r="QMU21" s="7"/>
      <c r="QMV21" s="7"/>
      <c r="QMW21" s="7"/>
      <c r="QMX21" s="7"/>
      <c r="QMY21" s="7"/>
      <c r="QMZ21" s="7"/>
      <c r="QNA21" s="7"/>
      <c r="QNB21" s="7"/>
      <c r="QNC21" s="7"/>
      <c r="QND21" s="7"/>
      <c r="QNE21" s="7"/>
      <c r="QNF21" s="7"/>
      <c r="QNG21" s="7"/>
      <c r="QNH21" s="7"/>
      <c r="QNI21" s="7"/>
      <c r="QNJ21" s="7"/>
      <c r="QNK21" s="7"/>
      <c r="QNL21" s="7"/>
      <c r="QNM21" s="7"/>
      <c r="QNN21" s="7"/>
      <c r="QNO21" s="7"/>
      <c r="QNP21" s="7"/>
      <c r="QNQ21" s="7"/>
      <c r="QNR21" s="7"/>
      <c r="QNS21" s="7"/>
      <c r="QNT21" s="7"/>
      <c r="QNU21" s="7"/>
      <c r="QNV21" s="7"/>
      <c r="QNW21" s="7"/>
      <c r="QNX21" s="7"/>
      <c r="QNY21" s="7"/>
      <c r="QNZ21" s="7"/>
      <c r="QOA21" s="7"/>
      <c r="QOB21" s="7"/>
      <c r="QOC21" s="7"/>
      <c r="QOD21" s="7"/>
      <c r="QOE21" s="7"/>
      <c r="QOF21" s="7"/>
      <c r="QOG21" s="7"/>
      <c r="QOH21" s="7"/>
      <c r="QOI21" s="7"/>
      <c r="QOJ21" s="7"/>
      <c r="QOK21" s="7"/>
      <c r="QOL21" s="7"/>
      <c r="QOM21" s="7"/>
      <c r="QON21" s="7"/>
      <c r="QOO21" s="7"/>
      <c r="QOP21" s="7"/>
      <c r="QOQ21" s="7"/>
      <c r="QOR21" s="7"/>
      <c r="QOS21" s="7"/>
      <c r="QOT21" s="7"/>
      <c r="QOU21" s="7"/>
      <c r="QOV21" s="7"/>
      <c r="QOW21" s="7"/>
      <c r="QOX21" s="7"/>
      <c r="QOY21" s="7"/>
      <c r="QOZ21" s="7"/>
      <c r="QPA21" s="7"/>
      <c r="QPB21" s="7"/>
      <c r="QPC21" s="7"/>
      <c r="QPD21" s="7"/>
      <c r="QPE21" s="7"/>
      <c r="QPF21" s="7"/>
      <c r="QPG21" s="7"/>
      <c r="QPH21" s="7"/>
      <c r="QPI21" s="7"/>
      <c r="QPJ21" s="7"/>
      <c r="QPK21" s="7"/>
      <c r="QPL21" s="7"/>
      <c r="QPM21" s="7"/>
      <c r="QPN21" s="7"/>
      <c r="QPO21" s="7"/>
      <c r="QPP21" s="7"/>
      <c r="QPQ21" s="7"/>
      <c r="QPR21" s="7"/>
      <c r="QPS21" s="7"/>
      <c r="QPT21" s="7"/>
      <c r="QPU21" s="7"/>
      <c r="QPV21" s="7"/>
      <c r="QPW21" s="7"/>
      <c r="QPX21" s="7"/>
      <c r="QPY21" s="7"/>
      <c r="QPZ21" s="7"/>
      <c r="QQA21" s="7"/>
      <c r="QQB21" s="7"/>
      <c r="QQC21" s="7"/>
      <c r="QQD21" s="7"/>
      <c r="QQE21" s="7"/>
      <c r="QQF21" s="7"/>
      <c r="QQG21" s="7"/>
      <c r="QQH21" s="7"/>
      <c r="QQI21" s="7"/>
      <c r="QQJ21" s="7"/>
      <c r="QQK21" s="7"/>
      <c r="QQL21" s="7"/>
      <c r="QQM21" s="7"/>
      <c r="QQN21" s="7"/>
      <c r="QQO21" s="7"/>
      <c r="QQP21" s="7"/>
      <c r="QQQ21" s="7"/>
      <c r="QQR21" s="7"/>
      <c r="QQS21" s="7"/>
      <c r="QQT21" s="7"/>
      <c r="QQU21" s="7"/>
      <c r="QQV21" s="7"/>
      <c r="QQW21" s="7"/>
      <c r="QQX21" s="7"/>
      <c r="QQY21" s="7"/>
      <c r="QQZ21" s="7"/>
      <c r="QRA21" s="7"/>
      <c r="QRB21" s="7"/>
      <c r="QRC21" s="7"/>
      <c r="QRD21" s="7"/>
      <c r="QRE21" s="7"/>
      <c r="QRF21" s="7"/>
      <c r="QRG21" s="7"/>
      <c r="QRH21" s="7"/>
      <c r="QRI21" s="7"/>
      <c r="QRJ21" s="7"/>
      <c r="QRK21" s="7"/>
      <c r="QRL21" s="7"/>
      <c r="QRM21" s="7"/>
      <c r="QRN21" s="7"/>
      <c r="QRO21" s="7"/>
      <c r="QRP21" s="7"/>
      <c r="QRQ21" s="7"/>
      <c r="QRR21" s="7"/>
      <c r="QRS21" s="7"/>
      <c r="QRT21" s="7"/>
      <c r="QRU21" s="7"/>
      <c r="QRV21" s="7"/>
      <c r="QRW21" s="7"/>
      <c r="QRX21" s="7"/>
      <c r="QRY21" s="7"/>
      <c r="QRZ21" s="7"/>
      <c r="QSA21" s="7"/>
      <c r="QSB21" s="7"/>
      <c r="QSC21" s="7"/>
      <c r="QSD21" s="7"/>
      <c r="QSE21" s="7"/>
      <c r="QSF21" s="7"/>
      <c r="QSG21" s="7"/>
      <c r="QSH21" s="7"/>
      <c r="QSI21" s="7"/>
      <c r="QSJ21" s="7"/>
      <c r="QSK21" s="7"/>
      <c r="QSL21" s="7"/>
      <c r="QSM21" s="7"/>
      <c r="QSN21" s="7"/>
      <c r="QSO21" s="7"/>
      <c r="QSP21" s="7"/>
      <c r="QSQ21" s="7"/>
      <c r="QSR21" s="7"/>
      <c r="QSS21" s="7"/>
      <c r="QST21" s="7"/>
      <c r="QSU21" s="7"/>
      <c r="QSV21" s="7"/>
      <c r="QSW21" s="7"/>
      <c r="QSX21" s="7"/>
      <c r="QSY21" s="7"/>
      <c r="QSZ21" s="7"/>
      <c r="QTA21" s="7"/>
      <c r="QTB21" s="7"/>
      <c r="QTC21" s="7"/>
      <c r="QTD21" s="7"/>
      <c r="QTE21" s="7"/>
      <c r="QTF21" s="7"/>
      <c r="QTG21" s="7"/>
      <c r="QTH21" s="7"/>
      <c r="QTI21" s="7"/>
      <c r="QTJ21" s="7"/>
      <c r="QTK21" s="7"/>
      <c r="QTL21" s="7"/>
      <c r="QTM21" s="7"/>
      <c r="QTN21" s="7"/>
      <c r="QTO21" s="7"/>
      <c r="QTP21" s="7"/>
      <c r="QTQ21" s="7"/>
      <c r="QTR21" s="7"/>
      <c r="QTS21" s="7"/>
      <c r="QTT21" s="7"/>
      <c r="QTU21" s="7"/>
      <c r="QTV21" s="7"/>
      <c r="QTW21" s="7"/>
      <c r="QTX21" s="7"/>
      <c r="QTY21" s="7"/>
      <c r="QTZ21" s="7"/>
      <c r="QUA21" s="7"/>
      <c r="QUB21" s="7"/>
      <c r="QUC21" s="7"/>
      <c r="QUD21" s="7"/>
      <c r="QUE21" s="7"/>
      <c r="QUF21" s="7"/>
      <c r="QUG21" s="7"/>
      <c r="QUH21" s="7"/>
      <c r="QUI21" s="7"/>
      <c r="QUJ21" s="7"/>
      <c r="QUK21" s="7"/>
      <c r="QUL21" s="7"/>
      <c r="QUM21" s="7"/>
      <c r="QUN21" s="7"/>
      <c r="QUO21" s="7"/>
      <c r="QUP21" s="7"/>
      <c r="QUQ21" s="7"/>
      <c r="QUR21" s="7"/>
      <c r="QUS21" s="7"/>
      <c r="QUT21" s="7"/>
      <c r="QUU21" s="7"/>
      <c r="QUV21" s="7"/>
      <c r="QUW21" s="7"/>
      <c r="QUX21" s="7"/>
      <c r="QUY21" s="7"/>
      <c r="QUZ21" s="7"/>
      <c r="QVA21" s="7"/>
      <c r="QVB21" s="7"/>
      <c r="QVC21" s="7"/>
      <c r="QVD21" s="7"/>
      <c r="QVE21" s="7"/>
      <c r="QVF21" s="7"/>
      <c r="QVG21" s="7"/>
      <c r="QVH21" s="7"/>
      <c r="QVI21" s="7"/>
      <c r="QVJ21" s="7"/>
      <c r="QVK21" s="7"/>
      <c r="QVL21" s="7"/>
      <c r="QVM21" s="7"/>
      <c r="QVN21" s="7"/>
      <c r="QVO21" s="7"/>
      <c r="QVP21" s="7"/>
      <c r="QVQ21" s="7"/>
      <c r="QVR21" s="7"/>
      <c r="QVS21" s="7"/>
      <c r="QVT21" s="7"/>
      <c r="QVU21" s="7"/>
      <c r="QVV21" s="7"/>
      <c r="QVW21" s="7"/>
      <c r="QVX21" s="7"/>
      <c r="QVY21" s="7"/>
      <c r="QVZ21" s="7"/>
      <c r="QWA21" s="7"/>
      <c r="QWB21" s="7"/>
      <c r="QWC21" s="7"/>
      <c r="QWD21" s="7"/>
      <c r="QWE21" s="7"/>
      <c r="QWF21" s="7"/>
      <c r="QWG21" s="7"/>
      <c r="QWH21" s="7"/>
      <c r="QWI21" s="7"/>
      <c r="QWJ21" s="7"/>
      <c r="QWK21" s="7"/>
      <c r="QWL21" s="7"/>
      <c r="QWM21" s="7"/>
      <c r="QWN21" s="7"/>
      <c r="QWO21" s="7"/>
      <c r="QWP21" s="7"/>
      <c r="QWQ21" s="7"/>
      <c r="QWR21" s="7"/>
      <c r="QWS21" s="7"/>
      <c r="QWT21" s="7"/>
      <c r="QWU21" s="7"/>
      <c r="QWV21" s="7"/>
      <c r="QWW21" s="7"/>
      <c r="QWX21" s="7"/>
      <c r="QWY21" s="7"/>
      <c r="QWZ21" s="7"/>
      <c r="QXA21" s="7"/>
      <c r="QXB21" s="7"/>
      <c r="QXC21" s="7"/>
      <c r="QXD21" s="7"/>
      <c r="QXE21" s="7"/>
      <c r="QXF21" s="7"/>
      <c r="QXG21" s="7"/>
      <c r="QXH21" s="7"/>
      <c r="QXI21" s="7"/>
      <c r="QXJ21" s="7"/>
      <c r="QXK21" s="7"/>
      <c r="QXL21" s="7"/>
      <c r="QXM21" s="7"/>
      <c r="QXN21" s="7"/>
      <c r="QXO21" s="7"/>
      <c r="QXP21" s="7"/>
      <c r="QXQ21" s="7"/>
      <c r="QXR21" s="7"/>
      <c r="QXS21" s="7"/>
      <c r="QXT21" s="7"/>
      <c r="QXU21" s="7"/>
      <c r="QXV21" s="7"/>
      <c r="QXW21" s="7"/>
      <c r="QXX21" s="7"/>
      <c r="QXY21" s="7"/>
      <c r="QXZ21" s="7"/>
      <c r="QYA21" s="7"/>
      <c r="QYB21" s="7"/>
      <c r="QYC21" s="7"/>
      <c r="QYD21" s="7"/>
      <c r="QYE21" s="7"/>
      <c r="QYF21" s="7"/>
      <c r="QYG21" s="7"/>
      <c r="QYH21" s="7"/>
      <c r="QYI21" s="7"/>
      <c r="QYJ21" s="7"/>
      <c r="QYK21" s="7"/>
      <c r="QYL21" s="7"/>
      <c r="QYM21" s="7"/>
      <c r="QYN21" s="7"/>
      <c r="QYO21" s="7"/>
      <c r="QYP21" s="7"/>
      <c r="QYQ21" s="7"/>
      <c r="QYR21" s="7"/>
      <c r="QYS21" s="7"/>
      <c r="QYT21" s="7"/>
      <c r="QYU21" s="7"/>
      <c r="QYV21" s="7"/>
      <c r="QYW21" s="7"/>
      <c r="QYX21" s="7"/>
      <c r="QYY21" s="7"/>
      <c r="QYZ21" s="7"/>
      <c r="QZA21" s="7"/>
      <c r="QZB21" s="7"/>
      <c r="QZC21" s="7"/>
      <c r="QZD21" s="7"/>
      <c r="QZE21" s="7"/>
      <c r="QZF21" s="7"/>
      <c r="QZG21" s="7"/>
      <c r="QZH21" s="7"/>
      <c r="QZI21" s="7"/>
      <c r="QZJ21" s="7"/>
      <c r="QZK21" s="7"/>
      <c r="QZL21" s="7"/>
      <c r="QZM21" s="7"/>
      <c r="QZN21" s="7"/>
      <c r="QZO21" s="7"/>
      <c r="QZP21" s="7"/>
      <c r="QZQ21" s="7"/>
      <c r="QZR21" s="7"/>
      <c r="QZS21" s="7"/>
      <c r="QZT21" s="7"/>
      <c r="QZU21" s="7"/>
      <c r="QZV21" s="7"/>
      <c r="QZW21" s="7"/>
      <c r="QZX21" s="7"/>
      <c r="QZY21" s="7"/>
      <c r="QZZ21" s="7"/>
      <c r="RAA21" s="7"/>
      <c r="RAB21" s="7"/>
      <c r="RAC21" s="7"/>
      <c r="RAD21" s="7"/>
      <c r="RAE21" s="7"/>
      <c r="RAF21" s="7"/>
      <c r="RAG21" s="7"/>
      <c r="RAH21" s="7"/>
      <c r="RAI21" s="7"/>
      <c r="RAJ21" s="7"/>
      <c r="RAK21" s="7"/>
      <c r="RAL21" s="7"/>
      <c r="RAM21" s="7"/>
      <c r="RAN21" s="7"/>
      <c r="RAO21" s="7"/>
      <c r="RAP21" s="7"/>
      <c r="RAQ21" s="7"/>
      <c r="RAR21" s="7"/>
      <c r="RAS21" s="7"/>
      <c r="RAT21" s="7"/>
      <c r="RAU21" s="7"/>
      <c r="RAV21" s="7"/>
      <c r="RAW21" s="7"/>
      <c r="RAX21" s="7"/>
      <c r="RAY21" s="7"/>
      <c r="RAZ21" s="7"/>
      <c r="RBA21" s="7"/>
      <c r="RBB21" s="7"/>
      <c r="RBC21" s="7"/>
      <c r="RBD21" s="7"/>
      <c r="RBE21" s="7"/>
      <c r="RBF21" s="7"/>
      <c r="RBG21" s="7"/>
      <c r="RBH21" s="7"/>
      <c r="RBI21" s="7"/>
      <c r="RBJ21" s="7"/>
      <c r="RBK21" s="7"/>
      <c r="RBL21" s="7"/>
      <c r="RBM21" s="7"/>
      <c r="RBN21" s="7"/>
      <c r="RBO21" s="7"/>
      <c r="RBP21" s="7"/>
      <c r="RBQ21" s="7"/>
      <c r="RBR21" s="7"/>
      <c r="RBS21" s="7"/>
      <c r="RBT21" s="7"/>
      <c r="RBU21" s="7"/>
      <c r="RBV21" s="7"/>
      <c r="RBW21" s="7"/>
      <c r="RBX21" s="7"/>
      <c r="RBY21" s="7"/>
      <c r="RBZ21" s="7"/>
      <c r="RCA21" s="7"/>
      <c r="RCB21" s="7"/>
      <c r="RCC21" s="7"/>
      <c r="RCD21" s="7"/>
      <c r="RCE21" s="7"/>
      <c r="RCF21" s="7"/>
      <c r="RCG21" s="7"/>
      <c r="RCH21" s="7"/>
      <c r="RCI21" s="7"/>
      <c r="RCJ21" s="7"/>
      <c r="RCK21" s="7"/>
      <c r="RCL21" s="7"/>
      <c r="RCM21" s="7"/>
      <c r="RCN21" s="7"/>
      <c r="RCO21" s="7"/>
      <c r="RCP21" s="7"/>
      <c r="RCQ21" s="7"/>
      <c r="RCR21" s="7"/>
      <c r="RCS21" s="7"/>
      <c r="RCT21" s="7"/>
      <c r="RCU21" s="7"/>
      <c r="RCV21" s="7"/>
      <c r="RCW21" s="7"/>
      <c r="RCX21" s="7"/>
      <c r="RCY21" s="7"/>
      <c r="RCZ21" s="7"/>
      <c r="RDA21" s="7"/>
      <c r="RDB21" s="7"/>
      <c r="RDC21" s="7"/>
      <c r="RDD21" s="7"/>
      <c r="RDE21" s="7"/>
      <c r="RDF21" s="7"/>
      <c r="RDG21" s="7"/>
      <c r="RDH21" s="7"/>
      <c r="RDI21" s="7"/>
      <c r="RDJ21" s="7"/>
      <c r="RDK21" s="7"/>
      <c r="RDL21" s="7"/>
      <c r="RDM21" s="7"/>
      <c r="RDN21" s="7"/>
      <c r="RDO21" s="7"/>
      <c r="RDP21" s="7"/>
      <c r="RDQ21" s="7"/>
      <c r="RDR21" s="7"/>
      <c r="RDS21" s="7"/>
      <c r="RDT21" s="7"/>
      <c r="RDU21" s="7"/>
      <c r="RDV21" s="7"/>
      <c r="RDW21" s="7"/>
      <c r="RDX21" s="7"/>
      <c r="RDY21" s="7"/>
      <c r="RDZ21" s="7"/>
      <c r="REA21" s="7"/>
      <c r="REB21" s="7"/>
      <c r="REC21" s="7"/>
      <c r="RED21" s="7"/>
      <c r="REE21" s="7"/>
      <c r="REF21" s="7"/>
      <c r="REG21" s="7"/>
      <c r="REH21" s="7"/>
      <c r="REI21" s="7"/>
      <c r="REJ21" s="7"/>
      <c r="REK21" s="7"/>
      <c r="REL21" s="7"/>
      <c r="REM21" s="7"/>
      <c r="REN21" s="7"/>
      <c r="REO21" s="7"/>
      <c r="REP21" s="7"/>
      <c r="REQ21" s="7"/>
      <c r="RER21" s="7"/>
      <c r="RES21" s="7"/>
      <c r="RET21" s="7"/>
      <c r="REU21" s="7"/>
      <c r="REV21" s="7"/>
      <c r="REW21" s="7"/>
      <c r="REX21" s="7"/>
      <c r="REY21" s="7"/>
      <c r="REZ21" s="7"/>
      <c r="RFA21" s="7"/>
      <c r="RFB21" s="7"/>
      <c r="RFC21" s="7"/>
      <c r="RFD21" s="7"/>
      <c r="RFE21" s="7"/>
      <c r="RFF21" s="7"/>
      <c r="RFG21" s="7"/>
      <c r="RFH21" s="7"/>
      <c r="RFI21" s="7"/>
      <c r="RFJ21" s="7"/>
      <c r="RFK21" s="7"/>
      <c r="RFL21" s="7"/>
      <c r="RFM21" s="7"/>
      <c r="RFN21" s="7"/>
      <c r="RFO21" s="7"/>
      <c r="RFP21" s="7"/>
      <c r="RFQ21" s="7"/>
      <c r="RFR21" s="7"/>
      <c r="RFS21" s="7"/>
      <c r="RFT21" s="7"/>
      <c r="RFU21" s="7"/>
      <c r="RFV21" s="7"/>
      <c r="RFW21" s="7"/>
      <c r="RFX21" s="7"/>
      <c r="RFY21" s="7"/>
      <c r="RFZ21" s="7"/>
      <c r="RGA21" s="7"/>
      <c r="RGB21" s="7"/>
      <c r="RGC21" s="7"/>
      <c r="RGD21" s="7"/>
      <c r="RGE21" s="7"/>
      <c r="RGF21" s="7"/>
      <c r="RGG21" s="7"/>
      <c r="RGH21" s="7"/>
      <c r="RGI21" s="7"/>
      <c r="RGJ21" s="7"/>
      <c r="RGK21" s="7"/>
      <c r="RGL21" s="7"/>
      <c r="RGM21" s="7"/>
      <c r="RGN21" s="7"/>
      <c r="RGO21" s="7"/>
      <c r="RGP21" s="7"/>
      <c r="RGQ21" s="7"/>
      <c r="RGR21" s="7"/>
      <c r="RGS21" s="7"/>
      <c r="RGT21" s="7"/>
      <c r="RGU21" s="7"/>
      <c r="RGV21" s="7"/>
      <c r="RGW21" s="7"/>
      <c r="RGX21" s="7"/>
      <c r="RGY21" s="7"/>
      <c r="RGZ21" s="7"/>
      <c r="RHA21" s="7"/>
      <c r="RHB21" s="7"/>
      <c r="RHC21" s="7"/>
      <c r="RHD21" s="7"/>
      <c r="RHE21" s="7"/>
      <c r="RHF21" s="7"/>
      <c r="RHG21" s="7"/>
      <c r="RHH21" s="7"/>
      <c r="RHI21" s="7"/>
      <c r="RHJ21" s="7"/>
      <c r="RHK21" s="7"/>
      <c r="RHL21" s="7"/>
      <c r="RHM21" s="7"/>
      <c r="RHN21" s="7"/>
      <c r="RHO21" s="7"/>
      <c r="RHP21" s="7"/>
      <c r="RHQ21" s="7"/>
      <c r="RHR21" s="7"/>
      <c r="RHS21" s="7"/>
      <c r="RHT21" s="7"/>
      <c r="RHU21" s="7"/>
      <c r="RHV21" s="7"/>
      <c r="RHW21" s="7"/>
      <c r="RHX21" s="7"/>
      <c r="RHY21" s="7"/>
      <c r="RHZ21" s="7"/>
      <c r="RIA21" s="7"/>
      <c r="RIB21" s="7"/>
      <c r="RIC21" s="7"/>
      <c r="RID21" s="7"/>
      <c r="RIE21" s="7"/>
      <c r="RIF21" s="7"/>
      <c r="RIG21" s="7"/>
      <c r="RIH21" s="7"/>
      <c r="RII21" s="7"/>
      <c r="RIJ21" s="7"/>
      <c r="RIK21" s="7"/>
      <c r="RIL21" s="7"/>
      <c r="RIM21" s="7"/>
      <c r="RIN21" s="7"/>
      <c r="RIO21" s="7"/>
      <c r="RIP21" s="7"/>
      <c r="RIQ21" s="7"/>
      <c r="RIR21" s="7"/>
      <c r="RIS21" s="7"/>
      <c r="RIT21" s="7"/>
      <c r="RIU21" s="7"/>
      <c r="RIV21" s="7"/>
      <c r="RIW21" s="7"/>
      <c r="RIX21" s="7"/>
      <c r="RIY21" s="7"/>
      <c r="RIZ21" s="7"/>
      <c r="RJA21" s="7"/>
      <c r="RJB21" s="7"/>
      <c r="RJC21" s="7"/>
      <c r="RJD21" s="7"/>
      <c r="RJE21" s="7"/>
      <c r="RJF21" s="7"/>
      <c r="RJG21" s="7"/>
      <c r="RJH21" s="7"/>
      <c r="RJI21" s="7"/>
      <c r="RJJ21" s="7"/>
      <c r="RJK21" s="7"/>
      <c r="RJL21" s="7"/>
      <c r="RJM21" s="7"/>
      <c r="RJN21" s="7"/>
      <c r="RJO21" s="7"/>
      <c r="RJP21" s="7"/>
      <c r="RJQ21" s="7"/>
      <c r="RJR21" s="7"/>
      <c r="RJS21" s="7"/>
      <c r="RJT21" s="7"/>
      <c r="RJU21" s="7"/>
      <c r="RJV21" s="7"/>
      <c r="RJW21" s="7"/>
      <c r="RJX21" s="7"/>
      <c r="RJY21" s="7"/>
      <c r="RJZ21" s="7"/>
      <c r="RKA21" s="7"/>
      <c r="RKB21" s="7"/>
      <c r="RKC21" s="7"/>
      <c r="RKD21" s="7"/>
      <c r="RKE21" s="7"/>
      <c r="RKF21" s="7"/>
      <c r="RKG21" s="7"/>
      <c r="RKH21" s="7"/>
      <c r="RKI21" s="7"/>
      <c r="RKJ21" s="7"/>
      <c r="RKK21" s="7"/>
      <c r="RKL21" s="7"/>
      <c r="RKM21" s="7"/>
      <c r="RKN21" s="7"/>
      <c r="RKO21" s="7"/>
      <c r="RKP21" s="7"/>
      <c r="RKQ21" s="7"/>
      <c r="RKR21" s="7"/>
      <c r="RKS21" s="7"/>
      <c r="RKT21" s="7"/>
      <c r="RKU21" s="7"/>
      <c r="RKV21" s="7"/>
      <c r="RKW21" s="7"/>
      <c r="RKX21" s="7"/>
      <c r="RKY21" s="7"/>
      <c r="RKZ21" s="7"/>
      <c r="RLA21" s="7"/>
      <c r="RLB21" s="7"/>
      <c r="RLC21" s="7"/>
      <c r="RLD21" s="7"/>
      <c r="RLE21" s="7"/>
      <c r="RLF21" s="7"/>
      <c r="RLG21" s="7"/>
      <c r="RLH21" s="7"/>
      <c r="RLI21" s="7"/>
      <c r="RLJ21" s="7"/>
      <c r="RLK21" s="7"/>
      <c r="RLL21" s="7"/>
      <c r="RLM21" s="7"/>
      <c r="RLN21" s="7"/>
      <c r="RLO21" s="7"/>
      <c r="RLP21" s="7"/>
      <c r="RLQ21" s="7"/>
      <c r="RLR21" s="7"/>
      <c r="RLS21" s="7"/>
      <c r="RLT21" s="7"/>
      <c r="RLU21" s="7"/>
      <c r="RLV21" s="7"/>
      <c r="RLW21" s="7"/>
      <c r="RLX21" s="7"/>
      <c r="RLY21" s="7"/>
      <c r="RLZ21" s="7"/>
      <c r="RMA21" s="7"/>
      <c r="RMB21" s="7"/>
      <c r="RMC21" s="7"/>
      <c r="RMD21" s="7"/>
      <c r="RME21" s="7"/>
      <c r="RMF21" s="7"/>
      <c r="RMG21" s="7"/>
      <c r="RMH21" s="7"/>
      <c r="RMI21" s="7"/>
      <c r="RMJ21" s="7"/>
      <c r="RMK21" s="7"/>
      <c r="RML21" s="7"/>
      <c r="RMM21" s="7"/>
      <c r="RMN21" s="7"/>
      <c r="RMO21" s="7"/>
      <c r="RMP21" s="7"/>
      <c r="RMQ21" s="7"/>
      <c r="RMR21" s="7"/>
      <c r="RMS21" s="7"/>
      <c r="RMT21" s="7"/>
      <c r="RMU21" s="7"/>
      <c r="RMV21" s="7"/>
      <c r="RMW21" s="7"/>
      <c r="RMX21" s="7"/>
      <c r="RMY21" s="7"/>
      <c r="RMZ21" s="7"/>
      <c r="RNA21" s="7"/>
      <c r="RNB21" s="7"/>
      <c r="RNC21" s="7"/>
      <c r="RND21" s="7"/>
      <c r="RNE21" s="7"/>
      <c r="RNF21" s="7"/>
      <c r="RNG21" s="7"/>
      <c r="RNH21" s="7"/>
      <c r="RNI21" s="7"/>
      <c r="RNJ21" s="7"/>
      <c r="RNK21" s="7"/>
      <c r="RNL21" s="7"/>
      <c r="RNM21" s="7"/>
      <c r="RNN21" s="7"/>
      <c r="RNO21" s="7"/>
      <c r="RNP21" s="7"/>
      <c r="RNQ21" s="7"/>
      <c r="RNR21" s="7"/>
      <c r="RNS21" s="7"/>
      <c r="RNT21" s="7"/>
      <c r="RNU21" s="7"/>
      <c r="RNV21" s="7"/>
      <c r="RNW21" s="7"/>
      <c r="RNX21" s="7"/>
      <c r="RNY21" s="7"/>
      <c r="RNZ21" s="7"/>
      <c r="ROA21" s="7"/>
      <c r="ROB21" s="7"/>
      <c r="ROC21" s="7"/>
      <c r="ROD21" s="7"/>
      <c r="ROE21" s="7"/>
      <c r="ROF21" s="7"/>
      <c r="ROG21" s="7"/>
      <c r="ROH21" s="7"/>
      <c r="ROI21" s="7"/>
      <c r="ROJ21" s="7"/>
      <c r="ROK21" s="7"/>
      <c r="ROL21" s="7"/>
      <c r="ROM21" s="7"/>
      <c r="RON21" s="7"/>
      <c r="ROO21" s="7"/>
      <c r="ROP21" s="7"/>
      <c r="ROQ21" s="7"/>
      <c r="ROR21" s="7"/>
      <c r="ROS21" s="7"/>
      <c r="ROT21" s="7"/>
      <c r="ROU21" s="7"/>
      <c r="ROV21" s="7"/>
      <c r="ROW21" s="7"/>
      <c r="ROX21" s="7"/>
      <c r="ROY21" s="7"/>
      <c r="ROZ21" s="7"/>
      <c r="RPA21" s="7"/>
      <c r="RPB21" s="7"/>
      <c r="RPC21" s="7"/>
      <c r="RPD21" s="7"/>
      <c r="RPE21" s="7"/>
      <c r="RPF21" s="7"/>
      <c r="RPG21" s="7"/>
      <c r="RPH21" s="7"/>
      <c r="RPI21" s="7"/>
      <c r="RPJ21" s="7"/>
      <c r="RPK21" s="7"/>
      <c r="RPL21" s="7"/>
      <c r="RPM21" s="7"/>
      <c r="RPN21" s="7"/>
      <c r="RPO21" s="7"/>
      <c r="RPP21" s="7"/>
      <c r="RPQ21" s="7"/>
      <c r="RPR21" s="7"/>
      <c r="RPS21" s="7"/>
      <c r="RPT21" s="7"/>
      <c r="RPU21" s="7"/>
      <c r="RPV21" s="7"/>
      <c r="RPW21" s="7"/>
      <c r="RPX21" s="7"/>
      <c r="RPY21" s="7"/>
      <c r="RPZ21" s="7"/>
      <c r="RQA21" s="7"/>
      <c r="RQB21" s="7"/>
      <c r="RQC21" s="7"/>
      <c r="RQD21" s="7"/>
      <c r="RQE21" s="7"/>
      <c r="RQF21" s="7"/>
      <c r="RQG21" s="7"/>
      <c r="RQH21" s="7"/>
      <c r="RQI21" s="7"/>
      <c r="RQJ21" s="7"/>
      <c r="RQK21" s="7"/>
      <c r="RQL21" s="7"/>
      <c r="RQM21" s="7"/>
      <c r="RQN21" s="7"/>
      <c r="RQO21" s="7"/>
      <c r="RQP21" s="7"/>
      <c r="RQQ21" s="7"/>
      <c r="RQR21" s="7"/>
      <c r="RQS21" s="7"/>
      <c r="RQT21" s="7"/>
      <c r="RQU21" s="7"/>
      <c r="RQV21" s="7"/>
      <c r="RQW21" s="7"/>
      <c r="RQX21" s="7"/>
      <c r="RQY21" s="7"/>
      <c r="RQZ21" s="7"/>
      <c r="RRA21" s="7"/>
      <c r="RRB21" s="7"/>
      <c r="RRC21" s="7"/>
      <c r="RRD21" s="7"/>
      <c r="RRE21" s="7"/>
      <c r="RRF21" s="7"/>
      <c r="RRG21" s="7"/>
      <c r="RRH21" s="7"/>
      <c r="RRI21" s="7"/>
      <c r="RRJ21" s="7"/>
      <c r="RRK21" s="7"/>
      <c r="RRL21" s="7"/>
      <c r="RRM21" s="7"/>
      <c r="RRN21" s="7"/>
      <c r="RRO21" s="7"/>
      <c r="RRP21" s="7"/>
      <c r="RRQ21" s="7"/>
      <c r="RRR21" s="7"/>
      <c r="RRS21" s="7"/>
      <c r="RRT21" s="7"/>
      <c r="RRU21" s="7"/>
      <c r="RRV21" s="7"/>
      <c r="RRW21" s="7"/>
      <c r="RRX21" s="7"/>
      <c r="RRY21" s="7"/>
      <c r="RRZ21" s="7"/>
      <c r="RSA21" s="7"/>
      <c r="RSB21" s="7"/>
      <c r="RSC21" s="7"/>
      <c r="RSD21" s="7"/>
      <c r="RSE21" s="7"/>
      <c r="RSF21" s="7"/>
      <c r="RSG21" s="7"/>
      <c r="RSH21" s="7"/>
      <c r="RSI21" s="7"/>
      <c r="RSJ21" s="7"/>
      <c r="RSK21" s="7"/>
      <c r="RSL21" s="7"/>
      <c r="RSM21" s="7"/>
      <c r="RSN21" s="7"/>
      <c r="RSO21" s="7"/>
      <c r="RSP21" s="7"/>
      <c r="RSQ21" s="7"/>
      <c r="RSR21" s="7"/>
      <c r="RSS21" s="7"/>
      <c r="RST21" s="7"/>
      <c r="RSU21" s="7"/>
      <c r="RSV21" s="7"/>
      <c r="RSW21" s="7"/>
      <c r="RSX21" s="7"/>
      <c r="RSY21" s="7"/>
      <c r="RSZ21" s="7"/>
      <c r="RTA21" s="7"/>
      <c r="RTB21" s="7"/>
      <c r="RTC21" s="7"/>
      <c r="RTD21" s="7"/>
      <c r="RTE21" s="7"/>
      <c r="RTF21" s="7"/>
      <c r="RTG21" s="7"/>
      <c r="RTH21" s="7"/>
      <c r="RTI21" s="7"/>
      <c r="RTJ21" s="7"/>
      <c r="RTK21" s="7"/>
      <c r="RTL21" s="7"/>
      <c r="RTM21" s="7"/>
      <c r="RTN21" s="7"/>
      <c r="RTO21" s="7"/>
      <c r="RTP21" s="7"/>
      <c r="RTQ21" s="7"/>
      <c r="RTR21" s="7"/>
      <c r="RTS21" s="7"/>
      <c r="RTT21" s="7"/>
      <c r="RTU21" s="7"/>
      <c r="RTV21" s="7"/>
      <c r="RTW21" s="7"/>
      <c r="RTX21" s="7"/>
      <c r="RTY21" s="7"/>
      <c r="RTZ21" s="7"/>
      <c r="RUA21" s="7"/>
      <c r="RUB21" s="7"/>
      <c r="RUC21" s="7"/>
      <c r="RUD21" s="7"/>
      <c r="RUE21" s="7"/>
      <c r="RUF21" s="7"/>
      <c r="RUG21" s="7"/>
      <c r="RUH21" s="7"/>
      <c r="RUI21" s="7"/>
      <c r="RUJ21" s="7"/>
      <c r="RUK21" s="7"/>
      <c r="RUL21" s="7"/>
      <c r="RUM21" s="7"/>
      <c r="RUN21" s="7"/>
      <c r="RUO21" s="7"/>
      <c r="RUP21" s="7"/>
      <c r="RUQ21" s="7"/>
      <c r="RUR21" s="7"/>
      <c r="RUS21" s="7"/>
      <c r="RUT21" s="7"/>
      <c r="RUU21" s="7"/>
      <c r="RUV21" s="7"/>
      <c r="RUW21" s="7"/>
      <c r="RUX21" s="7"/>
      <c r="RUY21" s="7"/>
      <c r="RUZ21" s="7"/>
      <c r="RVA21" s="7"/>
      <c r="RVB21" s="7"/>
      <c r="RVC21" s="7"/>
      <c r="RVD21" s="7"/>
      <c r="RVE21" s="7"/>
      <c r="RVF21" s="7"/>
      <c r="RVG21" s="7"/>
      <c r="RVH21" s="7"/>
      <c r="RVI21" s="7"/>
      <c r="RVJ21" s="7"/>
      <c r="RVK21" s="7"/>
      <c r="RVL21" s="7"/>
      <c r="RVM21" s="7"/>
      <c r="RVN21" s="7"/>
      <c r="RVO21" s="7"/>
      <c r="RVP21" s="7"/>
      <c r="RVQ21" s="7"/>
      <c r="RVR21" s="7"/>
      <c r="RVS21" s="7"/>
      <c r="RVT21" s="7"/>
      <c r="RVU21" s="7"/>
      <c r="RVV21" s="7"/>
      <c r="RVW21" s="7"/>
      <c r="RVX21" s="7"/>
      <c r="RVY21" s="7"/>
      <c r="RVZ21" s="7"/>
      <c r="RWA21" s="7"/>
      <c r="RWB21" s="7"/>
      <c r="RWC21" s="7"/>
      <c r="RWD21" s="7"/>
      <c r="RWE21" s="7"/>
      <c r="RWF21" s="7"/>
      <c r="RWG21" s="7"/>
      <c r="RWH21" s="7"/>
      <c r="RWI21" s="7"/>
      <c r="RWJ21" s="7"/>
      <c r="RWK21" s="7"/>
      <c r="RWL21" s="7"/>
      <c r="RWM21" s="7"/>
      <c r="RWN21" s="7"/>
      <c r="RWO21" s="7"/>
      <c r="RWP21" s="7"/>
      <c r="RWQ21" s="7"/>
      <c r="RWR21" s="7"/>
      <c r="RWS21" s="7"/>
      <c r="RWT21" s="7"/>
      <c r="RWU21" s="7"/>
      <c r="RWV21" s="7"/>
      <c r="RWW21" s="7"/>
      <c r="RWX21" s="7"/>
      <c r="RWY21" s="7"/>
      <c r="RWZ21" s="7"/>
      <c r="RXA21" s="7"/>
      <c r="RXB21" s="7"/>
      <c r="RXC21" s="7"/>
      <c r="RXD21" s="7"/>
      <c r="RXE21" s="7"/>
      <c r="RXF21" s="7"/>
      <c r="RXG21" s="7"/>
      <c r="RXH21" s="7"/>
      <c r="RXI21" s="7"/>
      <c r="RXJ21" s="7"/>
      <c r="RXK21" s="7"/>
      <c r="RXL21" s="7"/>
      <c r="RXM21" s="7"/>
      <c r="RXN21" s="7"/>
      <c r="RXO21" s="7"/>
      <c r="RXP21" s="7"/>
      <c r="RXQ21" s="7"/>
      <c r="RXR21" s="7"/>
      <c r="RXS21" s="7"/>
      <c r="RXT21" s="7"/>
      <c r="RXU21" s="7"/>
      <c r="RXV21" s="7"/>
      <c r="RXW21" s="7"/>
      <c r="RXX21" s="7"/>
      <c r="RXY21" s="7"/>
      <c r="RXZ21" s="7"/>
      <c r="RYA21" s="7"/>
      <c r="RYB21" s="7"/>
      <c r="RYC21" s="7"/>
      <c r="RYD21" s="7"/>
      <c r="RYE21" s="7"/>
      <c r="RYF21" s="7"/>
      <c r="RYG21" s="7"/>
      <c r="RYH21" s="7"/>
      <c r="RYI21" s="7"/>
      <c r="RYJ21" s="7"/>
      <c r="RYK21" s="7"/>
      <c r="RYL21" s="7"/>
      <c r="RYM21" s="7"/>
      <c r="RYN21" s="7"/>
      <c r="RYO21" s="7"/>
      <c r="RYP21" s="7"/>
      <c r="RYQ21" s="7"/>
      <c r="RYR21" s="7"/>
      <c r="RYS21" s="7"/>
      <c r="RYT21" s="7"/>
      <c r="RYU21" s="7"/>
      <c r="RYV21" s="7"/>
      <c r="RYW21" s="7"/>
      <c r="RYX21" s="7"/>
      <c r="RYY21" s="7"/>
      <c r="RYZ21" s="7"/>
      <c r="RZA21" s="7"/>
      <c r="RZB21" s="7"/>
      <c r="RZC21" s="7"/>
      <c r="RZD21" s="7"/>
      <c r="RZE21" s="7"/>
      <c r="RZF21" s="7"/>
      <c r="RZG21" s="7"/>
      <c r="RZH21" s="7"/>
      <c r="RZI21" s="7"/>
      <c r="RZJ21" s="7"/>
      <c r="RZK21" s="7"/>
      <c r="RZL21" s="7"/>
      <c r="RZM21" s="7"/>
      <c r="RZN21" s="7"/>
      <c r="RZO21" s="7"/>
      <c r="RZP21" s="7"/>
      <c r="RZQ21" s="7"/>
      <c r="RZR21" s="7"/>
      <c r="RZS21" s="7"/>
      <c r="RZT21" s="7"/>
      <c r="RZU21" s="7"/>
      <c r="RZV21" s="7"/>
      <c r="RZW21" s="7"/>
      <c r="RZX21" s="7"/>
      <c r="RZY21" s="7"/>
      <c r="RZZ21" s="7"/>
      <c r="SAA21" s="7"/>
      <c r="SAB21" s="7"/>
      <c r="SAC21" s="7"/>
      <c r="SAD21" s="7"/>
      <c r="SAE21" s="7"/>
      <c r="SAF21" s="7"/>
      <c r="SAG21" s="7"/>
      <c r="SAH21" s="7"/>
      <c r="SAI21" s="7"/>
      <c r="SAJ21" s="7"/>
      <c r="SAK21" s="7"/>
      <c r="SAL21" s="7"/>
      <c r="SAM21" s="7"/>
      <c r="SAN21" s="7"/>
      <c r="SAO21" s="7"/>
      <c r="SAP21" s="7"/>
      <c r="SAQ21" s="7"/>
      <c r="SAR21" s="7"/>
      <c r="SAS21" s="7"/>
      <c r="SAT21" s="7"/>
      <c r="SAU21" s="7"/>
      <c r="SAV21" s="7"/>
      <c r="SAW21" s="7"/>
      <c r="SAX21" s="7"/>
      <c r="SAY21" s="7"/>
      <c r="SAZ21" s="7"/>
      <c r="SBA21" s="7"/>
      <c r="SBB21" s="7"/>
      <c r="SBC21" s="7"/>
      <c r="SBD21" s="7"/>
      <c r="SBE21" s="7"/>
      <c r="SBF21" s="7"/>
      <c r="SBG21" s="7"/>
      <c r="SBH21" s="7"/>
      <c r="SBI21" s="7"/>
      <c r="SBJ21" s="7"/>
      <c r="SBK21" s="7"/>
      <c r="SBL21" s="7"/>
      <c r="SBM21" s="7"/>
      <c r="SBN21" s="7"/>
      <c r="SBO21" s="7"/>
      <c r="SBP21" s="7"/>
      <c r="SBQ21" s="7"/>
      <c r="SBR21" s="7"/>
      <c r="SBS21" s="7"/>
      <c r="SBT21" s="7"/>
      <c r="SBU21" s="7"/>
      <c r="SBV21" s="7"/>
      <c r="SBW21" s="7"/>
      <c r="SBX21" s="7"/>
      <c r="SBY21" s="7"/>
      <c r="SBZ21" s="7"/>
      <c r="SCA21" s="7"/>
      <c r="SCB21" s="7"/>
      <c r="SCC21" s="7"/>
      <c r="SCD21" s="7"/>
      <c r="SCE21" s="7"/>
      <c r="SCF21" s="7"/>
      <c r="SCG21" s="7"/>
      <c r="SCH21" s="7"/>
      <c r="SCI21" s="7"/>
      <c r="SCJ21" s="7"/>
      <c r="SCK21" s="7"/>
      <c r="SCL21" s="7"/>
      <c r="SCM21" s="7"/>
      <c r="SCN21" s="7"/>
      <c r="SCO21" s="7"/>
      <c r="SCP21" s="7"/>
      <c r="SCQ21" s="7"/>
      <c r="SCR21" s="7"/>
      <c r="SCS21" s="7"/>
      <c r="SCT21" s="7"/>
      <c r="SCU21" s="7"/>
      <c r="SCV21" s="7"/>
      <c r="SCW21" s="7"/>
      <c r="SCX21" s="7"/>
      <c r="SCY21" s="7"/>
      <c r="SCZ21" s="7"/>
      <c r="SDA21" s="7"/>
      <c r="SDB21" s="7"/>
      <c r="SDC21" s="7"/>
      <c r="SDD21" s="7"/>
      <c r="SDE21" s="7"/>
      <c r="SDF21" s="7"/>
      <c r="SDG21" s="7"/>
      <c r="SDH21" s="7"/>
      <c r="SDI21" s="7"/>
      <c r="SDJ21" s="7"/>
      <c r="SDK21" s="7"/>
      <c r="SDL21" s="7"/>
      <c r="SDM21" s="7"/>
      <c r="SDN21" s="7"/>
      <c r="SDO21" s="7"/>
      <c r="SDP21" s="7"/>
      <c r="SDQ21" s="7"/>
      <c r="SDR21" s="7"/>
      <c r="SDS21" s="7"/>
      <c r="SDT21" s="7"/>
      <c r="SDU21" s="7"/>
      <c r="SDV21" s="7"/>
      <c r="SDW21" s="7"/>
      <c r="SDX21" s="7"/>
      <c r="SDY21" s="7"/>
      <c r="SDZ21" s="7"/>
      <c r="SEA21" s="7"/>
      <c r="SEB21" s="7"/>
      <c r="SEC21" s="7"/>
      <c r="SED21" s="7"/>
      <c r="SEE21" s="7"/>
      <c r="SEF21" s="7"/>
      <c r="SEG21" s="7"/>
      <c r="SEH21" s="7"/>
      <c r="SEI21" s="7"/>
      <c r="SEJ21" s="7"/>
      <c r="SEK21" s="7"/>
      <c r="SEL21" s="7"/>
      <c r="SEM21" s="7"/>
      <c r="SEN21" s="7"/>
      <c r="SEO21" s="7"/>
      <c r="SEP21" s="7"/>
      <c r="SEQ21" s="7"/>
      <c r="SER21" s="7"/>
      <c r="SES21" s="7"/>
      <c r="SET21" s="7"/>
      <c r="SEU21" s="7"/>
      <c r="SEV21" s="7"/>
      <c r="SEW21" s="7"/>
      <c r="SEX21" s="7"/>
      <c r="SEY21" s="7"/>
      <c r="SEZ21" s="7"/>
      <c r="SFA21" s="7"/>
      <c r="SFB21" s="7"/>
      <c r="SFC21" s="7"/>
      <c r="SFD21" s="7"/>
      <c r="SFE21" s="7"/>
      <c r="SFF21" s="7"/>
      <c r="SFG21" s="7"/>
      <c r="SFH21" s="7"/>
      <c r="SFI21" s="7"/>
      <c r="SFJ21" s="7"/>
      <c r="SFK21" s="7"/>
      <c r="SFL21" s="7"/>
      <c r="SFM21" s="7"/>
      <c r="SFN21" s="7"/>
      <c r="SFO21" s="7"/>
      <c r="SFP21" s="7"/>
      <c r="SFQ21" s="7"/>
      <c r="SFR21" s="7"/>
      <c r="SFS21" s="7"/>
      <c r="SFT21" s="7"/>
      <c r="SFU21" s="7"/>
      <c r="SFV21" s="7"/>
      <c r="SFW21" s="7"/>
      <c r="SFX21" s="7"/>
      <c r="SFY21" s="7"/>
      <c r="SFZ21" s="7"/>
      <c r="SGA21" s="7"/>
      <c r="SGB21" s="7"/>
      <c r="SGC21" s="7"/>
      <c r="SGD21" s="7"/>
      <c r="SGE21" s="7"/>
      <c r="SGF21" s="7"/>
      <c r="SGG21" s="7"/>
      <c r="SGH21" s="7"/>
      <c r="SGI21" s="7"/>
      <c r="SGJ21" s="7"/>
      <c r="SGK21" s="7"/>
      <c r="SGL21" s="7"/>
      <c r="SGM21" s="7"/>
      <c r="SGN21" s="7"/>
      <c r="SGO21" s="7"/>
      <c r="SGP21" s="7"/>
      <c r="SGQ21" s="7"/>
      <c r="SGR21" s="7"/>
      <c r="SGS21" s="7"/>
      <c r="SGT21" s="7"/>
      <c r="SGU21" s="7"/>
      <c r="SGV21" s="7"/>
      <c r="SGW21" s="7"/>
      <c r="SGX21" s="7"/>
      <c r="SGY21" s="7"/>
      <c r="SGZ21" s="7"/>
      <c r="SHA21" s="7"/>
      <c r="SHB21" s="7"/>
      <c r="SHC21" s="7"/>
      <c r="SHD21" s="7"/>
      <c r="SHE21" s="7"/>
      <c r="SHF21" s="7"/>
      <c r="SHG21" s="7"/>
      <c r="SHH21" s="7"/>
      <c r="SHI21" s="7"/>
      <c r="SHJ21" s="7"/>
      <c r="SHK21" s="7"/>
      <c r="SHL21" s="7"/>
      <c r="SHM21" s="7"/>
      <c r="SHN21" s="7"/>
      <c r="SHO21" s="7"/>
      <c r="SHP21" s="7"/>
      <c r="SHQ21" s="7"/>
      <c r="SHR21" s="7"/>
      <c r="SHS21" s="7"/>
      <c r="SHT21" s="7"/>
      <c r="SHU21" s="7"/>
      <c r="SHV21" s="7"/>
      <c r="SHW21" s="7"/>
      <c r="SHX21" s="7"/>
      <c r="SHY21" s="7"/>
      <c r="SHZ21" s="7"/>
      <c r="SIA21" s="7"/>
      <c r="SIB21" s="7"/>
      <c r="SIC21" s="7"/>
      <c r="SID21" s="7"/>
      <c r="SIE21" s="7"/>
      <c r="SIF21" s="7"/>
      <c r="SIG21" s="7"/>
      <c r="SIH21" s="7"/>
      <c r="SII21" s="7"/>
      <c r="SIJ21" s="7"/>
      <c r="SIK21" s="7"/>
      <c r="SIL21" s="7"/>
      <c r="SIM21" s="7"/>
      <c r="SIN21" s="7"/>
      <c r="SIO21" s="7"/>
      <c r="SIP21" s="7"/>
      <c r="SIQ21" s="7"/>
      <c r="SIR21" s="7"/>
      <c r="SIS21" s="7"/>
      <c r="SIT21" s="7"/>
      <c r="SIU21" s="7"/>
      <c r="SIV21" s="7"/>
      <c r="SIW21" s="7"/>
      <c r="SIX21" s="7"/>
      <c r="SIY21" s="7"/>
      <c r="SIZ21" s="7"/>
      <c r="SJA21" s="7"/>
      <c r="SJB21" s="7"/>
      <c r="SJC21" s="7"/>
      <c r="SJD21" s="7"/>
      <c r="SJE21" s="7"/>
      <c r="SJF21" s="7"/>
      <c r="SJG21" s="7"/>
      <c r="SJH21" s="7"/>
      <c r="SJI21" s="7"/>
      <c r="SJJ21" s="7"/>
      <c r="SJK21" s="7"/>
      <c r="SJL21" s="7"/>
      <c r="SJM21" s="7"/>
      <c r="SJN21" s="7"/>
      <c r="SJO21" s="7"/>
      <c r="SJP21" s="7"/>
      <c r="SJQ21" s="7"/>
      <c r="SJR21" s="7"/>
      <c r="SJS21" s="7"/>
      <c r="SJT21" s="7"/>
      <c r="SJU21" s="7"/>
      <c r="SJV21" s="7"/>
      <c r="SJW21" s="7"/>
      <c r="SJX21" s="7"/>
      <c r="SJY21" s="7"/>
      <c r="SJZ21" s="7"/>
      <c r="SKA21" s="7"/>
      <c r="SKB21" s="7"/>
      <c r="SKC21" s="7"/>
      <c r="SKD21" s="7"/>
      <c r="SKE21" s="7"/>
      <c r="SKF21" s="7"/>
      <c r="SKG21" s="7"/>
      <c r="SKH21" s="7"/>
      <c r="SKI21" s="7"/>
      <c r="SKJ21" s="7"/>
      <c r="SKK21" s="7"/>
      <c r="SKL21" s="7"/>
      <c r="SKM21" s="7"/>
      <c r="SKN21" s="7"/>
      <c r="SKO21" s="7"/>
      <c r="SKP21" s="7"/>
      <c r="SKQ21" s="7"/>
      <c r="SKR21" s="7"/>
      <c r="SKS21" s="7"/>
      <c r="SKT21" s="7"/>
      <c r="SKU21" s="7"/>
      <c r="SKV21" s="7"/>
      <c r="SKW21" s="7"/>
      <c r="SKX21" s="7"/>
      <c r="SKY21" s="7"/>
      <c r="SKZ21" s="7"/>
      <c r="SLA21" s="7"/>
      <c r="SLB21" s="7"/>
      <c r="SLC21" s="7"/>
      <c r="SLD21" s="7"/>
      <c r="SLE21" s="7"/>
      <c r="SLF21" s="7"/>
      <c r="SLG21" s="7"/>
      <c r="SLH21" s="7"/>
      <c r="SLI21" s="7"/>
      <c r="SLJ21" s="7"/>
      <c r="SLK21" s="7"/>
      <c r="SLL21" s="7"/>
      <c r="SLM21" s="7"/>
      <c r="SLN21" s="7"/>
      <c r="SLO21" s="7"/>
      <c r="SLP21" s="7"/>
      <c r="SLQ21" s="7"/>
      <c r="SLR21" s="7"/>
      <c r="SLS21" s="7"/>
      <c r="SLT21" s="7"/>
      <c r="SLU21" s="7"/>
      <c r="SLV21" s="7"/>
      <c r="SLW21" s="7"/>
      <c r="SLX21" s="7"/>
      <c r="SLY21" s="7"/>
      <c r="SLZ21" s="7"/>
      <c r="SMA21" s="7"/>
      <c r="SMB21" s="7"/>
      <c r="SMC21" s="7"/>
      <c r="SMD21" s="7"/>
      <c r="SME21" s="7"/>
      <c r="SMF21" s="7"/>
      <c r="SMG21" s="7"/>
      <c r="SMH21" s="7"/>
      <c r="SMI21" s="7"/>
      <c r="SMJ21" s="7"/>
      <c r="SMK21" s="7"/>
      <c r="SML21" s="7"/>
      <c r="SMM21" s="7"/>
      <c r="SMN21" s="7"/>
      <c r="SMO21" s="7"/>
      <c r="SMP21" s="7"/>
      <c r="SMQ21" s="7"/>
      <c r="SMR21" s="7"/>
      <c r="SMS21" s="7"/>
      <c r="SMT21" s="7"/>
      <c r="SMU21" s="7"/>
      <c r="SMV21" s="7"/>
      <c r="SMW21" s="7"/>
      <c r="SMX21" s="7"/>
      <c r="SMY21" s="7"/>
      <c r="SMZ21" s="7"/>
      <c r="SNA21" s="7"/>
      <c r="SNB21" s="7"/>
      <c r="SNC21" s="7"/>
      <c r="SND21" s="7"/>
      <c r="SNE21" s="7"/>
      <c r="SNF21" s="7"/>
      <c r="SNG21" s="7"/>
      <c r="SNH21" s="7"/>
      <c r="SNI21" s="7"/>
      <c r="SNJ21" s="7"/>
      <c r="SNK21" s="7"/>
      <c r="SNL21" s="7"/>
      <c r="SNM21" s="7"/>
      <c r="SNN21" s="7"/>
      <c r="SNO21" s="7"/>
      <c r="SNP21" s="7"/>
      <c r="SNQ21" s="7"/>
      <c r="SNR21" s="7"/>
      <c r="SNS21" s="7"/>
      <c r="SNT21" s="7"/>
      <c r="SNU21" s="7"/>
      <c r="SNV21" s="7"/>
      <c r="SNW21" s="7"/>
      <c r="SNX21" s="7"/>
      <c r="SNY21" s="7"/>
      <c r="SNZ21" s="7"/>
      <c r="SOA21" s="7"/>
      <c r="SOB21" s="7"/>
      <c r="SOC21" s="7"/>
      <c r="SOD21" s="7"/>
      <c r="SOE21" s="7"/>
      <c r="SOF21" s="7"/>
      <c r="SOG21" s="7"/>
      <c r="SOH21" s="7"/>
      <c r="SOI21" s="7"/>
      <c r="SOJ21" s="7"/>
      <c r="SOK21" s="7"/>
      <c r="SOL21" s="7"/>
      <c r="SOM21" s="7"/>
      <c r="SON21" s="7"/>
      <c r="SOO21" s="7"/>
      <c r="SOP21" s="7"/>
      <c r="SOQ21" s="7"/>
      <c r="SOR21" s="7"/>
      <c r="SOS21" s="7"/>
      <c r="SOT21" s="7"/>
      <c r="SOU21" s="7"/>
      <c r="SOV21" s="7"/>
      <c r="SOW21" s="7"/>
      <c r="SOX21" s="7"/>
      <c r="SOY21" s="7"/>
      <c r="SOZ21" s="7"/>
      <c r="SPA21" s="7"/>
      <c r="SPB21" s="7"/>
      <c r="SPC21" s="7"/>
      <c r="SPD21" s="7"/>
      <c r="SPE21" s="7"/>
      <c r="SPF21" s="7"/>
      <c r="SPG21" s="7"/>
      <c r="SPH21" s="7"/>
      <c r="SPI21" s="7"/>
      <c r="SPJ21" s="7"/>
      <c r="SPK21" s="7"/>
      <c r="SPL21" s="7"/>
      <c r="SPM21" s="7"/>
      <c r="SPN21" s="7"/>
      <c r="SPO21" s="7"/>
      <c r="SPP21" s="7"/>
      <c r="SPQ21" s="7"/>
      <c r="SPR21" s="7"/>
      <c r="SPS21" s="7"/>
      <c r="SPT21" s="7"/>
      <c r="SPU21" s="7"/>
      <c r="SPV21" s="7"/>
      <c r="SPW21" s="7"/>
      <c r="SPX21" s="7"/>
      <c r="SPY21" s="7"/>
      <c r="SPZ21" s="7"/>
      <c r="SQA21" s="7"/>
      <c r="SQB21" s="7"/>
      <c r="SQC21" s="7"/>
      <c r="SQD21" s="7"/>
      <c r="SQE21" s="7"/>
      <c r="SQF21" s="7"/>
      <c r="SQG21" s="7"/>
      <c r="SQH21" s="7"/>
      <c r="SQI21" s="7"/>
      <c r="SQJ21" s="7"/>
      <c r="SQK21" s="7"/>
      <c r="SQL21" s="7"/>
      <c r="SQM21" s="7"/>
      <c r="SQN21" s="7"/>
      <c r="SQO21" s="7"/>
      <c r="SQP21" s="7"/>
      <c r="SQQ21" s="7"/>
      <c r="SQR21" s="7"/>
      <c r="SQS21" s="7"/>
      <c r="SQT21" s="7"/>
      <c r="SQU21" s="7"/>
      <c r="SQV21" s="7"/>
      <c r="SQW21" s="7"/>
      <c r="SQX21" s="7"/>
      <c r="SQY21" s="7"/>
      <c r="SQZ21" s="7"/>
      <c r="SRA21" s="7"/>
      <c r="SRB21" s="7"/>
      <c r="SRC21" s="7"/>
      <c r="SRD21" s="7"/>
      <c r="SRE21" s="7"/>
      <c r="SRF21" s="7"/>
      <c r="SRG21" s="7"/>
      <c r="SRH21" s="7"/>
      <c r="SRI21" s="7"/>
      <c r="SRJ21" s="7"/>
      <c r="SRK21" s="7"/>
      <c r="SRL21" s="7"/>
      <c r="SRM21" s="7"/>
      <c r="SRN21" s="7"/>
      <c r="SRO21" s="7"/>
      <c r="SRP21" s="7"/>
      <c r="SRQ21" s="7"/>
      <c r="SRR21" s="7"/>
      <c r="SRS21" s="7"/>
      <c r="SRT21" s="7"/>
      <c r="SRU21" s="7"/>
      <c r="SRV21" s="7"/>
      <c r="SRW21" s="7"/>
      <c r="SRX21" s="7"/>
      <c r="SRY21" s="7"/>
      <c r="SRZ21" s="7"/>
      <c r="SSA21" s="7"/>
      <c r="SSB21" s="7"/>
      <c r="SSC21" s="7"/>
      <c r="SSD21" s="7"/>
      <c r="SSE21" s="7"/>
      <c r="SSF21" s="7"/>
      <c r="SSG21" s="7"/>
      <c r="SSH21" s="7"/>
      <c r="SSI21" s="7"/>
      <c r="SSJ21" s="7"/>
      <c r="SSK21" s="7"/>
      <c r="SSL21" s="7"/>
      <c r="SSM21" s="7"/>
      <c r="SSN21" s="7"/>
      <c r="SSO21" s="7"/>
      <c r="SSP21" s="7"/>
      <c r="SSQ21" s="7"/>
      <c r="SSR21" s="7"/>
      <c r="SSS21" s="7"/>
      <c r="SST21" s="7"/>
      <c r="SSU21" s="7"/>
      <c r="SSV21" s="7"/>
      <c r="SSW21" s="7"/>
      <c r="SSX21" s="7"/>
      <c r="SSY21" s="7"/>
      <c r="SSZ21" s="7"/>
      <c r="STA21" s="7"/>
      <c r="STB21" s="7"/>
      <c r="STC21" s="7"/>
      <c r="STD21" s="7"/>
      <c r="STE21" s="7"/>
      <c r="STF21" s="7"/>
      <c r="STG21" s="7"/>
      <c r="STH21" s="7"/>
      <c r="STI21" s="7"/>
      <c r="STJ21" s="7"/>
      <c r="STK21" s="7"/>
      <c r="STL21" s="7"/>
      <c r="STM21" s="7"/>
      <c r="STN21" s="7"/>
      <c r="STO21" s="7"/>
      <c r="STP21" s="7"/>
      <c r="STQ21" s="7"/>
      <c r="STR21" s="7"/>
      <c r="STS21" s="7"/>
      <c r="STT21" s="7"/>
      <c r="STU21" s="7"/>
      <c r="STV21" s="7"/>
      <c r="STW21" s="7"/>
      <c r="STX21" s="7"/>
      <c r="STY21" s="7"/>
      <c r="STZ21" s="7"/>
      <c r="SUA21" s="7"/>
      <c r="SUB21" s="7"/>
      <c r="SUC21" s="7"/>
      <c r="SUD21" s="7"/>
      <c r="SUE21" s="7"/>
      <c r="SUF21" s="7"/>
      <c r="SUG21" s="7"/>
      <c r="SUH21" s="7"/>
      <c r="SUI21" s="7"/>
      <c r="SUJ21" s="7"/>
      <c r="SUK21" s="7"/>
      <c r="SUL21" s="7"/>
      <c r="SUM21" s="7"/>
      <c r="SUN21" s="7"/>
      <c r="SUO21" s="7"/>
      <c r="SUP21" s="7"/>
      <c r="SUQ21" s="7"/>
      <c r="SUR21" s="7"/>
      <c r="SUS21" s="7"/>
      <c r="SUT21" s="7"/>
      <c r="SUU21" s="7"/>
      <c r="SUV21" s="7"/>
      <c r="SUW21" s="7"/>
      <c r="SUX21" s="7"/>
      <c r="SUY21" s="7"/>
      <c r="SUZ21" s="7"/>
      <c r="SVA21" s="7"/>
      <c r="SVB21" s="7"/>
      <c r="SVC21" s="7"/>
      <c r="SVD21" s="7"/>
      <c r="SVE21" s="7"/>
      <c r="SVF21" s="7"/>
      <c r="SVG21" s="7"/>
      <c r="SVH21" s="7"/>
      <c r="SVI21" s="7"/>
      <c r="SVJ21" s="7"/>
      <c r="SVK21" s="7"/>
      <c r="SVL21" s="7"/>
      <c r="SVM21" s="7"/>
      <c r="SVN21" s="7"/>
      <c r="SVO21" s="7"/>
      <c r="SVP21" s="7"/>
      <c r="SVQ21" s="7"/>
      <c r="SVR21" s="7"/>
      <c r="SVS21" s="7"/>
      <c r="SVT21" s="7"/>
      <c r="SVU21" s="7"/>
      <c r="SVV21" s="7"/>
      <c r="SVW21" s="7"/>
      <c r="SVX21" s="7"/>
      <c r="SVY21" s="7"/>
      <c r="SVZ21" s="7"/>
      <c r="SWA21" s="7"/>
      <c r="SWB21" s="7"/>
      <c r="SWC21" s="7"/>
      <c r="SWD21" s="7"/>
      <c r="SWE21" s="7"/>
      <c r="SWF21" s="7"/>
      <c r="SWG21" s="7"/>
      <c r="SWH21" s="7"/>
      <c r="SWI21" s="7"/>
      <c r="SWJ21" s="7"/>
      <c r="SWK21" s="7"/>
      <c r="SWL21" s="7"/>
      <c r="SWM21" s="7"/>
      <c r="SWN21" s="7"/>
      <c r="SWO21" s="7"/>
      <c r="SWP21" s="7"/>
      <c r="SWQ21" s="7"/>
      <c r="SWR21" s="7"/>
      <c r="SWS21" s="7"/>
      <c r="SWT21" s="7"/>
      <c r="SWU21" s="7"/>
      <c r="SWV21" s="7"/>
      <c r="SWW21" s="7"/>
      <c r="SWX21" s="7"/>
      <c r="SWY21" s="7"/>
      <c r="SWZ21" s="7"/>
      <c r="SXA21" s="7"/>
      <c r="SXB21" s="7"/>
      <c r="SXC21" s="7"/>
      <c r="SXD21" s="7"/>
      <c r="SXE21" s="7"/>
      <c r="SXF21" s="7"/>
      <c r="SXG21" s="7"/>
      <c r="SXH21" s="7"/>
      <c r="SXI21" s="7"/>
      <c r="SXJ21" s="7"/>
      <c r="SXK21" s="7"/>
      <c r="SXL21" s="7"/>
      <c r="SXM21" s="7"/>
      <c r="SXN21" s="7"/>
      <c r="SXO21" s="7"/>
      <c r="SXP21" s="7"/>
      <c r="SXQ21" s="7"/>
      <c r="SXR21" s="7"/>
      <c r="SXS21" s="7"/>
      <c r="SXT21" s="7"/>
      <c r="SXU21" s="7"/>
      <c r="SXV21" s="7"/>
      <c r="SXW21" s="7"/>
      <c r="SXX21" s="7"/>
      <c r="SXY21" s="7"/>
      <c r="SXZ21" s="7"/>
      <c r="SYA21" s="7"/>
      <c r="SYB21" s="7"/>
      <c r="SYC21" s="7"/>
      <c r="SYD21" s="7"/>
      <c r="SYE21" s="7"/>
      <c r="SYF21" s="7"/>
      <c r="SYG21" s="7"/>
      <c r="SYH21" s="7"/>
      <c r="SYI21" s="7"/>
      <c r="SYJ21" s="7"/>
      <c r="SYK21" s="7"/>
      <c r="SYL21" s="7"/>
      <c r="SYM21" s="7"/>
      <c r="SYN21" s="7"/>
      <c r="SYO21" s="7"/>
      <c r="SYP21" s="7"/>
      <c r="SYQ21" s="7"/>
      <c r="SYR21" s="7"/>
      <c r="SYS21" s="7"/>
      <c r="SYT21" s="7"/>
      <c r="SYU21" s="7"/>
      <c r="SYV21" s="7"/>
      <c r="SYW21" s="7"/>
      <c r="SYX21" s="7"/>
      <c r="SYY21" s="7"/>
      <c r="SYZ21" s="7"/>
      <c r="SZA21" s="7"/>
      <c r="SZB21" s="7"/>
      <c r="SZC21" s="7"/>
      <c r="SZD21" s="7"/>
      <c r="SZE21" s="7"/>
      <c r="SZF21" s="7"/>
      <c r="SZG21" s="7"/>
      <c r="SZH21" s="7"/>
      <c r="SZI21" s="7"/>
      <c r="SZJ21" s="7"/>
      <c r="SZK21" s="7"/>
      <c r="SZL21" s="7"/>
      <c r="SZM21" s="7"/>
      <c r="SZN21" s="7"/>
      <c r="SZO21" s="7"/>
      <c r="SZP21" s="7"/>
      <c r="SZQ21" s="7"/>
      <c r="SZR21" s="7"/>
      <c r="SZS21" s="7"/>
      <c r="SZT21" s="7"/>
      <c r="SZU21" s="7"/>
      <c r="SZV21" s="7"/>
      <c r="SZW21" s="7"/>
      <c r="SZX21" s="7"/>
      <c r="SZY21" s="7"/>
      <c r="SZZ21" s="7"/>
      <c r="TAA21" s="7"/>
      <c r="TAB21" s="7"/>
      <c r="TAC21" s="7"/>
      <c r="TAD21" s="7"/>
      <c r="TAE21" s="7"/>
      <c r="TAF21" s="7"/>
      <c r="TAG21" s="7"/>
      <c r="TAH21" s="7"/>
      <c r="TAI21" s="7"/>
      <c r="TAJ21" s="7"/>
      <c r="TAK21" s="7"/>
      <c r="TAL21" s="7"/>
      <c r="TAM21" s="7"/>
      <c r="TAN21" s="7"/>
      <c r="TAO21" s="7"/>
      <c r="TAP21" s="7"/>
      <c r="TAQ21" s="7"/>
      <c r="TAR21" s="7"/>
      <c r="TAS21" s="7"/>
      <c r="TAT21" s="7"/>
      <c r="TAU21" s="7"/>
      <c r="TAV21" s="7"/>
      <c r="TAW21" s="7"/>
      <c r="TAX21" s="7"/>
      <c r="TAY21" s="7"/>
      <c r="TAZ21" s="7"/>
      <c r="TBA21" s="7"/>
      <c r="TBB21" s="7"/>
      <c r="TBC21" s="7"/>
      <c r="TBD21" s="7"/>
      <c r="TBE21" s="7"/>
      <c r="TBF21" s="7"/>
      <c r="TBG21" s="7"/>
      <c r="TBH21" s="7"/>
      <c r="TBI21" s="7"/>
      <c r="TBJ21" s="7"/>
      <c r="TBK21" s="7"/>
      <c r="TBL21" s="7"/>
      <c r="TBM21" s="7"/>
      <c r="TBN21" s="7"/>
      <c r="TBO21" s="7"/>
      <c r="TBP21" s="7"/>
      <c r="TBQ21" s="7"/>
      <c r="TBR21" s="7"/>
      <c r="TBS21" s="7"/>
      <c r="TBT21" s="7"/>
      <c r="TBU21" s="7"/>
      <c r="TBV21" s="7"/>
      <c r="TBW21" s="7"/>
      <c r="TBX21" s="7"/>
      <c r="TBY21" s="7"/>
      <c r="TBZ21" s="7"/>
      <c r="TCA21" s="7"/>
      <c r="TCB21" s="7"/>
      <c r="TCC21" s="7"/>
      <c r="TCD21" s="7"/>
      <c r="TCE21" s="7"/>
      <c r="TCF21" s="7"/>
      <c r="TCG21" s="7"/>
      <c r="TCH21" s="7"/>
      <c r="TCI21" s="7"/>
      <c r="TCJ21" s="7"/>
      <c r="TCK21" s="7"/>
      <c r="TCL21" s="7"/>
      <c r="TCM21" s="7"/>
      <c r="TCN21" s="7"/>
      <c r="TCO21" s="7"/>
      <c r="TCP21" s="7"/>
      <c r="TCQ21" s="7"/>
      <c r="TCR21" s="7"/>
      <c r="TCS21" s="7"/>
      <c r="TCT21" s="7"/>
      <c r="TCU21" s="7"/>
      <c r="TCV21" s="7"/>
      <c r="TCW21" s="7"/>
      <c r="TCX21" s="7"/>
      <c r="TCY21" s="7"/>
      <c r="TCZ21" s="7"/>
      <c r="TDA21" s="7"/>
      <c r="TDB21" s="7"/>
      <c r="TDC21" s="7"/>
      <c r="TDD21" s="7"/>
      <c r="TDE21" s="7"/>
      <c r="TDF21" s="7"/>
      <c r="TDG21" s="7"/>
      <c r="TDH21" s="7"/>
      <c r="TDI21" s="7"/>
      <c r="TDJ21" s="7"/>
      <c r="TDK21" s="7"/>
      <c r="TDL21" s="7"/>
      <c r="TDM21" s="7"/>
      <c r="TDN21" s="7"/>
      <c r="TDO21" s="7"/>
      <c r="TDP21" s="7"/>
      <c r="TDQ21" s="7"/>
      <c r="TDR21" s="7"/>
      <c r="TDS21" s="7"/>
      <c r="TDT21" s="7"/>
      <c r="TDU21" s="7"/>
      <c r="TDV21" s="7"/>
      <c r="TDW21" s="7"/>
      <c r="TDX21" s="7"/>
      <c r="TDY21" s="7"/>
      <c r="TDZ21" s="7"/>
      <c r="TEA21" s="7"/>
      <c r="TEB21" s="7"/>
      <c r="TEC21" s="7"/>
      <c r="TED21" s="7"/>
      <c r="TEE21" s="7"/>
      <c r="TEF21" s="7"/>
      <c r="TEG21" s="7"/>
      <c r="TEH21" s="7"/>
      <c r="TEI21" s="7"/>
      <c r="TEJ21" s="7"/>
      <c r="TEK21" s="7"/>
      <c r="TEL21" s="7"/>
      <c r="TEM21" s="7"/>
      <c r="TEN21" s="7"/>
      <c r="TEO21" s="7"/>
      <c r="TEP21" s="7"/>
      <c r="TEQ21" s="7"/>
      <c r="TER21" s="7"/>
      <c r="TES21" s="7"/>
      <c r="TET21" s="7"/>
      <c r="TEU21" s="7"/>
      <c r="TEV21" s="7"/>
      <c r="TEW21" s="7"/>
      <c r="TEX21" s="7"/>
      <c r="TEY21" s="7"/>
      <c r="TEZ21" s="7"/>
      <c r="TFA21" s="7"/>
      <c r="TFB21" s="7"/>
      <c r="TFC21" s="7"/>
      <c r="TFD21" s="7"/>
      <c r="TFE21" s="7"/>
      <c r="TFF21" s="7"/>
      <c r="TFG21" s="7"/>
      <c r="TFH21" s="7"/>
      <c r="TFI21" s="7"/>
      <c r="TFJ21" s="7"/>
      <c r="TFK21" s="7"/>
      <c r="TFL21" s="7"/>
      <c r="TFM21" s="7"/>
      <c r="TFN21" s="7"/>
      <c r="TFO21" s="7"/>
      <c r="TFP21" s="7"/>
      <c r="TFQ21" s="7"/>
      <c r="TFR21" s="7"/>
      <c r="TFS21" s="7"/>
      <c r="TFT21" s="7"/>
      <c r="TFU21" s="7"/>
      <c r="TFV21" s="7"/>
      <c r="TFW21" s="7"/>
      <c r="TFX21" s="7"/>
      <c r="TFY21" s="7"/>
      <c r="TFZ21" s="7"/>
      <c r="TGA21" s="7"/>
      <c r="TGB21" s="7"/>
      <c r="TGC21" s="7"/>
      <c r="TGD21" s="7"/>
      <c r="TGE21" s="7"/>
      <c r="TGF21" s="7"/>
      <c r="TGG21" s="7"/>
      <c r="TGH21" s="7"/>
      <c r="TGI21" s="7"/>
      <c r="TGJ21" s="7"/>
      <c r="TGK21" s="7"/>
      <c r="TGL21" s="7"/>
      <c r="TGM21" s="7"/>
      <c r="TGN21" s="7"/>
      <c r="TGO21" s="7"/>
      <c r="TGP21" s="7"/>
      <c r="TGQ21" s="7"/>
      <c r="TGR21" s="7"/>
      <c r="TGS21" s="7"/>
      <c r="TGT21" s="7"/>
      <c r="TGU21" s="7"/>
      <c r="TGV21" s="7"/>
      <c r="TGW21" s="7"/>
      <c r="TGX21" s="7"/>
      <c r="TGY21" s="7"/>
      <c r="TGZ21" s="7"/>
      <c r="THA21" s="7"/>
      <c r="THB21" s="7"/>
      <c r="THC21" s="7"/>
      <c r="THD21" s="7"/>
      <c r="THE21" s="7"/>
      <c r="THF21" s="7"/>
      <c r="THG21" s="7"/>
      <c r="THH21" s="7"/>
      <c r="THI21" s="7"/>
      <c r="THJ21" s="7"/>
      <c r="THK21" s="7"/>
      <c r="THL21" s="7"/>
      <c r="THM21" s="7"/>
      <c r="THN21" s="7"/>
      <c r="THO21" s="7"/>
      <c r="THP21" s="7"/>
      <c r="THQ21" s="7"/>
      <c r="THR21" s="7"/>
      <c r="THS21" s="7"/>
      <c r="THT21" s="7"/>
      <c r="THU21" s="7"/>
      <c r="THV21" s="7"/>
      <c r="THW21" s="7"/>
      <c r="THX21" s="7"/>
      <c r="THY21" s="7"/>
      <c r="THZ21" s="7"/>
      <c r="TIA21" s="7"/>
      <c r="TIB21" s="7"/>
      <c r="TIC21" s="7"/>
      <c r="TID21" s="7"/>
      <c r="TIE21" s="7"/>
      <c r="TIF21" s="7"/>
      <c r="TIG21" s="7"/>
      <c r="TIH21" s="7"/>
      <c r="TII21" s="7"/>
      <c r="TIJ21" s="7"/>
      <c r="TIK21" s="7"/>
      <c r="TIL21" s="7"/>
      <c r="TIM21" s="7"/>
      <c r="TIN21" s="7"/>
      <c r="TIO21" s="7"/>
      <c r="TIP21" s="7"/>
      <c r="TIQ21" s="7"/>
      <c r="TIR21" s="7"/>
      <c r="TIS21" s="7"/>
      <c r="TIT21" s="7"/>
      <c r="TIU21" s="7"/>
      <c r="TIV21" s="7"/>
      <c r="TIW21" s="7"/>
      <c r="TIX21" s="7"/>
      <c r="TIY21" s="7"/>
      <c r="TIZ21" s="7"/>
      <c r="TJA21" s="7"/>
      <c r="TJB21" s="7"/>
      <c r="TJC21" s="7"/>
      <c r="TJD21" s="7"/>
      <c r="TJE21" s="7"/>
      <c r="TJF21" s="7"/>
      <c r="TJG21" s="7"/>
      <c r="TJH21" s="7"/>
      <c r="TJI21" s="7"/>
      <c r="TJJ21" s="7"/>
      <c r="TJK21" s="7"/>
      <c r="TJL21" s="7"/>
      <c r="TJM21" s="7"/>
      <c r="TJN21" s="7"/>
      <c r="TJO21" s="7"/>
      <c r="TJP21" s="7"/>
      <c r="TJQ21" s="7"/>
      <c r="TJR21" s="7"/>
      <c r="TJS21" s="7"/>
      <c r="TJT21" s="7"/>
      <c r="TJU21" s="7"/>
      <c r="TJV21" s="7"/>
      <c r="TJW21" s="7"/>
      <c r="TJX21" s="7"/>
      <c r="TJY21" s="7"/>
      <c r="TJZ21" s="7"/>
      <c r="TKA21" s="7"/>
      <c r="TKB21" s="7"/>
      <c r="TKC21" s="7"/>
      <c r="TKD21" s="7"/>
      <c r="TKE21" s="7"/>
      <c r="TKF21" s="7"/>
      <c r="TKG21" s="7"/>
      <c r="TKH21" s="7"/>
      <c r="TKI21" s="7"/>
      <c r="TKJ21" s="7"/>
      <c r="TKK21" s="7"/>
      <c r="TKL21" s="7"/>
      <c r="TKM21" s="7"/>
      <c r="TKN21" s="7"/>
      <c r="TKO21" s="7"/>
      <c r="TKP21" s="7"/>
      <c r="TKQ21" s="7"/>
      <c r="TKR21" s="7"/>
      <c r="TKS21" s="7"/>
      <c r="TKT21" s="7"/>
      <c r="TKU21" s="7"/>
      <c r="TKV21" s="7"/>
      <c r="TKW21" s="7"/>
      <c r="TKX21" s="7"/>
      <c r="TKY21" s="7"/>
      <c r="TKZ21" s="7"/>
      <c r="TLA21" s="7"/>
      <c r="TLB21" s="7"/>
      <c r="TLC21" s="7"/>
      <c r="TLD21" s="7"/>
      <c r="TLE21" s="7"/>
      <c r="TLF21" s="7"/>
      <c r="TLG21" s="7"/>
      <c r="TLH21" s="7"/>
      <c r="TLI21" s="7"/>
      <c r="TLJ21" s="7"/>
      <c r="TLK21" s="7"/>
      <c r="TLL21" s="7"/>
      <c r="TLM21" s="7"/>
      <c r="TLN21" s="7"/>
      <c r="TLO21" s="7"/>
      <c r="TLP21" s="7"/>
      <c r="TLQ21" s="7"/>
      <c r="TLR21" s="7"/>
      <c r="TLS21" s="7"/>
      <c r="TLT21" s="7"/>
      <c r="TLU21" s="7"/>
      <c r="TLV21" s="7"/>
      <c r="TLW21" s="7"/>
      <c r="TLX21" s="7"/>
      <c r="TLY21" s="7"/>
      <c r="TLZ21" s="7"/>
      <c r="TMA21" s="7"/>
      <c r="TMB21" s="7"/>
      <c r="TMC21" s="7"/>
      <c r="TMD21" s="7"/>
      <c r="TME21" s="7"/>
      <c r="TMF21" s="7"/>
      <c r="TMG21" s="7"/>
      <c r="TMH21" s="7"/>
      <c r="TMI21" s="7"/>
      <c r="TMJ21" s="7"/>
      <c r="TMK21" s="7"/>
      <c r="TML21" s="7"/>
      <c r="TMM21" s="7"/>
      <c r="TMN21" s="7"/>
      <c r="TMO21" s="7"/>
      <c r="TMP21" s="7"/>
      <c r="TMQ21" s="7"/>
      <c r="TMR21" s="7"/>
      <c r="TMS21" s="7"/>
      <c r="TMT21" s="7"/>
      <c r="TMU21" s="7"/>
      <c r="TMV21" s="7"/>
      <c r="TMW21" s="7"/>
      <c r="TMX21" s="7"/>
      <c r="TMY21" s="7"/>
      <c r="TMZ21" s="7"/>
      <c r="TNA21" s="7"/>
      <c r="TNB21" s="7"/>
      <c r="TNC21" s="7"/>
      <c r="TND21" s="7"/>
      <c r="TNE21" s="7"/>
      <c r="TNF21" s="7"/>
      <c r="TNG21" s="7"/>
      <c r="TNH21" s="7"/>
      <c r="TNI21" s="7"/>
      <c r="TNJ21" s="7"/>
      <c r="TNK21" s="7"/>
      <c r="TNL21" s="7"/>
      <c r="TNM21" s="7"/>
      <c r="TNN21" s="7"/>
      <c r="TNO21" s="7"/>
      <c r="TNP21" s="7"/>
      <c r="TNQ21" s="7"/>
      <c r="TNR21" s="7"/>
      <c r="TNS21" s="7"/>
      <c r="TNT21" s="7"/>
      <c r="TNU21" s="7"/>
      <c r="TNV21" s="7"/>
      <c r="TNW21" s="7"/>
      <c r="TNX21" s="7"/>
      <c r="TNY21" s="7"/>
      <c r="TNZ21" s="7"/>
      <c r="TOA21" s="7"/>
      <c r="TOB21" s="7"/>
      <c r="TOC21" s="7"/>
      <c r="TOD21" s="7"/>
      <c r="TOE21" s="7"/>
      <c r="TOF21" s="7"/>
      <c r="TOG21" s="7"/>
      <c r="TOH21" s="7"/>
      <c r="TOI21" s="7"/>
      <c r="TOJ21" s="7"/>
      <c r="TOK21" s="7"/>
      <c r="TOL21" s="7"/>
      <c r="TOM21" s="7"/>
      <c r="TON21" s="7"/>
      <c r="TOO21" s="7"/>
      <c r="TOP21" s="7"/>
      <c r="TOQ21" s="7"/>
      <c r="TOR21" s="7"/>
      <c r="TOS21" s="7"/>
      <c r="TOT21" s="7"/>
      <c r="TOU21" s="7"/>
      <c r="TOV21" s="7"/>
      <c r="TOW21" s="7"/>
      <c r="TOX21" s="7"/>
      <c r="TOY21" s="7"/>
      <c r="TOZ21" s="7"/>
      <c r="TPA21" s="7"/>
      <c r="TPB21" s="7"/>
      <c r="TPC21" s="7"/>
      <c r="TPD21" s="7"/>
      <c r="TPE21" s="7"/>
      <c r="TPF21" s="7"/>
      <c r="TPG21" s="7"/>
      <c r="TPH21" s="7"/>
      <c r="TPI21" s="7"/>
      <c r="TPJ21" s="7"/>
      <c r="TPK21" s="7"/>
      <c r="TPL21" s="7"/>
      <c r="TPM21" s="7"/>
      <c r="TPN21" s="7"/>
      <c r="TPO21" s="7"/>
      <c r="TPP21" s="7"/>
      <c r="TPQ21" s="7"/>
      <c r="TPR21" s="7"/>
      <c r="TPS21" s="7"/>
      <c r="TPT21" s="7"/>
      <c r="TPU21" s="7"/>
      <c r="TPV21" s="7"/>
      <c r="TPW21" s="7"/>
      <c r="TPX21" s="7"/>
      <c r="TPY21" s="7"/>
      <c r="TPZ21" s="7"/>
      <c r="TQA21" s="7"/>
      <c r="TQB21" s="7"/>
      <c r="TQC21" s="7"/>
      <c r="TQD21" s="7"/>
      <c r="TQE21" s="7"/>
      <c r="TQF21" s="7"/>
      <c r="TQG21" s="7"/>
      <c r="TQH21" s="7"/>
      <c r="TQI21" s="7"/>
      <c r="TQJ21" s="7"/>
      <c r="TQK21" s="7"/>
      <c r="TQL21" s="7"/>
      <c r="TQM21" s="7"/>
      <c r="TQN21" s="7"/>
      <c r="TQO21" s="7"/>
      <c r="TQP21" s="7"/>
      <c r="TQQ21" s="7"/>
      <c r="TQR21" s="7"/>
      <c r="TQS21" s="7"/>
      <c r="TQT21" s="7"/>
      <c r="TQU21" s="7"/>
      <c r="TQV21" s="7"/>
      <c r="TQW21" s="7"/>
      <c r="TQX21" s="7"/>
      <c r="TQY21" s="7"/>
      <c r="TQZ21" s="7"/>
      <c r="TRA21" s="7"/>
      <c r="TRB21" s="7"/>
      <c r="TRC21" s="7"/>
      <c r="TRD21" s="7"/>
      <c r="TRE21" s="7"/>
      <c r="TRF21" s="7"/>
      <c r="TRG21" s="7"/>
      <c r="TRH21" s="7"/>
      <c r="TRI21" s="7"/>
      <c r="TRJ21" s="7"/>
      <c r="TRK21" s="7"/>
      <c r="TRL21" s="7"/>
      <c r="TRM21" s="7"/>
      <c r="TRN21" s="7"/>
      <c r="TRO21" s="7"/>
      <c r="TRP21" s="7"/>
      <c r="TRQ21" s="7"/>
      <c r="TRR21" s="7"/>
      <c r="TRS21" s="7"/>
      <c r="TRT21" s="7"/>
      <c r="TRU21" s="7"/>
      <c r="TRV21" s="7"/>
      <c r="TRW21" s="7"/>
      <c r="TRX21" s="7"/>
      <c r="TRY21" s="7"/>
      <c r="TRZ21" s="7"/>
      <c r="TSA21" s="7"/>
      <c r="TSB21" s="7"/>
      <c r="TSC21" s="7"/>
      <c r="TSD21" s="7"/>
      <c r="TSE21" s="7"/>
      <c r="TSF21" s="7"/>
      <c r="TSG21" s="7"/>
      <c r="TSH21" s="7"/>
      <c r="TSI21" s="7"/>
      <c r="TSJ21" s="7"/>
      <c r="TSK21" s="7"/>
      <c r="TSL21" s="7"/>
      <c r="TSM21" s="7"/>
      <c r="TSN21" s="7"/>
      <c r="TSO21" s="7"/>
      <c r="TSP21" s="7"/>
      <c r="TSQ21" s="7"/>
      <c r="TSR21" s="7"/>
      <c r="TSS21" s="7"/>
      <c r="TST21" s="7"/>
      <c r="TSU21" s="7"/>
      <c r="TSV21" s="7"/>
      <c r="TSW21" s="7"/>
      <c r="TSX21" s="7"/>
      <c r="TSY21" s="7"/>
      <c r="TSZ21" s="7"/>
      <c r="TTA21" s="7"/>
      <c r="TTB21" s="7"/>
      <c r="TTC21" s="7"/>
      <c r="TTD21" s="7"/>
      <c r="TTE21" s="7"/>
      <c r="TTF21" s="7"/>
      <c r="TTG21" s="7"/>
      <c r="TTH21" s="7"/>
      <c r="TTI21" s="7"/>
      <c r="TTJ21" s="7"/>
      <c r="TTK21" s="7"/>
      <c r="TTL21" s="7"/>
      <c r="TTM21" s="7"/>
      <c r="TTN21" s="7"/>
      <c r="TTO21" s="7"/>
      <c r="TTP21" s="7"/>
      <c r="TTQ21" s="7"/>
      <c r="TTR21" s="7"/>
      <c r="TTS21" s="7"/>
      <c r="TTT21" s="7"/>
      <c r="TTU21" s="7"/>
      <c r="TTV21" s="7"/>
      <c r="TTW21" s="7"/>
      <c r="TTX21" s="7"/>
      <c r="TTY21" s="7"/>
      <c r="TTZ21" s="7"/>
      <c r="TUA21" s="7"/>
      <c r="TUB21" s="7"/>
      <c r="TUC21" s="7"/>
      <c r="TUD21" s="7"/>
      <c r="TUE21" s="7"/>
      <c r="TUF21" s="7"/>
      <c r="TUG21" s="7"/>
      <c r="TUH21" s="7"/>
      <c r="TUI21" s="7"/>
      <c r="TUJ21" s="7"/>
      <c r="TUK21" s="7"/>
      <c r="TUL21" s="7"/>
      <c r="TUM21" s="7"/>
      <c r="TUN21" s="7"/>
      <c r="TUO21" s="7"/>
      <c r="TUP21" s="7"/>
      <c r="TUQ21" s="7"/>
      <c r="TUR21" s="7"/>
      <c r="TUS21" s="7"/>
      <c r="TUT21" s="7"/>
      <c r="TUU21" s="7"/>
      <c r="TUV21" s="7"/>
      <c r="TUW21" s="7"/>
      <c r="TUX21" s="7"/>
      <c r="TUY21" s="7"/>
      <c r="TUZ21" s="7"/>
      <c r="TVA21" s="7"/>
      <c r="TVB21" s="7"/>
      <c r="TVC21" s="7"/>
      <c r="TVD21" s="7"/>
      <c r="TVE21" s="7"/>
      <c r="TVF21" s="7"/>
      <c r="TVG21" s="7"/>
      <c r="TVH21" s="7"/>
      <c r="TVI21" s="7"/>
      <c r="TVJ21" s="7"/>
      <c r="TVK21" s="7"/>
      <c r="TVL21" s="7"/>
      <c r="TVM21" s="7"/>
      <c r="TVN21" s="7"/>
      <c r="TVO21" s="7"/>
      <c r="TVP21" s="7"/>
      <c r="TVQ21" s="7"/>
      <c r="TVR21" s="7"/>
      <c r="TVS21" s="7"/>
      <c r="TVT21" s="7"/>
      <c r="TVU21" s="7"/>
      <c r="TVV21" s="7"/>
      <c r="TVW21" s="7"/>
      <c r="TVX21" s="7"/>
      <c r="TVY21" s="7"/>
      <c r="TVZ21" s="7"/>
      <c r="TWA21" s="7"/>
      <c r="TWB21" s="7"/>
      <c r="TWC21" s="7"/>
      <c r="TWD21" s="7"/>
      <c r="TWE21" s="7"/>
      <c r="TWF21" s="7"/>
      <c r="TWG21" s="7"/>
      <c r="TWH21" s="7"/>
      <c r="TWI21" s="7"/>
      <c r="TWJ21" s="7"/>
      <c r="TWK21" s="7"/>
      <c r="TWL21" s="7"/>
      <c r="TWM21" s="7"/>
      <c r="TWN21" s="7"/>
      <c r="TWO21" s="7"/>
      <c r="TWP21" s="7"/>
      <c r="TWQ21" s="7"/>
      <c r="TWR21" s="7"/>
      <c r="TWS21" s="7"/>
      <c r="TWT21" s="7"/>
      <c r="TWU21" s="7"/>
      <c r="TWV21" s="7"/>
      <c r="TWW21" s="7"/>
      <c r="TWX21" s="7"/>
      <c r="TWY21" s="7"/>
      <c r="TWZ21" s="7"/>
      <c r="TXA21" s="7"/>
      <c r="TXB21" s="7"/>
      <c r="TXC21" s="7"/>
      <c r="TXD21" s="7"/>
      <c r="TXE21" s="7"/>
      <c r="TXF21" s="7"/>
      <c r="TXG21" s="7"/>
      <c r="TXH21" s="7"/>
      <c r="TXI21" s="7"/>
      <c r="TXJ21" s="7"/>
      <c r="TXK21" s="7"/>
      <c r="TXL21" s="7"/>
      <c r="TXM21" s="7"/>
      <c r="TXN21" s="7"/>
      <c r="TXO21" s="7"/>
      <c r="TXP21" s="7"/>
      <c r="TXQ21" s="7"/>
      <c r="TXR21" s="7"/>
      <c r="TXS21" s="7"/>
      <c r="TXT21" s="7"/>
      <c r="TXU21" s="7"/>
      <c r="TXV21" s="7"/>
      <c r="TXW21" s="7"/>
      <c r="TXX21" s="7"/>
      <c r="TXY21" s="7"/>
      <c r="TXZ21" s="7"/>
      <c r="TYA21" s="7"/>
      <c r="TYB21" s="7"/>
      <c r="TYC21" s="7"/>
      <c r="TYD21" s="7"/>
      <c r="TYE21" s="7"/>
      <c r="TYF21" s="7"/>
      <c r="TYG21" s="7"/>
      <c r="TYH21" s="7"/>
      <c r="TYI21" s="7"/>
      <c r="TYJ21" s="7"/>
      <c r="TYK21" s="7"/>
      <c r="TYL21" s="7"/>
      <c r="TYM21" s="7"/>
      <c r="TYN21" s="7"/>
      <c r="TYO21" s="7"/>
      <c r="TYP21" s="7"/>
      <c r="TYQ21" s="7"/>
      <c r="TYR21" s="7"/>
      <c r="TYS21" s="7"/>
      <c r="TYT21" s="7"/>
      <c r="TYU21" s="7"/>
      <c r="TYV21" s="7"/>
      <c r="TYW21" s="7"/>
      <c r="TYX21" s="7"/>
      <c r="TYY21" s="7"/>
      <c r="TYZ21" s="7"/>
      <c r="TZA21" s="7"/>
      <c r="TZB21" s="7"/>
      <c r="TZC21" s="7"/>
      <c r="TZD21" s="7"/>
      <c r="TZE21" s="7"/>
      <c r="TZF21" s="7"/>
      <c r="TZG21" s="7"/>
      <c r="TZH21" s="7"/>
      <c r="TZI21" s="7"/>
      <c r="TZJ21" s="7"/>
      <c r="TZK21" s="7"/>
      <c r="TZL21" s="7"/>
      <c r="TZM21" s="7"/>
      <c r="TZN21" s="7"/>
      <c r="TZO21" s="7"/>
      <c r="TZP21" s="7"/>
      <c r="TZQ21" s="7"/>
      <c r="TZR21" s="7"/>
      <c r="TZS21" s="7"/>
      <c r="TZT21" s="7"/>
      <c r="TZU21" s="7"/>
      <c r="TZV21" s="7"/>
      <c r="TZW21" s="7"/>
      <c r="TZX21" s="7"/>
      <c r="TZY21" s="7"/>
      <c r="TZZ21" s="7"/>
      <c r="UAA21" s="7"/>
      <c r="UAB21" s="7"/>
      <c r="UAC21" s="7"/>
      <c r="UAD21" s="7"/>
      <c r="UAE21" s="7"/>
      <c r="UAF21" s="7"/>
      <c r="UAG21" s="7"/>
      <c r="UAH21" s="7"/>
      <c r="UAI21" s="7"/>
      <c r="UAJ21" s="7"/>
      <c r="UAK21" s="7"/>
      <c r="UAL21" s="7"/>
      <c r="UAM21" s="7"/>
      <c r="UAN21" s="7"/>
      <c r="UAO21" s="7"/>
      <c r="UAP21" s="7"/>
      <c r="UAQ21" s="7"/>
      <c r="UAR21" s="7"/>
      <c r="UAS21" s="7"/>
      <c r="UAT21" s="7"/>
      <c r="UAU21" s="7"/>
      <c r="UAV21" s="7"/>
      <c r="UAW21" s="7"/>
      <c r="UAX21" s="7"/>
      <c r="UAY21" s="7"/>
      <c r="UAZ21" s="7"/>
      <c r="UBA21" s="7"/>
      <c r="UBB21" s="7"/>
      <c r="UBC21" s="7"/>
      <c r="UBD21" s="7"/>
      <c r="UBE21" s="7"/>
      <c r="UBF21" s="7"/>
      <c r="UBG21" s="7"/>
      <c r="UBH21" s="7"/>
      <c r="UBI21" s="7"/>
      <c r="UBJ21" s="7"/>
      <c r="UBK21" s="7"/>
      <c r="UBL21" s="7"/>
      <c r="UBM21" s="7"/>
      <c r="UBN21" s="7"/>
      <c r="UBO21" s="7"/>
      <c r="UBP21" s="7"/>
      <c r="UBQ21" s="7"/>
      <c r="UBR21" s="7"/>
      <c r="UBS21" s="7"/>
      <c r="UBT21" s="7"/>
      <c r="UBU21" s="7"/>
      <c r="UBV21" s="7"/>
      <c r="UBW21" s="7"/>
      <c r="UBX21" s="7"/>
      <c r="UBY21" s="7"/>
      <c r="UBZ21" s="7"/>
      <c r="UCA21" s="7"/>
      <c r="UCB21" s="7"/>
      <c r="UCC21" s="7"/>
      <c r="UCD21" s="7"/>
      <c r="UCE21" s="7"/>
      <c r="UCF21" s="7"/>
      <c r="UCG21" s="7"/>
      <c r="UCH21" s="7"/>
      <c r="UCI21" s="7"/>
      <c r="UCJ21" s="7"/>
      <c r="UCK21" s="7"/>
      <c r="UCL21" s="7"/>
      <c r="UCM21" s="7"/>
      <c r="UCN21" s="7"/>
      <c r="UCO21" s="7"/>
      <c r="UCP21" s="7"/>
      <c r="UCQ21" s="7"/>
      <c r="UCR21" s="7"/>
      <c r="UCS21" s="7"/>
      <c r="UCT21" s="7"/>
      <c r="UCU21" s="7"/>
      <c r="UCV21" s="7"/>
      <c r="UCW21" s="7"/>
      <c r="UCX21" s="7"/>
      <c r="UCY21" s="7"/>
      <c r="UCZ21" s="7"/>
      <c r="UDA21" s="7"/>
      <c r="UDB21" s="7"/>
      <c r="UDC21" s="7"/>
      <c r="UDD21" s="7"/>
      <c r="UDE21" s="7"/>
      <c r="UDF21" s="7"/>
      <c r="UDG21" s="7"/>
      <c r="UDH21" s="7"/>
      <c r="UDI21" s="7"/>
      <c r="UDJ21" s="7"/>
      <c r="UDK21" s="7"/>
      <c r="UDL21" s="7"/>
      <c r="UDM21" s="7"/>
      <c r="UDN21" s="7"/>
      <c r="UDO21" s="7"/>
      <c r="UDP21" s="7"/>
      <c r="UDQ21" s="7"/>
      <c r="UDR21" s="7"/>
      <c r="UDS21" s="7"/>
      <c r="UDT21" s="7"/>
      <c r="UDU21" s="7"/>
      <c r="UDV21" s="7"/>
      <c r="UDW21" s="7"/>
      <c r="UDX21" s="7"/>
      <c r="UDY21" s="7"/>
      <c r="UDZ21" s="7"/>
      <c r="UEA21" s="7"/>
      <c r="UEB21" s="7"/>
      <c r="UEC21" s="7"/>
      <c r="UED21" s="7"/>
      <c r="UEE21" s="7"/>
      <c r="UEF21" s="7"/>
      <c r="UEG21" s="7"/>
      <c r="UEH21" s="7"/>
      <c r="UEI21" s="7"/>
      <c r="UEJ21" s="7"/>
      <c r="UEK21" s="7"/>
      <c r="UEL21" s="7"/>
      <c r="UEM21" s="7"/>
      <c r="UEN21" s="7"/>
      <c r="UEO21" s="7"/>
      <c r="UEP21" s="7"/>
      <c r="UEQ21" s="7"/>
      <c r="UER21" s="7"/>
      <c r="UES21" s="7"/>
      <c r="UET21" s="7"/>
      <c r="UEU21" s="7"/>
      <c r="UEV21" s="7"/>
      <c r="UEW21" s="7"/>
      <c r="UEX21" s="7"/>
      <c r="UEY21" s="7"/>
      <c r="UEZ21" s="7"/>
      <c r="UFA21" s="7"/>
      <c r="UFB21" s="7"/>
      <c r="UFC21" s="7"/>
      <c r="UFD21" s="7"/>
      <c r="UFE21" s="7"/>
      <c r="UFF21" s="7"/>
      <c r="UFG21" s="7"/>
      <c r="UFH21" s="7"/>
      <c r="UFI21" s="7"/>
      <c r="UFJ21" s="7"/>
      <c r="UFK21" s="7"/>
      <c r="UFL21" s="7"/>
      <c r="UFM21" s="7"/>
      <c r="UFN21" s="7"/>
      <c r="UFO21" s="7"/>
      <c r="UFP21" s="7"/>
      <c r="UFQ21" s="7"/>
      <c r="UFR21" s="7"/>
      <c r="UFS21" s="7"/>
      <c r="UFT21" s="7"/>
      <c r="UFU21" s="7"/>
      <c r="UFV21" s="7"/>
      <c r="UFW21" s="7"/>
      <c r="UFX21" s="7"/>
      <c r="UFY21" s="7"/>
      <c r="UFZ21" s="7"/>
      <c r="UGA21" s="7"/>
      <c r="UGB21" s="7"/>
      <c r="UGC21" s="7"/>
      <c r="UGD21" s="7"/>
      <c r="UGE21" s="7"/>
      <c r="UGF21" s="7"/>
      <c r="UGG21" s="7"/>
      <c r="UGH21" s="7"/>
      <c r="UGI21" s="7"/>
      <c r="UGJ21" s="7"/>
      <c r="UGK21" s="7"/>
      <c r="UGL21" s="7"/>
      <c r="UGM21" s="7"/>
      <c r="UGN21" s="7"/>
      <c r="UGO21" s="7"/>
      <c r="UGP21" s="7"/>
      <c r="UGQ21" s="7"/>
      <c r="UGR21" s="7"/>
      <c r="UGS21" s="7"/>
      <c r="UGT21" s="7"/>
      <c r="UGU21" s="7"/>
      <c r="UGV21" s="7"/>
      <c r="UGW21" s="7"/>
      <c r="UGX21" s="7"/>
      <c r="UGY21" s="7"/>
      <c r="UGZ21" s="7"/>
      <c r="UHA21" s="7"/>
      <c r="UHB21" s="7"/>
      <c r="UHC21" s="7"/>
      <c r="UHD21" s="7"/>
      <c r="UHE21" s="7"/>
      <c r="UHF21" s="7"/>
      <c r="UHG21" s="7"/>
      <c r="UHH21" s="7"/>
      <c r="UHI21" s="7"/>
      <c r="UHJ21" s="7"/>
      <c r="UHK21" s="7"/>
      <c r="UHL21" s="7"/>
      <c r="UHM21" s="7"/>
      <c r="UHN21" s="7"/>
      <c r="UHO21" s="7"/>
      <c r="UHP21" s="7"/>
      <c r="UHQ21" s="7"/>
      <c r="UHR21" s="7"/>
      <c r="UHS21" s="7"/>
      <c r="UHT21" s="7"/>
      <c r="UHU21" s="7"/>
      <c r="UHV21" s="7"/>
      <c r="UHW21" s="7"/>
      <c r="UHX21" s="7"/>
      <c r="UHY21" s="7"/>
      <c r="UHZ21" s="7"/>
      <c r="UIA21" s="7"/>
      <c r="UIB21" s="7"/>
      <c r="UIC21" s="7"/>
      <c r="UID21" s="7"/>
      <c r="UIE21" s="7"/>
      <c r="UIF21" s="7"/>
      <c r="UIG21" s="7"/>
      <c r="UIH21" s="7"/>
      <c r="UII21" s="7"/>
      <c r="UIJ21" s="7"/>
      <c r="UIK21" s="7"/>
      <c r="UIL21" s="7"/>
      <c r="UIM21" s="7"/>
      <c r="UIN21" s="7"/>
      <c r="UIO21" s="7"/>
      <c r="UIP21" s="7"/>
      <c r="UIQ21" s="7"/>
      <c r="UIR21" s="7"/>
      <c r="UIS21" s="7"/>
      <c r="UIT21" s="7"/>
      <c r="UIU21" s="7"/>
      <c r="UIV21" s="7"/>
      <c r="UIW21" s="7"/>
      <c r="UIX21" s="7"/>
      <c r="UIY21" s="7"/>
      <c r="UIZ21" s="7"/>
      <c r="UJA21" s="7"/>
      <c r="UJB21" s="7"/>
      <c r="UJC21" s="7"/>
      <c r="UJD21" s="7"/>
      <c r="UJE21" s="7"/>
      <c r="UJF21" s="7"/>
      <c r="UJG21" s="7"/>
      <c r="UJH21" s="7"/>
      <c r="UJI21" s="7"/>
      <c r="UJJ21" s="7"/>
      <c r="UJK21" s="7"/>
      <c r="UJL21" s="7"/>
      <c r="UJM21" s="7"/>
      <c r="UJN21" s="7"/>
      <c r="UJO21" s="7"/>
      <c r="UJP21" s="7"/>
      <c r="UJQ21" s="7"/>
      <c r="UJR21" s="7"/>
      <c r="UJS21" s="7"/>
      <c r="UJT21" s="7"/>
      <c r="UJU21" s="7"/>
      <c r="UJV21" s="7"/>
      <c r="UJW21" s="7"/>
      <c r="UJX21" s="7"/>
      <c r="UJY21" s="7"/>
      <c r="UJZ21" s="7"/>
      <c r="UKA21" s="7"/>
      <c r="UKB21" s="7"/>
      <c r="UKC21" s="7"/>
      <c r="UKD21" s="7"/>
      <c r="UKE21" s="7"/>
      <c r="UKF21" s="7"/>
      <c r="UKG21" s="7"/>
      <c r="UKH21" s="7"/>
      <c r="UKI21" s="7"/>
      <c r="UKJ21" s="7"/>
      <c r="UKK21" s="7"/>
      <c r="UKL21" s="7"/>
      <c r="UKM21" s="7"/>
      <c r="UKN21" s="7"/>
      <c r="UKO21" s="7"/>
      <c r="UKP21" s="7"/>
      <c r="UKQ21" s="7"/>
      <c r="UKR21" s="7"/>
      <c r="UKS21" s="7"/>
      <c r="UKT21" s="7"/>
      <c r="UKU21" s="7"/>
      <c r="UKV21" s="7"/>
      <c r="UKW21" s="7"/>
      <c r="UKX21" s="7"/>
      <c r="UKY21" s="7"/>
      <c r="UKZ21" s="7"/>
      <c r="ULA21" s="7"/>
      <c r="ULB21" s="7"/>
      <c r="ULC21" s="7"/>
      <c r="ULD21" s="7"/>
      <c r="ULE21" s="7"/>
      <c r="ULF21" s="7"/>
      <c r="ULG21" s="7"/>
      <c r="ULH21" s="7"/>
      <c r="ULI21" s="7"/>
      <c r="ULJ21" s="7"/>
      <c r="ULK21" s="7"/>
      <c r="ULL21" s="7"/>
      <c r="ULM21" s="7"/>
      <c r="ULN21" s="7"/>
      <c r="ULO21" s="7"/>
      <c r="ULP21" s="7"/>
      <c r="ULQ21" s="7"/>
      <c r="ULR21" s="7"/>
      <c r="ULS21" s="7"/>
      <c r="ULT21" s="7"/>
      <c r="ULU21" s="7"/>
      <c r="ULV21" s="7"/>
      <c r="ULW21" s="7"/>
      <c r="ULX21" s="7"/>
      <c r="ULY21" s="7"/>
      <c r="ULZ21" s="7"/>
      <c r="UMA21" s="7"/>
      <c r="UMB21" s="7"/>
      <c r="UMC21" s="7"/>
      <c r="UMD21" s="7"/>
      <c r="UME21" s="7"/>
      <c r="UMF21" s="7"/>
      <c r="UMG21" s="7"/>
      <c r="UMH21" s="7"/>
      <c r="UMI21" s="7"/>
      <c r="UMJ21" s="7"/>
      <c r="UMK21" s="7"/>
      <c r="UML21" s="7"/>
      <c r="UMM21" s="7"/>
      <c r="UMN21" s="7"/>
      <c r="UMO21" s="7"/>
      <c r="UMP21" s="7"/>
      <c r="UMQ21" s="7"/>
      <c r="UMR21" s="7"/>
      <c r="UMS21" s="7"/>
      <c r="UMT21" s="7"/>
      <c r="UMU21" s="7"/>
      <c r="UMV21" s="7"/>
      <c r="UMW21" s="7"/>
      <c r="UMX21" s="7"/>
      <c r="UMY21" s="7"/>
      <c r="UMZ21" s="7"/>
      <c r="UNA21" s="7"/>
      <c r="UNB21" s="7"/>
      <c r="UNC21" s="7"/>
      <c r="UND21" s="7"/>
      <c r="UNE21" s="7"/>
      <c r="UNF21" s="7"/>
      <c r="UNG21" s="7"/>
      <c r="UNH21" s="7"/>
      <c r="UNI21" s="7"/>
      <c r="UNJ21" s="7"/>
      <c r="UNK21" s="7"/>
      <c r="UNL21" s="7"/>
      <c r="UNM21" s="7"/>
      <c r="UNN21" s="7"/>
      <c r="UNO21" s="7"/>
      <c r="UNP21" s="7"/>
      <c r="UNQ21" s="7"/>
      <c r="UNR21" s="7"/>
      <c r="UNS21" s="7"/>
      <c r="UNT21" s="7"/>
      <c r="UNU21" s="7"/>
      <c r="UNV21" s="7"/>
      <c r="UNW21" s="7"/>
      <c r="UNX21" s="7"/>
      <c r="UNY21" s="7"/>
      <c r="UNZ21" s="7"/>
      <c r="UOA21" s="7"/>
      <c r="UOB21" s="7"/>
      <c r="UOC21" s="7"/>
      <c r="UOD21" s="7"/>
      <c r="UOE21" s="7"/>
      <c r="UOF21" s="7"/>
      <c r="UOG21" s="7"/>
      <c r="UOH21" s="7"/>
      <c r="UOI21" s="7"/>
      <c r="UOJ21" s="7"/>
      <c r="UOK21" s="7"/>
      <c r="UOL21" s="7"/>
      <c r="UOM21" s="7"/>
      <c r="UON21" s="7"/>
      <c r="UOO21" s="7"/>
      <c r="UOP21" s="7"/>
      <c r="UOQ21" s="7"/>
      <c r="UOR21" s="7"/>
      <c r="UOS21" s="7"/>
      <c r="UOT21" s="7"/>
      <c r="UOU21" s="7"/>
      <c r="UOV21" s="7"/>
      <c r="UOW21" s="7"/>
      <c r="UOX21" s="7"/>
      <c r="UOY21" s="7"/>
      <c r="UOZ21" s="7"/>
      <c r="UPA21" s="7"/>
      <c r="UPB21" s="7"/>
      <c r="UPC21" s="7"/>
      <c r="UPD21" s="7"/>
      <c r="UPE21" s="7"/>
      <c r="UPF21" s="7"/>
      <c r="UPG21" s="7"/>
      <c r="UPH21" s="7"/>
      <c r="UPI21" s="7"/>
      <c r="UPJ21" s="7"/>
      <c r="UPK21" s="7"/>
      <c r="UPL21" s="7"/>
      <c r="UPM21" s="7"/>
      <c r="UPN21" s="7"/>
      <c r="UPO21" s="7"/>
      <c r="UPP21" s="7"/>
      <c r="UPQ21" s="7"/>
      <c r="UPR21" s="7"/>
      <c r="UPS21" s="7"/>
      <c r="UPT21" s="7"/>
      <c r="UPU21" s="7"/>
      <c r="UPV21" s="7"/>
      <c r="UPW21" s="7"/>
      <c r="UPX21" s="7"/>
      <c r="UPY21" s="7"/>
      <c r="UPZ21" s="7"/>
      <c r="UQA21" s="7"/>
      <c r="UQB21" s="7"/>
      <c r="UQC21" s="7"/>
      <c r="UQD21" s="7"/>
      <c r="UQE21" s="7"/>
      <c r="UQF21" s="7"/>
      <c r="UQG21" s="7"/>
      <c r="UQH21" s="7"/>
      <c r="UQI21" s="7"/>
      <c r="UQJ21" s="7"/>
      <c r="UQK21" s="7"/>
      <c r="UQL21" s="7"/>
      <c r="UQM21" s="7"/>
      <c r="UQN21" s="7"/>
      <c r="UQO21" s="7"/>
      <c r="UQP21" s="7"/>
      <c r="UQQ21" s="7"/>
      <c r="UQR21" s="7"/>
      <c r="UQS21" s="7"/>
      <c r="UQT21" s="7"/>
      <c r="UQU21" s="7"/>
      <c r="UQV21" s="7"/>
      <c r="UQW21" s="7"/>
      <c r="UQX21" s="7"/>
      <c r="UQY21" s="7"/>
      <c r="UQZ21" s="7"/>
      <c r="URA21" s="7"/>
      <c r="URB21" s="7"/>
      <c r="URC21" s="7"/>
      <c r="URD21" s="7"/>
      <c r="URE21" s="7"/>
      <c r="URF21" s="7"/>
      <c r="URG21" s="7"/>
      <c r="URH21" s="7"/>
      <c r="URI21" s="7"/>
      <c r="URJ21" s="7"/>
      <c r="URK21" s="7"/>
      <c r="URL21" s="7"/>
      <c r="URM21" s="7"/>
      <c r="URN21" s="7"/>
      <c r="URO21" s="7"/>
      <c r="URP21" s="7"/>
      <c r="URQ21" s="7"/>
      <c r="URR21" s="7"/>
      <c r="URS21" s="7"/>
      <c r="URT21" s="7"/>
      <c r="URU21" s="7"/>
      <c r="URV21" s="7"/>
      <c r="URW21" s="7"/>
      <c r="URX21" s="7"/>
      <c r="URY21" s="7"/>
      <c r="URZ21" s="7"/>
      <c r="USA21" s="7"/>
      <c r="USB21" s="7"/>
      <c r="USC21" s="7"/>
      <c r="USD21" s="7"/>
      <c r="USE21" s="7"/>
      <c r="USF21" s="7"/>
      <c r="USG21" s="7"/>
      <c r="USH21" s="7"/>
      <c r="USI21" s="7"/>
      <c r="USJ21" s="7"/>
      <c r="USK21" s="7"/>
      <c r="USL21" s="7"/>
      <c r="USM21" s="7"/>
      <c r="USN21" s="7"/>
      <c r="USO21" s="7"/>
      <c r="USP21" s="7"/>
      <c r="USQ21" s="7"/>
      <c r="USR21" s="7"/>
      <c r="USS21" s="7"/>
      <c r="UST21" s="7"/>
      <c r="USU21" s="7"/>
      <c r="USV21" s="7"/>
      <c r="USW21" s="7"/>
      <c r="USX21" s="7"/>
      <c r="USY21" s="7"/>
      <c r="USZ21" s="7"/>
      <c r="UTA21" s="7"/>
      <c r="UTB21" s="7"/>
      <c r="UTC21" s="7"/>
      <c r="UTD21" s="7"/>
      <c r="UTE21" s="7"/>
      <c r="UTF21" s="7"/>
      <c r="UTG21" s="7"/>
      <c r="UTH21" s="7"/>
      <c r="UTI21" s="7"/>
      <c r="UTJ21" s="7"/>
      <c r="UTK21" s="7"/>
      <c r="UTL21" s="7"/>
      <c r="UTM21" s="7"/>
      <c r="UTN21" s="7"/>
      <c r="UTO21" s="7"/>
      <c r="UTP21" s="7"/>
      <c r="UTQ21" s="7"/>
      <c r="UTR21" s="7"/>
      <c r="UTS21" s="7"/>
      <c r="UTT21" s="7"/>
      <c r="UTU21" s="7"/>
      <c r="UTV21" s="7"/>
      <c r="UTW21" s="7"/>
      <c r="UTX21" s="7"/>
      <c r="UTY21" s="7"/>
      <c r="UTZ21" s="7"/>
      <c r="UUA21" s="7"/>
      <c r="UUB21" s="7"/>
      <c r="UUC21" s="7"/>
      <c r="UUD21" s="7"/>
      <c r="UUE21" s="7"/>
      <c r="UUF21" s="7"/>
      <c r="UUG21" s="7"/>
      <c r="UUH21" s="7"/>
      <c r="UUI21" s="7"/>
      <c r="UUJ21" s="7"/>
      <c r="UUK21" s="7"/>
      <c r="UUL21" s="7"/>
      <c r="UUM21" s="7"/>
      <c r="UUN21" s="7"/>
      <c r="UUO21" s="7"/>
      <c r="UUP21" s="7"/>
      <c r="UUQ21" s="7"/>
      <c r="UUR21" s="7"/>
      <c r="UUS21" s="7"/>
      <c r="UUT21" s="7"/>
      <c r="UUU21" s="7"/>
      <c r="UUV21" s="7"/>
      <c r="UUW21" s="7"/>
      <c r="UUX21" s="7"/>
      <c r="UUY21" s="7"/>
      <c r="UUZ21" s="7"/>
      <c r="UVA21" s="7"/>
      <c r="UVB21" s="7"/>
      <c r="UVC21" s="7"/>
      <c r="UVD21" s="7"/>
      <c r="UVE21" s="7"/>
      <c r="UVF21" s="7"/>
      <c r="UVG21" s="7"/>
      <c r="UVH21" s="7"/>
      <c r="UVI21" s="7"/>
      <c r="UVJ21" s="7"/>
      <c r="UVK21" s="7"/>
      <c r="UVL21" s="7"/>
      <c r="UVM21" s="7"/>
      <c r="UVN21" s="7"/>
      <c r="UVO21" s="7"/>
      <c r="UVP21" s="7"/>
      <c r="UVQ21" s="7"/>
      <c r="UVR21" s="7"/>
      <c r="UVS21" s="7"/>
      <c r="UVT21" s="7"/>
      <c r="UVU21" s="7"/>
      <c r="UVV21" s="7"/>
      <c r="UVW21" s="7"/>
      <c r="UVX21" s="7"/>
      <c r="UVY21" s="7"/>
      <c r="UVZ21" s="7"/>
      <c r="UWA21" s="7"/>
      <c r="UWB21" s="7"/>
      <c r="UWC21" s="7"/>
      <c r="UWD21" s="7"/>
      <c r="UWE21" s="7"/>
      <c r="UWF21" s="7"/>
      <c r="UWG21" s="7"/>
      <c r="UWH21" s="7"/>
      <c r="UWI21" s="7"/>
      <c r="UWJ21" s="7"/>
      <c r="UWK21" s="7"/>
      <c r="UWL21" s="7"/>
      <c r="UWM21" s="7"/>
      <c r="UWN21" s="7"/>
      <c r="UWO21" s="7"/>
      <c r="UWP21" s="7"/>
      <c r="UWQ21" s="7"/>
      <c r="UWR21" s="7"/>
      <c r="UWS21" s="7"/>
      <c r="UWT21" s="7"/>
      <c r="UWU21" s="7"/>
      <c r="UWV21" s="7"/>
      <c r="UWW21" s="7"/>
      <c r="UWX21" s="7"/>
      <c r="UWY21" s="7"/>
      <c r="UWZ21" s="7"/>
      <c r="UXA21" s="7"/>
      <c r="UXB21" s="7"/>
      <c r="UXC21" s="7"/>
      <c r="UXD21" s="7"/>
      <c r="UXE21" s="7"/>
      <c r="UXF21" s="7"/>
      <c r="UXG21" s="7"/>
      <c r="UXH21" s="7"/>
      <c r="UXI21" s="7"/>
      <c r="UXJ21" s="7"/>
      <c r="UXK21" s="7"/>
      <c r="UXL21" s="7"/>
      <c r="UXM21" s="7"/>
      <c r="UXN21" s="7"/>
      <c r="UXO21" s="7"/>
      <c r="UXP21" s="7"/>
      <c r="UXQ21" s="7"/>
      <c r="UXR21" s="7"/>
      <c r="UXS21" s="7"/>
      <c r="UXT21" s="7"/>
      <c r="UXU21" s="7"/>
      <c r="UXV21" s="7"/>
      <c r="UXW21" s="7"/>
      <c r="UXX21" s="7"/>
      <c r="UXY21" s="7"/>
      <c r="UXZ21" s="7"/>
      <c r="UYA21" s="7"/>
      <c r="UYB21" s="7"/>
      <c r="UYC21" s="7"/>
      <c r="UYD21" s="7"/>
      <c r="UYE21" s="7"/>
      <c r="UYF21" s="7"/>
      <c r="UYG21" s="7"/>
      <c r="UYH21" s="7"/>
      <c r="UYI21" s="7"/>
      <c r="UYJ21" s="7"/>
      <c r="UYK21" s="7"/>
      <c r="UYL21" s="7"/>
      <c r="UYM21" s="7"/>
      <c r="UYN21" s="7"/>
      <c r="UYO21" s="7"/>
      <c r="UYP21" s="7"/>
      <c r="UYQ21" s="7"/>
      <c r="UYR21" s="7"/>
      <c r="UYS21" s="7"/>
      <c r="UYT21" s="7"/>
      <c r="UYU21" s="7"/>
      <c r="UYV21" s="7"/>
      <c r="UYW21" s="7"/>
      <c r="UYX21" s="7"/>
      <c r="UYY21" s="7"/>
      <c r="UYZ21" s="7"/>
      <c r="UZA21" s="7"/>
      <c r="UZB21" s="7"/>
      <c r="UZC21" s="7"/>
      <c r="UZD21" s="7"/>
      <c r="UZE21" s="7"/>
      <c r="UZF21" s="7"/>
      <c r="UZG21" s="7"/>
      <c r="UZH21" s="7"/>
      <c r="UZI21" s="7"/>
      <c r="UZJ21" s="7"/>
      <c r="UZK21" s="7"/>
      <c r="UZL21" s="7"/>
      <c r="UZM21" s="7"/>
      <c r="UZN21" s="7"/>
      <c r="UZO21" s="7"/>
      <c r="UZP21" s="7"/>
      <c r="UZQ21" s="7"/>
      <c r="UZR21" s="7"/>
      <c r="UZS21" s="7"/>
      <c r="UZT21" s="7"/>
      <c r="UZU21" s="7"/>
      <c r="UZV21" s="7"/>
      <c r="UZW21" s="7"/>
      <c r="UZX21" s="7"/>
      <c r="UZY21" s="7"/>
      <c r="UZZ21" s="7"/>
      <c r="VAA21" s="7"/>
      <c r="VAB21" s="7"/>
      <c r="VAC21" s="7"/>
      <c r="VAD21" s="7"/>
      <c r="VAE21" s="7"/>
      <c r="VAF21" s="7"/>
      <c r="VAG21" s="7"/>
      <c r="VAH21" s="7"/>
      <c r="VAI21" s="7"/>
      <c r="VAJ21" s="7"/>
      <c r="VAK21" s="7"/>
      <c r="VAL21" s="7"/>
      <c r="VAM21" s="7"/>
      <c r="VAN21" s="7"/>
      <c r="VAO21" s="7"/>
      <c r="VAP21" s="7"/>
      <c r="VAQ21" s="7"/>
      <c r="VAR21" s="7"/>
      <c r="VAS21" s="7"/>
      <c r="VAT21" s="7"/>
      <c r="VAU21" s="7"/>
      <c r="VAV21" s="7"/>
      <c r="VAW21" s="7"/>
      <c r="VAX21" s="7"/>
      <c r="VAY21" s="7"/>
      <c r="VAZ21" s="7"/>
      <c r="VBA21" s="7"/>
      <c r="VBB21" s="7"/>
      <c r="VBC21" s="7"/>
      <c r="VBD21" s="7"/>
      <c r="VBE21" s="7"/>
      <c r="VBF21" s="7"/>
      <c r="VBG21" s="7"/>
      <c r="VBH21" s="7"/>
      <c r="VBI21" s="7"/>
      <c r="VBJ21" s="7"/>
      <c r="VBK21" s="7"/>
      <c r="VBL21" s="7"/>
      <c r="VBM21" s="7"/>
      <c r="VBN21" s="7"/>
      <c r="VBO21" s="7"/>
      <c r="VBP21" s="7"/>
      <c r="VBQ21" s="7"/>
      <c r="VBR21" s="7"/>
      <c r="VBS21" s="7"/>
      <c r="VBT21" s="7"/>
      <c r="VBU21" s="7"/>
      <c r="VBV21" s="7"/>
      <c r="VBW21" s="7"/>
      <c r="VBX21" s="7"/>
      <c r="VBY21" s="7"/>
      <c r="VBZ21" s="7"/>
      <c r="VCA21" s="7"/>
      <c r="VCB21" s="7"/>
      <c r="VCC21" s="7"/>
      <c r="VCD21" s="7"/>
      <c r="VCE21" s="7"/>
      <c r="VCF21" s="7"/>
      <c r="VCG21" s="7"/>
      <c r="VCH21" s="7"/>
      <c r="VCI21" s="7"/>
      <c r="VCJ21" s="7"/>
      <c r="VCK21" s="7"/>
      <c r="VCL21" s="7"/>
      <c r="VCM21" s="7"/>
      <c r="VCN21" s="7"/>
      <c r="VCO21" s="7"/>
      <c r="VCP21" s="7"/>
      <c r="VCQ21" s="7"/>
      <c r="VCR21" s="7"/>
      <c r="VCS21" s="7"/>
      <c r="VCT21" s="7"/>
      <c r="VCU21" s="7"/>
      <c r="VCV21" s="7"/>
      <c r="VCW21" s="7"/>
      <c r="VCX21" s="7"/>
      <c r="VCY21" s="7"/>
      <c r="VCZ21" s="7"/>
      <c r="VDA21" s="7"/>
      <c r="VDB21" s="7"/>
      <c r="VDC21" s="7"/>
      <c r="VDD21" s="7"/>
      <c r="VDE21" s="7"/>
      <c r="VDF21" s="7"/>
      <c r="VDG21" s="7"/>
      <c r="VDH21" s="7"/>
      <c r="VDI21" s="7"/>
      <c r="VDJ21" s="7"/>
      <c r="VDK21" s="7"/>
      <c r="VDL21" s="7"/>
      <c r="VDM21" s="7"/>
      <c r="VDN21" s="7"/>
      <c r="VDO21" s="7"/>
      <c r="VDP21" s="7"/>
      <c r="VDQ21" s="7"/>
      <c r="VDR21" s="7"/>
      <c r="VDS21" s="7"/>
      <c r="VDT21" s="7"/>
      <c r="VDU21" s="7"/>
      <c r="VDV21" s="7"/>
      <c r="VDW21" s="7"/>
      <c r="VDX21" s="7"/>
      <c r="VDY21" s="7"/>
      <c r="VDZ21" s="7"/>
      <c r="VEA21" s="7"/>
      <c r="VEB21" s="7"/>
      <c r="VEC21" s="7"/>
      <c r="VED21" s="7"/>
      <c r="VEE21" s="7"/>
      <c r="VEF21" s="7"/>
      <c r="VEG21" s="7"/>
      <c r="VEH21" s="7"/>
      <c r="VEI21" s="7"/>
      <c r="VEJ21" s="7"/>
      <c r="VEK21" s="7"/>
      <c r="VEL21" s="7"/>
      <c r="VEM21" s="7"/>
      <c r="VEN21" s="7"/>
      <c r="VEO21" s="7"/>
      <c r="VEP21" s="7"/>
      <c r="VEQ21" s="7"/>
      <c r="VER21" s="7"/>
      <c r="VES21" s="7"/>
      <c r="VET21" s="7"/>
      <c r="VEU21" s="7"/>
      <c r="VEV21" s="7"/>
      <c r="VEW21" s="7"/>
      <c r="VEX21" s="7"/>
      <c r="VEY21" s="7"/>
      <c r="VEZ21" s="7"/>
      <c r="VFA21" s="7"/>
      <c r="VFB21" s="7"/>
      <c r="VFC21" s="7"/>
      <c r="VFD21" s="7"/>
      <c r="VFE21" s="7"/>
      <c r="VFF21" s="7"/>
      <c r="VFG21" s="7"/>
      <c r="VFH21" s="7"/>
      <c r="VFI21" s="7"/>
      <c r="VFJ21" s="7"/>
      <c r="VFK21" s="7"/>
      <c r="VFL21" s="7"/>
      <c r="VFM21" s="7"/>
      <c r="VFN21" s="7"/>
      <c r="VFO21" s="7"/>
      <c r="VFP21" s="7"/>
      <c r="VFQ21" s="7"/>
      <c r="VFR21" s="7"/>
      <c r="VFS21" s="7"/>
      <c r="VFT21" s="7"/>
      <c r="VFU21" s="7"/>
      <c r="VFV21" s="7"/>
      <c r="VFW21" s="7"/>
      <c r="VFX21" s="7"/>
      <c r="VFY21" s="7"/>
      <c r="VFZ21" s="7"/>
      <c r="VGA21" s="7"/>
      <c r="VGB21" s="7"/>
      <c r="VGC21" s="7"/>
      <c r="VGD21" s="7"/>
      <c r="VGE21" s="7"/>
      <c r="VGF21" s="7"/>
      <c r="VGG21" s="7"/>
      <c r="VGH21" s="7"/>
      <c r="VGI21" s="7"/>
      <c r="VGJ21" s="7"/>
      <c r="VGK21" s="7"/>
      <c r="VGL21" s="7"/>
      <c r="VGM21" s="7"/>
      <c r="VGN21" s="7"/>
      <c r="VGO21" s="7"/>
      <c r="VGP21" s="7"/>
      <c r="VGQ21" s="7"/>
      <c r="VGR21" s="7"/>
      <c r="VGS21" s="7"/>
      <c r="VGT21" s="7"/>
      <c r="VGU21" s="7"/>
      <c r="VGV21" s="7"/>
      <c r="VGW21" s="7"/>
      <c r="VGX21" s="7"/>
      <c r="VGY21" s="7"/>
      <c r="VGZ21" s="7"/>
      <c r="VHA21" s="7"/>
      <c r="VHB21" s="7"/>
      <c r="VHC21" s="7"/>
      <c r="VHD21" s="7"/>
      <c r="VHE21" s="7"/>
      <c r="VHF21" s="7"/>
      <c r="VHG21" s="7"/>
      <c r="VHH21" s="7"/>
      <c r="VHI21" s="7"/>
      <c r="VHJ21" s="7"/>
      <c r="VHK21" s="7"/>
      <c r="VHL21" s="7"/>
      <c r="VHM21" s="7"/>
      <c r="VHN21" s="7"/>
      <c r="VHO21" s="7"/>
      <c r="VHP21" s="7"/>
      <c r="VHQ21" s="7"/>
      <c r="VHR21" s="7"/>
      <c r="VHS21" s="7"/>
      <c r="VHT21" s="7"/>
      <c r="VHU21" s="7"/>
      <c r="VHV21" s="7"/>
      <c r="VHW21" s="7"/>
      <c r="VHX21" s="7"/>
      <c r="VHY21" s="7"/>
      <c r="VHZ21" s="7"/>
      <c r="VIA21" s="7"/>
      <c r="VIB21" s="7"/>
      <c r="VIC21" s="7"/>
      <c r="VID21" s="7"/>
      <c r="VIE21" s="7"/>
      <c r="VIF21" s="7"/>
      <c r="VIG21" s="7"/>
      <c r="VIH21" s="7"/>
      <c r="VII21" s="7"/>
      <c r="VIJ21" s="7"/>
      <c r="VIK21" s="7"/>
      <c r="VIL21" s="7"/>
      <c r="VIM21" s="7"/>
      <c r="VIN21" s="7"/>
      <c r="VIO21" s="7"/>
      <c r="VIP21" s="7"/>
      <c r="VIQ21" s="7"/>
      <c r="VIR21" s="7"/>
      <c r="VIS21" s="7"/>
      <c r="VIT21" s="7"/>
      <c r="VIU21" s="7"/>
      <c r="VIV21" s="7"/>
      <c r="VIW21" s="7"/>
      <c r="VIX21" s="7"/>
      <c r="VIY21" s="7"/>
      <c r="VIZ21" s="7"/>
      <c r="VJA21" s="7"/>
      <c r="VJB21" s="7"/>
      <c r="VJC21" s="7"/>
      <c r="VJD21" s="7"/>
      <c r="VJE21" s="7"/>
      <c r="VJF21" s="7"/>
      <c r="VJG21" s="7"/>
      <c r="VJH21" s="7"/>
      <c r="VJI21" s="7"/>
      <c r="VJJ21" s="7"/>
      <c r="VJK21" s="7"/>
      <c r="VJL21" s="7"/>
      <c r="VJM21" s="7"/>
      <c r="VJN21" s="7"/>
      <c r="VJO21" s="7"/>
      <c r="VJP21" s="7"/>
      <c r="VJQ21" s="7"/>
      <c r="VJR21" s="7"/>
      <c r="VJS21" s="7"/>
      <c r="VJT21" s="7"/>
      <c r="VJU21" s="7"/>
      <c r="VJV21" s="7"/>
      <c r="VJW21" s="7"/>
      <c r="VJX21" s="7"/>
      <c r="VJY21" s="7"/>
      <c r="VJZ21" s="7"/>
      <c r="VKA21" s="7"/>
      <c r="VKB21" s="7"/>
      <c r="VKC21" s="7"/>
      <c r="VKD21" s="7"/>
      <c r="VKE21" s="7"/>
      <c r="VKF21" s="7"/>
      <c r="VKG21" s="7"/>
      <c r="VKH21" s="7"/>
      <c r="VKI21" s="7"/>
      <c r="VKJ21" s="7"/>
      <c r="VKK21" s="7"/>
      <c r="VKL21" s="7"/>
      <c r="VKM21" s="7"/>
      <c r="VKN21" s="7"/>
      <c r="VKO21" s="7"/>
      <c r="VKP21" s="7"/>
      <c r="VKQ21" s="7"/>
      <c r="VKR21" s="7"/>
      <c r="VKS21" s="7"/>
      <c r="VKT21" s="7"/>
      <c r="VKU21" s="7"/>
      <c r="VKV21" s="7"/>
      <c r="VKW21" s="7"/>
      <c r="VKX21" s="7"/>
      <c r="VKY21" s="7"/>
      <c r="VKZ21" s="7"/>
      <c r="VLA21" s="7"/>
      <c r="VLB21" s="7"/>
      <c r="VLC21" s="7"/>
      <c r="VLD21" s="7"/>
      <c r="VLE21" s="7"/>
      <c r="VLF21" s="7"/>
      <c r="VLG21" s="7"/>
      <c r="VLH21" s="7"/>
      <c r="VLI21" s="7"/>
      <c r="VLJ21" s="7"/>
      <c r="VLK21" s="7"/>
      <c r="VLL21" s="7"/>
      <c r="VLM21" s="7"/>
      <c r="VLN21" s="7"/>
      <c r="VLO21" s="7"/>
      <c r="VLP21" s="7"/>
      <c r="VLQ21" s="7"/>
      <c r="VLR21" s="7"/>
      <c r="VLS21" s="7"/>
      <c r="VLT21" s="7"/>
      <c r="VLU21" s="7"/>
      <c r="VLV21" s="7"/>
      <c r="VLW21" s="7"/>
      <c r="VLX21" s="7"/>
      <c r="VLY21" s="7"/>
      <c r="VLZ21" s="7"/>
      <c r="VMA21" s="7"/>
      <c r="VMB21" s="7"/>
      <c r="VMC21" s="7"/>
      <c r="VMD21" s="7"/>
      <c r="VME21" s="7"/>
      <c r="VMF21" s="7"/>
      <c r="VMG21" s="7"/>
      <c r="VMH21" s="7"/>
      <c r="VMI21" s="7"/>
      <c r="VMJ21" s="7"/>
      <c r="VMK21" s="7"/>
      <c r="VML21" s="7"/>
      <c r="VMM21" s="7"/>
      <c r="VMN21" s="7"/>
      <c r="VMO21" s="7"/>
      <c r="VMP21" s="7"/>
      <c r="VMQ21" s="7"/>
      <c r="VMR21" s="7"/>
      <c r="VMS21" s="7"/>
      <c r="VMT21" s="7"/>
      <c r="VMU21" s="7"/>
      <c r="VMV21" s="7"/>
      <c r="VMW21" s="7"/>
      <c r="VMX21" s="7"/>
      <c r="VMY21" s="7"/>
      <c r="VMZ21" s="7"/>
      <c r="VNA21" s="7"/>
      <c r="VNB21" s="7"/>
      <c r="VNC21" s="7"/>
      <c r="VND21" s="7"/>
      <c r="VNE21" s="7"/>
      <c r="VNF21" s="7"/>
      <c r="VNG21" s="7"/>
      <c r="VNH21" s="7"/>
      <c r="VNI21" s="7"/>
      <c r="VNJ21" s="7"/>
      <c r="VNK21" s="7"/>
      <c r="VNL21" s="7"/>
      <c r="VNM21" s="7"/>
      <c r="VNN21" s="7"/>
      <c r="VNO21" s="7"/>
      <c r="VNP21" s="7"/>
      <c r="VNQ21" s="7"/>
      <c r="VNR21" s="7"/>
      <c r="VNS21" s="7"/>
      <c r="VNT21" s="7"/>
      <c r="VNU21" s="7"/>
      <c r="VNV21" s="7"/>
      <c r="VNW21" s="7"/>
      <c r="VNX21" s="7"/>
      <c r="VNY21" s="7"/>
      <c r="VNZ21" s="7"/>
      <c r="VOA21" s="7"/>
      <c r="VOB21" s="7"/>
      <c r="VOC21" s="7"/>
      <c r="VOD21" s="7"/>
      <c r="VOE21" s="7"/>
      <c r="VOF21" s="7"/>
      <c r="VOG21" s="7"/>
      <c r="VOH21" s="7"/>
      <c r="VOI21" s="7"/>
      <c r="VOJ21" s="7"/>
      <c r="VOK21" s="7"/>
      <c r="VOL21" s="7"/>
      <c r="VOM21" s="7"/>
      <c r="VON21" s="7"/>
      <c r="VOO21" s="7"/>
      <c r="VOP21" s="7"/>
      <c r="VOQ21" s="7"/>
      <c r="VOR21" s="7"/>
      <c r="VOS21" s="7"/>
      <c r="VOT21" s="7"/>
      <c r="VOU21" s="7"/>
      <c r="VOV21" s="7"/>
      <c r="VOW21" s="7"/>
      <c r="VOX21" s="7"/>
      <c r="VOY21" s="7"/>
      <c r="VOZ21" s="7"/>
      <c r="VPA21" s="7"/>
      <c r="VPB21" s="7"/>
      <c r="VPC21" s="7"/>
      <c r="VPD21" s="7"/>
      <c r="VPE21" s="7"/>
      <c r="VPF21" s="7"/>
      <c r="VPG21" s="7"/>
      <c r="VPH21" s="7"/>
      <c r="VPI21" s="7"/>
      <c r="VPJ21" s="7"/>
      <c r="VPK21" s="7"/>
      <c r="VPL21" s="7"/>
      <c r="VPM21" s="7"/>
      <c r="VPN21" s="7"/>
      <c r="VPO21" s="7"/>
      <c r="VPP21" s="7"/>
      <c r="VPQ21" s="7"/>
      <c r="VPR21" s="7"/>
      <c r="VPS21" s="7"/>
      <c r="VPT21" s="7"/>
      <c r="VPU21" s="7"/>
      <c r="VPV21" s="7"/>
      <c r="VPW21" s="7"/>
      <c r="VPX21" s="7"/>
      <c r="VPY21" s="7"/>
      <c r="VPZ21" s="7"/>
      <c r="VQA21" s="7"/>
      <c r="VQB21" s="7"/>
      <c r="VQC21" s="7"/>
      <c r="VQD21" s="7"/>
      <c r="VQE21" s="7"/>
      <c r="VQF21" s="7"/>
      <c r="VQG21" s="7"/>
      <c r="VQH21" s="7"/>
      <c r="VQI21" s="7"/>
      <c r="VQJ21" s="7"/>
      <c r="VQK21" s="7"/>
      <c r="VQL21" s="7"/>
      <c r="VQM21" s="7"/>
      <c r="VQN21" s="7"/>
      <c r="VQO21" s="7"/>
      <c r="VQP21" s="7"/>
      <c r="VQQ21" s="7"/>
      <c r="VQR21" s="7"/>
      <c r="VQS21" s="7"/>
      <c r="VQT21" s="7"/>
      <c r="VQU21" s="7"/>
      <c r="VQV21" s="7"/>
      <c r="VQW21" s="7"/>
      <c r="VQX21" s="7"/>
      <c r="VQY21" s="7"/>
      <c r="VQZ21" s="7"/>
      <c r="VRA21" s="7"/>
      <c r="VRB21" s="7"/>
      <c r="VRC21" s="7"/>
      <c r="VRD21" s="7"/>
      <c r="VRE21" s="7"/>
      <c r="VRF21" s="7"/>
      <c r="VRG21" s="7"/>
      <c r="VRH21" s="7"/>
      <c r="VRI21" s="7"/>
      <c r="VRJ21" s="7"/>
      <c r="VRK21" s="7"/>
      <c r="VRL21" s="7"/>
      <c r="VRM21" s="7"/>
      <c r="VRN21" s="7"/>
      <c r="VRO21" s="7"/>
      <c r="VRP21" s="7"/>
      <c r="VRQ21" s="7"/>
      <c r="VRR21" s="7"/>
      <c r="VRS21" s="7"/>
      <c r="VRT21" s="7"/>
      <c r="VRU21" s="7"/>
      <c r="VRV21" s="7"/>
      <c r="VRW21" s="7"/>
      <c r="VRX21" s="7"/>
      <c r="VRY21" s="7"/>
      <c r="VRZ21" s="7"/>
      <c r="VSA21" s="7"/>
      <c r="VSB21" s="7"/>
      <c r="VSC21" s="7"/>
      <c r="VSD21" s="7"/>
      <c r="VSE21" s="7"/>
      <c r="VSF21" s="7"/>
      <c r="VSG21" s="7"/>
      <c r="VSH21" s="7"/>
      <c r="VSI21" s="7"/>
      <c r="VSJ21" s="7"/>
      <c r="VSK21" s="7"/>
      <c r="VSL21" s="7"/>
      <c r="VSM21" s="7"/>
      <c r="VSN21" s="7"/>
      <c r="VSO21" s="7"/>
      <c r="VSP21" s="7"/>
      <c r="VSQ21" s="7"/>
      <c r="VSR21" s="7"/>
      <c r="VSS21" s="7"/>
      <c r="VST21" s="7"/>
      <c r="VSU21" s="7"/>
      <c r="VSV21" s="7"/>
      <c r="VSW21" s="7"/>
      <c r="VSX21" s="7"/>
      <c r="VSY21" s="7"/>
      <c r="VSZ21" s="7"/>
      <c r="VTA21" s="7"/>
      <c r="VTB21" s="7"/>
      <c r="VTC21" s="7"/>
      <c r="VTD21" s="7"/>
      <c r="VTE21" s="7"/>
      <c r="VTF21" s="7"/>
      <c r="VTG21" s="7"/>
      <c r="VTH21" s="7"/>
      <c r="VTI21" s="7"/>
      <c r="VTJ21" s="7"/>
      <c r="VTK21" s="7"/>
      <c r="VTL21" s="7"/>
      <c r="VTM21" s="7"/>
      <c r="VTN21" s="7"/>
      <c r="VTO21" s="7"/>
      <c r="VTP21" s="7"/>
      <c r="VTQ21" s="7"/>
      <c r="VTR21" s="7"/>
      <c r="VTS21" s="7"/>
      <c r="VTT21" s="7"/>
      <c r="VTU21" s="7"/>
      <c r="VTV21" s="7"/>
      <c r="VTW21" s="7"/>
      <c r="VTX21" s="7"/>
      <c r="VTY21" s="7"/>
      <c r="VTZ21" s="7"/>
      <c r="VUA21" s="7"/>
      <c r="VUB21" s="7"/>
      <c r="VUC21" s="7"/>
      <c r="VUD21" s="7"/>
      <c r="VUE21" s="7"/>
      <c r="VUF21" s="7"/>
      <c r="VUG21" s="7"/>
      <c r="VUH21" s="7"/>
      <c r="VUI21" s="7"/>
      <c r="VUJ21" s="7"/>
      <c r="VUK21" s="7"/>
      <c r="VUL21" s="7"/>
      <c r="VUM21" s="7"/>
      <c r="VUN21" s="7"/>
      <c r="VUO21" s="7"/>
      <c r="VUP21" s="7"/>
      <c r="VUQ21" s="7"/>
      <c r="VUR21" s="7"/>
      <c r="VUS21" s="7"/>
      <c r="VUT21" s="7"/>
      <c r="VUU21" s="7"/>
      <c r="VUV21" s="7"/>
      <c r="VUW21" s="7"/>
      <c r="VUX21" s="7"/>
      <c r="VUY21" s="7"/>
      <c r="VUZ21" s="7"/>
      <c r="VVA21" s="7"/>
      <c r="VVB21" s="7"/>
      <c r="VVC21" s="7"/>
      <c r="VVD21" s="7"/>
      <c r="VVE21" s="7"/>
      <c r="VVF21" s="7"/>
      <c r="VVG21" s="7"/>
      <c r="VVH21" s="7"/>
      <c r="VVI21" s="7"/>
      <c r="VVJ21" s="7"/>
      <c r="VVK21" s="7"/>
      <c r="VVL21" s="7"/>
      <c r="VVM21" s="7"/>
      <c r="VVN21" s="7"/>
      <c r="VVO21" s="7"/>
      <c r="VVP21" s="7"/>
      <c r="VVQ21" s="7"/>
      <c r="VVR21" s="7"/>
      <c r="VVS21" s="7"/>
      <c r="VVT21" s="7"/>
      <c r="VVU21" s="7"/>
      <c r="VVV21" s="7"/>
      <c r="VVW21" s="7"/>
      <c r="VVX21" s="7"/>
      <c r="VVY21" s="7"/>
      <c r="VVZ21" s="7"/>
      <c r="VWA21" s="7"/>
      <c r="VWB21" s="7"/>
      <c r="VWC21" s="7"/>
      <c r="VWD21" s="7"/>
      <c r="VWE21" s="7"/>
      <c r="VWF21" s="7"/>
      <c r="VWG21" s="7"/>
      <c r="VWH21" s="7"/>
      <c r="VWI21" s="7"/>
      <c r="VWJ21" s="7"/>
      <c r="VWK21" s="7"/>
      <c r="VWL21" s="7"/>
      <c r="VWM21" s="7"/>
      <c r="VWN21" s="7"/>
      <c r="VWO21" s="7"/>
      <c r="VWP21" s="7"/>
      <c r="VWQ21" s="7"/>
      <c r="VWR21" s="7"/>
      <c r="VWS21" s="7"/>
      <c r="VWT21" s="7"/>
      <c r="VWU21" s="7"/>
      <c r="VWV21" s="7"/>
      <c r="VWW21" s="7"/>
      <c r="VWX21" s="7"/>
      <c r="VWY21" s="7"/>
      <c r="VWZ21" s="7"/>
      <c r="VXA21" s="7"/>
      <c r="VXB21" s="7"/>
      <c r="VXC21" s="7"/>
      <c r="VXD21" s="7"/>
      <c r="VXE21" s="7"/>
      <c r="VXF21" s="7"/>
      <c r="VXG21" s="7"/>
      <c r="VXH21" s="7"/>
      <c r="VXI21" s="7"/>
      <c r="VXJ21" s="7"/>
      <c r="VXK21" s="7"/>
      <c r="VXL21" s="7"/>
      <c r="VXM21" s="7"/>
      <c r="VXN21" s="7"/>
      <c r="VXO21" s="7"/>
      <c r="VXP21" s="7"/>
      <c r="VXQ21" s="7"/>
      <c r="VXR21" s="7"/>
      <c r="VXS21" s="7"/>
      <c r="VXT21" s="7"/>
      <c r="VXU21" s="7"/>
      <c r="VXV21" s="7"/>
      <c r="VXW21" s="7"/>
      <c r="VXX21" s="7"/>
      <c r="VXY21" s="7"/>
      <c r="VXZ21" s="7"/>
      <c r="VYA21" s="7"/>
      <c r="VYB21" s="7"/>
      <c r="VYC21" s="7"/>
      <c r="VYD21" s="7"/>
      <c r="VYE21" s="7"/>
      <c r="VYF21" s="7"/>
      <c r="VYG21" s="7"/>
      <c r="VYH21" s="7"/>
      <c r="VYI21" s="7"/>
      <c r="VYJ21" s="7"/>
      <c r="VYK21" s="7"/>
      <c r="VYL21" s="7"/>
      <c r="VYM21" s="7"/>
      <c r="VYN21" s="7"/>
      <c r="VYO21" s="7"/>
      <c r="VYP21" s="7"/>
      <c r="VYQ21" s="7"/>
      <c r="VYR21" s="7"/>
      <c r="VYS21" s="7"/>
      <c r="VYT21" s="7"/>
      <c r="VYU21" s="7"/>
      <c r="VYV21" s="7"/>
      <c r="VYW21" s="7"/>
      <c r="VYX21" s="7"/>
      <c r="VYY21" s="7"/>
      <c r="VYZ21" s="7"/>
      <c r="VZA21" s="7"/>
      <c r="VZB21" s="7"/>
      <c r="VZC21" s="7"/>
      <c r="VZD21" s="7"/>
      <c r="VZE21" s="7"/>
      <c r="VZF21" s="7"/>
      <c r="VZG21" s="7"/>
      <c r="VZH21" s="7"/>
      <c r="VZI21" s="7"/>
      <c r="VZJ21" s="7"/>
      <c r="VZK21" s="7"/>
      <c r="VZL21" s="7"/>
      <c r="VZM21" s="7"/>
      <c r="VZN21" s="7"/>
      <c r="VZO21" s="7"/>
      <c r="VZP21" s="7"/>
      <c r="VZQ21" s="7"/>
      <c r="VZR21" s="7"/>
      <c r="VZS21" s="7"/>
      <c r="VZT21" s="7"/>
      <c r="VZU21" s="7"/>
      <c r="VZV21" s="7"/>
      <c r="VZW21" s="7"/>
      <c r="VZX21" s="7"/>
      <c r="VZY21" s="7"/>
      <c r="VZZ21" s="7"/>
      <c r="WAA21" s="7"/>
      <c r="WAB21" s="7"/>
      <c r="WAC21" s="7"/>
      <c r="WAD21" s="7"/>
      <c r="WAE21" s="7"/>
      <c r="WAF21" s="7"/>
      <c r="WAG21" s="7"/>
      <c r="WAH21" s="7"/>
      <c r="WAI21" s="7"/>
      <c r="WAJ21" s="7"/>
      <c r="WAK21" s="7"/>
      <c r="WAL21" s="7"/>
      <c r="WAM21" s="7"/>
      <c r="WAN21" s="7"/>
      <c r="WAO21" s="7"/>
      <c r="WAP21" s="7"/>
      <c r="WAQ21" s="7"/>
      <c r="WAR21" s="7"/>
      <c r="WAS21" s="7"/>
      <c r="WAT21" s="7"/>
      <c r="WAU21" s="7"/>
      <c r="WAV21" s="7"/>
      <c r="WAW21" s="7"/>
      <c r="WAX21" s="7"/>
      <c r="WAY21" s="7"/>
      <c r="WAZ21" s="7"/>
      <c r="WBA21" s="7"/>
      <c r="WBB21" s="7"/>
      <c r="WBC21" s="7"/>
      <c r="WBD21" s="7"/>
      <c r="WBE21" s="7"/>
      <c r="WBF21" s="7"/>
      <c r="WBG21" s="7"/>
      <c r="WBH21" s="7"/>
      <c r="WBI21" s="7"/>
      <c r="WBJ21" s="7"/>
      <c r="WBK21" s="7"/>
      <c r="WBL21" s="7"/>
      <c r="WBM21" s="7"/>
      <c r="WBN21" s="7"/>
      <c r="WBO21" s="7"/>
      <c r="WBP21" s="7"/>
      <c r="WBQ21" s="7"/>
      <c r="WBR21" s="7"/>
      <c r="WBS21" s="7"/>
      <c r="WBT21" s="7"/>
      <c r="WBU21" s="7"/>
      <c r="WBV21" s="7"/>
      <c r="WBW21" s="7"/>
      <c r="WBX21" s="7"/>
      <c r="WBY21" s="7"/>
      <c r="WBZ21" s="7"/>
      <c r="WCA21" s="7"/>
      <c r="WCB21" s="7"/>
      <c r="WCC21" s="7"/>
      <c r="WCD21" s="7"/>
      <c r="WCE21" s="7"/>
      <c r="WCF21" s="7"/>
      <c r="WCG21" s="7"/>
      <c r="WCH21" s="7"/>
      <c r="WCI21" s="7"/>
      <c r="WCJ21" s="7"/>
      <c r="WCK21" s="7"/>
      <c r="WCL21" s="7"/>
      <c r="WCM21" s="7"/>
      <c r="WCN21" s="7"/>
      <c r="WCO21" s="7"/>
      <c r="WCP21" s="7"/>
      <c r="WCQ21" s="7"/>
      <c r="WCR21" s="7"/>
      <c r="WCS21" s="7"/>
      <c r="WCT21" s="7"/>
      <c r="WCU21" s="7"/>
      <c r="WCV21" s="7"/>
      <c r="WCW21" s="7"/>
      <c r="WCX21" s="7"/>
      <c r="WCY21" s="7"/>
      <c r="WCZ21" s="7"/>
      <c r="WDA21" s="7"/>
      <c r="WDB21" s="7"/>
      <c r="WDC21" s="7"/>
      <c r="WDD21" s="7"/>
      <c r="WDE21" s="7"/>
      <c r="WDF21" s="7"/>
      <c r="WDG21" s="7"/>
      <c r="WDH21" s="7"/>
      <c r="WDI21" s="7"/>
      <c r="WDJ21" s="7"/>
      <c r="WDK21" s="7"/>
      <c r="WDL21" s="7"/>
      <c r="WDM21" s="7"/>
      <c r="WDN21" s="7"/>
      <c r="WDO21" s="7"/>
      <c r="WDP21" s="7"/>
      <c r="WDQ21" s="7"/>
      <c r="WDR21" s="7"/>
      <c r="WDS21" s="7"/>
      <c r="WDT21" s="7"/>
      <c r="WDU21" s="7"/>
      <c r="WDV21" s="7"/>
      <c r="WDW21" s="7"/>
      <c r="WDX21" s="7"/>
      <c r="WDY21" s="7"/>
      <c r="WDZ21" s="7"/>
      <c r="WEA21" s="7"/>
      <c r="WEB21" s="7"/>
      <c r="WEC21" s="7"/>
      <c r="WED21" s="7"/>
      <c r="WEE21" s="7"/>
      <c r="WEF21" s="7"/>
      <c r="WEG21" s="7"/>
      <c r="WEH21" s="7"/>
      <c r="WEI21" s="7"/>
      <c r="WEJ21" s="7"/>
      <c r="WEK21" s="7"/>
      <c r="WEL21" s="7"/>
      <c r="WEM21" s="7"/>
      <c r="WEN21" s="7"/>
      <c r="WEO21" s="7"/>
      <c r="WEP21" s="7"/>
      <c r="WEQ21" s="7"/>
      <c r="WER21" s="7"/>
      <c r="WES21" s="7"/>
      <c r="WET21" s="7"/>
      <c r="WEU21" s="7"/>
      <c r="WEV21" s="7"/>
      <c r="WEW21" s="7"/>
      <c r="WEX21" s="7"/>
      <c r="WEY21" s="7"/>
      <c r="WEZ21" s="7"/>
      <c r="WFA21" s="7"/>
      <c r="WFB21" s="7"/>
      <c r="WFC21" s="7"/>
      <c r="WFD21" s="7"/>
      <c r="WFE21" s="7"/>
      <c r="WFF21" s="7"/>
      <c r="WFG21" s="7"/>
      <c r="WFH21" s="7"/>
      <c r="WFI21" s="7"/>
      <c r="WFJ21" s="7"/>
      <c r="WFK21" s="7"/>
      <c r="WFL21" s="7"/>
      <c r="WFM21" s="7"/>
      <c r="WFN21" s="7"/>
      <c r="WFO21" s="7"/>
      <c r="WFP21" s="7"/>
      <c r="WFQ21" s="7"/>
      <c r="WFR21" s="7"/>
      <c r="WFS21" s="7"/>
      <c r="WFT21" s="7"/>
      <c r="WFU21" s="7"/>
      <c r="WFV21" s="7"/>
      <c r="WFW21" s="7"/>
      <c r="WFX21" s="7"/>
      <c r="WFY21" s="7"/>
      <c r="WFZ21" s="7"/>
      <c r="WGA21" s="7"/>
      <c r="WGB21" s="7"/>
      <c r="WGC21" s="7"/>
      <c r="WGD21" s="7"/>
      <c r="WGE21" s="7"/>
      <c r="WGF21" s="7"/>
      <c r="WGG21" s="7"/>
      <c r="WGH21" s="7"/>
      <c r="WGI21" s="7"/>
      <c r="WGJ21" s="7"/>
      <c r="WGK21" s="7"/>
      <c r="WGL21" s="7"/>
      <c r="WGM21" s="7"/>
      <c r="WGN21" s="7"/>
      <c r="WGO21" s="7"/>
      <c r="WGP21" s="7"/>
      <c r="WGQ21" s="7"/>
      <c r="WGR21" s="7"/>
      <c r="WGS21" s="7"/>
      <c r="WGT21" s="7"/>
      <c r="WGU21" s="7"/>
      <c r="WGV21" s="7"/>
      <c r="WGW21" s="7"/>
      <c r="WGX21" s="7"/>
      <c r="WGY21" s="7"/>
      <c r="WGZ21" s="7"/>
      <c r="WHA21" s="7"/>
      <c r="WHB21" s="7"/>
      <c r="WHC21" s="7"/>
      <c r="WHD21" s="7"/>
      <c r="WHE21" s="7"/>
      <c r="WHF21" s="7"/>
      <c r="WHG21" s="7"/>
      <c r="WHH21" s="7"/>
      <c r="WHI21" s="7"/>
      <c r="WHJ21" s="7"/>
      <c r="WHK21" s="7"/>
      <c r="WHL21" s="7"/>
      <c r="WHM21" s="7"/>
      <c r="WHN21" s="7"/>
      <c r="WHO21" s="7"/>
      <c r="WHP21" s="7"/>
      <c r="WHQ21" s="7"/>
      <c r="WHR21" s="7"/>
      <c r="WHS21" s="7"/>
      <c r="WHT21" s="7"/>
      <c r="WHU21" s="7"/>
      <c r="WHV21" s="7"/>
      <c r="WHW21" s="7"/>
      <c r="WHX21" s="7"/>
      <c r="WHY21" s="7"/>
      <c r="WHZ21" s="7"/>
      <c r="WIA21" s="7"/>
      <c r="WIB21" s="7"/>
      <c r="WIC21" s="7"/>
      <c r="WID21" s="7"/>
      <c r="WIE21" s="7"/>
      <c r="WIF21" s="7"/>
      <c r="WIG21" s="7"/>
      <c r="WIH21" s="7"/>
      <c r="WII21" s="7"/>
      <c r="WIJ21" s="7"/>
      <c r="WIK21" s="7"/>
      <c r="WIL21" s="7"/>
      <c r="WIM21" s="7"/>
      <c r="WIN21" s="7"/>
      <c r="WIO21" s="7"/>
      <c r="WIP21" s="7"/>
      <c r="WIQ21" s="7"/>
      <c r="WIR21" s="7"/>
      <c r="WIS21" s="7"/>
      <c r="WIT21" s="7"/>
      <c r="WIU21" s="7"/>
      <c r="WIV21" s="7"/>
      <c r="WIW21" s="7"/>
      <c r="WIX21" s="7"/>
      <c r="WIY21" s="7"/>
      <c r="WIZ21" s="7"/>
      <c r="WJA21" s="7"/>
      <c r="WJB21" s="7"/>
      <c r="WJC21" s="7"/>
      <c r="WJD21" s="7"/>
      <c r="WJE21" s="7"/>
      <c r="WJF21" s="7"/>
      <c r="WJG21" s="7"/>
      <c r="WJH21" s="7"/>
      <c r="WJI21" s="7"/>
      <c r="WJJ21" s="7"/>
      <c r="WJK21" s="7"/>
      <c r="WJL21" s="7"/>
      <c r="WJM21" s="7"/>
      <c r="WJN21" s="7"/>
      <c r="WJO21" s="7"/>
      <c r="WJP21" s="7"/>
      <c r="WJQ21" s="7"/>
      <c r="WJR21" s="7"/>
      <c r="WJS21" s="7"/>
      <c r="WJT21" s="7"/>
      <c r="WJU21" s="7"/>
      <c r="WJV21" s="7"/>
      <c r="WJW21" s="7"/>
      <c r="WJX21" s="7"/>
      <c r="WJY21" s="7"/>
      <c r="WJZ21" s="7"/>
      <c r="WKA21" s="7"/>
      <c r="WKB21" s="7"/>
      <c r="WKC21" s="7"/>
      <c r="WKD21" s="7"/>
      <c r="WKE21" s="7"/>
      <c r="WKF21" s="7"/>
      <c r="WKG21" s="7"/>
      <c r="WKH21" s="7"/>
      <c r="WKI21" s="7"/>
      <c r="WKJ21" s="7"/>
      <c r="WKK21" s="7"/>
      <c r="WKL21" s="7"/>
      <c r="WKM21" s="7"/>
      <c r="WKN21" s="7"/>
      <c r="WKO21" s="7"/>
      <c r="WKP21" s="7"/>
      <c r="WKQ21" s="7"/>
      <c r="WKR21" s="7"/>
      <c r="WKS21" s="7"/>
      <c r="WKT21" s="7"/>
      <c r="WKU21" s="7"/>
      <c r="WKV21" s="7"/>
      <c r="WKW21" s="7"/>
      <c r="WKX21" s="7"/>
      <c r="WKY21" s="7"/>
      <c r="WKZ21" s="7"/>
      <c r="WLA21" s="7"/>
      <c r="WLB21" s="7"/>
      <c r="WLC21" s="7"/>
      <c r="WLD21" s="7"/>
      <c r="WLE21" s="7"/>
      <c r="WLF21" s="7"/>
      <c r="WLG21" s="7"/>
      <c r="WLH21" s="7"/>
      <c r="WLI21" s="7"/>
      <c r="WLJ21" s="7"/>
      <c r="WLK21" s="7"/>
      <c r="WLL21" s="7"/>
      <c r="WLM21" s="7"/>
      <c r="WLN21" s="7"/>
      <c r="WLO21" s="7"/>
      <c r="WLP21" s="7"/>
      <c r="WLQ21" s="7"/>
      <c r="WLR21" s="7"/>
      <c r="WLS21" s="7"/>
      <c r="WLT21" s="7"/>
      <c r="WLU21" s="7"/>
      <c r="WLV21" s="7"/>
      <c r="WLW21" s="7"/>
      <c r="WLX21" s="7"/>
      <c r="WLY21" s="7"/>
      <c r="WLZ21" s="7"/>
      <c r="WMA21" s="7"/>
      <c r="WMB21" s="7"/>
      <c r="WMC21" s="7"/>
      <c r="WMD21" s="7"/>
      <c r="WME21" s="7"/>
      <c r="WMF21" s="7"/>
      <c r="WMG21" s="7"/>
      <c r="WMH21" s="7"/>
      <c r="WMI21" s="7"/>
      <c r="WMJ21" s="7"/>
      <c r="WMK21" s="7"/>
      <c r="WML21" s="7"/>
      <c r="WMM21" s="7"/>
      <c r="WMN21" s="7"/>
      <c r="WMO21" s="7"/>
      <c r="WMP21" s="7"/>
      <c r="WMQ21" s="7"/>
      <c r="WMR21" s="7"/>
      <c r="WMS21" s="7"/>
      <c r="WMT21" s="7"/>
      <c r="WMU21" s="7"/>
      <c r="WMV21" s="7"/>
      <c r="WMW21" s="7"/>
      <c r="WMX21" s="7"/>
      <c r="WMY21" s="7"/>
      <c r="WMZ21" s="7"/>
      <c r="WNA21" s="7"/>
      <c r="WNB21" s="7"/>
      <c r="WNC21" s="7"/>
      <c r="WND21" s="7"/>
      <c r="WNE21" s="7"/>
      <c r="WNF21" s="7"/>
      <c r="WNG21" s="7"/>
      <c r="WNH21" s="7"/>
      <c r="WNI21" s="7"/>
      <c r="WNJ21" s="7"/>
      <c r="WNK21" s="7"/>
      <c r="WNL21" s="7"/>
      <c r="WNM21" s="7"/>
      <c r="WNN21" s="7"/>
      <c r="WNO21" s="7"/>
      <c r="WNP21" s="7"/>
      <c r="WNQ21" s="7"/>
      <c r="WNR21" s="7"/>
      <c r="WNS21" s="7"/>
      <c r="WNT21" s="7"/>
      <c r="WNU21" s="7"/>
      <c r="WNV21" s="7"/>
      <c r="WNW21" s="7"/>
      <c r="WNX21" s="7"/>
      <c r="WNY21" s="7"/>
      <c r="WNZ21" s="7"/>
      <c r="WOA21" s="7"/>
      <c r="WOB21" s="7"/>
      <c r="WOC21" s="7"/>
      <c r="WOD21" s="7"/>
      <c r="WOE21" s="7"/>
      <c r="WOF21" s="7"/>
      <c r="WOG21" s="7"/>
      <c r="WOH21" s="7"/>
      <c r="WOI21" s="7"/>
      <c r="WOJ21" s="7"/>
      <c r="WOK21" s="7"/>
      <c r="WOL21" s="7"/>
      <c r="WOM21" s="7"/>
      <c r="WON21" s="7"/>
      <c r="WOO21" s="7"/>
      <c r="WOP21" s="7"/>
      <c r="WOQ21" s="7"/>
      <c r="WOR21" s="7"/>
      <c r="WOS21" s="7"/>
      <c r="WOT21" s="7"/>
      <c r="WOU21" s="7"/>
      <c r="WOV21" s="7"/>
      <c r="WOW21" s="7"/>
      <c r="WOX21" s="7"/>
      <c r="WOY21" s="7"/>
      <c r="WOZ21" s="7"/>
      <c r="WPA21" s="7"/>
      <c r="WPB21" s="7"/>
      <c r="WPC21" s="7"/>
      <c r="WPD21" s="7"/>
      <c r="WPE21" s="7"/>
      <c r="WPF21" s="7"/>
      <c r="WPG21" s="7"/>
      <c r="WPH21" s="7"/>
      <c r="WPI21" s="7"/>
      <c r="WPJ21" s="7"/>
      <c r="WPK21" s="7"/>
      <c r="WPL21" s="7"/>
      <c r="WPM21" s="7"/>
      <c r="WPN21" s="7"/>
      <c r="WPO21" s="7"/>
      <c r="WPP21" s="7"/>
      <c r="WPQ21" s="7"/>
      <c r="WPR21" s="7"/>
      <c r="WPS21" s="7"/>
      <c r="WPT21" s="7"/>
      <c r="WPU21" s="7"/>
      <c r="WPV21" s="7"/>
      <c r="WPW21" s="7"/>
      <c r="WPX21" s="7"/>
      <c r="WPY21" s="7"/>
      <c r="WPZ21" s="7"/>
      <c r="WQA21" s="7"/>
      <c r="WQB21" s="7"/>
      <c r="WQC21" s="7"/>
      <c r="WQD21" s="7"/>
      <c r="WQE21" s="7"/>
      <c r="WQF21" s="7"/>
      <c r="WQG21" s="7"/>
      <c r="WQH21" s="7"/>
      <c r="WQI21" s="7"/>
      <c r="WQJ21" s="7"/>
      <c r="WQK21" s="7"/>
      <c r="WQL21" s="7"/>
      <c r="WQM21" s="7"/>
      <c r="WQN21" s="7"/>
      <c r="WQO21" s="7"/>
      <c r="WQP21" s="7"/>
      <c r="WQQ21" s="7"/>
      <c r="WQR21" s="7"/>
      <c r="WQS21" s="7"/>
      <c r="WQT21" s="7"/>
      <c r="WQU21" s="7"/>
      <c r="WQV21" s="7"/>
      <c r="WQW21" s="7"/>
      <c r="WQX21" s="7"/>
      <c r="WQY21" s="7"/>
      <c r="WQZ21" s="7"/>
      <c r="WRA21" s="7"/>
      <c r="WRB21" s="7"/>
      <c r="WRC21" s="7"/>
      <c r="WRD21" s="7"/>
      <c r="WRE21" s="7"/>
      <c r="WRF21" s="7"/>
      <c r="WRG21" s="7"/>
      <c r="WRH21" s="7"/>
      <c r="WRI21" s="7"/>
      <c r="WRJ21" s="7"/>
      <c r="WRK21" s="7"/>
      <c r="WRL21" s="7"/>
      <c r="WRM21" s="7"/>
      <c r="WRN21" s="7"/>
      <c r="WRO21" s="7"/>
      <c r="WRP21" s="7"/>
      <c r="WRQ21" s="7"/>
      <c r="WRR21" s="7"/>
      <c r="WRS21" s="7"/>
      <c r="WRT21" s="7"/>
      <c r="WRU21" s="7"/>
      <c r="WRV21" s="7"/>
      <c r="WRW21" s="7"/>
      <c r="WRX21" s="7"/>
      <c r="WRY21" s="7"/>
      <c r="WRZ21" s="7"/>
      <c r="WSA21" s="7"/>
      <c r="WSB21" s="7"/>
      <c r="WSC21" s="7"/>
      <c r="WSD21" s="7"/>
      <c r="WSE21" s="7"/>
      <c r="WSF21" s="7"/>
      <c r="WSG21" s="7"/>
      <c r="WSH21" s="7"/>
      <c r="WSI21" s="7"/>
      <c r="WSJ21" s="7"/>
      <c r="WSK21" s="7"/>
      <c r="WSL21" s="7"/>
      <c r="WSM21" s="7"/>
      <c r="WSN21" s="7"/>
      <c r="WSO21" s="7"/>
      <c r="WSP21" s="7"/>
      <c r="WSQ21" s="7"/>
      <c r="WSR21" s="7"/>
      <c r="WSS21" s="7"/>
      <c r="WST21" s="7"/>
      <c r="WSU21" s="7"/>
      <c r="WSV21" s="7"/>
      <c r="WSW21" s="7"/>
      <c r="WSX21" s="7"/>
      <c r="WSY21" s="7"/>
      <c r="WSZ21" s="7"/>
      <c r="WTA21" s="7"/>
      <c r="WTB21" s="7"/>
      <c r="WTC21" s="7"/>
      <c r="WTD21" s="7"/>
      <c r="WTE21" s="7"/>
      <c r="WTF21" s="7"/>
      <c r="WTG21" s="7"/>
      <c r="WTH21" s="7"/>
      <c r="WTI21" s="7"/>
      <c r="WTJ21" s="7"/>
      <c r="WTK21" s="7"/>
      <c r="WTL21" s="7"/>
      <c r="WTM21" s="7"/>
      <c r="WTN21" s="7"/>
      <c r="WTO21" s="7"/>
      <c r="WTP21" s="7"/>
      <c r="WTQ21" s="7"/>
      <c r="WTR21" s="7"/>
      <c r="WTS21" s="7"/>
      <c r="WTT21" s="7"/>
      <c r="WTU21" s="7"/>
      <c r="WTV21" s="7"/>
      <c r="WTW21" s="7"/>
      <c r="WTX21" s="7"/>
      <c r="WTY21" s="7"/>
      <c r="WTZ21" s="7"/>
      <c r="WUA21" s="7"/>
      <c r="WUB21" s="7"/>
      <c r="WUC21" s="7"/>
      <c r="WUD21" s="7"/>
      <c r="WUE21" s="7"/>
      <c r="WUF21" s="7"/>
      <c r="WUG21" s="7"/>
      <c r="WUH21" s="7"/>
      <c r="WUI21" s="7"/>
      <c r="WUJ21" s="7"/>
      <c r="WUK21" s="7"/>
      <c r="WUL21" s="7"/>
      <c r="WUM21" s="7"/>
      <c r="WUN21" s="7"/>
      <c r="WUO21" s="7"/>
      <c r="WUP21" s="7"/>
      <c r="WUQ21" s="7"/>
      <c r="WUR21" s="7"/>
      <c r="WUS21" s="7"/>
      <c r="WUT21" s="7"/>
      <c r="WUU21" s="7"/>
      <c r="WUV21" s="7"/>
      <c r="WUW21" s="7"/>
      <c r="WUX21" s="7"/>
      <c r="WUY21" s="7"/>
      <c r="WUZ21" s="7"/>
      <c r="WVA21" s="7"/>
      <c r="WVB21" s="7"/>
      <c r="WVC21" s="7"/>
      <c r="WVD21" s="7"/>
      <c r="WVE21" s="7"/>
      <c r="WVF21" s="7"/>
      <c r="WVG21" s="7"/>
      <c r="WVH21" s="7"/>
      <c r="WVI21" s="7"/>
      <c r="WVJ21" s="7"/>
      <c r="WVK21" s="7"/>
      <c r="WVL21" s="7"/>
      <c r="WVM21" s="7"/>
      <c r="WVN21" s="7"/>
      <c r="WVO21" s="7"/>
      <c r="WVP21" s="7"/>
      <c r="WVQ21" s="7"/>
      <c r="WVR21" s="7"/>
      <c r="WVS21" s="7"/>
      <c r="WVT21" s="7"/>
      <c r="WVU21" s="7"/>
      <c r="WVV21" s="7"/>
      <c r="WVW21" s="7"/>
      <c r="WVX21" s="7"/>
      <c r="WVY21" s="7"/>
      <c r="WVZ21" s="7"/>
      <c r="WWA21" s="7"/>
      <c r="WWB21" s="7"/>
      <c r="WWC21" s="7"/>
      <c r="WWD21" s="7"/>
      <c r="WWE21" s="7"/>
      <c r="WWF21" s="7"/>
      <c r="WWG21" s="7"/>
      <c r="WWH21" s="7"/>
      <c r="WWI21" s="7"/>
      <c r="WWJ21" s="7"/>
      <c r="WWK21" s="7"/>
      <c r="WWL21" s="7"/>
      <c r="WWM21" s="7"/>
      <c r="WWN21" s="7"/>
      <c r="WWO21" s="7"/>
      <c r="WWP21" s="7"/>
      <c r="WWQ21" s="7"/>
      <c r="WWR21" s="7"/>
      <c r="WWS21" s="7"/>
      <c r="WWT21" s="7"/>
      <c r="WWU21" s="7"/>
      <c r="WWV21" s="7"/>
      <c r="WWW21" s="7"/>
      <c r="WWX21" s="7"/>
      <c r="WWY21" s="7"/>
      <c r="WWZ21" s="7"/>
      <c r="WXA21" s="7"/>
      <c r="WXB21" s="7"/>
      <c r="WXC21" s="7"/>
      <c r="WXD21" s="7"/>
      <c r="WXE21" s="7"/>
      <c r="WXF21" s="7"/>
      <c r="WXG21" s="7"/>
      <c r="WXH21" s="7"/>
      <c r="WXI21" s="7"/>
      <c r="WXJ21" s="7"/>
      <c r="WXK21" s="7"/>
      <c r="WXL21" s="7"/>
      <c r="WXM21" s="7"/>
      <c r="WXN21" s="7"/>
      <c r="WXO21" s="7"/>
      <c r="WXP21" s="7"/>
      <c r="WXQ21" s="7"/>
      <c r="WXR21" s="7"/>
      <c r="WXS21" s="7"/>
      <c r="WXT21" s="7"/>
      <c r="WXU21" s="7"/>
      <c r="WXV21" s="7"/>
      <c r="WXW21" s="7"/>
      <c r="WXX21" s="7"/>
      <c r="WXY21" s="7"/>
      <c r="WXZ21" s="7"/>
      <c r="WYA21" s="7"/>
      <c r="WYB21" s="7"/>
      <c r="WYC21" s="7"/>
      <c r="WYD21" s="7"/>
      <c r="WYE21" s="7"/>
      <c r="WYF21" s="7"/>
      <c r="WYG21" s="7"/>
      <c r="WYH21" s="7"/>
      <c r="WYI21" s="7"/>
      <c r="WYJ21" s="7"/>
      <c r="WYK21" s="7"/>
      <c r="WYL21" s="7"/>
      <c r="WYM21" s="7"/>
      <c r="WYN21" s="7"/>
      <c r="WYO21" s="7"/>
      <c r="WYP21" s="7"/>
      <c r="WYQ21" s="7"/>
      <c r="WYR21" s="7"/>
      <c r="WYS21" s="7"/>
      <c r="WYT21" s="7"/>
      <c r="WYU21" s="7"/>
      <c r="WYV21" s="7"/>
      <c r="WYW21" s="7"/>
      <c r="WYX21" s="7"/>
      <c r="WYY21" s="7"/>
      <c r="WYZ21" s="7"/>
      <c r="WZA21" s="7"/>
      <c r="WZB21" s="7"/>
      <c r="WZC21" s="7"/>
      <c r="WZD21" s="7"/>
      <c r="WZE21" s="7"/>
      <c r="WZF21" s="7"/>
      <c r="WZG21" s="7"/>
      <c r="WZH21" s="7"/>
      <c r="WZI21" s="7"/>
      <c r="WZJ21" s="7"/>
      <c r="WZK21" s="7"/>
      <c r="WZL21" s="7"/>
      <c r="WZM21" s="7"/>
      <c r="WZN21" s="7"/>
      <c r="WZO21" s="7"/>
      <c r="WZP21" s="7"/>
      <c r="WZQ21" s="7"/>
      <c r="WZR21" s="7"/>
      <c r="WZS21" s="7"/>
      <c r="WZT21" s="7"/>
      <c r="WZU21" s="7"/>
      <c r="WZV21" s="7"/>
      <c r="WZW21" s="7"/>
      <c r="WZX21" s="7"/>
      <c r="WZY21" s="7"/>
      <c r="WZZ21" s="7"/>
      <c r="XAA21" s="7"/>
      <c r="XAB21" s="7"/>
      <c r="XAC21" s="7"/>
      <c r="XAD21" s="7"/>
      <c r="XAE21" s="7"/>
      <c r="XAF21" s="7"/>
      <c r="XAG21" s="7"/>
      <c r="XAH21" s="7"/>
      <c r="XAI21" s="7"/>
      <c r="XAJ21" s="7"/>
      <c r="XAK21" s="7"/>
      <c r="XAL21" s="7"/>
      <c r="XAM21" s="7"/>
      <c r="XAN21" s="7"/>
      <c r="XAO21" s="7"/>
      <c r="XAP21" s="7"/>
      <c r="XAQ21" s="7"/>
      <c r="XAR21" s="7"/>
      <c r="XAS21" s="7"/>
      <c r="XAT21" s="7"/>
      <c r="XAU21" s="7"/>
      <c r="XAV21" s="7"/>
      <c r="XAW21" s="7"/>
      <c r="XAX21" s="7"/>
      <c r="XAY21" s="7"/>
      <c r="XAZ21" s="7"/>
      <c r="XBA21" s="7"/>
      <c r="XBB21" s="7"/>
      <c r="XBC21" s="7"/>
      <c r="XBD21" s="7"/>
      <c r="XBE21" s="7"/>
      <c r="XBF21" s="7"/>
      <c r="XBG21" s="7"/>
      <c r="XBH21" s="7"/>
      <c r="XBI21" s="7"/>
      <c r="XBJ21" s="7"/>
      <c r="XBK21" s="7"/>
      <c r="XBL21" s="7"/>
      <c r="XBM21" s="7"/>
      <c r="XBN21" s="7"/>
      <c r="XBO21" s="7"/>
      <c r="XBP21" s="7"/>
      <c r="XBQ21" s="7"/>
      <c r="XBR21" s="7"/>
      <c r="XBS21" s="7"/>
      <c r="XBT21" s="7"/>
      <c r="XBU21" s="7"/>
      <c r="XBV21" s="7"/>
      <c r="XBW21" s="7"/>
      <c r="XBX21" s="7"/>
      <c r="XBY21" s="7"/>
      <c r="XBZ21" s="7"/>
      <c r="XCA21" s="7"/>
      <c r="XCB21" s="7"/>
      <c r="XCC21" s="7"/>
      <c r="XCD21" s="7"/>
      <c r="XCE21" s="7"/>
      <c r="XCF21" s="7"/>
      <c r="XCG21" s="7"/>
      <c r="XCH21" s="7"/>
      <c r="XCI21" s="7"/>
      <c r="XCJ21" s="7"/>
      <c r="XCK21" s="7"/>
      <c r="XCL21" s="7"/>
      <c r="XCM21" s="7"/>
      <c r="XCN21" s="7"/>
      <c r="XCO21" s="7"/>
      <c r="XCP21" s="7"/>
      <c r="XCQ21" s="7"/>
      <c r="XCR21" s="7"/>
      <c r="XCS21" s="7"/>
      <c r="XCT21" s="7"/>
      <c r="XCU21" s="7"/>
      <c r="XCV21" s="7"/>
      <c r="XCW21" s="7"/>
      <c r="XCX21" s="7"/>
      <c r="XCY21" s="7"/>
      <c r="XCZ21" s="7"/>
      <c r="XDA21" s="7"/>
      <c r="XDB21" s="7"/>
      <c r="XDC21" s="7"/>
      <c r="XDD21" s="7"/>
      <c r="XDE21" s="7"/>
      <c r="XDF21" s="7"/>
      <c r="XDG21" s="7"/>
      <c r="XDH21" s="7"/>
      <c r="XDI21" s="7"/>
      <c r="XDJ21" s="7"/>
      <c r="XDK21" s="7"/>
      <c r="XDL21" s="7"/>
      <c r="XDM21" s="7"/>
      <c r="XDN21" s="7"/>
      <c r="XDO21" s="7"/>
      <c r="XDP21" s="7"/>
      <c r="XDQ21" s="7"/>
      <c r="XDR21" s="7"/>
      <c r="XDS21" s="7"/>
      <c r="XDT21" s="7"/>
      <c r="XDU21" s="7"/>
      <c r="XDV21" s="7"/>
      <c r="XDW21" s="7"/>
      <c r="XDX21" s="7"/>
      <c r="XDY21" s="7"/>
      <c r="XDZ21" s="7"/>
      <c r="XEA21" s="7"/>
      <c r="XEB21" s="7"/>
      <c r="XEC21" s="7"/>
      <c r="XED21" s="7"/>
      <c r="XEE21" s="7"/>
      <c r="XEF21" s="7"/>
      <c r="XEG21" s="7"/>
      <c r="XEH21" s="7"/>
      <c r="XEI21" s="7"/>
      <c r="XEJ21" s="7"/>
      <c r="XEK21" s="7"/>
      <c r="XEL21" s="7"/>
      <c r="XEM21" s="7"/>
      <c r="XEN21" s="7"/>
      <c r="XEO21" s="7"/>
      <c r="XEP21" s="7"/>
      <c r="XEQ21" s="7"/>
      <c r="XER21" s="7"/>
      <c r="XES21" s="7"/>
      <c r="XET21" s="7"/>
      <c r="XEU21" s="7"/>
      <c r="XEV21" s="7"/>
      <c r="XEW21" s="7"/>
      <c r="XEX21" s="7"/>
      <c r="XEY21" s="7"/>
      <c r="XEZ21" s="7"/>
      <c r="XFA21" s="7"/>
      <c r="XFB21" s="7"/>
      <c r="XFC21" s="7"/>
    </row>
    <row r="22" spans="1:16383" s="76" customFormat="1" ht="15" x14ac:dyDescent="0.25">
      <c r="A22" s="6" t="s">
        <v>66</v>
      </c>
      <c r="B22" s="41" t="s">
        <v>52</v>
      </c>
      <c r="C22" s="85">
        <v>3</v>
      </c>
      <c r="D22" s="86">
        <v>84</v>
      </c>
      <c r="E22" s="86">
        <v>121</v>
      </c>
      <c r="F22" s="86">
        <v>145</v>
      </c>
      <c r="G22" s="86">
        <v>172</v>
      </c>
      <c r="H22" s="86">
        <v>190</v>
      </c>
      <c r="I22" s="86">
        <v>206</v>
      </c>
      <c r="J22" s="86">
        <v>243</v>
      </c>
      <c r="K22" s="86">
        <v>280</v>
      </c>
      <c r="L22" s="85">
        <v>2</v>
      </c>
      <c r="M22" s="86">
        <v>317</v>
      </c>
      <c r="N22" s="86">
        <v>354</v>
      </c>
      <c r="O22" s="86">
        <v>391</v>
      </c>
      <c r="P22" s="86">
        <v>428</v>
      </c>
      <c r="Q22" s="86">
        <v>465</v>
      </c>
      <c r="R22" s="86">
        <v>502</v>
      </c>
      <c r="S22" s="86">
        <v>539</v>
      </c>
      <c r="T22" s="86">
        <v>576</v>
      </c>
      <c r="U22" s="86">
        <v>587.5</v>
      </c>
      <c r="V22" s="86">
        <v>606.25</v>
      </c>
      <c r="W22" s="86">
        <v>625</v>
      </c>
      <c r="X22" s="86">
        <v>643.75</v>
      </c>
      <c r="Y22" s="86">
        <v>662.5</v>
      </c>
      <c r="Z22" s="86">
        <v>681.25</v>
      </c>
      <c r="AA22" s="86">
        <v>700</v>
      </c>
      <c r="AB22" s="86">
        <v>718.75</v>
      </c>
      <c r="AC22" s="86">
        <v>737.5</v>
      </c>
      <c r="AD22" s="86">
        <v>756.25</v>
      </c>
      <c r="AE22" s="86">
        <v>775</v>
      </c>
      <c r="AF22" s="86">
        <v>793.75</v>
      </c>
      <c r="AG22" s="86">
        <v>812.5</v>
      </c>
      <c r="AH22" s="86">
        <v>816.25</v>
      </c>
      <c r="AI22" s="86">
        <v>815</v>
      </c>
      <c r="AJ22" s="86">
        <v>815</v>
      </c>
      <c r="AK22" s="86">
        <v>815</v>
      </c>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c r="IO22" s="7"/>
      <c r="IP22" s="7"/>
      <c r="IQ22" s="7"/>
      <c r="IR22" s="7"/>
      <c r="IS22" s="7"/>
      <c r="IT22" s="7"/>
      <c r="IU22" s="7"/>
      <c r="IV22" s="7"/>
      <c r="IW22" s="7"/>
      <c r="IX22" s="7"/>
      <c r="IY22" s="7"/>
      <c r="IZ22" s="7"/>
      <c r="JA22" s="7"/>
      <c r="JB22" s="7"/>
      <c r="JC22" s="7"/>
      <c r="JD22" s="7"/>
      <c r="JE22" s="7"/>
      <c r="JF22" s="7"/>
      <c r="JG22" s="7"/>
      <c r="JH22" s="7"/>
      <c r="JI22" s="7"/>
      <c r="JJ22" s="7"/>
      <c r="JK22" s="7"/>
      <c r="JL22" s="7"/>
      <c r="JM22" s="7"/>
      <c r="JN22" s="7"/>
      <c r="JO22" s="7"/>
      <c r="JP22" s="7"/>
      <c r="JQ22" s="7"/>
      <c r="JR22" s="7"/>
      <c r="JS22" s="7"/>
      <c r="JT22" s="7"/>
      <c r="JU22" s="7"/>
      <c r="JV22" s="7"/>
      <c r="JW22" s="7"/>
      <c r="JX22" s="7"/>
      <c r="JY22" s="7"/>
      <c r="JZ22" s="7"/>
      <c r="KA22" s="7"/>
      <c r="KB22" s="7"/>
      <c r="KC22" s="7"/>
      <c r="KD22" s="7"/>
      <c r="KE22" s="7"/>
      <c r="KF22" s="7"/>
      <c r="KG22" s="7"/>
      <c r="KH22" s="7"/>
      <c r="KI22" s="7"/>
      <c r="KJ22" s="7"/>
      <c r="KK22" s="7"/>
      <c r="KL22" s="7"/>
      <c r="KM22" s="7"/>
      <c r="KN22" s="7"/>
      <c r="KO22" s="7"/>
      <c r="KP22" s="7"/>
      <c r="KQ22" s="7"/>
      <c r="KR22" s="7"/>
      <c r="KS22" s="7"/>
      <c r="KT22" s="7"/>
      <c r="KU22" s="7"/>
      <c r="KV22" s="7"/>
      <c r="KW22" s="7"/>
      <c r="KX22" s="7"/>
      <c r="KY22" s="7"/>
      <c r="KZ22" s="7"/>
      <c r="LA22" s="7"/>
      <c r="LB22" s="7"/>
      <c r="LC22" s="7"/>
      <c r="LD22" s="7"/>
      <c r="LE22" s="7"/>
      <c r="LF22" s="7"/>
      <c r="LG22" s="7"/>
      <c r="LH22" s="7"/>
      <c r="LI22" s="7"/>
      <c r="LJ22" s="7"/>
      <c r="LK22" s="7"/>
      <c r="LL22" s="7"/>
      <c r="LM22" s="7"/>
      <c r="LN22" s="7"/>
      <c r="LO22" s="7"/>
      <c r="LP22" s="7"/>
      <c r="LQ22" s="7"/>
      <c r="LR22" s="7"/>
      <c r="LS22" s="7"/>
      <c r="LT22" s="7"/>
      <c r="LU22" s="7"/>
      <c r="LV22" s="7"/>
      <c r="LW22" s="7"/>
      <c r="LX22" s="7"/>
      <c r="LY22" s="7"/>
      <c r="LZ22" s="7"/>
      <c r="MA22" s="7"/>
      <c r="MB22" s="7"/>
      <c r="MC22" s="7"/>
      <c r="MD22" s="7"/>
      <c r="ME22" s="7"/>
      <c r="MF22" s="7"/>
      <c r="MG22" s="7"/>
      <c r="MH22" s="7"/>
      <c r="MI22" s="7"/>
      <c r="MJ22" s="7"/>
      <c r="MK22" s="7"/>
      <c r="ML22" s="7"/>
      <c r="MM22" s="7"/>
      <c r="MN22" s="7"/>
      <c r="MO22" s="7"/>
      <c r="MP22" s="7"/>
      <c r="MQ22" s="7"/>
      <c r="MR22" s="7"/>
      <c r="MS22" s="7"/>
      <c r="MT22" s="7"/>
      <c r="MU22" s="7"/>
      <c r="MV22" s="7"/>
      <c r="MW22" s="7"/>
      <c r="MX22" s="7"/>
      <c r="MY22" s="7"/>
      <c r="MZ22" s="7"/>
      <c r="NA22" s="7"/>
      <c r="NB22" s="7"/>
      <c r="NC22" s="7"/>
      <c r="ND22" s="7"/>
      <c r="NE22" s="7"/>
      <c r="NF22" s="7"/>
      <c r="NG22" s="7"/>
      <c r="NH22" s="7"/>
      <c r="NI22" s="7"/>
      <c r="NJ22" s="7"/>
      <c r="NK22" s="7"/>
      <c r="NL22" s="7"/>
      <c r="NM22" s="7"/>
      <c r="NN22" s="7"/>
      <c r="NO22" s="7"/>
      <c r="NP22" s="7"/>
      <c r="NQ22" s="7"/>
      <c r="NR22" s="7"/>
      <c r="NS22" s="7"/>
      <c r="NT22" s="7"/>
      <c r="NU22" s="7"/>
      <c r="NV22" s="7"/>
      <c r="NW22" s="7"/>
      <c r="NX22" s="7"/>
      <c r="NY22" s="7"/>
      <c r="NZ22" s="7"/>
      <c r="OA22" s="7"/>
      <c r="OB22" s="7"/>
      <c r="OC22" s="7"/>
      <c r="OD22" s="7"/>
      <c r="OE22" s="7"/>
      <c r="OF22" s="7"/>
      <c r="OG22" s="7"/>
      <c r="OH22" s="7"/>
      <c r="OI22" s="7"/>
      <c r="OJ22" s="7"/>
      <c r="OK22" s="7"/>
      <c r="OL22" s="7"/>
      <c r="OM22" s="7"/>
      <c r="ON22" s="7"/>
      <c r="OO22" s="7"/>
      <c r="OP22" s="7"/>
      <c r="OQ22" s="7"/>
      <c r="OR22" s="7"/>
      <c r="OS22" s="7"/>
      <c r="OT22" s="7"/>
      <c r="OU22" s="7"/>
      <c r="OV22" s="7"/>
      <c r="OW22" s="7"/>
      <c r="OX22" s="7"/>
      <c r="OY22" s="7"/>
      <c r="OZ22" s="7"/>
      <c r="PA22" s="7"/>
      <c r="PB22" s="7"/>
      <c r="PC22" s="7"/>
      <c r="PD22" s="7"/>
      <c r="PE22" s="7"/>
      <c r="PF22" s="7"/>
      <c r="PG22" s="7"/>
      <c r="PH22" s="7"/>
      <c r="PI22" s="7"/>
      <c r="PJ22" s="7"/>
      <c r="PK22" s="7"/>
      <c r="PL22" s="7"/>
      <c r="PM22" s="7"/>
      <c r="PN22" s="7"/>
      <c r="PO22" s="7"/>
      <c r="PP22" s="7"/>
      <c r="PQ22" s="7"/>
      <c r="PR22" s="7"/>
      <c r="PS22" s="7"/>
      <c r="PT22" s="7"/>
      <c r="PU22" s="7"/>
      <c r="PV22" s="7"/>
      <c r="PW22" s="7"/>
      <c r="PX22" s="7"/>
      <c r="PY22" s="7"/>
      <c r="PZ22" s="7"/>
      <c r="QA22" s="7"/>
      <c r="QB22" s="7"/>
      <c r="QC22" s="7"/>
      <c r="QD22" s="7"/>
      <c r="QE22" s="7"/>
      <c r="QF22" s="7"/>
      <c r="QG22" s="7"/>
      <c r="QH22" s="7"/>
      <c r="QI22" s="7"/>
      <c r="QJ22" s="7"/>
      <c r="QK22" s="7"/>
      <c r="QL22" s="7"/>
      <c r="QM22" s="7"/>
      <c r="QN22" s="7"/>
      <c r="QO22" s="7"/>
      <c r="QP22" s="7"/>
      <c r="QQ22" s="7"/>
      <c r="QR22" s="7"/>
      <c r="QS22" s="7"/>
      <c r="QT22" s="7"/>
      <c r="QU22" s="7"/>
      <c r="QV22" s="7"/>
      <c r="QW22" s="7"/>
      <c r="QX22" s="7"/>
      <c r="QY22" s="7"/>
      <c r="QZ22" s="7"/>
      <c r="RA22" s="7"/>
      <c r="RB22" s="7"/>
      <c r="RC22" s="7"/>
      <c r="RD22" s="7"/>
      <c r="RE22" s="7"/>
      <c r="RF22" s="7"/>
      <c r="RG22" s="7"/>
      <c r="RH22" s="7"/>
      <c r="RI22" s="7"/>
      <c r="RJ22" s="7"/>
      <c r="RK22" s="7"/>
      <c r="RL22" s="7"/>
      <c r="RM22" s="7"/>
      <c r="RN22" s="7"/>
      <c r="RO22" s="7"/>
      <c r="RP22" s="7"/>
      <c r="RQ22" s="7"/>
      <c r="RR22" s="7"/>
      <c r="RS22" s="7"/>
      <c r="RT22" s="7"/>
      <c r="RU22" s="7"/>
      <c r="RV22" s="7"/>
      <c r="RW22" s="7"/>
      <c r="RX22" s="7"/>
      <c r="RY22" s="7"/>
      <c r="RZ22" s="7"/>
      <c r="SA22" s="7"/>
      <c r="SB22" s="7"/>
      <c r="SC22" s="7"/>
      <c r="SD22" s="7"/>
      <c r="SE22" s="7"/>
      <c r="SF22" s="7"/>
      <c r="SG22" s="7"/>
      <c r="SH22" s="7"/>
      <c r="SI22" s="7"/>
      <c r="SJ22" s="7"/>
      <c r="SK22" s="7"/>
      <c r="SL22" s="7"/>
      <c r="SM22" s="7"/>
      <c r="SN22" s="7"/>
      <c r="SO22" s="7"/>
      <c r="SP22" s="7"/>
      <c r="SQ22" s="7"/>
      <c r="SR22" s="7"/>
      <c r="SS22" s="7"/>
      <c r="ST22" s="7"/>
      <c r="SU22" s="7"/>
      <c r="SV22" s="7"/>
      <c r="SW22" s="7"/>
      <c r="SX22" s="7"/>
      <c r="SY22" s="7"/>
      <c r="SZ22" s="7"/>
      <c r="TA22" s="7"/>
      <c r="TB22" s="7"/>
      <c r="TC22" s="7"/>
      <c r="TD22" s="7"/>
      <c r="TE22" s="7"/>
      <c r="TF22" s="7"/>
      <c r="TG22" s="7"/>
      <c r="TH22" s="7"/>
      <c r="TI22" s="7"/>
      <c r="TJ22" s="7"/>
      <c r="TK22" s="7"/>
      <c r="TL22" s="7"/>
      <c r="TM22" s="7"/>
      <c r="TN22" s="7"/>
      <c r="TO22" s="7"/>
      <c r="TP22" s="7"/>
      <c r="TQ22" s="7"/>
      <c r="TR22" s="7"/>
      <c r="TS22" s="7"/>
      <c r="TT22" s="7"/>
      <c r="TU22" s="7"/>
      <c r="TV22" s="7"/>
      <c r="TW22" s="7"/>
      <c r="TX22" s="7"/>
      <c r="TY22" s="7"/>
      <c r="TZ22" s="7"/>
      <c r="UA22" s="7"/>
      <c r="UB22" s="7"/>
      <c r="UC22" s="7"/>
      <c r="UD22" s="7"/>
      <c r="UE22" s="7"/>
      <c r="UF22" s="7"/>
      <c r="UG22" s="7"/>
      <c r="UH22" s="7"/>
      <c r="UI22" s="7"/>
      <c r="UJ22" s="7"/>
      <c r="UK22" s="7"/>
      <c r="UL22" s="7"/>
      <c r="UM22" s="7"/>
      <c r="UN22" s="7"/>
      <c r="UO22" s="7"/>
      <c r="UP22" s="7"/>
      <c r="UQ22" s="7"/>
      <c r="UR22" s="7"/>
      <c r="US22" s="7"/>
      <c r="UT22" s="7"/>
      <c r="UU22" s="7"/>
      <c r="UV22" s="7"/>
      <c r="UW22" s="7"/>
      <c r="UX22" s="7"/>
      <c r="UY22" s="7"/>
      <c r="UZ22" s="7"/>
      <c r="VA22" s="7"/>
      <c r="VB22" s="7"/>
      <c r="VC22" s="7"/>
      <c r="VD22" s="7"/>
      <c r="VE22" s="7"/>
      <c r="VF22" s="7"/>
      <c r="VG22" s="7"/>
      <c r="VH22" s="7"/>
      <c r="VI22" s="7"/>
      <c r="VJ22" s="7"/>
      <c r="VK22" s="7"/>
      <c r="VL22" s="7"/>
      <c r="VM22" s="7"/>
      <c r="VN22" s="7"/>
      <c r="VO22" s="7"/>
      <c r="VP22" s="7"/>
      <c r="VQ22" s="7"/>
      <c r="VR22" s="7"/>
      <c r="VS22" s="7"/>
      <c r="VT22" s="7"/>
      <c r="VU22" s="7"/>
      <c r="VV22" s="7"/>
      <c r="VW22" s="7"/>
      <c r="VX22" s="7"/>
      <c r="VY22" s="7"/>
      <c r="VZ22" s="7"/>
      <c r="WA22" s="7"/>
      <c r="WB22" s="7"/>
      <c r="WC22" s="7"/>
      <c r="WD22" s="7"/>
      <c r="WE22" s="7"/>
      <c r="WF22" s="7"/>
      <c r="WG22" s="7"/>
      <c r="WH22" s="7"/>
      <c r="WI22" s="7"/>
      <c r="WJ22" s="7"/>
      <c r="WK22" s="7"/>
      <c r="WL22" s="7"/>
      <c r="WM22" s="7"/>
      <c r="WN22" s="7"/>
      <c r="WO22" s="7"/>
      <c r="WP22" s="7"/>
      <c r="WQ22" s="7"/>
      <c r="WR22" s="7"/>
      <c r="WS22" s="7"/>
      <c r="WT22" s="7"/>
      <c r="WU22" s="7"/>
      <c r="WV22" s="7"/>
      <c r="WW22" s="7"/>
      <c r="WX22" s="7"/>
      <c r="WY22" s="7"/>
      <c r="WZ22" s="7"/>
      <c r="XA22" s="7"/>
      <c r="XB22" s="7"/>
      <c r="XC22" s="7"/>
      <c r="XD22" s="7"/>
      <c r="XE22" s="7"/>
      <c r="XF22" s="7"/>
      <c r="XG22" s="7"/>
      <c r="XH22" s="7"/>
      <c r="XI22" s="7"/>
      <c r="XJ22" s="7"/>
      <c r="XK22" s="7"/>
      <c r="XL22" s="7"/>
      <c r="XM22" s="7"/>
      <c r="XN22" s="7"/>
      <c r="XO22" s="7"/>
      <c r="XP22" s="7"/>
      <c r="XQ22" s="7"/>
      <c r="XR22" s="7"/>
      <c r="XS22" s="7"/>
      <c r="XT22" s="7"/>
      <c r="XU22" s="7"/>
      <c r="XV22" s="7"/>
      <c r="XW22" s="7"/>
      <c r="XX22" s="7"/>
      <c r="XY22" s="7"/>
      <c r="XZ22" s="7"/>
      <c r="YA22" s="7"/>
      <c r="YB22" s="7"/>
      <c r="YC22" s="7"/>
      <c r="YD22" s="7"/>
      <c r="YE22" s="7"/>
      <c r="YF22" s="7"/>
      <c r="YG22" s="7"/>
      <c r="YH22" s="7"/>
      <c r="YI22" s="7"/>
      <c r="YJ22" s="7"/>
      <c r="YK22" s="7"/>
      <c r="YL22" s="7"/>
      <c r="YM22" s="7"/>
      <c r="YN22" s="7"/>
      <c r="YO22" s="7"/>
      <c r="YP22" s="7"/>
      <c r="YQ22" s="7"/>
      <c r="YR22" s="7"/>
      <c r="YS22" s="7"/>
      <c r="YT22" s="7"/>
      <c r="YU22" s="7"/>
      <c r="YV22" s="7"/>
      <c r="YW22" s="7"/>
      <c r="YX22" s="7"/>
      <c r="YY22" s="7"/>
      <c r="YZ22" s="7"/>
      <c r="ZA22" s="7"/>
      <c r="ZB22" s="7"/>
      <c r="ZC22" s="7"/>
      <c r="ZD22" s="7"/>
      <c r="ZE22" s="7"/>
      <c r="ZF22" s="7"/>
      <c r="ZG22" s="7"/>
      <c r="ZH22" s="7"/>
      <c r="ZI22" s="7"/>
      <c r="ZJ22" s="7"/>
      <c r="ZK22" s="7"/>
      <c r="ZL22" s="7"/>
      <c r="ZM22" s="7"/>
      <c r="ZN22" s="7"/>
      <c r="ZO22" s="7"/>
      <c r="ZP22" s="7"/>
      <c r="ZQ22" s="7"/>
      <c r="ZR22" s="7"/>
      <c r="ZS22" s="7"/>
      <c r="ZT22" s="7"/>
      <c r="ZU22" s="7"/>
      <c r="ZV22" s="7"/>
      <c r="ZW22" s="7"/>
      <c r="ZX22" s="7"/>
      <c r="ZY22" s="7"/>
      <c r="ZZ22" s="7"/>
      <c r="AAA22" s="7"/>
      <c r="AAB22" s="7"/>
      <c r="AAC22" s="7"/>
      <c r="AAD22" s="7"/>
      <c r="AAE22" s="7"/>
      <c r="AAF22" s="7"/>
      <c r="AAG22" s="7"/>
      <c r="AAH22" s="7"/>
      <c r="AAI22" s="7"/>
      <c r="AAJ22" s="7"/>
      <c r="AAK22" s="7"/>
      <c r="AAL22" s="7"/>
      <c r="AAM22" s="7"/>
      <c r="AAN22" s="7"/>
      <c r="AAO22" s="7"/>
      <c r="AAP22" s="7"/>
      <c r="AAQ22" s="7"/>
      <c r="AAR22" s="7"/>
      <c r="AAS22" s="7"/>
      <c r="AAT22" s="7"/>
      <c r="AAU22" s="7"/>
      <c r="AAV22" s="7"/>
      <c r="AAW22" s="7"/>
      <c r="AAX22" s="7"/>
      <c r="AAY22" s="7"/>
      <c r="AAZ22" s="7"/>
      <c r="ABA22" s="7"/>
      <c r="ABB22" s="7"/>
      <c r="ABC22" s="7"/>
      <c r="ABD22" s="7"/>
      <c r="ABE22" s="7"/>
      <c r="ABF22" s="7"/>
      <c r="ABG22" s="7"/>
      <c r="ABH22" s="7"/>
      <c r="ABI22" s="7"/>
      <c r="ABJ22" s="7"/>
      <c r="ABK22" s="7"/>
      <c r="ABL22" s="7"/>
      <c r="ABM22" s="7"/>
      <c r="ABN22" s="7"/>
      <c r="ABO22" s="7"/>
      <c r="ABP22" s="7"/>
      <c r="ABQ22" s="7"/>
      <c r="ABR22" s="7"/>
      <c r="ABS22" s="7"/>
      <c r="ABT22" s="7"/>
      <c r="ABU22" s="7"/>
      <c r="ABV22" s="7"/>
      <c r="ABW22" s="7"/>
      <c r="ABX22" s="7"/>
      <c r="ABY22" s="7"/>
      <c r="ABZ22" s="7"/>
      <c r="ACA22" s="7"/>
      <c r="ACB22" s="7"/>
      <c r="ACC22" s="7"/>
      <c r="ACD22" s="7"/>
      <c r="ACE22" s="7"/>
      <c r="ACF22" s="7"/>
      <c r="ACG22" s="7"/>
      <c r="ACH22" s="7"/>
      <c r="ACI22" s="7"/>
      <c r="ACJ22" s="7"/>
      <c r="ACK22" s="7"/>
      <c r="ACL22" s="7"/>
      <c r="ACM22" s="7"/>
      <c r="ACN22" s="7"/>
      <c r="ACO22" s="7"/>
      <c r="ACP22" s="7"/>
      <c r="ACQ22" s="7"/>
      <c r="ACR22" s="7"/>
      <c r="ACS22" s="7"/>
      <c r="ACT22" s="7"/>
      <c r="ACU22" s="7"/>
      <c r="ACV22" s="7"/>
      <c r="ACW22" s="7"/>
      <c r="ACX22" s="7"/>
      <c r="ACY22" s="7"/>
      <c r="ACZ22" s="7"/>
      <c r="ADA22" s="7"/>
      <c r="ADB22" s="7"/>
      <c r="ADC22" s="7"/>
      <c r="ADD22" s="7"/>
      <c r="ADE22" s="7"/>
      <c r="ADF22" s="7"/>
      <c r="ADG22" s="7"/>
      <c r="ADH22" s="7"/>
      <c r="ADI22" s="7"/>
      <c r="ADJ22" s="7"/>
      <c r="ADK22" s="7"/>
      <c r="ADL22" s="7"/>
      <c r="ADM22" s="7"/>
      <c r="ADN22" s="7"/>
      <c r="ADO22" s="7"/>
      <c r="ADP22" s="7"/>
      <c r="ADQ22" s="7"/>
      <c r="ADR22" s="7"/>
      <c r="ADS22" s="7"/>
      <c r="ADT22" s="7"/>
      <c r="ADU22" s="7"/>
      <c r="ADV22" s="7"/>
      <c r="ADW22" s="7"/>
      <c r="ADX22" s="7"/>
      <c r="ADY22" s="7"/>
      <c r="ADZ22" s="7"/>
      <c r="AEA22" s="7"/>
      <c r="AEB22" s="7"/>
      <c r="AEC22" s="7"/>
      <c r="AED22" s="7"/>
      <c r="AEE22" s="7"/>
      <c r="AEF22" s="7"/>
      <c r="AEG22" s="7"/>
      <c r="AEH22" s="7"/>
      <c r="AEI22" s="7"/>
      <c r="AEJ22" s="7"/>
      <c r="AEK22" s="7"/>
      <c r="AEL22" s="7"/>
      <c r="AEM22" s="7"/>
      <c r="AEN22" s="7"/>
      <c r="AEO22" s="7"/>
      <c r="AEP22" s="7"/>
      <c r="AEQ22" s="7"/>
      <c r="AER22" s="7"/>
      <c r="AES22" s="7"/>
      <c r="AET22" s="7"/>
      <c r="AEU22" s="7"/>
      <c r="AEV22" s="7"/>
      <c r="AEW22" s="7"/>
      <c r="AEX22" s="7"/>
      <c r="AEY22" s="7"/>
      <c r="AEZ22" s="7"/>
      <c r="AFA22" s="7"/>
      <c r="AFB22" s="7"/>
      <c r="AFC22" s="7"/>
      <c r="AFD22" s="7"/>
      <c r="AFE22" s="7"/>
      <c r="AFF22" s="7"/>
      <c r="AFG22" s="7"/>
      <c r="AFH22" s="7"/>
      <c r="AFI22" s="7"/>
      <c r="AFJ22" s="7"/>
      <c r="AFK22" s="7"/>
      <c r="AFL22" s="7"/>
      <c r="AFM22" s="7"/>
      <c r="AFN22" s="7"/>
      <c r="AFO22" s="7"/>
      <c r="AFP22" s="7"/>
      <c r="AFQ22" s="7"/>
      <c r="AFR22" s="7"/>
      <c r="AFS22" s="7"/>
      <c r="AFT22" s="7"/>
      <c r="AFU22" s="7"/>
      <c r="AFV22" s="7"/>
      <c r="AFW22" s="7"/>
      <c r="AFX22" s="7"/>
      <c r="AFY22" s="7"/>
      <c r="AFZ22" s="7"/>
      <c r="AGA22" s="7"/>
      <c r="AGB22" s="7"/>
      <c r="AGC22" s="7"/>
      <c r="AGD22" s="7"/>
      <c r="AGE22" s="7"/>
      <c r="AGF22" s="7"/>
      <c r="AGG22" s="7"/>
      <c r="AGH22" s="7"/>
      <c r="AGI22" s="7"/>
      <c r="AGJ22" s="7"/>
      <c r="AGK22" s="7"/>
      <c r="AGL22" s="7"/>
      <c r="AGM22" s="7"/>
      <c r="AGN22" s="7"/>
      <c r="AGO22" s="7"/>
      <c r="AGP22" s="7"/>
      <c r="AGQ22" s="7"/>
      <c r="AGR22" s="7"/>
      <c r="AGS22" s="7"/>
      <c r="AGT22" s="7"/>
      <c r="AGU22" s="7"/>
      <c r="AGV22" s="7"/>
      <c r="AGW22" s="7"/>
      <c r="AGX22" s="7"/>
      <c r="AGY22" s="7"/>
      <c r="AGZ22" s="7"/>
      <c r="AHA22" s="7"/>
      <c r="AHB22" s="7"/>
      <c r="AHC22" s="7"/>
      <c r="AHD22" s="7"/>
      <c r="AHE22" s="7"/>
      <c r="AHF22" s="7"/>
      <c r="AHG22" s="7"/>
      <c r="AHH22" s="7"/>
      <c r="AHI22" s="7"/>
      <c r="AHJ22" s="7"/>
      <c r="AHK22" s="7"/>
      <c r="AHL22" s="7"/>
      <c r="AHM22" s="7"/>
      <c r="AHN22" s="7"/>
      <c r="AHO22" s="7"/>
      <c r="AHP22" s="7"/>
      <c r="AHQ22" s="7"/>
      <c r="AHR22" s="7"/>
      <c r="AHS22" s="7"/>
      <c r="AHT22" s="7"/>
      <c r="AHU22" s="7"/>
      <c r="AHV22" s="7"/>
      <c r="AHW22" s="7"/>
      <c r="AHX22" s="7"/>
      <c r="AHY22" s="7"/>
      <c r="AHZ22" s="7"/>
      <c r="AIA22" s="7"/>
      <c r="AIB22" s="7"/>
      <c r="AIC22" s="7"/>
      <c r="AID22" s="7"/>
      <c r="AIE22" s="7"/>
      <c r="AIF22" s="7"/>
      <c r="AIG22" s="7"/>
      <c r="AIH22" s="7"/>
      <c r="AII22" s="7"/>
      <c r="AIJ22" s="7"/>
      <c r="AIK22" s="7"/>
      <c r="AIL22" s="7"/>
      <c r="AIM22" s="7"/>
      <c r="AIN22" s="7"/>
      <c r="AIO22" s="7"/>
      <c r="AIP22" s="7"/>
      <c r="AIQ22" s="7"/>
      <c r="AIR22" s="7"/>
      <c r="AIS22" s="7"/>
      <c r="AIT22" s="7"/>
      <c r="AIU22" s="7"/>
      <c r="AIV22" s="7"/>
      <c r="AIW22" s="7"/>
      <c r="AIX22" s="7"/>
      <c r="AIY22" s="7"/>
      <c r="AIZ22" s="7"/>
      <c r="AJA22" s="7"/>
      <c r="AJB22" s="7"/>
      <c r="AJC22" s="7"/>
      <c r="AJD22" s="7"/>
      <c r="AJE22" s="7"/>
      <c r="AJF22" s="7"/>
      <c r="AJG22" s="7"/>
      <c r="AJH22" s="7"/>
      <c r="AJI22" s="7"/>
      <c r="AJJ22" s="7"/>
      <c r="AJK22" s="7"/>
      <c r="AJL22" s="7"/>
      <c r="AJM22" s="7"/>
      <c r="AJN22" s="7"/>
      <c r="AJO22" s="7"/>
      <c r="AJP22" s="7"/>
      <c r="AJQ22" s="7"/>
      <c r="AJR22" s="7"/>
      <c r="AJS22" s="7"/>
      <c r="AJT22" s="7"/>
      <c r="AJU22" s="7"/>
      <c r="AJV22" s="7"/>
      <c r="AJW22" s="7"/>
      <c r="AJX22" s="7"/>
      <c r="AJY22" s="7"/>
      <c r="AJZ22" s="7"/>
      <c r="AKA22" s="7"/>
      <c r="AKB22" s="7"/>
      <c r="AKC22" s="7"/>
      <c r="AKD22" s="7"/>
      <c r="AKE22" s="7"/>
      <c r="AKF22" s="7"/>
      <c r="AKG22" s="7"/>
      <c r="AKH22" s="7"/>
      <c r="AKI22" s="7"/>
      <c r="AKJ22" s="7"/>
      <c r="AKK22" s="7"/>
      <c r="AKL22" s="7"/>
      <c r="AKM22" s="7"/>
      <c r="AKN22" s="7"/>
      <c r="AKO22" s="7"/>
      <c r="AKP22" s="7"/>
      <c r="AKQ22" s="7"/>
      <c r="AKR22" s="7"/>
      <c r="AKS22" s="7"/>
      <c r="AKT22" s="7"/>
      <c r="AKU22" s="7"/>
      <c r="AKV22" s="7"/>
      <c r="AKW22" s="7"/>
      <c r="AKX22" s="7"/>
      <c r="AKY22" s="7"/>
      <c r="AKZ22" s="7"/>
      <c r="ALA22" s="7"/>
      <c r="ALB22" s="7"/>
      <c r="ALC22" s="7"/>
      <c r="ALD22" s="7"/>
      <c r="ALE22" s="7"/>
      <c r="ALF22" s="7"/>
      <c r="ALG22" s="7"/>
      <c r="ALH22" s="7"/>
      <c r="ALI22" s="7"/>
      <c r="ALJ22" s="7"/>
      <c r="ALK22" s="7"/>
      <c r="ALL22" s="7"/>
      <c r="ALM22" s="7"/>
      <c r="ALN22" s="7"/>
      <c r="ALO22" s="7"/>
      <c r="ALP22" s="7"/>
      <c r="ALQ22" s="7"/>
      <c r="ALR22" s="7"/>
      <c r="ALS22" s="7"/>
      <c r="ALT22" s="7"/>
      <c r="ALU22" s="7"/>
      <c r="ALV22" s="7"/>
      <c r="ALW22" s="7"/>
      <c r="ALX22" s="7"/>
      <c r="ALY22" s="7"/>
      <c r="ALZ22" s="7"/>
      <c r="AMA22" s="7"/>
      <c r="AMB22" s="7"/>
      <c r="AMC22" s="7"/>
      <c r="AMD22" s="7"/>
      <c r="AME22" s="7"/>
      <c r="AMF22" s="7"/>
      <c r="AMG22" s="7"/>
      <c r="AMH22" s="7"/>
      <c r="AMI22" s="7"/>
      <c r="AMJ22" s="7"/>
      <c r="AMK22" s="7"/>
      <c r="AML22" s="7"/>
      <c r="AMM22" s="7"/>
      <c r="AMN22" s="7"/>
      <c r="AMO22" s="7"/>
      <c r="AMP22" s="7"/>
      <c r="AMQ22" s="7"/>
      <c r="AMR22" s="7"/>
      <c r="AMS22" s="7"/>
      <c r="AMT22" s="7"/>
      <c r="AMU22" s="7"/>
      <c r="AMV22" s="7"/>
      <c r="AMW22" s="7"/>
      <c r="AMX22" s="7"/>
      <c r="AMY22" s="7"/>
      <c r="AMZ22" s="7"/>
      <c r="ANA22" s="7"/>
      <c r="ANB22" s="7"/>
      <c r="ANC22" s="7"/>
      <c r="AND22" s="7"/>
      <c r="ANE22" s="7"/>
      <c r="ANF22" s="7"/>
      <c r="ANG22" s="7"/>
      <c r="ANH22" s="7"/>
      <c r="ANI22" s="7"/>
      <c r="ANJ22" s="7"/>
      <c r="ANK22" s="7"/>
      <c r="ANL22" s="7"/>
      <c r="ANM22" s="7"/>
      <c r="ANN22" s="7"/>
      <c r="ANO22" s="7"/>
      <c r="ANP22" s="7"/>
      <c r="ANQ22" s="7"/>
      <c r="ANR22" s="7"/>
      <c r="ANS22" s="7"/>
      <c r="ANT22" s="7"/>
      <c r="ANU22" s="7"/>
      <c r="ANV22" s="7"/>
      <c r="ANW22" s="7"/>
      <c r="ANX22" s="7"/>
      <c r="ANY22" s="7"/>
      <c r="ANZ22" s="7"/>
      <c r="AOA22" s="7"/>
      <c r="AOB22" s="7"/>
      <c r="AOC22" s="7"/>
      <c r="AOD22" s="7"/>
      <c r="AOE22" s="7"/>
      <c r="AOF22" s="7"/>
      <c r="AOG22" s="7"/>
      <c r="AOH22" s="7"/>
      <c r="AOI22" s="7"/>
      <c r="AOJ22" s="7"/>
      <c r="AOK22" s="7"/>
      <c r="AOL22" s="7"/>
      <c r="AOM22" s="7"/>
      <c r="AON22" s="7"/>
      <c r="AOO22" s="7"/>
      <c r="AOP22" s="7"/>
      <c r="AOQ22" s="7"/>
      <c r="AOR22" s="7"/>
      <c r="AOS22" s="7"/>
      <c r="AOT22" s="7"/>
      <c r="AOU22" s="7"/>
      <c r="AOV22" s="7"/>
      <c r="AOW22" s="7"/>
      <c r="AOX22" s="7"/>
      <c r="AOY22" s="7"/>
      <c r="AOZ22" s="7"/>
      <c r="APA22" s="7"/>
      <c r="APB22" s="7"/>
      <c r="APC22" s="7"/>
      <c r="APD22" s="7"/>
      <c r="APE22" s="7"/>
      <c r="APF22" s="7"/>
      <c r="APG22" s="7"/>
      <c r="APH22" s="7"/>
      <c r="API22" s="7"/>
      <c r="APJ22" s="7"/>
      <c r="APK22" s="7"/>
      <c r="APL22" s="7"/>
      <c r="APM22" s="7"/>
      <c r="APN22" s="7"/>
      <c r="APO22" s="7"/>
      <c r="APP22" s="7"/>
      <c r="APQ22" s="7"/>
      <c r="APR22" s="7"/>
      <c r="APS22" s="7"/>
      <c r="APT22" s="7"/>
      <c r="APU22" s="7"/>
      <c r="APV22" s="7"/>
      <c r="APW22" s="7"/>
      <c r="APX22" s="7"/>
      <c r="APY22" s="7"/>
      <c r="APZ22" s="7"/>
      <c r="AQA22" s="7"/>
      <c r="AQB22" s="7"/>
      <c r="AQC22" s="7"/>
      <c r="AQD22" s="7"/>
      <c r="AQE22" s="7"/>
      <c r="AQF22" s="7"/>
      <c r="AQG22" s="7"/>
      <c r="AQH22" s="7"/>
      <c r="AQI22" s="7"/>
      <c r="AQJ22" s="7"/>
      <c r="AQK22" s="7"/>
      <c r="AQL22" s="7"/>
      <c r="AQM22" s="7"/>
      <c r="AQN22" s="7"/>
      <c r="AQO22" s="7"/>
      <c r="AQP22" s="7"/>
      <c r="AQQ22" s="7"/>
      <c r="AQR22" s="7"/>
      <c r="AQS22" s="7"/>
      <c r="AQT22" s="7"/>
      <c r="AQU22" s="7"/>
      <c r="AQV22" s="7"/>
      <c r="AQW22" s="7"/>
      <c r="AQX22" s="7"/>
      <c r="AQY22" s="7"/>
      <c r="AQZ22" s="7"/>
      <c r="ARA22" s="7"/>
      <c r="ARB22" s="7"/>
      <c r="ARC22" s="7"/>
      <c r="ARD22" s="7"/>
      <c r="ARE22" s="7"/>
      <c r="ARF22" s="7"/>
      <c r="ARG22" s="7"/>
      <c r="ARH22" s="7"/>
      <c r="ARI22" s="7"/>
      <c r="ARJ22" s="7"/>
      <c r="ARK22" s="7"/>
      <c r="ARL22" s="7"/>
      <c r="ARM22" s="7"/>
      <c r="ARN22" s="7"/>
      <c r="ARO22" s="7"/>
      <c r="ARP22" s="7"/>
      <c r="ARQ22" s="7"/>
      <c r="ARR22" s="7"/>
      <c r="ARS22" s="7"/>
      <c r="ART22" s="7"/>
      <c r="ARU22" s="7"/>
      <c r="ARV22" s="7"/>
      <c r="ARW22" s="7"/>
      <c r="ARX22" s="7"/>
      <c r="ARY22" s="7"/>
      <c r="ARZ22" s="7"/>
      <c r="ASA22" s="7"/>
      <c r="ASB22" s="7"/>
      <c r="ASC22" s="7"/>
      <c r="ASD22" s="7"/>
      <c r="ASE22" s="7"/>
      <c r="ASF22" s="7"/>
      <c r="ASG22" s="7"/>
      <c r="ASH22" s="7"/>
      <c r="ASI22" s="7"/>
      <c r="ASJ22" s="7"/>
      <c r="ASK22" s="7"/>
      <c r="ASL22" s="7"/>
      <c r="ASM22" s="7"/>
      <c r="ASN22" s="7"/>
      <c r="ASO22" s="7"/>
      <c r="ASP22" s="7"/>
      <c r="ASQ22" s="7"/>
      <c r="ASR22" s="7"/>
      <c r="ASS22" s="7"/>
      <c r="AST22" s="7"/>
      <c r="ASU22" s="7"/>
      <c r="ASV22" s="7"/>
      <c r="ASW22" s="7"/>
      <c r="ASX22" s="7"/>
      <c r="ASY22" s="7"/>
      <c r="ASZ22" s="7"/>
      <c r="ATA22" s="7"/>
      <c r="ATB22" s="7"/>
      <c r="ATC22" s="7"/>
      <c r="ATD22" s="7"/>
      <c r="ATE22" s="7"/>
      <c r="ATF22" s="7"/>
      <c r="ATG22" s="7"/>
      <c r="ATH22" s="7"/>
      <c r="ATI22" s="7"/>
      <c r="ATJ22" s="7"/>
      <c r="ATK22" s="7"/>
      <c r="ATL22" s="7"/>
      <c r="ATM22" s="7"/>
      <c r="ATN22" s="7"/>
      <c r="ATO22" s="7"/>
      <c r="ATP22" s="7"/>
      <c r="ATQ22" s="7"/>
      <c r="ATR22" s="7"/>
      <c r="ATS22" s="7"/>
      <c r="ATT22" s="7"/>
      <c r="ATU22" s="7"/>
      <c r="ATV22" s="7"/>
      <c r="ATW22" s="7"/>
      <c r="ATX22" s="7"/>
      <c r="ATY22" s="7"/>
      <c r="ATZ22" s="7"/>
      <c r="AUA22" s="7"/>
      <c r="AUB22" s="7"/>
      <c r="AUC22" s="7"/>
      <c r="AUD22" s="7"/>
      <c r="AUE22" s="7"/>
      <c r="AUF22" s="7"/>
      <c r="AUG22" s="7"/>
      <c r="AUH22" s="7"/>
      <c r="AUI22" s="7"/>
      <c r="AUJ22" s="7"/>
      <c r="AUK22" s="7"/>
      <c r="AUL22" s="7"/>
      <c r="AUM22" s="7"/>
      <c r="AUN22" s="7"/>
      <c r="AUO22" s="7"/>
      <c r="AUP22" s="7"/>
      <c r="AUQ22" s="7"/>
      <c r="AUR22" s="7"/>
      <c r="AUS22" s="7"/>
      <c r="AUT22" s="7"/>
      <c r="AUU22" s="7"/>
      <c r="AUV22" s="7"/>
      <c r="AUW22" s="7"/>
      <c r="AUX22" s="7"/>
      <c r="AUY22" s="7"/>
      <c r="AUZ22" s="7"/>
      <c r="AVA22" s="7"/>
      <c r="AVB22" s="7"/>
      <c r="AVC22" s="7"/>
      <c r="AVD22" s="7"/>
      <c r="AVE22" s="7"/>
      <c r="AVF22" s="7"/>
      <c r="AVG22" s="7"/>
      <c r="AVH22" s="7"/>
      <c r="AVI22" s="7"/>
      <c r="AVJ22" s="7"/>
      <c r="AVK22" s="7"/>
      <c r="AVL22" s="7"/>
      <c r="AVM22" s="7"/>
      <c r="AVN22" s="7"/>
      <c r="AVO22" s="7"/>
      <c r="AVP22" s="7"/>
      <c r="AVQ22" s="7"/>
      <c r="AVR22" s="7"/>
      <c r="AVS22" s="7"/>
      <c r="AVT22" s="7"/>
      <c r="AVU22" s="7"/>
      <c r="AVV22" s="7"/>
      <c r="AVW22" s="7"/>
      <c r="AVX22" s="7"/>
      <c r="AVY22" s="7"/>
      <c r="AVZ22" s="7"/>
      <c r="AWA22" s="7"/>
      <c r="AWB22" s="7"/>
      <c r="AWC22" s="7"/>
      <c r="AWD22" s="7"/>
      <c r="AWE22" s="7"/>
      <c r="AWF22" s="7"/>
      <c r="AWG22" s="7"/>
      <c r="AWH22" s="7"/>
      <c r="AWI22" s="7"/>
      <c r="AWJ22" s="7"/>
      <c r="AWK22" s="7"/>
      <c r="AWL22" s="7"/>
      <c r="AWM22" s="7"/>
      <c r="AWN22" s="7"/>
      <c r="AWO22" s="7"/>
      <c r="AWP22" s="7"/>
      <c r="AWQ22" s="7"/>
      <c r="AWR22" s="7"/>
      <c r="AWS22" s="7"/>
      <c r="AWT22" s="7"/>
      <c r="AWU22" s="7"/>
      <c r="AWV22" s="7"/>
      <c r="AWW22" s="7"/>
      <c r="AWX22" s="7"/>
      <c r="AWY22" s="7"/>
      <c r="AWZ22" s="7"/>
      <c r="AXA22" s="7"/>
      <c r="AXB22" s="7"/>
      <c r="AXC22" s="7"/>
      <c r="AXD22" s="7"/>
      <c r="AXE22" s="7"/>
      <c r="AXF22" s="7"/>
      <c r="AXG22" s="7"/>
      <c r="AXH22" s="7"/>
      <c r="AXI22" s="7"/>
      <c r="AXJ22" s="7"/>
      <c r="AXK22" s="7"/>
      <c r="AXL22" s="7"/>
      <c r="AXM22" s="7"/>
      <c r="AXN22" s="7"/>
      <c r="AXO22" s="7"/>
      <c r="AXP22" s="7"/>
      <c r="AXQ22" s="7"/>
      <c r="AXR22" s="7"/>
      <c r="AXS22" s="7"/>
      <c r="AXT22" s="7"/>
      <c r="AXU22" s="7"/>
      <c r="AXV22" s="7"/>
      <c r="AXW22" s="7"/>
      <c r="AXX22" s="7"/>
      <c r="AXY22" s="7"/>
      <c r="AXZ22" s="7"/>
      <c r="AYA22" s="7"/>
      <c r="AYB22" s="7"/>
      <c r="AYC22" s="7"/>
      <c r="AYD22" s="7"/>
      <c r="AYE22" s="7"/>
      <c r="AYF22" s="7"/>
      <c r="AYG22" s="7"/>
      <c r="AYH22" s="7"/>
      <c r="AYI22" s="7"/>
      <c r="AYJ22" s="7"/>
      <c r="AYK22" s="7"/>
      <c r="AYL22" s="7"/>
      <c r="AYM22" s="7"/>
      <c r="AYN22" s="7"/>
      <c r="AYO22" s="7"/>
      <c r="AYP22" s="7"/>
      <c r="AYQ22" s="7"/>
      <c r="AYR22" s="7"/>
      <c r="AYS22" s="7"/>
      <c r="AYT22" s="7"/>
      <c r="AYU22" s="7"/>
      <c r="AYV22" s="7"/>
      <c r="AYW22" s="7"/>
      <c r="AYX22" s="7"/>
      <c r="AYY22" s="7"/>
      <c r="AYZ22" s="7"/>
      <c r="AZA22" s="7"/>
      <c r="AZB22" s="7"/>
      <c r="AZC22" s="7"/>
      <c r="AZD22" s="7"/>
      <c r="AZE22" s="7"/>
      <c r="AZF22" s="7"/>
      <c r="AZG22" s="7"/>
      <c r="AZH22" s="7"/>
      <c r="AZI22" s="7"/>
      <c r="AZJ22" s="7"/>
      <c r="AZK22" s="7"/>
      <c r="AZL22" s="7"/>
      <c r="AZM22" s="7"/>
      <c r="AZN22" s="7"/>
      <c r="AZO22" s="7"/>
      <c r="AZP22" s="7"/>
      <c r="AZQ22" s="7"/>
      <c r="AZR22" s="7"/>
      <c r="AZS22" s="7"/>
      <c r="AZT22" s="7"/>
      <c r="AZU22" s="7"/>
      <c r="AZV22" s="7"/>
      <c r="AZW22" s="7"/>
      <c r="AZX22" s="7"/>
      <c r="AZY22" s="7"/>
      <c r="AZZ22" s="7"/>
      <c r="BAA22" s="7"/>
      <c r="BAB22" s="7"/>
      <c r="BAC22" s="7"/>
      <c r="BAD22" s="7"/>
      <c r="BAE22" s="7"/>
      <c r="BAF22" s="7"/>
      <c r="BAG22" s="7"/>
      <c r="BAH22" s="7"/>
      <c r="BAI22" s="7"/>
      <c r="BAJ22" s="7"/>
      <c r="BAK22" s="7"/>
      <c r="BAL22" s="7"/>
      <c r="BAM22" s="7"/>
      <c r="BAN22" s="7"/>
      <c r="BAO22" s="7"/>
      <c r="BAP22" s="7"/>
      <c r="BAQ22" s="7"/>
      <c r="BAR22" s="7"/>
      <c r="BAS22" s="7"/>
      <c r="BAT22" s="7"/>
      <c r="BAU22" s="7"/>
      <c r="BAV22" s="7"/>
      <c r="BAW22" s="7"/>
      <c r="BAX22" s="7"/>
      <c r="BAY22" s="7"/>
      <c r="BAZ22" s="7"/>
      <c r="BBA22" s="7"/>
      <c r="BBB22" s="7"/>
      <c r="BBC22" s="7"/>
      <c r="BBD22" s="7"/>
      <c r="BBE22" s="7"/>
      <c r="BBF22" s="7"/>
      <c r="BBG22" s="7"/>
      <c r="BBH22" s="7"/>
      <c r="BBI22" s="7"/>
      <c r="BBJ22" s="7"/>
      <c r="BBK22" s="7"/>
      <c r="BBL22" s="7"/>
      <c r="BBM22" s="7"/>
      <c r="BBN22" s="7"/>
      <c r="BBO22" s="7"/>
      <c r="BBP22" s="7"/>
      <c r="BBQ22" s="7"/>
      <c r="BBR22" s="7"/>
      <c r="BBS22" s="7"/>
      <c r="BBT22" s="7"/>
      <c r="BBU22" s="7"/>
      <c r="BBV22" s="7"/>
      <c r="BBW22" s="7"/>
      <c r="BBX22" s="7"/>
      <c r="BBY22" s="7"/>
      <c r="BBZ22" s="7"/>
      <c r="BCA22" s="7"/>
      <c r="BCB22" s="7"/>
      <c r="BCC22" s="7"/>
      <c r="BCD22" s="7"/>
      <c r="BCE22" s="7"/>
      <c r="BCF22" s="7"/>
      <c r="BCG22" s="7"/>
      <c r="BCH22" s="7"/>
      <c r="BCI22" s="7"/>
      <c r="BCJ22" s="7"/>
      <c r="BCK22" s="7"/>
      <c r="BCL22" s="7"/>
      <c r="BCM22" s="7"/>
      <c r="BCN22" s="7"/>
      <c r="BCO22" s="7"/>
      <c r="BCP22" s="7"/>
      <c r="BCQ22" s="7"/>
      <c r="BCR22" s="7"/>
      <c r="BCS22" s="7"/>
      <c r="BCT22" s="7"/>
      <c r="BCU22" s="7"/>
      <c r="BCV22" s="7"/>
      <c r="BCW22" s="7"/>
      <c r="BCX22" s="7"/>
      <c r="BCY22" s="7"/>
      <c r="BCZ22" s="7"/>
      <c r="BDA22" s="7"/>
      <c r="BDB22" s="7"/>
      <c r="BDC22" s="7"/>
      <c r="BDD22" s="7"/>
      <c r="BDE22" s="7"/>
      <c r="BDF22" s="7"/>
      <c r="BDG22" s="7"/>
      <c r="BDH22" s="7"/>
      <c r="BDI22" s="7"/>
      <c r="BDJ22" s="7"/>
      <c r="BDK22" s="7"/>
      <c r="BDL22" s="7"/>
      <c r="BDM22" s="7"/>
      <c r="BDN22" s="7"/>
      <c r="BDO22" s="7"/>
      <c r="BDP22" s="7"/>
      <c r="BDQ22" s="7"/>
      <c r="BDR22" s="7"/>
      <c r="BDS22" s="7"/>
      <c r="BDT22" s="7"/>
      <c r="BDU22" s="7"/>
      <c r="BDV22" s="7"/>
      <c r="BDW22" s="7"/>
      <c r="BDX22" s="7"/>
      <c r="BDY22" s="7"/>
      <c r="BDZ22" s="7"/>
      <c r="BEA22" s="7"/>
      <c r="BEB22" s="7"/>
      <c r="BEC22" s="7"/>
      <c r="BED22" s="7"/>
      <c r="BEE22" s="7"/>
      <c r="BEF22" s="7"/>
      <c r="BEG22" s="7"/>
      <c r="BEH22" s="7"/>
      <c r="BEI22" s="7"/>
      <c r="BEJ22" s="7"/>
      <c r="BEK22" s="7"/>
      <c r="BEL22" s="7"/>
      <c r="BEM22" s="7"/>
      <c r="BEN22" s="7"/>
      <c r="BEO22" s="7"/>
      <c r="BEP22" s="7"/>
      <c r="BEQ22" s="7"/>
      <c r="BER22" s="7"/>
      <c r="BES22" s="7"/>
      <c r="BET22" s="7"/>
      <c r="BEU22" s="7"/>
      <c r="BEV22" s="7"/>
      <c r="BEW22" s="7"/>
      <c r="BEX22" s="7"/>
      <c r="BEY22" s="7"/>
      <c r="BEZ22" s="7"/>
      <c r="BFA22" s="7"/>
      <c r="BFB22" s="7"/>
      <c r="BFC22" s="7"/>
      <c r="BFD22" s="7"/>
      <c r="BFE22" s="7"/>
      <c r="BFF22" s="7"/>
      <c r="BFG22" s="7"/>
      <c r="BFH22" s="7"/>
      <c r="BFI22" s="7"/>
      <c r="BFJ22" s="7"/>
      <c r="BFK22" s="7"/>
      <c r="BFL22" s="7"/>
      <c r="BFM22" s="7"/>
      <c r="BFN22" s="7"/>
      <c r="BFO22" s="7"/>
      <c r="BFP22" s="7"/>
      <c r="BFQ22" s="7"/>
      <c r="BFR22" s="7"/>
      <c r="BFS22" s="7"/>
      <c r="BFT22" s="7"/>
      <c r="BFU22" s="7"/>
      <c r="BFV22" s="7"/>
      <c r="BFW22" s="7"/>
      <c r="BFX22" s="7"/>
      <c r="BFY22" s="7"/>
      <c r="BFZ22" s="7"/>
      <c r="BGA22" s="7"/>
      <c r="BGB22" s="7"/>
      <c r="BGC22" s="7"/>
      <c r="BGD22" s="7"/>
      <c r="BGE22" s="7"/>
      <c r="BGF22" s="7"/>
      <c r="BGG22" s="7"/>
      <c r="BGH22" s="7"/>
      <c r="BGI22" s="7"/>
      <c r="BGJ22" s="7"/>
      <c r="BGK22" s="7"/>
      <c r="BGL22" s="7"/>
      <c r="BGM22" s="7"/>
      <c r="BGN22" s="7"/>
      <c r="BGO22" s="7"/>
      <c r="BGP22" s="7"/>
      <c r="BGQ22" s="7"/>
      <c r="BGR22" s="7"/>
      <c r="BGS22" s="7"/>
      <c r="BGT22" s="7"/>
      <c r="BGU22" s="7"/>
      <c r="BGV22" s="7"/>
      <c r="BGW22" s="7"/>
      <c r="BGX22" s="7"/>
      <c r="BGY22" s="7"/>
      <c r="BGZ22" s="7"/>
      <c r="BHA22" s="7"/>
      <c r="BHB22" s="7"/>
      <c r="BHC22" s="7"/>
      <c r="BHD22" s="7"/>
      <c r="BHE22" s="7"/>
      <c r="BHF22" s="7"/>
      <c r="BHG22" s="7"/>
      <c r="BHH22" s="7"/>
      <c r="BHI22" s="7"/>
      <c r="BHJ22" s="7"/>
      <c r="BHK22" s="7"/>
      <c r="BHL22" s="7"/>
      <c r="BHM22" s="7"/>
      <c r="BHN22" s="7"/>
      <c r="BHO22" s="7"/>
      <c r="BHP22" s="7"/>
      <c r="BHQ22" s="7"/>
      <c r="BHR22" s="7"/>
      <c r="BHS22" s="7"/>
      <c r="BHT22" s="7"/>
      <c r="BHU22" s="7"/>
      <c r="BHV22" s="7"/>
      <c r="BHW22" s="7"/>
      <c r="BHX22" s="7"/>
      <c r="BHY22" s="7"/>
      <c r="BHZ22" s="7"/>
      <c r="BIA22" s="7"/>
      <c r="BIB22" s="7"/>
      <c r="BIC22" s="7"/>
      <c r="BID22" s="7"/>
      <c r="BIE22" s="7"/>
      <c r="BIF22" s="7"/>
      <c r="BIG22" s="7"/>
      <c r="BIH22" s="7"/>
      <c r="BII22" s="7"/>
      <c r="BIJ22" s="7"/>
      <c r="BIK22" s="7"/>
      <c r="BIL22" s="7"/>
      <c r="BIM22" s="7"/>
      <c r="BIN22" s="7"/>
      <c r="BIO22" s="7"/>
      <c r="BIP22" s="7"/>
      <c r="BIQ22" s="7"/>
      <c r="BIR22" s="7"/>
      <c r="BIS22" s="7"/>
      <c r="BIT22" s="7"/>
      <c r="BIU22" s="7"/>
      <c r="BIV22" s="7"/>
      <c r="BIW22" s="7"/>
      <c r="BIX22" s="7"/>
      <c r="BIY22" s="7"/>
      <c r="BIZ22" s="7"/>
      <c r="BJA22" s="7"/>
      <c r="BJB22" s="7"/>
      <c r="BJC22" s="7"/>
      <c r="BJD22" s="7"/>
      <c r="BJE22" s="7"/>
      <c r="BJF22" s="7"/>
      <c r="BJG22" s="7"/>
      <c r="BJH22" s="7"/>
      <c r="BJI22" s="7"/>
      <c r="BJJ22" s="7"/>
      <c r="BJK22" s="7"/>
      <c r="BJL22" s="7"/>
      <c r="BJM22" s="7"/>
      <c r="BJN22" s="7"/>
      <c r="BJO22" s="7"/>
      <c r="BJP22" s="7"/>
      <c r="BJQ22" s="7"/>
      <c r="BJR22" s="7"/>
      <c r="BJS22" s="7"/>
      <c r="BJT22" s="7"/>
      <c r="BJU22" s="7"/>
      <c r="BJV22" s="7"/>
      <c r="BJW22" s="7"/>
      <c r="BJX22" s="7"/>
      <c r="BJY22" s="7"/>
      <c r="BJZ22" s="7"/>
      <c r="BKA22" s="7"/>
      <c r="BKB22" s="7"/>
      <c r="BKC22" s="7"/>
      <c r="BKD22" s="7"/>
      <c r="BKE22" s="7"/>
      <c r="BKF22" s="7"/>
      <c r="BKG22" s="7"/>
      <c r="BKH22" s="7"/>
      <c r="BKI22" s="7"/>
      <c r="BKJ22" s="7"/>
      <c r="BKK22" s="7"/>
      <c r="BKL22" s="7"/>
      <c r="BKM22" s="7"/>
      <c r="BKN22" s="7"/>
      <c r="BKO22" s="7"/>
      <c r="BKP22" s="7"/>
      <c r="BKQ22" s="7"/>
      <c r="BKR22" s="7"/>
      <c r="BKS22" s="7"/>
      <c r="BKT22" s="7"/>
      <c r="BKU22" s="7"/>
      <c r="BKV22" s="7"/>
      <c r="BKW22" s="7"/>
      <c r="BKX22" s="7"/>
      <c r="BKY22" s="7"/>
      <c r="BKZ22" s="7"/>
      <c r="BLA22" s="7"/>
      <c r="BLB22" s="7"/>
      <c r="BLC22" s="7"/>
      <c r="BLD22" s="7"/>
      <c r="BLE22" s="7"/>
      <c r="BLF22" s="7"/>
      <c r="BLG22" s="7"/>
      <c r="BLH22" s="7"/>
      <c r="BLI22" s="7"/>
      <c r="BLJ22" s="7"/>
      <c r="BLK22" s="7"/>
      <c r="BLL22" s="7"/>
      <c r="BLM22" s="7"/>
      <c r="BLN22" s="7"/>
      <c r="BLO22" s="7"/>
      <c r="BLP22" s="7"/>
      <c r="BLQ22" s="7"/>
      <c r="BLR22" s="7"/>
      <c r="BLS22" s="7"/>
      <c r="BLT22" s="7"/>
      <c r="BLU22" s="7"/>
      <c r="BLV22" s="7"/>
      <c r="BLW22" s="7"/>
      <c r="BLX22" s="7"/>
      <c r="BLY22" s="7"/>
      <c r="BLZ22" s="7"/>
      <c r="BMA22" s="7"/>
      <c r="BMB22" s="7"/>
      <c r="BMC22" s="7"/>
      <c r="BMD22" s="7"/>
      <c r="BME22" s="7"/>
      <c r="BMF22" s="7"/>
      <c r="BMG22" s="7"/>
      <c r="BMH22" s="7"/>
      <c r="BMI22" s="7"/>
      <c r="BMJ22" s="7"/>
      <c r="BMK22" s="7"/>
      <c r="BML22" s="7"/>
      <c r="BMM22" s="7"/>
      <c r="BMN22" s="7"/>
      <c r="BMO22" s="7"/>
      <c r="BMP22" s="7"/>
      <c r="BMQ22" s="7"/>
      <c r="BMR22" s="7"/>
      <c r="BMS22" s="7"/>
      <c r="BMT22" s="7"/>
      <c r="BMU22" s="7"/>
      <c r="BMV22" s="7"/>
      <c r="BMW22" s="7"/>
      <c r="BMX22" s="7"/>
      <c r="BMY22" s="7"/>
      <c r="BMZ22" s="7"/>
      <c r="BNA22" s="7"/>
      <c r="BNB22" s="7"/>
      <c r="BNC22" s="7"/>
      <c r="BND22" s="7"/>
      <c r="BNE22" s="7"/>
      <c r="BNF22" s="7"/>
      <c r="BNG22" s="7"/>
      <c r="BNH22" s="7"/>
      <c r="BNI22" s="7"/>
      <c r="BNJ22" s="7"/>
      <c r="BNK22" s="7"/>
      <c r="BNL22" s="7"/>
      <c r="BNM22" s="7"/>
      <c r="BNN22" s="7"/>
      <c r="BNO22" s="7"/>
      <c r="BNP22" s="7"/>
      <c r="BNQ22" s="7"/>
      <c r="BNR22" s="7"/>
      <c r="BNS22" s="7"/>
      <c r="BNT22" s="7"/>
      <c r="BNU22" s="7"/>
      <c r="BNV22" s="7"/>
      <c r="BNW22" s="7"/>
      <c r="BNX22" s="7"/>
      <c r="BNY22" s="7"/>
      <c r="BNZ22" s="7"/>
      <c r="BOA22" s="7"/>
      <c r="BOB22" s="7"/>
      <c r="BOC22" s="7"/>
      <c r="BOD22" s="7"/>
      <c r="BOE22" s="7"/>
      <c r="BOF22" s="7"/>
      <c r="BOG22" s="7"/>
      <c r="BOH22" s="7"/>
      <c r="BOI22" s="7"/>
      <c r="BOJ22" s="7"/>
      <c r="BOK22" s="7"/>
      <c r="BOL22" s="7"/>
      <c r="BOM22" s="7"/>
      <c r="BON22" s="7"/>
      <c r="BOO22" s="7"/>
      <c r="BOP22" s="7"/>
      <c r="BOQ22" s="7"/>
      <c r="BOR22" s="7"/>
      <c r="BOS22" s="7"/>
      <c r="BOT22" s="7"/>
      <c r="BOU22" s="7"/>
      <c r="BOV22" s="7"/>
      <c r="BOW22" s="7"/>
      <c r="BOX22" s="7"/>
      <c r="BOY22" s="7"/>
      <c r="BOZ22" s="7"/>
      <c r="BPA22" s="7"/>
      <c r="BPB22" s="7"/>
      <c r="BPC22" s="7"/>
      <c r="BPD22" s="7"/>
      <c r="BPE22" s="7"/>
      <c r="BPF22" s="7"/>
      <c r="BPG22" s="7"/>
      <c r="BPH22" s="7"/>
      <c r="BPI22" s="7"/>
      <c r="BPJ22" s="7"/>
      <c r="BPK22" s="7"/>
      <c r="BPL22" s="7"/>
      <c r="BPM22" s="7"/>
      <c r="BPN22" s="7"/>
      <c r="BPO22" s="7"/>
      <c r="BPP22" s="7"/>
      <c r="BPQ22" s="7"/>
      <c r="BPR22" s="7"/>
      <c r="BPS22" s="7"/>
      <c r="BPT22" s="7"/>
      <c r="BPU22" s="7"/>
      <c r="BPV22" s="7"/>
      <c r="BPW22" s="7"/>
      <c r="BPX22" s="7"/>
      <c r="BPY22" s="7"/>
      <c r="BPZ22" s="7"/>
      <c r="BQA22" s="7"/>
      <c r="BQB22" s="7"/>
      <c r="BQC22" s="7"/>
      <c r="BQD22" s="7"/>
      <c r="BQE22" s="7"/>
      <c r="BQF22" s="7"/>
      <c r="BQG22" s="7"/>
      <c r="BQH22" s="7"/>
      <c r="BQI22" s="7"/>
      <c r="BQJ22" s="7"/>
      <c r="BQK22" s="7"/>
      <c r="BQL22" s="7"/>
      <c r="BQM22" s="7"/>
      <c r="BQN22" s="7"/>
      <c r="BQO22" s="7"/>
      <c r="BQP22" s="7"/>
      <c r="BQQ22" s="7"/>
      <c r="BQR22" s="7"/>
      <c r="BQS22" s="7"/>
      <c r="BQT22" s="7"/>
      <c r="BQU22" s="7"/>
      <c r="BQV22" s="7"/>
      <c r="BQW22" s="7"/>
      <c r="BQX22" s="7"/>
      <c r="BQY22" s="7"/>
      <c r="BQZ22" s="7"/>
      <c r="BRA22" s="7"/>
      <c r="BRB22" s="7"/>
      <c r="BRC22" s="7"/>
      <c r="BRD22" s="7"/>
      <c r="BRE22" s="7"/>
      <c r="BRF22" s="7"/>
      <c r="BRG22" s="7"/>
      <c r="BRH22" s="7"/>
      <c r="BRI22" s="7"/>
      <c r="BRJ22" s="7"/>
      <c r="BRK22" s="7"/>
      <c r="BRL22" s="7"/>
      <c r="BRM22" s="7"/>
      <c r="BRN22" s="7"/>
      <c r="BRO22" s="7"/>
      <c r="BRP22" s="7"/>
      <c r="BRQ22" s="7"/>
      <c r="BRR22" s="7"/>
      <c r="BRS22" s="7"/>
      <c r="BRT22" s="7"/>
      <c r="BRU22" s="7"/>
      <c r="BRV22" s="7"/>
      <c r="BRW22" s="7"/>
      <c r="BRX22" s="7"/>
      <c r="BRY22" s="7"/>
      <c r="BRZ22" s="7"/>
      <c r="BSA22" s="7"/>
      <c r="BSB22" s="7"/>
      <c r="BSC22" s="7"/>
      <c r="BSD22" s="7"/>
      <c r="BSE22" s="7"/>
      <c r="BSF22" s="7"/>
      <c r="BSG22" s="7"/>
      <c r="BSH22" s="7"/>
      <c r="BSI22" s="7"/>
      <c r="BSJ22" s="7"/>
      <c r="BSK22" s="7"/>
      <c r="BSL22" s="7"/>
      <c r="BSM22" s="7"/>
      <c r="BSN22" s="7"/>
      <c r="BSO22" s="7"/>
      <c r="BSP22" s="7"/>
      <c r="BSQ22" s="7"/>
      <c r="BSR22" s="7"/>
      <c r="BSS22" s="7"/>
      <c r="BST22" s="7"/>
      <c r="BSU22" s="7"/>
      <c r="BSV22" s="7"/>
      <c r="BSW22" s="7"/>
      <c r="BSX22" s="7"/>
      <c r="BSY22" s="7"/>
      <c r="BSZ22" s="7"/>
      <c r="BTA22" s="7"/>
      <c r="BTB22" s="7"/>
      <c r="BTC22" s="7"/>
      <c r="BTD22" s="7"/>
      <c r="BTE22" s="7"/>
      <c r="BTF22" s="7"/>
      <c r="BTG22" s="7"/>
      <c r="BTH22" s="7"/>
      <c r="BTI22" s="7"/>
      <c r="BTJ22" s="7"/>
      <c r="BTK22" s="7"/>
      <c r="BTL22" s="7"/>
      <c r="BTM22" s="7"/>
      <c r="BTN22" s="7"/>
      <c r="BTO22" s="7"/>
      <c r="BTP22" s="7"/>
      <c r="BTQ22" s="7"/>
      <c r="BTR22" s="7"/>
      <c r="BTS22" s="7"/>
      <c r="BTT22" s="7"/>
      <c r="BTU22" s="7"/>
      <c r="BTV22" s="7"/>
      <c r="BTW22" s="7"/>
      <c r="BTX22" s="7"/>
      <c r="BTY22" s="7"/>
      <c r="BTZ22" s="7"/>
      <c r="BUA22" s="7"/>
      <c r="BUB22" s="7"/>
      <c r="BUC22" s="7"/>
      <c r="BUD22" s="7"/>
      <c r="BUE22" s="7"/>
      <c r="BUF22" s="7"/>
      <c r="BUG22" s="7"/>
      <c r="BUH22" s="7"/>
      <c r="BUI22" s="7"/>
      <c r="BUJ22" s="7"/>
      <c r="BUK22" s="7"/>
      <c r="BUL22" s="7"/>
      <c r="BUM22" s="7"/>
      <c r="BUN22" s="7"/>
      <c r="BUO22" s="7"/>
      <c r="BUP22" s="7"/>
      <c r="BUQ22" s="7"/>
      <c r="BUR22" s="7"/>
      <c r="BUS22" s="7"/>
      <c r="BUT22" s="7"/>
      <c r="BUU22" s="7"/>
      <c r="BUV22" s="7"/>
      <c r="BUW22" s="7"/>
      <c r="BUX22" s="7"/>
      <c r="BUY22" s="7"/>
      <c r="BUZ22" s="7"/>
      <c r="BVA22" s="7"/>
      <c r="BVB22" s="7"/>
      <c r="BVC22" s="7"/>
      <c r="BVD22" s="7"/>
      <c r="BVE22" s="7"/>
      <c r="BVF22" s="7"/>
      <c r="BVG22" s="7"/>
      <c r="BVH22" s="7"/>
      <c r="BVI22" s="7"/>
      <c r="BVJ22" s="7"/>
      <c r="BVK22" s="7"/>
      <c r="BVL22" s="7"/>
      <c r="BVM22" s="7"/>
      <c r="BVN22" s="7"/>
      <c r="BVO22" s="7"/>
      <c r="BVP22" s="7"/>
      <c r="BVQ22" s="7"/>
      <c r="BVR22" s="7"/>
      <c r="BVS22" s="7"/>
      <c r="BVT22" s="7"/>
      <c r="BVU22" s="7"/>
      <c r="BVV22" s="7"/>
      <c r="BVW22" s="7"/>
      <c r="BVX22" s="7"/>
      <c r="BVY22" s="7"/>
      <c r="BVZ22" s="7"/>
      <c r="BWA22" s="7"/>
      <c r="BWB22" s="7"/>
      <c r="BWC22" s="7"/>
      <c r="BWD22" s="7"/>
      <c r="BWE22" s="7"/>
      <c r="BWF22" s="7"/>
      <c r="BWG22" s="7"/>
      <c r="BWH22" s="7"/>
      <c r="BWI22" s="7"/>
      <c r="BWJ22" s="7"/>
      <c r="BWK22" s="7"/>
      <c r="BWL22" s="7"/>
      <c r="BWM22" s="7"/>
      <c r="BWN22" s="7"/>
      <c r="BWO22" s="7"/>
      <c r="BWP22" s="7"/>
      <c r="BWQ22" s="7"/>
      <c r="BWR22" s="7"/>
      <c r="BWS22" s="7"/>
      <c r="BWT22" s="7"/>
      <c r="BWU22" s="7"/>
      <c r="BWV22" s="7"/>
      <c r="BWW22" s="7"/>
      <c r="BWX22" s="7"/>
      <c r="BWY22" s="7"/>
      <c r="BWZ22" s="7"/>
      <c r="BXA22" s="7"/>
      <c r="BXB22" s="7"/>
      <c r="BXC22" s="7"/>
      <c r="BXD22" s="7"/>
      <c r="BXE22" s="7"/>
      <c r="BXF22" s="7"/>
      <c r="BXG22" s="7"/>
      <c r="BXH22" s="7"/>
      <c r="BXI22" s="7"/>
      <c r="BXJ22" s="7"/>
      <c r="BXK22" s="7"/>
      <c r="BXL22" s="7"/>
      <c r="BXM22" s="7"/>
      <c r="BXN22" s="7"/>
      <c r="BXO22" s="7"/>
      <c r="BXP22" s="7"/>
      <c r="BXQ22" s="7"/>
      <c r="BXR22" s="7"/>
      <c r="BXS22" s="7"/>
      <c r="BXT22" s="7"/>
      <c r="BXU22" s="7"/>
      <c r="BXV22" s="7"/>
      <c r="BXW22" s="7"/>
      <c r="BXX22" s="7"/>
      <c r="BXY22" s="7"/>
      <c r="BXZ22" s="7"/>
      <c r="BYA22" s="7"/>
      <c r="BYB22" s="7"/>
      <c r="BYC22" s="7"/>
      <c r="BYD22" s="7"/>
      <c r="BYE22" s="7"/>
      <c r="BYF22" s="7"/>
      <c r="BYG22" s="7"/>
      <c r="BYH22" s="7"/>
      <c r="BYI22" s="7"/>
      <c r="BYJ22" s="7"/>
      <c r="BYK22" s="7"/>
      <c r="BYL22" s="7"/>
      <c r="BYM22" s="7"/>
      <c r="BYN22" s="7"/>
      <c r="BYO22" s="7"/>
      <c r="BYP22" s="7"/>
      <c r="BYQ22" s="7"/>
      <c r="BYR22" s="7"/>
      <c r="BYS22" s="7"/>
      <c r="BYT22" s="7"/>
      <c r="BYU22" s="7"/>
      <c r="BYV22" s="7"/>
      <c r="BYW22" s="7"/>
      <c r="BYX22" s="7"/>
      <c r="BYY22" s="7"/>
      <c r="BYZ22" s="7"/>
      <c r="BZA22" s="7"/>
      <c r="BZB22" s="7"/>
      <c r="BZC22" s="7"/>
      <c r="BZD22" s="7"/>
      <c r="BZE22" s="7"/>
      <c r="BZF22" s="7"/>
      <c r="BZG22" s="7"/>
      <c r="BZH22" s="7"/>
      <c r="BZI22" s="7"/>
      <c r="BZJ22" s="7"/>
      <c r="BZK22" s="7"/>
      <c r="BZL22" s="7"/>
      <c r="BZM22" s="7"/>
      <c r="BZN22" s="7"/>
      <c r="BZO22" s="7"/>
      <c r="BZP22" s="7"/>
      <c r="BZQ22" s="7"/>
      <c r="BZR22" s="7"/>
      <c r="BZS22" s="7"/>
      <c r="BZT22" s="7"/>
      <c r="BZU22" s="7"/>
      <c r="BZV22" s="7"/>
      <c r="BZW22" s="7"/>
      <c r="BZX22" s="7"/>
      <c r="BZY22" s="7"/>
      <c r="BZZ22" s="7"/>
      <c r="CAA22" s="7"/>
      <c r="CAB22" s="7"/>
      <c r="CAC22" s="7"/>
      <c r="CAD22" s="7"/>
      <c r="CAE22" s="7"/>
      <c r="CAF22" s="7"/>
      <c r="CAG22" s="7"/>
      <c r="CAH22" s="7"/>
      <c r="CAI22" s="7"/>
      <c r="CAJ22" s="7"/>
      <c r="CAK22" s="7"/>
      <c r="CAL22" s="7"/>
      <c r="CAM22" s="7"/>
      <c r="CAN22" s="7"/>
      <c r="CAO22" s="7"/>
      <c r="CAP22" s="7"/>
      <c r="CAQ22" s="7"/>
      <c r="CAR22" s="7"/>
      <c r="CAS22" s="7"/>
      <c r="CAT22" s="7"/>
      <c r="CAU22" s="7"/>
      <c r="CAV22" s="7"/>
      <c r="CAW22" s="7"/>
      <c r="CAX22" s="7"/>
      <c r="CAY22" s="7"/>
      <c r="CAZ22" s="7"/>
      <c r="CBA22" s="7"/>
      <c r="CBB22" s="7"/>
      <c r="CBC22" s="7"/>
      <c r="CBD22" s="7"/>
      <c r="CBE22" s="7"/>
      <c r="CBF22" s="7"/>
      <c r="CBG22" s="7"/>
      <c r="CBH22" s="7"/>
      <c r="CBI22" s="7"/>
      <c r="CBJ22" s="7"/>
      <c r="CBK22" s="7"/>
      <c r="CBL22" s="7"/>
      <c r="CBM22" s="7"/>
      <c r="CBN22" s="7"/>
      <c r="CBO22" s="7"/>
      <c r="CBP22" s="7"/>
      <c r="CBQ22" s="7"/>
      <c r="CBR22" s="7"/>
      <c r="CBS22" s="7"/>
      <c r="CBT22" s="7"/>
      <c r="CBU22" s="7"/>
      <c r="CBV22" s="7"/>
      <c r="CBW22" s="7"/>
      <c r="CBX22" s="7"/>
      <c r="CBY22" s="7"/>
      <c r="CBZ22" s="7"/>
      <c r="CCA22" s="7"/>
      <c r="CCB22" s="7"/>
      <c r="CCC22" s="7"/>
      <c r="CCD22" s="7"/>
      <c r="CCE22" s="7"/>
      <c r="CCF22" s="7"/>
      <c r="CCG22" s="7"/>
      <c r="CCH22" s="7"/>
      <c r="CCI22" s="7"/>
      <c r="CCJ22" s="7"/>
      <c r="CCK22" s="7"/>
      <c r="CCL22" s="7"/>
      <c r="CCM22" s="7"/>
      <c r="CCN22" s="7"/>
      <c r="CCO22" s="7"/>
      <c r="CCP22" s="7"/>
      <c r="CCQ22" s="7"/>
      <c r="CCR22" s="7"/>
      <c r="CCS22" s="7"/>
      <c r="CCT22" s="7"/>
      <c r="CCU22" s="7"/>
      <c r="CCV22" s="7"/>
      <c r="CCW22" s="7"/>
      <c r="CCX22" s="7"/>
      <c r="CCY22" s="7"/>
      <c r="CCZ22" s="7"/>
      <c r="CDA22" s="7"/>
      <c r="CDB22" s="7"/>
      <c r="CDC22" s="7"/>
      <c r="CDD22" s="7"/>
      <c r="CDE22" s="7"/>
      <c r="CDF22" s="7"/>
      <c r="CDG22" s="7"/>
      <c r="CDH22" s="7"/>
      <c r="CDI22" s="7"/>
      <c r="CDJ22" s="7"/>
      <c r="CDK22" s="7"/>
      <c r="CDL22" s="7"/>
      <c r="CDM22" s="7"/>
      <c r="CDN22" s="7"/>
      <c r="CDO22" s="7"/>
      <c r="CDP22" s="7"/>
      <c r="CDQ22" s="7"/>
      <c r="CDR22" s="7"/>
      <c r="CDS22" s="7"/>
      <c r="CDT22" s="7"/>
      <c r="CDU22" s="7"/>
      <c r="CDV22" s="7"/>
      <c r="CDW22" s="7"/>
      <c r="CDX22" s="7"/>
      <c r="CDY22" s="7"/>
      <c r="CDZ22" s="7"/>
      <c r="CEA22" s="7"/>
      <c r="CEB22" s="7"/>
      <c r="CEC22" s="7"/>
      <c r="CED22" s="7"/>
      <c r="CEE22" s="7"/>
      <c r="CEF22" s="7"/>
      <c r="CEG22" s="7"/>
      <c r="CEH22" s="7"/>
      <c r="CEI22" s="7"/>
      <c r="CEJ22" s="7"/>
      <c r="CEK22" s="7"/>
      <c r="CEL22" s="7"/>
      <c r="CEM22" s="7"/>
      <c r="CEN22" s="7"/>
      <c r="CEO22" s="7"/>
      <c r="CEP22" s="7"/>
      <c r="CEQ22" s="7"/>
      <c r="CER22" s="7"/>
      <c r="CES22" s="7"/>
      <c r="CET22" s="7"/>
      <c r="CEU22" s="7"/>
      <c r="CEV22" s="7"/>
      <c r="CEW22" s="7"/>
      <c r="CEX22" s="7"/>
      <c r="CEY22" s="7"/>
      <c r="CEZ22" s="7"/>
      <c r="CFA22" s="7"/>
      <c r="CFB22" s="7"/>
      <c r="CFC22" s="7"/>
      <c r="CFD22" s="7"/>
      <c r="CFE22" s="7"/>
      <c r="CFF22" s="7"/>
      <c r="CFG22" s="7"/>
      <c r="CFH22" s="7"/>
      <c r="CFI22" s="7"/>
      <c r="CFJ22" s="7"/>
      <c r="CFK22" s="7"/>
      <c r="CFL22" s="7"/>
      <c r="CFM22" s="7"/>
      <c r="CFN22" s="7"/>
      <c r="CFO22" s="7"/>
      <c r="CFP22" s="7"/>
      <c r="CFQ22" s="7"/>
      <c r="CFR22" s="7"/>
      <c r="CFS22" s="7"/>
      <c r="CFT22" s="7"/>
      <c r="CFU22" s="7"/>
      <c r="CFV22" s="7"/>
      <c r="CFW22" s="7"/>
      <c r="CFX22" s="7"/>
      <c r="CFY22" s="7"/>
      <c r="CFZ22" s="7"/>
      <c r="CGA22" s="7"/>
      <c r="CGB22" s="7"/>
      <c r="CGC22" s="7"/>
      <c r="CGD22" s="7"/>
      <c r="CGE22" s="7"/>
      <c r="CGF22" s="7"/>
      <c r="CGG22" s="7"/>
      <c r="CGH22" s="7"/>
      <c r="CGI22" s="7"/>
      <c r="CGJ22" s="7"/>
      <c r="CGK22" s="7"/>
      <c r="CGL22" s="7"/>
      <c r="CGM22" s="7"/>
      <c r="CGN22" s="7"/>
      <c r="CGO22" s="7"/>
      <c r="CGP22" s="7"/>
      <c r="CGQ22" s="7"/>
      <c r="CGR22" s="7"/>
      <c r="CGS22" s="7"/>
      <c r="CGT22" s="7"/>
      <c r="CGU22" s="7"/>
      <c r="CGV22" s="7"/>
      <c r="CGW22" s="7"/>
      <c r="CGX22" s="7"/>
      <c r="CGY22" s="7"/>
      <c r="CGZ22" s="7"/>
      <c r="CHA22" s="7"/>
      <c r="CHB22" s="7"/>
      <c r="CHC22" s="7"/>
      <c r="CHD22" s="7"/>
      <c r="CHE22" s="7"/>
      <c r="CHF22" s="7"/>
      <c r="CHG22" s="7"/>
      <c r="CHH22" s="7"/>
      <c r="CHI22" s="7"/>
      <c r="CHJ22" s="7"/>
      <c r="CHK22" s="7"/>
      <c r="CHL22" s="7"/>
      <c r="CHM22" s="7"/>
      <c r="CHN22" s="7"/>
      <c r="CHO22" s="7"/>
      <c r="CHP22" s="7"/>
      <c r="CHQ22" s="7"/>
      <c r="CHR22" s="7"/>
      <c r="CHS22" s="7"/>
      <c r="CHT22" s="7"/>
      <c r="CHU22" s="7"/>
      <c r="CHV22" s="7"/>
      <c r="CHW22" s="7"/>
      <c r="CHX22" s="7"/>
      <c r="CHY22" s="7"/>
      <c r="CHZ22" s="7"/>
      <c r="CIA22" s="7"/>
      <c r="CIB22" s="7"/>
      <c r="CIC22" s="7"/>
      <c r="CID22" s="7"/>
      <c r="CIE22" s="7"/>
      <c r="CIF22" s="7"/>
      <c r="CIG22" s="7"/>
      <c r="CIH22" s="7"/>
      <c r="CII22" s="7"/>
      <c r="CIJ22" s="7"/>
      <c r="CIK22" s="7"/>
      <c r="CIL22" s="7"/>
      <c r="CIM22" s="7"/>
      <c r="CIN22" s="7"/>
      <c r="CIO22" s="7"/>
      <c r="CIP22" s="7"/>
      <c r="CIQ22" s="7"/>
      <c r="CIR22" s="7"/>
      <c r="CIS22" s="7"/>
      <c r="CIT22" s="7"/>
      <c r="CIU22" s="7"/>
      <c r="CIV22" s="7"/>
      <c r="CIW22" s="7"/>
      <c r="CIX22" s="7"/>
      <c r="CIY22" s="7"/>
      <c r="CIZ22" s="7"/>
      <c r="CJA22" s="7"/>
      <c r="CJB22" s="7"/>
      <c r="CJC22" s="7"/>
      <c r="CJD22" s="7"/>
      <c r="CJE22" s="7"/>
      <c r="CJF22" s="7"/>
      <c r="CJG22" s="7"/>
      <c r="CJH22" s="7"/>
      <c r="CJI22" s="7"/>
      <c r="CJJ22" s="7"/>
      <c r="CJK22" s="7"/>
      <c r="CJL22" s="7"/>
      <c r="CJM22" s="7"/>
      <c r="CJN22" s="7"/>
      <c r="CJO22" s="7"/>
      <c r="CJP22" s="7"/>
      <c r="CJQ22" s="7"/>
      <c r="CJR22" s="7"/>
      <c r="CJS22" s="7"/>
      <c r="CJT22" s="7"/>
      <c r="CJU22" s="7"/>
      <c r="CJV22" s="7"/>
      <c r="CJW22" s="7"/>
      <c r="CJX22" s="7"/>
      <c r="CJY22" s="7"/>
      <c r="CJZ22" s="7"/>
      <c r="CKA22" s="7"/>
      <c r="CKB22" s="7"/>
      <c r="CKC22" s="7"/>
      <c r="CKD22" s="7"/>
      <c r="CKE22" s="7"/>
      <c r="CKF22" s="7"/>
      <c r="CKG22" s="7"/>
      <c r="CKH22" s="7"/>
      <c r="CKI22" s="7"/>
      <c r="CKJ22" s="7"/>
      <c r="CKK22" s="7"/>
      <c r="CKL22" s="7"/>
      <c r="CKM22" s="7"/>
      <c r="CKN22" s="7"/>
      <c r="CKO22" s="7"/>
      <c r="CKP22" s="7"/>
      <c r="CKQ22" s="7"/>
      <c r="CKR22" s="7"/>
      <c r="CKS22" s="7"/>
      <c r="CKT22" s="7"/>
      <c r="CKU22" s="7"/>
      <c r="CKV22" s="7"/>
      <c r="CKW22" s="7"/>
      <c r="CKX22" s="7"/>
      <c r="CKY22" s="7"/>
      <c r="CKZ22" s="7"/>
      <c r="CLA22" s="7"/>
      <c r="CLB22" s="7"/>
      <c r="CLC22" s="7"/>
      <c r="CLD22" s="7"/>
      <c r="CLE22" s="7"/>
      <c r="CLF22" s="7"/>
      <c r="CLG22" s="7"/>
      <c r="CLH22" s="7"/>
      <c r="CLI22" s="7"/>
      <c r="CLJ22" s="7"/>
      <c r="CLK22" s="7"/>
      <c r="CLL22" s="7"/>
      <c r="CLM22" s="7"/>
      <c r="CLN22" s="7"/>
      <c r="CLO22" s="7"/>
      <c r="CLP22" s="7"/>
      <c r="CLQ22" s="7"/>
      <c r="CLR22" s="7"/>
      <c r="CLS22" s="7"/>
      <c r="CLT22" s="7"/>
      <c r="CLU22" s="7"/>
      <c r="CLV22" s="7"/>
      <c r="CLW22" s="7"/>
      <c r="CLX22" s="7"/>
      <c r="CLY22" s="7"/>
      <c r="CLZ22" s="7"/>
      <c r="CMA22" s="7"/>
      <c r="CMB22" s="7"/>
      <c r="CMC22" s="7"/>
      <c r="CMD22" s="7"/>
      <c r="CME22" s="7"/>
      <c r="CMF22" s="7"/>
      <c r="CMG22" s="7"/>
      <c r="CMH22" s="7"/>
      <c r="CMI22" s="7"/>
      <c r="CMJ22" s="7"/>
      <c r="CMK22" s="7"/>
      <c r="CML22" s="7"/>
      <c r="CMM22" s="7"/>
      <c r="CMN22" s="7"/>
      <c r="CMO22" s="7"/>
      <c r="CMP22" s="7"/>
      <c r="CMQ22" s="7"/>
      <c r="CMR22" s="7"/>
      <c r="CMS22" s="7"/>
      <c r="CMT22" s="7"/>
      <c r="CMU22" s="7"/>
      <c r="CMV22" s="7"/>
      <c r="CMW22" s="7"/>
      <c r="CMX22" s="7"/>
      <c r="CMY22" s="7"/>
      <c r="CMZ22" s="7"/>
      <c r="CNA22" s="7"/>
      <c r="CNB22" s="7"/>
      <c r="CNC22" s="7"/>
      <c r="CND22" s="7"/>
      <c r="CNE22" s="7"/>
      <c r="CNF22" s="7"/>
      <c r="CNG22" s="7"/>
      <c r="CNH22" s="7"/>
      <c r="CNI22" s="7"/>
      <c r="CNJ22" s="7"/>
      <c r="CNK22" s="7"/>
      <c r="CNL22" s="7"/>
      <c r="CNM22" s="7"/>
      <c r="CNN22" s="7"/>
      <c r="CNO22" s="7"/>
      <c r="CNP22" s="7"/>
      <c r="CNQ22" s="7"/>
      <c r="CNR22" s="7"/>
      <c r="CNS22" s="7"/>
      <c r="CNT22" s="7"/>
      <c r="CNU22" s="7"/>
      <c r="CNV22" s="7"/>
      <c r="CNW22" s="7"/>
      <c r="CNX22" s="7"/>
      <c r="CNY22" s="7"/>
      <c r="CNZ22" s="7"/>
      <c r="COA22" s="7"/>
      <c r="COB22" s="7"/>
      <c r="COC22" s="7"/>
      <c r="COD22" s="7"/>
      <c r="COE22" s="7"/>
      <c r="COF22" s="7"/>
      <c r="COG22" s="7"/>
      <c r="COH22" s="7"/>
      <c r="COI22" s="7"/>
      <c r="COJ22" s="7"/>
      <c r="COK22" s="7"/>
      <c r="COL22" s="7"/>
      <c r="COM22" s="7"/>
      <c r="CON22" s="7"/>
      <c r="COO22" s="7"/>
      <c r="COP22" s="7"/>
      <c r="COQ22" s="7"/>
      <c r="COR22" s="7"/>
      <c r="COS22" s="7"/>
      <c r="COT22" s="7"/>
      <c r="COU22" s="7"/>
      <c r="COV22" s="7"/>
      <c r="COW22" s="7"/>
      <c r="COX22" s="7"/>
      <c r="COY22" s="7"/>
      <c r="COZ22" s="7"/>
      <c r="CPA22" s="7"/>
      <c r="CPB22" s="7"/>
      <c r="CPC22" s="7"/>
      <c r="CPD22" s="7"/>
      <c r="CPE22" s="7"/>
      <c r="CPF22" s="7"/>
      <c r="CPG22" s="7"/>
      <c r="CPH22" s="7"/>
      <c r="CPI22" s="7"/>
      <c r="CPJ22" s="7"/>
      <c r="CPK22" s="7"/>
      <c r="CPL22" s="7"/>
      <c r="CPM22" s="7"/>
      <c r="CPN22" s="7"/>
      <c r="CPO22" s="7"/>
      <c r="CPP22" s="7"/>
      <c r="CPQ22" s="7"/>
      <c r="CPR22" s="7"/>
      <c r="CPS22" s="7"/>
      <c r="CPT22" s="7"/>
      <c r="CPU22" s="7"/>
      <c r="CPV22" s="7"/>
      <c r="CPW22" s="7"/>
      <c r="CPX22" s="7"/>
      <c r="CPY22" s="7"/>
      <c r="CPZ22" s="7"/>
      <c r="CQA22" s="7"/>
      <c r="CQB22" s="7"/>
      <c r="CQC22" s="7"/>
      <c r="CQD22" s="7"/>
      <c r="CQE22" s="7"/>
      <c r="CQF22" s="7"/>
      <c r="CQG22" s="7"/>
      <c r="CQH22" s="7"/>
      <c r="CQI22" s="7"/>
      <c r="CQJ22" s="7"/>
      <c r="CQK22" s="7"/>
      <c r="CQL22" s="7"/>
      <c r="CQM22" s="7"/>
      <c r="CQN22" s="7"/>
      <c r="CQO22" s="7"/>
      <c r="CQP22" s="7"/>
      <c r="CQQ22" s="7"/>
      <c r="CQR22" s="7"/>
      <c r="CQS22" s="7"/>
      <c r="CQT22" s="7"/>
      <c r="CQU22" s="7"/>
      <c r="CQV22" s="7"/>
      <c r="CQW22" s="7"/>
      <c r="CQX22" s="7"/>
      <c r="CQY22" s="7"/>
      <c r="CQZ22" s="7"/>
      <c r="CRA22" s="7"/>
      <c r="CRB22" s="7"/>
      <c r="CRC22" s="7"/>
      <c r="CRD22" s="7"/>
      <c r="CRE22" s="7"/>
      <c r="CRF22" s="7"/>
      <c r="CRG22" s="7"/>
      <c r="CRH22" s="7"/>
      <c r="CRI22" s="7"/>
      <c r="CRJ22" s="7"/>
      <c r="CRK22" s="7"/>
      <c r="CRL22" s="7"/>
      <c r="CRM22" s="7"/>
      <c r="CRN22" s="7"/>
      <c r="CRO22" s="7"/>
      <c r="CRP22" s="7"/>
      <c r="CRQ22" s="7"/>
      <c r="CRR22" s="7"/>
      <c r="CRS22" s="7"/>
      <c r="CRT22" s="7"/>
      <c r="CRU22" s="7"/>
      <c r="CRV22" s="7"/>
      <c r="CRW22" s="7"/>
      <c r="CRX22" s="7"/>
      <c r="CRY22" s="7"/>
      <c r="CRZ22" s="7"/>
      <c r="CSA22" s="7"/>
      <c r="CSB22" s="7"/>
      <c r="CSC22" s="7"/>
      <c r="CSD22" s="7"/>
      <c r="CSE22" s="7"/>
      <c r="CSF22" s="7"/>
      <c r="CSG22" s="7"/>
      <c r="CSH22" s="7"/>
      <c r="CSI22" s="7"/>
      <c r="CSJ22" s="7"/>
      <c r="CSK22" s="7"/>
      <c r="CSL22" s="7"/>
      <c r="CSM22" s="7"/>
      <c r="CSN22" s="7"/>
      <c r="CSO22" s="7"/>
      <c r="CSP22" s="7"/>
      <c r="CSQ22" s="7"/>
      <c r="CSR22" s="7"/>
      <c r="CSS22" s="7"/>
      <c r="CST22" s="7"/>
      <c r="CSU22" s="7"/>
      <c r="CSV22" s="7"/>
      <c r="CSW22" s="7"/>
      <c r="CSX22" s="7"/>
      <c r="CSY22" s="7"/>
      <c r="CSZ22" s="7"/>
      <c r="CTA22" s="7"/>
      <c r="CTB22" s="7"/>
      <c r="CTC22" s="7"/>
      <c r="CTD22" s="7"/>
      <c r="CTE22" s="7"/>
      <c r="CTF22" s="7"/>
      <c r="CTG22" s="7"/>
      <c r="CTH22" s="7"/>
      <c r="CTI22" s="7"/>
      <c r="CTJ22" s="7"/>
      <c r="CTK22" s="7"/>
      <c r="CTL22" s="7"/>
      <c r="CTM22" s="7"/>
      <c r="CTN22" s="7"/>
      <c r="CTO22" s="7"/>
      <c r="CTP22" s="7"/>
      <c r="CTQ22" s="7"/>
      <c r="CTR22" s="7"/>
      <c r="CTS22" s="7"/>
      <c r="CTT22" s="7"/>
      <c r="CTU22" s="7"/>
      <c r="CTV22" s="7"/>
      <c r="CTW22" s="7"/>
      <c r="CTX22" s="7"/>
      <c r="CTY22" s="7"/>
      <c r="CTZ22" s="7"/>
      <c r="CUA22" s="7"/>
      <c r="CUB22" s="7"/>
      <c r="CUC22" s="7"/>
      <c r="CUD22" s="7"/>
      <c r="CUE22" s="7"/>
      <c r="CUF22" s="7"/>
      <c r="CUG22" s="7"/>
      <c r="CUH22" s="7"/>
      <c r="CUI22" s="7"/>
      <c r="CUJ22" s="7"/>
      <c r="CUK22" s="7"/>
      <c r="CUL22" s="7"/>
      <c r="CUM22" s="7"/>
      <c r="CUN22" s="7"/>
      <c r="CUO22" s="7"/>
      <c r="CUP22" s="7"/>
      <c r="CUQ22" s="7"/>
      <c r="CUR22" s="7"/>
      <c r="CUS22" s="7"/>
      <c r="CUT22" s="7"/>
      <c r="CUU22" s="7"/>
      <c r="CUV22" s="7"/>
      <c r="CUW22" s="7"/>
      <c r="CUX22" s="7"/>
      <c r="CUY22" s="7"/>
      <c r="CUZ22" s="7"/>
      <c r="CVA22" s="7"/>
      <c r="CVB22" s="7"/>
      <c r="CVC22" s="7"/>
      <c r="CVD22" s="7"/>
      <c r="CVE22" s="7"/>
      <c r="CVF22" s="7"/>
      <c r="CVG22" s="7"/>
      <c r="CVH22" s="7"/>
      <c r="CVI22" s="7"/>
      <c r="CVJ22" s="7"/>
      <c r="CVK22" s="7"/>
      <c r="CVL22" s="7"/>
      <c r="CVM22" s="7"/>
      <c r="CVN22" s="7"/>
      <c r="CVO22" s="7"/>
      <c r="CVP22" s="7"/>
      <c r="CVQ22" s="7"/>
      <c r="CVR22" s="7"/>
      <c r="CVS22" s="7"/>
      <c r="CVT22" s="7"/>
      <c r="CVU22" s="7"/>
      <c r="CVV22" s="7"/>
      <c r="CVW22" s="7"/>
      <c r="CVX22" s="7"/>
      <c r="CVY22" s="7"/>
      <c r="CVZ22" s="7"/>
      <c r="CWA22" s="7"/>
      <c r="CWB22" s="7"/>
      <c r="CWC22" s="7"/>
      <c r="CWD22" s="7"/>
      <c r="CWE22" s="7"/>
      <c r="CWF22" s="7"/>
      <c r="CWG22" s="7"/>
      <c r="CWH22" s="7"/>
      <c r="CWI22" s="7"/>
      <c r="CWJ22" s="7"/>
      <c r="CWK22" s="7"/>
      <c r="CWL22" s="7"/>
      <c r="CWM22" s="7"/>
      <c r="CWN22" s="7"/>
      <c r="CWO22" s="7"/>
      <c r="CWP22" s="7"/>
      <c r="CWQ22" s="7"/>
      <c r="CWR22" s="7"/>
      <c r="CWS22" s="7"/>
      <c r="CWT22" s="7"/>
      <c r="CWU22" s="7"/>
      <c r="CWV22" s="7"/>
      <c r="CWW22" s="7"/>
      <c r="CWX22" s="7"/>
      <c r="CWY22" s="7"/>
      <c r="CWZ22" s="7"/>
      <c r="CXA22" s="7"/>
      <c r="CXB22" s="7"/>
      <c r="CXC22" s="7"/>
      <c r="CXD22" s="7"/>
      <c r="CXE22" s="7"/>
      <c r="CXF22" s="7"/>
      <c r="CXG22" s="7"/>
      <c r="CXH22" s="7"/>
      <c r="CXI22" s="7"/>
      <c r="CXJ22" s="7"/>
      <c r="CXK22" s="7"/>
      <c r="CXL22" s="7"/>
      <c r="CXM22" s="7"/>
      <c r="CXN22" s="7"/>
      <c r="CXO22" s="7"/>
      <c r="CXP22" s="7"/>
      <c r="CXQ22" s="7"/>
      <c r="CXR22" s="7"/>
      <c r="CXS22" s="7"/>
      <c r="CXT22" s="7"/>
      <c r="CXU22" s="7"/>
      <c r="CXV22" s="7"/>
      <c r="CXW22" s="7"/>
      <c r="CXX22" s="7"/>
      <c r="CXY22" s="7"/>
      <c r="CXZ22" s="7"/>
      <c r="CYA22" s="7"/>
      <c r="CYB22" s="7"/>
      <c r="CYC22" s="7"/>
      <c r="CYD22" s="7"/>
      <c r="CYE22" s="7"/>
      <c r="CYF22" s="7"/>
      <c r="CYG22" s="7"/>
      <c r="CYH22" s="7"/>
      <c r="CYI22" s="7"/>
      <c r="CYJ22" s="7"/>
      <c r="CYK22" s="7"/>
      <c r="CYL22" s="7"/>
      <c r="CYM22" s="7"/>
      <c r="CYN22" s="7"/>
      <c r="CYO22" s="7"/>
      <c r="CYP22" s="7"/>
      <c r="CYQ22" s="7"/>
      <c r="CYR22" s="7"/>
      <c r="CYS22" s="7"/>
      <c r="CYT22" s="7"/>
      <c r="CYU22" s="7"/>
      <c r="CYV22" s="7"/>
      <c r="CYW22" s="7"/>
      <c r="CYX22" s="7"/>
      <c r="CYY22" s="7"/>
      <c r="CYZ22" s="7"/>
      <c r="CZA22" s="7"/>
      <c r="CZB22" s="7"/>
      <c r="CZC22" s="7"/>
      <c r="CZD22" s="7"/>
      <c r="CZE22" s="7"/>
      <c r="CZF22" s="7"/>
      <c r="CZG22" s="7"/>
      <c r="CZH22" s="7"/>
      <c r="CZI22" s="7"/>
      <c r="CZJ22" s="7"/>
      <c r="CZK22" s="7"/>
      <c r="CZL22" s="7"/>
      <c r="CZM22" s="7"/>
      <c r="CZN22" s="7"/>
      <c r="CZO22" s="7"/>
      <c r="CZP22" s="7"/>
      <c r="CZQ22" s="7"/>
      <c r="CZR22" s="7"/>
      <c r="CZS22" s="7"/>
      <c r="CZT22" s="7"/>
      <c r="CZU22" s="7"/>
      <c r="CZV22" s="7"/>
      <c r="CZW22" s="7"/>
      <c r="CZX22" s="7"/>
      <c r="CZY22" s="7"/>
      <c r="CZZ22" s="7"/>
      <c r="DAA22" s="7"/>
      <c r="DAB22" s="7"/>
      <c r="DAC22" s="7"/>
      <c r="DAD22" s="7"/>
      <c r="DAE22" s="7"/>
      <c r="DAF22" s="7"/>
      <c r="DAG22" s="7"/>
      <c r="DAH22" s="7"/>
      <c r="DAI22" s="7"/>
      <c r="DAJ22" s="7"/>
      <c r="DAK22" s="7"/>
      <c r="DAL22" s="7"/>
      <c r="DAM22" s="7"/>
      <c r="DAN22" s="7"/>
      <c r="DAO22" s="7"/>
      <c r="DAP22" s="7"/>
      <c r="DAQ22" s="7"/>
      <c r="DAR22" s="7"/>
      <c r="DAS22" s="7"/>
      <c r="DAT22" s="7"/>
      <c r="DAU22" s="7"/>
      <c r="DAV22" s="7"/>
      <c r="DAW22" s="7"/>
      <c r="DAX22" s="7"/>
      <c r="DAY22" s="7"/>
      <c r="DAZ22" s="7"/>
      <c r="DBA22" s="7"/>
      <c r="DBB22" s="7"/>
      <c r="DBC22" s="7"/>
      <c r="DBD22" s="7"/>
      <c r="DBE22" s="7"/>
      <c r="DBF22" s="7"/>
      <c r="DBG22" s="7"/>
      <c r="DBH22" s="7"/>
      <c r="DBI22" s="7"/>
      <c r="DBJ22" s="7"/>
      <c r="DBK22" s="7"/>
      <c r="DBL22" s="7"/>
      <c r="DBM22" s="7"/>
      <c r="DBN22" s="7"/>
      <c r="DBO22" s="7"/>
      <c r="DBP22" s="7"/>
      <c r="DBQ22" s="7"/>
      <c r="DBR22" s="7"/>
      <c r="DBS22" s="7"/>
      <c r="DBT22" s="7"/>
      <c r="DBU22" s="7"/>
      <c r="DBV22" s="7"/>
      <c r="DBW22" s="7"/>
      <c r="DBX22" s="7"/>
      <c r="DBY22" s="7"/>
      <c r="DBZ22" s="7"/>
      <c r="DCA22" s="7"/>
      <c r="DCB22" s="7"/>
      <c r="DCC22" s="7"/>
      <c r="DCD22" s="7"/>
      <c r="DCE22" s="7"/>
      <c r="DCF22" s="7"/>
      <c r="DCG22" s="7"/>
      <c r="DCH22" s="7"/>
      <c r="DCI22" s="7"/>
      <c r="DCJ22" s="7"/>
      <c r="DCK22" s="7"/>
      <c r="DCL22" s="7"/>
      <c r="DCM22" s="7"/>
      <c r="DCN22" s="7"/>
      <c r="DCO22" s="7"/>
      <c r="DCP22" s="7"/>
      <c r="DCQ22" s="7"/>
      <c r="DCR22" s="7"/>
      <c r="DCS22" s="7"/>
      <c r="DCT22" s="7"/>
      <c r="DCU22" s="7"/>
      <c r="DCV22" s="7"/>
      <c r="DCW22" s="7"/>
      <c r="DCX22" s="7"/>
      <c r="DCY22" s="7"/>
      <c r="DCZ22" s="7"/>
      <c r="DDA22" s="7"/>
      <c r="DDB22" s="7"/>
      <c r="DDC22" s="7"/>
      <c r="DDD22" s="7"/>
      <c r="DDE22" s="7"/>
      <c r="DDF22" s="7"/>
      <c r="DDG22" s="7"/>
      <c r="DDH22" s="7"/>
      <c r="DDI22" s="7"/>
      <c r="DDJ22" s="7"/>
      <c r="DDK22" s="7"/>
      <c r="DDL22" s="7"/>
      <c r="DDM22" s="7"/>
      <c r="DDN22" s="7"/>
      <c r="DDO22" s="7"/>
      <c r="DDP22" s="7"/>
      <c r="DDQ22" s="7"/>
      <c r="DDR22" s="7"/>
      <c r="DDS22" s="7"/>
      <c r="DDT22" s="7"/>
      <c r="DDU22" s="7"/>
      <c r="DDV22" s="7"/>
      <c r="DDW22" s="7"/>
      <c r="DDX22" s="7"/>
      <c r="DDY22" s="7"/>
      <c r="DDZ22" s="7"/>
      <c r="DEA22" s="7"/>
      <c r="DEB22" s="7"/>
      <c r="DEC22" s="7"/>
      <c r="DED22" s="7"/>
      <c r="DEE22" s="7"/>
      <c r="DEF22" s="7"/>
      <c r="DEG22" s="7"/>
      <c r="DEH22" s="7"/>
      <c r="DEI22" s="7"/>
      <c r="DEJ22" s="7"/>
      <c r="DEK22" s="7"/>
      <c r="DEL22" s="7"/>
      <c r="DEM22" s="7"/>
      <c r="DEN22" s="7"/>
      <c r="DEO22" s="7"/>
      <c r="DEP22" s="7"/>
      <c r="DEQ22" s="7"/>
      <c r="DER22" s="7"/>
      <c r="DES22" s="7"/>
      <c r="DET22" s="7"/>
      <c r="DEU22" s="7"/>
      <c r="DEV22" s="7"/>
      <c r="DEW22" s="7"/>
      <c r="DEX22" s="7"/>
      <c r="DEY22" s="7"/>
      <c r="DEZ22" s="7"/>
      <c r="DFA22" s="7"/>
      <c r="DFB22" s="7"/>
      <c r="DFC22" s="7"/>
      <c r="DFD22" s="7"/>
      <c r="DFE22" s="7"/>
      <c r="DFF22" s="7"/>
      <c r="DFG22" s="7"/>
      <c r="DFH22" s="7"/>
      <c r="DFI22" s="7"/>
      <c r="DFJ22" s="7"/>
      <c r="DFK22" s="7"/>
      <c r="DFL22" s="7"/>
      <c r="DFM22" s="7"/>
      <c r="DFN22" s="7"/>
      <c r="DFO22" s="7"/>
      <c r="DFP22" s="7"/>
      <c r="DFQ22" s="7"/>
      <c r="DFR22" s="7"/>
      <c r="DFS22" s="7"/>
      <c r="DFT22" s="7"/>
      <c r="DFU22" s="7"/>
      <c r="DFV22" s="7"/>
      <c r="DFW22" s="7"/>
      <c r="DFX22" s="7"/>
      <c r="DFY22" s="7"/>
      <c r="DFZ22" s="7"/>
      <c r="DGA22" s="7"/>
      <c r="DGB22" s="7"/>
      <c r="DGC22" s="7"/>
      <c r="DGD22" s="7"/>
      <c r="DGE22" s="7"/>
      <c r="DGF22" s="7"/>
      <c r="DGG22" s="7"/>
      <c r="DGH22" s="7"/>
      <c r="DGI22" s="7"/>
      <c r="DGJ22" s="7"/>
      <c r="DGK22" s="7"/>
      <c r="DGL22" s="7"/>
      <c r="DGM22" s="7"/>
      <c r="DGN22" s="7"/>
      <c r="DGO22" s="7"/>
      <c r="DGP22" s="7"/>
      <c r="DGQ22" s="7"/>
      <c r="DGR22" s="7"/>
      <c r="DGS22" s="7"/>
      <c r="DGT22" s="7"/>
      <c r="DGU22" s="7"/>
      <c r="DGV22" s="7"/>
      <c r="DGW22" s="7"/>
      <c r="DGX22" s="7"/>
      <c r="DGY22" s="7"/>
      <c r="DGZ22" s="7"/>
      <c r="DHA22" s="7"/>
      <c r="DHB22" s="7"/>
      <c r="DHC22" s="7"/>
      <c r="DHD22" s="7"/>
      <c r="DHE22" s="7"/>
      <c r="DHF22" s="7"/>
      <c r="DHG22" s="7"/>
      <c r="DHH22" s="7"/>
      <c r="DHI22" s="7"/>
      <c r="DHJ22" s="7"/>
      <c r="DHK22" s="7"/>
      <c r="DHL22" s="7"/>
      <c r="DHM22" s="7"/>
      <c r="DHN22" s="7"/>
      <c r="DHO22" s="7"/>
      <c r="DHP22" s="7"/>
      <c r="DHQ22" s="7"/>
      <c r="DHR22" s="7"/>
      <c r="DHS22" s="7"/>
      <c r="DHT22" s="7"/>
      <c r="DHU22" s="7"/>
      <c r="DHV22" s="7"/>
      <c r="DHW22" s="7"/>
      <c r="DHX22" s="7"/>
      <c r="DHY22" s="7"/>
      <c r="DHZ22" s="7"/>
      <c r="DIA22" s="7"/>
      <c r="DIB22" s="7"/>
      <c r="DIC22" s="7"/>
      <c r="DID22" s="7"/>
      <c r="DIE22" s="7"/>
      <c r="DIF22" s="7"/>
      <c r="DIG22" s="7"/>
      <c r="DIH22" s="7"/>
      <c r="DII22" s="7"/>
      <c r="DIJ22" s="7"/>
      <c r="DIK22" s="7"/>
      <c r="DIL22" s="7"/>
      <c r="DIM22" s="7"/>
      <c r="DIN22" s="7"/>
      <c r="DIO22" s="7"/>
      <c r="DIP22" s="7"/>
      <c r="DIQ22" s="7"/>
      <c r="DIR22" s="7"/>
      <c r="DIS22" s="7"/>
      <c r="DIT22" s="7"/>
      <c r="DIU22" s="7"/>
      <c r="DIV22" s="7"/>
      <c r="DIW22" s="7"/>
      <c r="DIX22" s="7"/>
      <c r="DIY22" s="7"/>
      <c r="DIZ22" s="7"/>
      <c r="DJA22" s="7"/>
      <c r="DJB22" s="7"/>
      <c r="DJC22" s="7"/>
      <c r="DJD22" s="7"/>
      <c r="DJE22" s="7"/>
      <c r="DJF22" s="7"/>
      <c r="DJG22" s="7"/>
      <c r="DJH22" s="7"/>
      <c r="DJI22" s="7"/>
      <c r="DJJ22" s="7"/>
      <c r="DJK22" s="7"/>
      <c r="DJL22" s="7"/>
      <c r="DJM22" s="7"/>
      <c r="DJN22" s="7"/>
      <c r="DJO22" s="7"/>
      <c r="DJP22" s="7"/>
      <c r="DJQ22" s="7"/>
      <c r="DJR22" s="7"/>
      <c r="DJS22" s="7"/>
      <c r="DJT22" s="7"/>
      <c r="DJU22" s="7"/>
      <c r="DJV22" s="7"/>
      <c r="DJW22" s="7"/>
      <c r="DJX22" s="7"/>
      <c r="DJY22" s="7"/>
      <c r="DJZ22" s="7"/>
      <c r="DKA22" s="7"/>
      <c r="DKB22" s="7"/>
      <c r="DKC22" s="7"/>
      <c r="DKD22" s="7"/>
      <c r="DKE22" s="7"/>
      <c r="DKF22" s="7"/>
      <c r="DKG22" s="7"/>
      <c r="DKH22" s="7"/>
      <c r="DKI22" s="7"/>
      <c r="DKJ22" s="7"/>
      <c r="DKK22" s="7"/>
      <c r="DKL22" s="7"/>
      <c r="DKM22" s="7"/>
      <c r="DKN22" s="7"/>
      <c r="DKO22" s="7"/>
      <c r="DKP22" s="7"/>
      <c r="DKQ22" s="7"/>
      <c r="DKR22" s="7"/>
      <c r="DKS22" s="7"/>
      <c r="DKT22" s="7"/>
      <c r="DKU22" s="7"/>
      <c r="DKV22" s="7"/>
      <c r="DKW22" s="7"/>
      <c r="DKX22" s="7"/>
      <c r="DKY22" s="7"/>
      <c r="DKZ22" s="7"/>
      <c r="DLA22" s="7"/>
      <c r="DLB22" s="7"/>
      <c r="DLC22" s="7"/>
      <c r="DLD22" s="7"/>
      <c r="DLE22" s="7"/>
      <c r="DLF22" s="7"/>
      <c r="DLG22" s="7"/>
      <c r="DLH22" s="7"/>
      <c r="DLI22" s="7"/>
      <c r="DLJ22" s="7"/>
      <c r="DLK22" s="7"/>
      <c r="DLL22" s="7"/>
      <c r="DLM22" s="7"/>
      <c r="DLN22" s="7"/>
      <c r="DLO22" s="7"/>
      <c r="DLP22" s="7"/>
      <c r="DLQ22" s="7"/>
      <c r="DLR22" s="7"/>
      <c r="DLS22" s="7"/>
      <c r="DLT22" s="7"/>
      <c r="DLU22" s="7"/>
      <c r="DLV22" s="7"/>
      <c r="DLW22" s="7"/>
      <c r="DLX22" s="7"/>
      <c r="DLY22" s="7"/>
      <c r="DLZ22" s="7"/>
      <c r="DMA22" s="7"/>
      <c r="DMB22" s="7"/>
      <c r="DMC22" s="7"/>
      <c r="DMD22" s="7"/>
      <c r="DME22" s="7"/>
      <c r="DMF22" s="7"/>
      <c r="DMG22" s="7"/>
      <c r="DMH22" s="7"/>
      <c r="DMI22" s="7"/>
      <c r="DMJ22" s="7"/>
      <c r="DMK22" s="7"/>
      <c r="DML22" s="7"/>
      <c r="DMM22" s="7"/>
      <c r="DMN22" s="7"/>
      <c r="DMO22" s="7"/>
      <c r="DMP22" s="7"/>
      <c r="DMQ22" s="7"/>
      <c r="DMR22" s="7"/>
      <c r="DMS22" s="7"/>
      <c r="DMT22" s="7"/>
      <c r="DMU22" s="7"/>
      <c r="DMV22" s="7"/>
      <c r="DMW22" s="7"/>
      <c r="DMX22" s="7"/>
      <c r="DMY22" s="7"/>
      <c r="DMZ22" s="7"/>
      <c r="DNA22" s="7"/>
      <c r="DNB22" s="7"/>
      <c r="DNC22" s="7"/>
      <c r="DND22" s="7"/>
      <c r="DNE22" s="7"/>
      <c r="DNF22" s="7"/>
      <c r="DNG22" s="7"/>
      <c r="DNH22" s="7"/>
      <c r="DNI22" s="7"/>
      <c r="DNJ22" s="7"/>
      <c r="DNK22" s="7"/>
      <c r="DNL22" s="7"/>
      <c r="DNM22" s="7"/>
      <c r="DNN22" s="7"/>
      <c r="DNO22" s="7"/>
      <c r="DNP22" s="7"/>
      <c r="DNQ22" s="7"/>
      <c r="DNR22" s="7"/>
      <c r="DNS22" s="7"/>
      <c r="DNT22" s="7"/>
      <c r="DNU22" s="7"/>
      <c r="DNV22" s="7"/>
      <c r="DNW22" s="7"/>
      <c r="DNX22" s="7"/>
      <c r="DNY22" s="7"/>
      <c r="DNZ22" s="7"/>
      <c r="DOA22" s="7"/>
      <c r="DOB22" s="7"/>
      <c r="DOC22" s="7"/>
      <c r="DOD22" s="7"/>
      <c r="DOE22" s="7"/>
      <c r="DOF22" s="7"/>
      <c r="DOG22" s="7"/>
      <c r="DOH22" s="7"/>
      <c r="DOI22" s="7"/>
      <c r="DOJ22" s="7"/>
      <c r="DOK22" s="7"/>
      <c r="DOL22" s="7"/>
      <c r="DOM22" s="7"/>
      <c r="DON22" s="7"/>
      <c r="DOO22" s="7"/>
      <c r="DOP22" s="7"/>
      <c r="DOQ22" s="7"/>
      <c r="DOR22" s="7"/>
      <c r="DOS22" s="7"/>
      <c r="DOT22" s="7"/>
      <c r="DOU22" s="7"/>
      <c r="DOV22" s="7"/>
      <c r="DOW22" s="7"/>
      <c r="DOX22" s="7"/>
      <c r="DOY22" s="7"/>
      <c r="DOZ22" s="7"/>
      <c r="DPA22" s="7"/>
      <c r="DPB22" s="7"/>
      <c r="DPC22" s="7"/>
      <c r="DPD22" s="7"/>
      <c r="DPE22" s="7"/>
      <c r="DPF22" s="7"/>
      <c r="DPG22" s="7"/>
      <c r="DPH22" s="7"/>
      <c r="DPI22" s="7"/>
      <c r="DPJ22" s="7"/>
      <c r="DPK22" s="7"/>
      <c r="DPL22" s="7"/>
      <c r="DPM22" s="7"/>
      <c r="DPN22" s="7"/>
      <c r="DPO22" s="7"/>
      <c r="DPP22" s="7"/>
      <c r="DPQ22" s="7"/>
      <c r="DPR22" s="7"/>
      <c r="DPS22" s="7"/>
      <c r="DPT22" s="7"/>
      <c r="DPU22" s="7"/>
      <c r="DPV22" s="7"/>
      <c r="DPW22" s="7"/>
      <c r="DPX22" s="7"/>
      <c r="DPY22" s="7"/>
      <c r="DPZ22" s="7"/>
      <c r="DQA22" s="7"/>
      <c r="DQB22" s="7"/>
      <c r="DQC22" s="7"/>
      <c r="DQD22" s="7"/>
      <c r="DQE22" s="7"/>
      <c r="DQF22" s="7"/>
      <c r="DQG22" s="7"/>
      <c r="DQH22" s="7"/>
      <c r="DQI22" s="7"/>
      <c r="DQJ22" s="7"/>
      <c r="DQK22" s="7"/>
      <c r="DQL22" s="7"/>
      <c r="DQM22" s="7"/>
      <c r="DQN22" s="7"/>
      <c r="DQO22" s="7"/>
      <c r="DQP22" s="7"/>
      <c r="DQQ22" s="7"/>
      <c r="DQR22" s="7"/>
      <c r="DQS22" s="7"/>
      <c r="DQT22" s="7"/>
      <c r="DQU22" s="7"/>
      <c r="DQV22" s="7"/>
      <c r="DQW22" s="7"/>
      <c r="DQX22" s="7"/>
      <c r="DQY22" s="7"/>
      <c r="DQZ22" s="7"/>
      <c r="DRA22" s="7"/>
      <c r="DRB22" s="7"/>
      <c r="DRC22" s="7"/>
      <c r="DRD22" s="7"/>
      <c r="DRE22" s="7"/>
      <c r="DRF22" s="7"/>
      <c r="DRG22" s="7"/>
      <c r="DRH22" s="7"/>
      <c r="DRI22" s="7"/>
      <c r="DRJ22" s="7"/>
      <c r="DRK22" s="7"/>
      <c r="DRL22" s="7"/>
      <c r="DRM22" s="7"/>
      <c r="DRN22" s="7"/>
      <c r="DRO22" s="7"/>
      <c r="DRP22" s="7"/>
      <c r="DRQ22" s="7"/>
      <c r="DRR22" s="7"/>
      <c r="DRS22" s="7"/>
      <c r="DRT22" s="7"/>
      <c r="DRU22" s="7"/>
      <c r="DRV22" s="7"/>
      <c r="DRW22" s="7"/>
      <c r="DRX22" s="7"/>
      <c r="DRY22" s="7"/>
      <c r="DRZ22" s="7"/>
      <c r="DSA22" s="7"/>
      <c r="DSB22" s="7"/>
      <c r="DSC22" s="7"/>
      <c r="DSD22" s="7"/>
      <c r="DSE22" s="7"/>
      <c r="DSF22" s="7"/>
      <c r="DSG22" s="7"/>
      <c r="DSH22" s="7"/>
      <c r="DSI22" s="7"/>
      <c r="DSJ22" s="7"/>
      <c r="DSK22" s="7"/>
      <c r="DSL22" s="7"/>
      <c r="DSM22" s="7"/>
      <c r="DSN22" s="7"/>
      <c r="DSO22" s="7"/>
      <c r="DSP22" s="7"/>
      <c r="DSQ22" s="7"/>
      <c r="DSR22" s="7"/>
      <c r="DSS22" s="7"/>
      <c r="DST22" s="7"/>
      <c r="DSU22" s="7"/>
      <c r="DSV22" s="7"/>
      <c r="DSW22" s="7"/>
      <c r="DSX22" s="7"/>
      <c r="DSY22" s="7"/>
      <c r="DSZ22" s="7"/>
      <c r="DTA22" s="7"/>
      <c r="DTB22" s="7"/>
      <c r="DTC22" s="7"/>
      <c r="DTD22" s="7"/>
      <c r="DTE22" s="7"/>
      <c r="DTF22" s="7"/>
      <c r="DTG22" s="7"/>
      <c r="DTH22" s="7"/>
      <c r="DTI22" s="7"/>
      <c r="DTJ22" s="7"/>
      <c r="DTK22" s="7"/>
      <c r="DTL22" s="7"/>
      <c r="DTM22" s="7"/>
      <c r="DTN22" s="7"/>
      <c r="DTO22" s="7"/>
      <c r="DTP22" s="7"/>
      <c r="DTQ22" s="7"/>
      <c r="DTR22" s="7"/>
      <c r="DTS22" s="7"/>
      <c r="DTT22" s="7"/>
      <c r="DTU22" s="7"/>
      <c r="DTV22" s="7"/>
      <c r="DTW22" s="7"/>
      <c r="DTX22" s="7"/>
      <c r="DTY22" s="7"/>
      <c r="DTZ22" s="7"/>
      <c r="DUA22" s="7"/>
      <c r="DUB22" s="7"/>
      <c r="DUC22" s="7"/>
      <c r="DUD22" s="7"/>
      <c r="DUE22" s="7"/>
      <c r="DUF22" s="7"/>
      <c r="DUG22" s="7"/>
      <c r="DUH22" s="7"/>
      <c r="DUI22" s="7"/>
      <c r="DUJ22" s="7"/>
      <c r="DUK22" s="7"/>
      <c r="DUL22" s="7"/>
      <c r="DUM22" s="7"/>
      <c r="DUN22" s="7"/>
      <c r="DUO22" s="7"/>
      <c r="DUP22" s="7"/>
      <c r="DUQ22" s="7"/>
      <c r="DUR22" s="7"/>
      <c r="DUS22" s="7"/>
      <c r="DUT22" s="7"/>
      <c r="DUU22" s="7"/>
      <c r="DUV22" s="7"/>
      <c r="DUW22" s="7"/>
      <c r="DUX22" s="7"/>
      <c r="DUY22" s="7"/>
      <c r="DUZ22" s="7"/>
      <c r="DVA22" s="7"/>
      <c r="DVB22" s="7"/>
      <c r="DVC22" s="7"/>
      <c r="DVD22" s="7"/>
      <c r="DVE22" s="7"/>
      <c r="DVF22" s="7"/>
      <c r="DVG22" s="7"/>
      <c r="DVH22" s="7"/>
      <c r="DVI22" s="7"/>
      <c r="DVJ22" s="7"/>
      <c r="DVK22" s="7"/>
      <c r="DVL22" s="7"/>
      <c r="DVM22" s="7"/>
      <c r="DVN22" s="7"/>
      <c r="DVO22" s="7"/>
      <c r="DVP22" s="7"/>
      <c r="DVQ22" s="7"/>
      <c r="DVR22" s="7"/>
      <c r="DVS22" s="7"/>
      <c r="DVT22" s="7"/>
      <c r="DVU22" s="7"/>
      <c r="DVV22" s="7"/>
      <c r="DVW22" s="7"/>
      <c r="DVX22" s="7"/>
      <c r="DVY22" s="7"/>
      <c r="DVZ22" s="7"/>
      <c r="DWA22" s="7"/>
      <c r="DWB22" s="7"/>
      <c r="DWC22" s="7"/>
      <c r="DWD22" s="7"/>
      <c r="DWE22" s="7"/>
      <c r="DWF22" s="7"/>
      <c r="DWG22" s="7"/>
      <c r="DWH22" s="7"/>
      <c r="DWI22" s="7"/>
      <c r="DWJ22" s="7"/>
      <c r="DWK22" s="7"/>
      <c r="DWL22" s="7"/>
      <c r="DWM22" s="7"/>
      <c r="DWN22" s="7"/>
      <c r="DWO22" s="7"/>
      <c r="DWP22" s="7"/>
      <c r="DWQ22" s="7"/>
      <c r="DWR22" s="7"/>
      <c r="DWS22" s="7"/>
      <c r="DWT22" s="7"/>
      <c r="DWU22" s="7"/>
      <c r="DWV22" s="7"/>
      <c r="DWW22" s="7"/>
      <c r="DWX22" s="7"/>
      <c r="DWY22" s="7"/>
      <c r="DWZ22" s="7"/>
      <c r="DXA22" s="7"/>
      <c r="DXB22" s="7"/>
      <c r="DXC22" s="7"/>
      <c r="DXD22" s="7"/>
      <c r="DXE22" s="7"/>
      <c r="DXF22" s="7"/>
      <c r="DXG22" s="7"/>
      <c r="DXH22" s="7"/>
      <c r="DXI22" s="7"/>
      <c r="DXJ22" s="7"/>
      <c r="DXK22" s="7"/>
      <c r="DXL22" s="7"/>
      <c r="DXM22" s="7"/>
      <c r="DXN22" s="7"/>
      <c r="DXO22" s="7"/>
      <c r="DXP22" s="7"/>
      <c r="DXQ22" s="7"/>
      <c r="DXR22" s="7"/>
      <c r="DXS22" s="7"/>
      <c r="DXT22" s="7"/>
      <c r="DXU22" s="7"/>
      <c r="DXV22" s="7"/>
      <c r="DXW22" s="7"/>
      <c r="DXX22" s="7"/>
      <c r="DXY22" s="7"/>
      <c r="DXZ22" s="7"/>
      <c r="DYA22" s="7"/>
      <c r="DYB22" s="7"/>
      <c r="DYC22" s="7"/>
      <c r="DYD22" s="7"/>
      <c r="DYE22" s="7"/>
      <c r="DYF22" s="7"/>
      <c r="DYG22" s="7"/>
      <c r="DYH22" s="7"/>
      <c r="DYI22" s="7"/>
      <c r="DYJ22" s="7"/>
      <c r="DYK22" s="7"/>
      <c r="DYL22" s="7"/>
      <c r="DYM22" s="7"/>
      <c r="DYN22" s="7"/>
      <c r="DYO22" s="7"/>
      <c r="DYP22" s="7"/>
      <c r="DYQ22" s="7"/>
      <c r="DYR22" s="7"/>
      <c r="DYS22" s="7"/>
      <c r="DYT22" s="7"/>
      <c r="DYU22" s="7"/>
      <c r="DYV22" s="7"/>
      <c r="DYW22" s="7"/>
      <c r="DYX22" s="7"/>
      <c r="DYY22" s="7"/>
      <c r="DYZ22" s="7"/>
      <c r="DZA22" s="7"/>
      <c r="DZB22" s="7"/>
      <c r="DZC22" s="7"/>
      <c r="DZD22" s="7"/>
      <c r="DZE22" s="7"/>
      <c r="DZF22" s="7"/>
      <c r="DZG22" s="7"/>
      <c r="DZH22" s="7"/>
      <c r="DZI22" s="7"/>
      <c r="DZJ22" s="7"/>
      <c r="DZK22" s="7"/>
      <c r="DZL22" s="7"/>
      <c r="DZM22" s="7"/>
      <c r="DZN22" s="7"/>
      <c r="DZO22" s="7"/>
      <c r="DZP22" s="7"/>
      <c r="DZQ22" s="7"/>
      <c r="DZR22" s="7"/>
      <c r="DZS22" s="7"/>
      <c r="DZT22" s="7"/>
      <c r="DZU22" s="7"/>
      <c r="DZV22" s="7"/>
      <c r="DZW22" s="7"/>
      <c r="DZX22" s="7"/>
      <c r="DZY22" s="7"/>
      <c r="DZZ22" s="7"/>
      <c r="EAA22" s="7"/>
      <c r="EAB22" s="7"/>
      <c r="EAC22" s="7"/>
      <c r="EAD22" s="7"/>
      <c r="EAE22" s="7"/>
      <c r="EAF22" s="7"/>
      <c r="EAG22" s="7"/>
      <c r="EAH22" s="7"/>
      <c r="EAI22" s="7"/>
      <c r="EAJ22" s="7"/>
      <c r="EAK22" s="7"/>
      <c r="EAL22" s="7"/>
      <c r="EAM22" s="7"/>
      <c r="EAN22" s="7"/>
      <c r="EAO22" s="7"/>
      <c r="EAP22" s="7"/>
      <c r="EAQ22" s="7"/>
      <c r="EAR22" s="7"/>
      <c r="EAS22" s="7"/>
      <c r="EAT22" s="7"/>
      <c r="EAU22" s="7"/>
      <c r="EAV22" s="7"/>
      <c r="EAW22" s="7"/>
      <c r="EAX22" s="7"/>
      <c r="EAY22" s="7"/>
      <c r="EAZ22" s="7"/>
      <c r="EBA22" s="7"/>
      <c r="EBB22" s="7"/>
      <c r="EBC22" s="7"/>
      <c r="EBD22" s="7"/>
      <c r="EBE22" s="7"/>
      <c r="EBF22" s="7"/>
      <c r="EBG22" s="7"/>
      <c r="EBH22" s="7"/>
      <c r="EBI22" s="7"/>
      <c r="EBJ22" s="7"/>
      <c r="EBK22" s="7"/>
      <c r="EBL22" s="7"/>
      <c r="EBM22" s="7"/>
      <c r="EBN22" s="7"/>
      <c r="EBO22" s="7"/>
      <c r="EBP22" s="7"/>
      <c r="EBQ22" s="7"/>
      <c r="EBR22" s="7"/>
      <c r="EBS22" s="7"/>
      <c r="EBT22" s="7"/>
      <c r="EBU22" s="7"/>
      <c r="EBV22" s="7"/>
      <c r="EBW22" s="7"/>
      <c r="EBX22" s="7"/>
      <c r="EBY22" s="7"/>
      <c r="EBZ22" s="7"/>
      <c r="ECA22" s="7"/>
      <c r="ECB22" s="7"/>
      <c r="ECC22" s="7"/>
      <c r="ECD22" s="7"/>
      <c r="ECE22" s="7"/>
      <c r="ECF22" s="7"/>
      <c r="ECG22" s="7"/>
      <c r="ECH22" s="7"/>
      <c r="ECI22" s="7"/>
      <c r="ECJ22" s="7"/>
      <c r="ECK22" s="7"/>
      <c r="ECL22" s="7"/>
      <c r="ECM22" s="7"/>
      <c r="ECN22" s="7"/>
      <c r="ECO22" s="7"/>
      <c r="ECP22" s="7"/>
      <c r="ECQ22" s="7"/>
      <c r="ECR22" s="7"/>
      <c r="ECS22" s="7"/>
      <c r="ECT22" s="7"/>
      <c r="ECU22" s="7"/>
      <c r="ECV22" s="7"/>
      <c r="ECW22" s="7"/>
      <c r="ECX22" s="7"/>
      <c r="ECY22" s="7"/>
      <c r="ECZ22" s="7"/>
      <c r="EDA22" s="7"/>
      <c r="EDB22" s="7"/>
      <c r="EDC22" s="7"/>
      <c r="EDD22" s="7"/>
      <c r="EDE22" s="7"/>
      <c r="EDF22" s="7"/>
      <c r="EDG22" s="7"/>
      <c r="EDH22" s="7"/>
      <c r="EDI22" s="7"/>
      <c r="EDJ22" s="7"/>
      <c r="EDK22" s="7"/>
      <c r="EDL22" s="7"/>
      <c r="EDM22" s="7"/>
      <c r="EDN22" s="7"/>
      <c r="EDO22" s="7"/>
      <c r="EDP22" s="7"/>
      <c r="EDQ22" s="7"/>
      <c r="EDR22" s="7"/>
      <c r="EDS22" s="7"/>
      <c r="EDT22" s="7"/>
      <c r="EDU22" s="7"/>
      <c r="EDV22" s="7"/>
      <c r="EDW22" s="7"/>
      <c r="EDX22" s="7"/>
      <c r="EDY22" s="7"/>
      <c r="EDZ22" s="7"/>
      <c r="EEA22" s="7"/>
      <c r="EEB22" s="7"/>
      <c r="EEC22" s="7"/>
      <c r="EED22" s="7"/>
      <c r="EEE22" s="7"/>
      <c r="EEF22" s="7"/>
      <c r="EEG22" s="7"/>
      <c r="EEH22" s="7"/>
      <c r="EEI22" s="7"/>
      <c r="EEJ22" s="7"/>
      <c r="EEK22" s="7"/>
      <c r="EEL22" s="7"/>
      <c r="EEM22" s="7"/>
      <c r="EEN22" s="7"/>
      <c r="EEO22" s="7"/>
      <c r="EEP22" s="7"/>
      <c r="EEQ22" s="7"/>
      <c r="EER22" s="7"/>
      <c r="EES22" s="7"/>
      <c r="EET22" s="7"/>
      <c r="EEU22" s="7"/>
      <c r="EEV22" s="7"/>
      <c r="EEW22" s="7"/>
      <c r="EEX22" s="7"/>
      <c r="EEY22" s="7"/>
      <c r="EEZ22" s="7"/>
      <c r="EFA22" s="7"/>
      <c r="EFB22" s="7"/>
      <c r="EFC22" s="7"/>
      <c r="EFD22" s="7"/>
      <c r="EFE22" s="7"/>
      <c r="EFF22" s="7"/>
      <c r="EFG22" s="7"/>
      <c r="EFH22" s="7"/>
      <c r="EFI22" s="7"/>
      <c r="EFJ22" s="7"/>
      <c r="EFK22" s="7"/>
      <c r="EFL22" s="7"/>
      <c r="EFM22" s="7"/>
      <c r="EFN22" s="7"/>
      <c r="EFO22" s="7"/>
      <c r="EFP22" s="7"/>
      <c r="EFQ22" s="7"/>
      <c r="EFR22" s="7"/>
      <c r="EFS22" s="7"/>
      <c r="EFT22" s="7"/>
      <c r="EFU22" s="7"/>
      <c r="EFV22" s="7"/>
      <c r="EFW22" s="7"/>
      <c r="EFX22" s="7"/>
      <c r="EFY22" s="7"/>
      <c r="EFZ22" s="7"/>
      <c r="EGA22" s="7"/>
      <c r="EGB22" s="7"/>
      <c r="EGC22" s="7"/>
      <c r="EGD22" s="7"/>
      <c r="EGE22" s="7"/>
      <c r="EGF22" s="7"/>
      <c r="EGG22" s="7"/>
      <c r="EGH22" s="7"/>
      <c r="EGI22" s="7"/>
      <c r="EGJ22" s="7"/>
      <c r="EGK22" s="7"/>
      <c r="EGL22" s="7"/>
      <c r="EGM22" s="7"/>
      <c r="EGN22" s="7"/>
      <c r="EGO22" s="7"/>
      <c r="EGP22" s="7"/>
      <c r="EGQ22" s="7"/>
      <c r="EGR22" s="7"/>
      <c r="EGS22" s="7"/>
      <c r="EGT22" s="7"/>
      <c r="EGU22" s="7"/>
      <c r="EGV22" s="7"/>
      <c r="EGW22" s="7"/>
      <c r="EGX22" s="7"/>
      <c r="EGY22" s="7"/>
      <c r="EGZ22" s="7"/>
      <c r="EHA22" s="7"/>
      <c r="EHB22" s="7"/>
      <c r="EHC22" s="7"/>
      <c r="EHD22" s="7"/>
      <c r="EHE22" s="7"/>
      <c r="EHF22" s="7"/>
      <c r="EHG22" s="7"/>
      <c r="EHH22" s="7"/>
      <c r="EHI22" s="7"/>
      <c r="EHJ22" s="7"/>
      <c r="EHK22" s="7"/>
      <c r="EHL22" s="7"/>
      <c r="EHM22" s="7"/>
      <c r="EHN22" s="7"/>
      <c r="EHO22" s="7"/>
      <c r="EHP22" s="7"/>
      <c r="EHQ22" s="7"/>
      <c r="EHR22" s="7"/>
      <c r="EHS22" s="7"/>
      <c r="EHT22" s="7"/>
      <c r="EHU22" s="7"/>
      <c r="EHV22" s="7"/>
      <c r="EHW22" s="7"/>
      <c r="EHX22" s="7"/>
      <c r="EHY22" s="7"/>
      <c r="EHZ22" s="7"/>
      <c r="EIA22" s="7"/>
      <c r="EIB22" s="7"/>
      <c r="EIC22" s="7"/>
      <c r="EID22" s="7"/>
      <c r="EIE22" s="7"/>
      <c r="EIF22" s="7"/>
      <c r="EIG22" s="7"/>
      <c r="EIH22" s="7"/>
      <c r="EII22" s="7"/>
      <c r="EIJ22" s="7"/>
      <c r="EIK22" s="7"/>
      <c r="EIL22" s="7"/>
      <c r="EIM22" s="7"/>
      <c r="EIN22" s="7"/>
      <c r="EIO22" s="7"/>
      <c r="EIP22" s="7"/>
      <c r="EIQ22" s="7"/>
      <c r="EIR22" s="7"/>
      <c r="EIS22" s="7"/>
      <c r="EIT22" s="7"/>
      <c r="EIU22" s="7"/>
      <c r="EIV22" s="7"/>
      <c r="EIW22" s="7"/>
      <c r="EIX22" s="7"/>
      <c r="EIY22" s="7"/>
      <c r="EIZ22" s="7"/>
      <c r="EJA22" s="7"/>
      <c r="EJB22" s="7"/>
      <c r="EJC22" s="7"/>
      <c r="EJD22" s="7"/>
      <c r="EJE22" s="7"/>
      <c r="EJF22" s="7"/>
      <c r="EJG22" s="7"/>
      <c r="EJH22" s="7"/>
      <c r="EJI22" s="7"/>
      <c r="EJJ22" s="7"/>
      <c r="EJK22" s="7"/>
      <c r="EJL22" s="7"/>
      <c r="EJM22" s="7"/>
      <c r="EJN22" s="7"/>
      <c r="EJO22" s="7"/>
      <c r="EJP22" s="7"/>
      <c r="EJQ22" s="7"/>
      <c r="EJR22" s="7"/>
      <c r="EJS22" s="7"/>
      <c r="EJT22" s="7"/>
      <c r="EJU22" s="7"/>
      <c r="EJV22" s="7"/>
      <c r="EJW22" s="7"/>
      <c r="EJX22" s="7"/>
      <c r="EJY22" s="7"/>
      <c r="EJZ22" s="7"/>
      <c r="EKA22" s="7"/>
      <c r="EKB22" s="7"/>
      <c r="EKC22" s="7"/>
      <c r="EKD22" s="7"/>
      <c r="EKE22" s="7"/>
      <c r="EKF22" s="7"/>
      <c r="EKG22" s="7"/>
      <c r="EKH22" s="7"/>
      <c r="EKI22" s="7"/>
      <c r="EKJ22" s="7"/>
      <c r="EKK22" s="7"/>
      <c r="EKL22" s="7"/>
      <c r="EKM22" s="7"/>
      <c r="EKN22" s="7"/>
      <c r="EKO22" s="7"/>
      <c r="EKP22" s="7"/>
      <c r="EKQ22" s="7"/>
      <c r="EKR22" s="7"/>
      <c r="EKS22" s="7"/>
      <c r="EKT22" s="7"/>
      <c r="EKU22" s="7"/>
      <c r="EKV22" s="7"/>
      <c r="EKW22" s="7"/>
      <c r="EKX22" s="7"/>
      <c r="EKY22" s="7"/>
      <c r="EKZ22" s="7"/>
      <c r="ELA22" s="7"/>
      <c r="ELB22" s="7"/>
      <c r="ELC22" s="7"/>
      <c r="ELD22" s="7"/>
      <c r="ELE22" s="7"/>
      <c r="ELF22" s="7"/>
      <c r="ELG22" s="7"/>
      <c r="ELH22" s="7"/>
      <c r="ELI22" s="7"/>
      <c r="ELJ22" s="7"/>
      <c r="ELK22" s="7"/>
      <c r="ELL22" s="7"/>
      <c r="ELM22" s="7"/>
      <c r="ELN22" s="7"/>
      <c r="ELO22" s="7"/>
      <c r="ELP22" s="7"/>
      <c r="ELQ22" s="7"/>
      <c r="ELR22" s="7"/>
      <c r="ELS22" s="7"/>
      <c r="ELT22" s="7"/>
      <c r="ELU22" s="7"/>
      <c r="ELV22" s="7"/>
      <c r="ELW22" s="7"/>
      <c r="ELX22" s="7"/>
      <c r="ELY22" s="7"/>
      <c r="ELZ22" s="7"/>
      <c r="EMA22" s="7"/>
      <c r="EMB22" s="7"/>
      <c r="EMC22" s="7"/>
      <c r="EMD22" s="7"/>
      <c r="EME22" s="7"/>
      <c r="EMF22" s="7"/>
      <c r="EMG22" s="7"/>
      <c r="EMH22" s="7"/>
      <c r="EMI22" s="7"/>
      <c r="EMJ22" s="7"/>
      <c r="EMK22" s="7"/>
      <c r="EML22" s="7"/>
      <c r="EMM22" s="7"/>
      <c r="EMN22" s="7"/>
      <c r="EMO22" s="7"/>
      <c r="EMP22" s="7"/>
      <c r="EMQ22" s="7"/>
      <c r="EMR22" s="7"/>
      <c r="EMS22" s="7"/>
      <c r="EMT22" s="7"/>
      <c r="EMU22" s="7"/>
      <c r="EMV22" s="7"/>
      <c r="EMW22" s="7"/>
      <c r="EMX22" s="7"/>
      <c r="EMY22" s="7"/>
      <c r="EMZ22" s="7"/>
      <c r="ENA22" s="7"/>
      <c r="ENB22" s="7"/>
      <c r="ENC22" s="7"/>
      <c r="END22" s="7"/>
      <c r="ENE22" s="7"/>
      <c r="ENF22" s="7"/>
      <c r="ENG22" s="7"/>
      <c r="ENH22" s="7"/>
      <c r="ENI22" s="7"/>
      <c r="ENJ22" s="7"/>
      <c r="ENK22" s="7"/>
      <c r="ENL22" s="7"/>
      <c r="ENM22" s="7"/>
      <c r="ENN22" s="7"/>
      <c r="ENO22" s="7"/>
      <c r="ENP22" s="7"/>
      <c r="ENQ22" s="7"/>
      <c r="ENR22" s="7"/>
      <c r="ENS22" s="7"/>
      <c r="ENT22" s="7"/>
      <c r="ENU22" s="7"/>
      <c r="ENV22" s="7"/>
      <c r="ENW22" s="7"/>
      <c r="ENX22" s="7"/>
      <c r="ENY22" s="7"/>
      <c r="ENZ22" s="7"/>
      <c r="EOA22" s="7"/>
      <c r="EOB22" s="7"/>
      <c r="EOC22" s="7"/>
      <c r="EOD22" s="7"/>
      <c r="EOE22" s="7"/>
      <c r="EOF22" s="7"/>
      <c r="EOG22" s="7"/>
      <c r="EOH22" s="7"/>
      <c r="EOI22" s="7"/>
      <c r="EOJ22" s="7"/>
      <c r="EOK22" s="7"/>
      <c r="EOL22" s="7"/>
      <c r="EOM22" s="7"/>
      <c r="EON22" s="7"/>
      <c r="EOO22" s="7"/>
      <c r="EOP22" s="7"/>
      <c r="EOQ22" s="7"/>
      <c r="EOR22" s="7"/>
      <c r="EOS22" s="7"/>
      <c r="EOT22" s="7"/>
      <c r="EOU22" s="7"/>
      <c r="EOV22" s="7"/>
      <c r="EOW22" s="7"/>
      <c r="EOX22" s="7"/>
      <c r="EOY22" s="7"/>
      <c r="EOZ22" s="7"/>
      <c r="EPA22" s="7"/>
      <c r="EPB22" s="7"/>
      <c r="EPC22" s="7"/>
      <c r="EPD22" s="7"/>
      <c r="EPE22" s="7"/>
      <c r="EPF22" s="7"/>
      <c r="EPG22" s="7"/>
      <c r="EPH22" s="7"/>
      <c r="EPI22" s="7"/>
      <c r="EPJ22" s="7"/>
      <c r="EPK22" s="7"/>
      <c r="EPL22" s="7"/>
      <c r="EPM22" s="7"/>
      <c r="EPN22" s="7"/>
      <c r="EPO22" s="7"/>
      <c r="EPP22" s="7"/>
      <c r="EPQ22" s="7"/>
      <c r="EPR22" s="7"/>
      <c r="EPS22" s="7"/>
      <c r="EPT22" s="7"/>
      <c r="EPU22" s="7"/>
      <c r="EPV22" s="7"/>
      <c r="EPW22" s="7"/>
      <c r="EPX22" s="7"/>
      <c r="EPY22" s="7"/>
      <c r="EPZ22" s="7"/>
      <c r="EQA22" s="7"/>
      <c r="EQB22" s="7"/>
      <c r="EQC22" s="7"/>
      <c r="EQD22" s="7"/>
      <c r="EQE22" s="7"/>
      <c r="EQF22" s="7"/>
      <c r="EQG22" s="7"/>
      <c r="EQH22" s="7"/>
      <c r="EQI22" s="7"/>
      <c r="EQJ22" s="7"/>
      <c r="EQK22" s="7"/>
      <c r="EQL22" s="7"/>
      <c r="EQM22" s="7"/>
      <c r="EQN22" s="7"/>
      <c r="EQO22" s="7"/>
      <c r="EQP22" s="7"/>
      <c r="EQQ22" s="7"/>
      <c r="EQR22" s="7"/>
      <c r="EQS22" s="7"/>
      <c r="EQT22" s="7"/>
      <c r="EQU22" s="7"/>
      <c r="EQV22" s="7"/>
      <c r="EQW22" s="7"/>
      <c r="EQX22" s="7"/>
      <c r="EQY22" s="7"/>
      <c r="EQZ22" s="7"/>
      <c r="ERA22" s="7"/>
      <c r="ERB22" s="7"/>
      <c r="ERC22" s="7"/>
      <c r="ERD22" s="7"/>
      <c r="ERE22" s="7"/>
      <c r="ERF22" s="7"/>
      <c r="ERG22" s="7"/>
      <c r="ERH22" s="7"/>
      <c r="ERI22" s="7"/>
      <c r="ERJ22" s="7"/>
      <c r="ERK22" s="7"/>
      <c r="ERL22" s="7"/>
      <c r="ERM22" s="7"/>
      <c r="ERN22" s="7"/>
      <c r="ERO22" s="7"/>
      <c r="ERP22" s="7"/>
      <c r="ERQ22" s="7"/>
      <c r="ERR22" s="7"/>
      <c r="ERS22" s="7"/>
      <c r="ERT22" s="7"/>
      <c r="ERU22" s="7"/>
      <c r="ERV22" s="7"/>
      <c r="ERW22" s="7"/>
      <c r="ERX22" s="7"/>
      <c r="ERY22" s="7"/>
      <c r="ERZ22" s="7"/>
      <c r="ESA22" s="7"/>
      <c r="ESB22" s="7"/>
      <c r="ESC22" s="7"/>
      <c r="ESD22" s="7"/>
      <c r="ESE22" s="7"/>
      <c r="ESF22" s="7"/>
      <c r="ESG22" s="7"/>
      <c r="ESH22" s="7"/>
      <c r="ESI22" s="7"/>
      <c r="ESJ22" s="7"/>
      <c r="ESK22" s="7"/>
      <c r="ESL22" s="7"/>
      <c r="ESM22" s="7"/>
      <c r="ESN22" s="7"/>
      <c r="ESO22" s="7"/>
      <c r="ESP22" s="7"/>
      <c r="ESQ22" s="7"/>
      <c r="ESR22" s="7"/>
      <c r="ESS22" s="7"/>
      <c r="EST22" s="7"/>
      <c r="ESU22" s="7"/>
      <c r="ESV22" s="7"/>
      <c r="ESW22" s="7"/>
      <c r="ESX22" s="7"/>
      <c r="ESY22" s="7"/>
      <c r="ESZ22" s="7"/>
      <c r="ETA22" s="7"/>
      <c r="ETB22" s="7"/>
      <c r="ETC22" s="7"/>
      <c r="ETD22" s="7"/>
      <c r="ETE22" s="7"/>
      <c r="ETF22" s="7"/>
      <c r="ETG22" s="7"/>
      <c r="ETH22" s="7"/>
      <c r="ETI22" s="7"/>
      <c r="ETJ22" s="7"/>
      <c r="ETK22" s="7"/>
      <c r="ETL22" s="7"/>
      <c r="ETM22" s="7"/>
      <c r="ETN22" s="7"/>
      <c r="ETO22" s="7"/>
      <c r="ETP22" s="7"/>
      <c r="ETQ22" s="7"/>
      <c r="ETR22" s="7"/>
      <c r="ETS22" s="7"/>
      <c r="ETT22" s="7"/>
      <c r="ETU22" s="7"/>
      <c r="ETV22" s="7"/>
      <c r="ETW22" s="7"/>
      <c r="ETX22" s="7"/>
      <c r="ETY22" s="7"/>
      <c r="ETZ22" s="7"/>
      <c r="EUA22" s="7"/>
      <c r="EUB22" s="7"/>
      <c r="EUC22" s="7"/>
      <c r="EUD22" s="7"/>
      <c r="EUE22" s="7"/>
      <c r="EUF22" s="7"/>
      <c r="EUG22" s="7"/>
      <c r="EUH22" s="7"/>
      <c r="EUI22" s="7"/>
      <c r="EUJ22" s="7"/>
      <c r="EUK22" s="7"/>
      <c r="EUL22" s="7"/>
      <c r="EUM22" s="7"/>
      <c r="EUN22" s="7"/>
      <c r="EUO22" s="7"/>
      <c r="EUP22" s="7"/>
      <c r="EUQ22" s="7"/>
      <c r="EUR22" s="7"/>
      <c r="EUS22" s="7"/>
      <c r="EUT22" s="7"/>
      <c r="EUU22" s="7"/>
      <c r="EUV22" s="7"/>
      <c r="EUW22" s="7"/>
      <c r="EUX22" s="7"/>
      <c r="EUY22" s="7"/>
      <c r="EUZ22" s="7"/>
      <c r="EVA22" s="7"/>
      <c r="EVB22" s="7"/>
      <c r="EVC22" s="7"/>
      <c r="EVD22" s="7"/>
      <c r="EVE22" s="7"/>
      <c r="EVF22" s="7"/>
      <c r="EVG22" s="7"/>
      <c r="EVH22" s="7"/>
      <c r="EVI22" s="7"/>
      <c r="EVJ22" s="7"/>
      <c r="EVK22" s="7"/>
      <c r="EVL22" s="7"/>
      <c r="EVM22" s="7"/>
      <c r="EVN22" s="7"/>
      <c r="EVO22" s="7"/>
      <c r="EVP22" s="7"/>
      <c r="EVQ22" s="7"/>
      <c r="EVR22" s="7"/>
      <c r="EVS22" s="7"/>
      <c r="EVT22" s="7"/>
      <c r="EVU22" s="7"/>
      <c r="EVV22" s="7"/>
      <c r="EVW22" s="7"/>
      <c r="EVX22" s="7"/>
      <c r="EVY22" s="7"/>
      <c r="EVZ22" s="7"/>
      <c r="EWA22" s="7"/>
      <c r="EWB22" s="7"/>
      <c r="EWC22" s="7"/>
      <c r="EWD22" s="7"/>
      <c r="EWE22" s="7"/>
      <c r="EWF22" s="7"/>
      <c r="EWG22" s="7"/>
      <c r="EWH22" s="7"/>
      <c r="EWI22" s="7"/>
      <c r="EWJ22" s="7"/>
      <c r="EWK22" s="7"/>
      <c r="EWL22" s="7"/>
      <c r="EWM22" s="7"/>
      <c r="EWN22" s="7"/>
      <c r="EWO22" s="7"/>
      <c r="EWP22" s="7"/>
      <c r="EWQ22" s="7"/>
      <c r="EWR22" s="7"/>
      <c r="EWS22" s="7"/>
      <c r="EWT22" s="7"/>
      <c r="EWU22" s="7"/>
      <c r="EWV22" s="7"/>
      <c r="EWW22" s="7"/>
      <c r="EWX22" s="7"/>
      <c r="EWY22" s="7"/>
      <c r="EWZ22" s="7"/>
      <c r="EXA22" s="7"/>
      <c r="EXB22" s="7"/>
      <c r="EXC22" s="7"/>
      <c r="EXD22" s="7"/>
      <c r="EXE22" s="7"/>
      <c r="EXF22" s="7"/>
      <c r="EXG22" s="7"/>
      <c r="EXH22" s="7"/>
      <c r="EXI22" s="7"/>
      <c r="EXJ22" s="7"/>
      <c r="EXK22" s="7"/>
      <c r="EXL22" s="7"/>
      <c r="EXM22" s="7"/>
      <c r="EXN22" s="7"/>
      <c r="EXO22" s="7"/>
      <c r="EXP22" s="7"/>
      <c r="EXQ22" s="7"/>
      <c r="EXR22" s="7"/>
      <c r="EXS22" s="7"/>
      <c r="EXT22" s="7"/>
      <c r="EXU22" s="7"/>
      <c r="EXV22" s="7"/>
      <c r="EXW22" s="7"/>
      <c r="EXX22" s="7"/>
      <c r="EXY22" s="7"/>
      <c r="EXZ22" s="7"/>
      <c r="EYA22" s="7"/>
      <c r="EYB22" s="7"/>
      <c r="EYC22" s="7"/>
      <c r="EYD22" s="7"/>
      <c r="EYE22" s="7"/>
      <c r="EYF22" s="7"/>
      <c r="EYG22" s="7"/>
      <c r="EYH22" s="7"/>
      <c r="EYI22" s="7"/>
      <c r="EYJ22" s="7"/>
      <c r="EYK22" s="7"/>
      <c r="EYL22" s="7"/>
      <c r="EYM22" s="7"/>
      <c r="EYN22" s="7"/>
      <c r="EYO22" s="7"/>
      <c r="EYP22" s="7"/>
      <c r="EYQ22" s="7"/>
      <c r="EYR22" s="7"/>
      <c r="EYS22" s="7"/>
      <c r="EYT22" s="7"/>
      <c r="EYU22" s="7"/>
      <c r="EYV22" s="7"/>
      <c r="EYW22" s="7"/>
      <c r="EYX22" s="7"/>
      <c r="EYY22" s="7"/>
      <c r="EYZ22" s="7"/>
      <c r="EZA22" s="7"/>
      <c r="EZB22" s="7"/>
      <c r="EZC22" s="7"/>
      <c r="EZD22" s="7"/>
      <c r="EZE22" s="7"/>
      <c r="EZF22" s="7"/>
      <c r="EZG22" s="7"/>
      <c r="EZH22" s="7"/>
      <c r="EZI22" s="7"/>
      <c r="EZJ22" s="7"/>
      <c r="EZK22" s="7"/>
      <c r="EZL22" s="7"/>
      <c r="EZM22" s="7"/>
      <c r="EZN22" s="7"/>
      <c r="EZO22" s="7"/>
      <c r="EZP22" s="7"/>
      <c r="EZQ22" s="7"/>
      <c r="EZR22" s="7"/>
      <c r="EZS22" s="7"/>
      <c r="EZT22" s="7"/>
      <c r="EZU22" s="7"/>
      <c r="EZV22" s="7"/>
      <c r="EZW22" s="7"/>
      <c r="EZX22" s="7"/>
      <c r="EZY22" s="7"/>
      <c r="EZZ22" s="7"/>
      <c r="FAA22" s="7"/>
      <c r="FAB22" s="7"/>
      <c r="FAC22" s="7"/>
      <c r="FAD22" s="7"/>
      <c r="FAE22" s="7"/>
      <c r="FAF22" s="7"/>
      <c r="FAG22" s="7"/>
      <c r="FAH22" s="7"/>
      <c r="FAI22" s="7"/>
      <c r="FAJ22" s="7"/>
      <c r="FAK22" s="7"/>
      <c r="FAL22" s="7"/>
      <c r="FAM22" s="7"/>
      <c r="FAN22" s="7"/>
      <c r="FAO22" s="7"/>
      <c r="FAP22" s="7"/>
      <c r="FAQ22" s="7"/>
      <c r="FAR22" s="7"/>
      <c r="FAS22" s="7"/>
      <c r="FAT22" s="7"/>
      <c r="FAU22" s="7"/>
      <c r="FAV22" s="7"/>
      <c r="FAW22" s="7"/>
      <c r="FAX22" s="7"/>
      <c r="FAY22" s="7"/>
      <c r="FAZ22" s="7"/>
      <c r="FBA22" s="7"/>
      <c r="FBB22" s="7"/>
      <c r="FBC22" s="7"/>
      <c r="FBD22" s="7"/>
      <c r="FBE22" s="7"/>
      <c r="FBF22" s="7"/>
      <c r="FBG22" s="7"/>
      <c r="FBH22" s="7"/>
      <c r="FBI22" s="7"/>
      <c r="FBJ22" s="7"/>
      <c r="FBK22" s="7"/>
      <c r="FBL22" s="7"/>
      <c r="FBM22" s="7"/>
      <c r="FBN22" s="7"/>
      <c r="FBO22" s="7"/>
      <c r="FBP22" s="7"/>
      <c r="FBQ22" s="7"/>
      <c r="FBR22" s="7"/>
      <c r="FBS22" s="7"/>
      <c r="FBT22" s="7"/>
      <c r="FBU22" s="7"/>
      <c r="FBV22" s="7"/>
      <c r="FBW22" s="7"/>
      <c r="FBX22" s="7"/>
      <c r="FBY22" s="7"/>
      <c r="FBZ22" s="7"/>
      <c r="FCA22" s="7"/>
      <c r="FCB22" s="7"/>
      <c r="FCC22" s="7"/>
      <c r="FCD22" s="7"/>
      <c r="FCE22" s="7"/>
      <c r="FCF22" s="7"/>
      <c r="FCG22" s="7"/>
      <c r="FCH22" s="7"/>
      <c r="FCI22" s="7"/>
      <c r="FCJ22" s="7"/>
      <c r="FCK22" s="7"/>
      <c r="FCL22" s="7"/>
      <c r="FCM22" s="7"/>
      <c r="FCN22" s="7"/>
      <c r="FCO22" s="7"/>
      <c r="FCP22" s="7"/>
      <c r="FCQ22" s="7"/>
      <c r="FCR22" s="7"/>
      <c r="FCS22" s="7"/>
      <c r="FCT22" s="7"/>
      <c r="FCU22" s="7"/>
      <c r="FCV22" s="7"/>
      <c r="FCW22" s="7"/>
      <c r="FCX22" s="7"/>
      <c r="FCY22" s="7"/>
      <c r="FCZ22" s="7"/>
      <c r="FDA22" s="7"/>
      <c r="FDB22" s="7"/>
      <c r="FDC22" s="7"/>
      <c r="FDD22" s="7"/>
      <c r="FDE22" s="7"/>
      <c r="FDF22" s="7"/>
      <c r="FDG22" s="7"/>
      <c r="FDH22" s="7"/>
      <c r="FDI22" s="7"/>
      <c r="FDJ22" s="7"/>
      <c r="FDK22" s="7"/>
      <c r="FDL22" s="7"/>
      <c r="FDM22" s="7"/>
      <c r="FDN22" s="7"/>
      <c r="FDO22" s="7"/>
      <c r="FDP22" s="7"/>
      <c r="FDQ22" s="7"/>
      <c r="FDR22" s="7"/>
      <c r="FDS22" s="7"/>
      <c r="FDT22" s="7"/>
      <c r="FDU22" s="7"/>
      <c r="FDV22" s="7"/>
      <c r="FDW22" s="7"/>
      <c r="FDX22" s="7"/>
      <c r="FDY22" s="7"/>
      <c r="FDZ22" s="7"/>
      <c r="FEA22" s="7"/>
      <c r="FEB22" s="7"/>
      <c r="FEC22" s="7"/>
      <c r="FED22" s="7"/>
      <c r="FEE22" s="7"/>
      <c r="FEF22" s="7"/>
      <c r="FEG22" s="7"/>
      <c r="FEH22" s="7"/>
      <c r="FEI22" s="7"/>
      <c r="FEJ22" s="7"/>
      <c r="FEK22" s="7"/>
      <c r="FEL22" s="7"/>
      <c r="FEM22" s="7"/>
      <c r="FEN22" s="7"/>
      <c r="FEO22" s="7"/>
      <c r="FEP22" s="7"/>
      <c r="FEQ22" s="7"/>
      <c r="FER22" s="7"/>
      <c r="FES22" s="7"/>
      <c r="FET22" s="7"/>
      <c r="FEU22" s="7"/>
      <c r="FEV22" s="7"/>
      <c r="FEW22" s="7"/>
      <c r="FEX22" s="7"/>
      <c r="FEY22" s="7"/>
      <c r="FEZ22" s="7"/>
      <c r="FFA22" s="7"/>
      <c r="FFB22" s="7"/>
      <c r="FFC22" s="7"/>
      <c r="FFD22" s="7"/>
      <c r="FFE22" s="7"/>
      <c r="FFF22" s="7"/>
      <c r="FFG22" s="7"/>
      <c r="FFH22" s="7"/>
      <c r="FFI22" s="7"/>
      <c r="FFJ22" s="7"/>
      <c r="FFK22" s="7"/>
      <c r="FFL22" s="7"/>
      <c r="FFM22" s="7"/>
      <c r="FFN22" s="7"/>
      <c r="FFO22" s="7"/>
      <c r="FFP22" s="7"/>
      <c r="FFQ22" s="7"/>
      <c r="FFR22" s="7"/>
      <c r="FFS22" s="7"/>
      <c r="FFT22" s="7"/>
      <c r="FFU22" s="7"/>
      <c r="FFV22" s="7"/>
      <c r="FFW22" s="7"/>
      <c r="FFX22" s="7"/>
      <c r="FFY22" s="7"/>
      <c r="FFZ22" s="7"/>
      <c r="FGA22" s="7"/>
      <c r="FGB22" s="7"/>
      <c r="FGC22" s="7"/>
      <c r="FGD22" s="7"/>
      <c r="FGE22" s="7"/>
      <c r="FGF22" s="7"/>
      <c r="FGG22" s="7"/>
      <c r="FGH22" s="7"/>
      <c r="FGI22" s="7"/>
      <c r="FGJ22" s="7"/>
      <c r="FGK22" s="7"/>
      <c r="FGL22" s="7"/>
      <c r="FGM22" s="7"/>
      <c r="FGN22" s="7"/>
      <c r="FGO22" s="7"/>
      <c r="FGP22" s="7"/>
      <c r="FGQ22" s="7"/>
      <c r="FGR22" s="7"/>
      <c r="FGS22" s="7"/>
      <c r="FGT22" s="7"/>
      <c r="FGU22" s="7"/>
      <c r="FGV22" s="7"/>
      <c r="FGW22" s="7"/>
      <c r="FGX22" s="7"/>
      <c r="FGY22" s="7"/>
      <c r="FGZ22" s="7"/>
      <c r="FHA22" s="7"/>
      <c r="FHB22" s="7"/>
      <c r="FHC22" s="7"/>
      <c r="FHD22" s="7"/>
      <c r="FHE22" s="7"/>
      <c r="FHF22" s="7"/>
      <c r="FHG22" s="7"/>
      <c r="FHH22" s="7"/>
      <c r="FHI22" s="7"/>
      <c r="FHJ22" s="7"/>
      <c r="FHK22" s="7"/>
      <c r="FHL22" s="7"/>
      <c r="FHM22" s="7"/>
      <c r="FHN22" s="7"/>
      <c r="FHO22" s="7"/>
      <c r="FHP22" s="7"/>
      <c r="FHQ22" s="7"/>
      <c r="FHR22" s="7"/>
      <c r="FHS22" s="7"/>
      <c r="FHT22" s="7"/>
      <c r="FHU22" s="7"/>
      <c r="FHV22" s="7"/>
      <c r="FHW22" s="7"/>
      <c r="FHX22" s="7"/>
      <c r="FHY22" s="7"/>
      <c r="FHZ22" s="7"/>
      <c r="FIA22" s="7"/>
      <c r="FIB22" s="7"/>
      <c r="FIC22" s="7"/>
      <c r="FID22" s="7"/>
      <c r="FIE22" s="7"/>
      <c r="FIF22" s="7"/>
      <c r="FIG22" s="7"/>
      <c r="FIH22" s="7"/>
      <c r="FII22" s="7"/>
      <c r="FIJ22" s="7"/>
      <c r="FIK22" s="7"/>
      <c r="FIL22" s="7"/>
      <c r="FIM22" s="7"/>
      <c r="FIN22" s="7"/>
      <c r="FIO22" s="7"/>
      <c r="FIP22" s="7"/>
      <c r="FIQ22" s="7"/>
      <c r="FIR22" s="7"/>
      <c r="FIS22" s="7"/>
      <c r="FIT22" s="7"/>
      <c r="FIU22" s="7"/>
      <c r="FIV22" s="7"/>
      <c r="FIW22" s="7"/>
      <c r="FIX22" s="7"/>
      <c r="FIY22" s="7"/>
      <c r="FIZ22" s="7"/>
      <c r="FJA22" s="7"/>
      <c r="FJB22" s="7"/>
      <c r="FJC22" s="7"/>
      <c r="FJD22" s="7"/>
      <c r="FJE22" s="7"/>
      <c r="FJF22" s="7"/>
      <c r="FJG22" s="7"/>
      <c r="FJH22" s="7"/>
      <c r="FJI22" s="7"/>
      <c r="FJJ22" s="7"/>
      <c r="FJK22" s="7"/>
      <c r="FJL22" s="7"/>
      <c r="FJM22" s="7"/>
      <c r="FJN22" s="7"/>
      <c r="FJO22" s="7"/>
      <c r="FJP22" s="7"/>
      <c r="FJQ22" s="7"/>
      <c r="FJR22" s="7"/>
      <c r="FJS22" s="7"/>
      <c r="FJT22" s="7"/>
      <c r="FJU22" s="7"/>
      <c r="FJV22" s="7"/>
      <c r="FJW22" s="7"/>
      <c r="FJX22" s="7"/>
      <c r="FJY22" s="7"/>
      <c r="FJZ22" s="7"/>
      <c r="FKA22" s="7"/>
      <c r="FKB22" s="7"/>
      <c r="FKC22" s="7"/>
      <c r="FKD22" s="7"/>
      <c r="FKE22" s="7"/>
      <c r="FKF22" s="7"/>
      <c r="FKG22" s="7"/>
      <c r="FKH22" s="7"/>
      <c r="FKI22" s="7"/>
      <c r="FKJ22" s="7"/>
      <c r="FKK22" s="7"/>
      <c r="FKL22" s="7"/>
      <c r="FKM22" s="7"/>
      <c r="FKN22" s="7"/>
      <c r="FKO22" s="7"/>
      <c r="FKP22" s="7"/>
      <c r="FKQ22" s="7"/>
      <c r="FKR22" s="7"/>
      <c r="FKS22" s="7"/>
      <c r="FKT22" s="7"/>
      <c r="FKU22" s="7"/>
      <c r="FKV22" s="7"/>
      <c r="FKW22" s="7"/>
      <c r="FKX22" s="7"/>
      <c r="FKY22" s="7"/>
      <c r="FKZ22" s="7"/>
      <c r="FLA22" s="7"/>
      <c r="FLB22" s="7"/>
      <c r="FLC22" s="7"/>
      <c r="FLD22" s="7"/>
      <c r="FLE22" s="7"/>
      <c r="FLF22" s="7"/>
      <c r="FLG22" s="7"/>
      <c r="FLH22" s="7"/>
      <c r="FLI22" s="7"/>
      <c r="FLJ22" s="7"/>
      <c r="FLK22" s="7"/>
      <c r="FLL22" s="7"/>
      <c r="FLM22" s="7"/>
      <c r="FLN22" s="7"/>
      <c r="FLO22" s="7"/>
      <c r="FLP22" s="7"/>
      <c r="FLQ22" s="7"/>
      <c r="FLR22" s="7"/>
      <c r="FLS22" s="7"/>
      <c r="FLT22" s="7"/>
      <c r="FLU22" s="7"/>
      <c r="FLV22" s="7"/>
      <c r="FLW22" s="7"/>
      <c r="FLX22" s="7"/>
      <c r="FLY22" s="7"/>
      <c r="FLZ22" s="7"/>
      <c r="FMA22" s="7"/>
      <c r="FMB22" s="7"/>
      <c r="FMC22" s="7"/>
      <c r="FMD22" s="7"/>
      <c r="FME22" s="7"/>
      <c r="FMF22" s="7"/>
      <c r="FMG22" s="7"/>
      <c r="FMH22" s="7"/>
      <c r="FMI22" s="7"/>
      <c r="FMJ22" s="7"/>
      <c r="FMK22" s="7"/>
      <c r="FML22" s="7"/>
      <c r="FMM22" s="7"/>
      <c r="FMN22" s="7"/>
      <c r="FMO22" s="7"/>
      <c r="FMP22" s="7"/>
      <c r="FMQ22" s="7"/>
      <c r="FMR22" s="7"/>
      <c r="FMS22" s="7"/>
      <c r="FMT22" s="7"/>
      <c r="FMU22" s="7"/>
      <c r="FMV22" s="7"/>
      <c r="FMW22" s="7"/>
      <c r="FMX22" s="7"/>
      <c r="FMY22" s="7"/>
      <c r="FMZ22" s="7"/>
      <c r="FNA22" s="7"/>
      <c r="FNB22" s="7"/>
      <c r="FNC22" s="7"/>
      <c r="FND22" s="7"/>
      <c r="FNE22" s="7"/>
      <c r="FNF22" s="7"/>
      <c r="FNG22" s="7"/>
      <c r="FNH22" s="7"/>
      <c r="FNI22" s="7"/>
      <c r="FNJ22" s="7"/>
      <c r="FNK22" s="7"/>
      <c r="FNL22" s="7"/>
      <c r="FNM22" s="7"/>
      <c r="FNN22" s="7"/>
      <c r="FNO22" s="7"/>
      <c r="FNP22" s="7"/>
      <c r="FNQ22" s="7"/>
      <c r="FNR22" s="7"/>
      <c r="FNS22" s="7"/>
      <c r="FNT22" s="7"/>
      <c r="FNU22" s="7"/>
      <c r="FNV22" s="7"/>
      <c r="FNW22" s="7"/>
      <c r="FNX22" s="7"/>
      <c r="FNY22" s="7"/>
      <c r="FNZ22" s="7"/>
      <c r="FOA22" s="7"/>
      <c r="FOB22" s="7"/>
      <c r="FOC22" s="7"/>
      <c r="FOD22" s="7"/>
      <c r="FOE22" s="7"/>
      <c r="FOF22" s="7"/>
      <c r="FOG22" s="7"/>
      <c r="FOH22" s="7"/>
      <c r="FOI22" s="7"/>
      <c r="FOJ22" s="7"/>
      <c r="FOK22" s="7"/>
      <c r="FOL22" s="7"/>
      <c r="FOM22" s="7"/>
      <c r="FON22" s="7"/>
      <c r="FOO22" s="7"/>
      <c r="FOP22" s="7"/>
      <c r="FOQ22" s="7"/>
      <c r="FOR22" s="7"/>
      <c r="FOS22" s="7"/>
      <c r="FOT22" s="7"/>
      <c r="FOU22" s="7"/>
      <c r="FOV22" s="7"/>
      <c r="FOW22" s="7"/>
      <c r="FOX22" s="7"/>
      <c r="FOY22" s="7"/>
      <c r="FOZ22" s="7"/>
      <c r="FPA22" s="7"/>
      <c r="FPB22" s="7"/>
      <c r="FPC22" s="7"/>
      <c r="FPD22" s="7"/>
      <c r="FPE22" s="7"/>
      <c r="FPF22" s="7"/>
      <c r="FPG22" s="7"/>
      <c r="FPH22" s="7"/>
      <c r="FPI22" s="7"/>
      <c r="FPJ22" s="7"/>
      <c r="FPK22" s="7"/>
      <c r="FPL22" s="7"/>
      <c r="FPM22" s="7"/>
      <c r="FPN22" s="7"/>
      <c r="FPO22" s="7"/>
      <c r="FPP22" s="7"/>
      <c r="FPQ22" s="7"/>
      <c r="FPR22" s="7"/>
      <c r="FPS22" s="7"/>
      <c r="FPT22" s="7"/>
      <c r="FPU22" s="7"/>
      <c r="FPV22" s="7"/>
      <c r="FPW22" s="7"/>
      <c r="FPX22" s="7"/>
      <c r="FPY22" s="7"/>
      <c r="FPZ22" s="7"/>
      <c r="FQA22" s="7"/>
      <c r="FQB22" s="7"/>
      <c r="FQC22" s="7"/>
      <c r="FQD22" s="7"/>
      <c r="FQE22" s="7"/>
      <c r="FQF22" s="7"/>
      <c r="FQG22" s="7"/>
      <c r="FQH22" s="7"/>
      <c r="FQI22" s="7"/>
      <c r="FQJ22" s="7"/>
      <c r="FQK22" s="7"/>
      <c r="FQL22" s="7"/>
      <c r="FQM22" s="7"/>
      <c r="FQN22" s="7"/>
      <c r="FQO22" s="7"/>
      <c r="FQP22" s="7"/>
      <c r="FQQ22" s="7"/>
      <c r="FQR22" s="7"/>
      <c r="FQS22" s="7"/>
      <c r="FQT22" s="7"/>
      <c r="FQU22" s="7"/>
      <c r="FQV22" s="7"/>
      <c r="FQW22" s="7"/>
      <c r="FQX22" s="7"/>
      <c r="FQY22" s="7"/>
      <c r="FQZ22" s="7"/>
      <c r="FRA22" s="7"/>
      <c r="FRB22" s="7"/>
      <c r="FRC22" s="7"/>
      <c r="FRD22" s="7"/>
      <c r="FRE22" s="7"/>
      <c r="FRF22" s="7"/>
      <c r="FRG22" s="7"/>
      <c r="FRH22" s="7"/>
      <c r="FRI22" s="7"/>
      <c r="FRJ22" s="7"/>
      <c r="FRK22" s="7"/>
      <c r="FRL22" s="7"/>
      <c r="FRM22" s="7"/>
      <c r="FRN22" s="7"/>
      <c r="FRO22" s="7"/>
      <c r="FRP22" s="7"/>
      <c r="FRQ22" s="7"/>
      <c r="FRR22" s="7"/>
      <c r="FRS22" s="7"/>
      <c r="FRT22" s="7"/>
      <c r="FRU22" s="7"/>
      <c r="FRV22" s="7"/>
      <c r="FRW22" s="7"/>
      <c r="FRX22" s="7"/>
      <c r="FRY22" s="7"/>
      <c r="FRZ22" s="7"/>
      <c r="FSA22" s="7"/>
      <c r="FSB22" s="7"/>
      <c r="FSC22" s="7"/>
      <c r="FSD22" s="7"/>
      <c r="FSE22" s="7"/>
      <c r="FSF22" s="7"/>
      <c r="FSG22" s="7"/>
      <c r="FSH22" s="7"/>
      <c r="FSI22" s="7"/>
      <c r="FSJ22" s="7"/>
      <c r="FSK22" s="7"/>
      <c r="FSL22" s="7"/>
      <c r="FSM22" s="7"/>
      <c r="FSN22" s="7"/>
      <c r="FSO22" s="7"/>
      <c r="FSP22" s="7"/>
      <c r="FSQ22" s="7"/>
      <c r="FSR22" s="7"/>
      <c r="FSS22" s="7"/>
      <c r="FST22" s="7"/>
      <c r="FSU22" s="7"/>
      <c r="FSV22" s="7"/>
      <c r="FSW22" s="7"/>
      <c r="FSX22" s="7"/>
      <c r="FSY22" s="7"/>
      <c r="FSZ22" s="7"/>
      <c r="FTA22" s="7"/>
      <c r="FTB22" s="7"/>
      <c r="FTC22" s="7"/>
      <c r="FTD22" s="7"/>
      <c r="FTE22" s="7"/>
      <c r="FTF22" s="7"/>
      <c r="FTG22" s="7"/>
      <c r="FTH22" s="7"/>
      <c r="FTI22" s="7"/>
      <c r="FTJ22" s="7"/>
      <c r="FTK22" s="7"/>
      <c r="FTL22" s="7"/>
      <c r="FTM22" s="7"/>
      <c r="FTN22" s="7"/>
      <c r="FTO22" s="7"/>
      <c r="FTP22" s="7"/>
      <c r="FTQ22" s="7"/>
      <c r="FTR22" s="7"/>
      <c r="FTS22" s="7"/>
      <c r="FTT22" s="7"/>
      <c r="FTU22" s="7"/>
      <c r="FTV22" s="7"/>
      <c r="FTW22" s="7"/>
      <c r="FTX22" s="7"/>
      <c r="FTY22" s="7"/>
      <c r="FTZ22" s="7"/>
      <c r="FUA22" s="7"/>
      <c r="FUB22" s="7"/>
      <c r="FUC22" s="7"/>
      <c r="FUD22" s="7"/>
      <c r="FUE22" s="7"/>
      <c r="FUF22" s="7"/>
      <c r="FUG22" s="7"/>
      <c r="FUH22" s="7"/>
      <c r="FUI22" s="7"/>
      <c r="FUJ22" s="7"/>
      <c r="FUK22" s="7"/>
      <c r="FUL22" s="7"/>
      <c r="FUM22" s="7"/>
      <c r="FUN22" s="7"/>
      <c r="FUO22" s="7"/>
      <c r="FUP22" s="7"/>
      <c r="FUQ22" s="7"/>
      <c r="FUR22" s="7"/>
      <c r="FUS22" s="7"/>
      <c r="FUT22" s="7"/>
      <c r="FUU22" s="7"/>
      <c r="FUV22" s="7"/>
      <c r="FUW22" s="7"/>
      <c r="FUX22" s="7"/>
      <c r="FUY22" s="7"/>
      <c r="FUZ22" s="7"/>
      <c r="FVA22" s="7"/>
      <c r="FVB22" s="7"/>
      <c r="FVC22" s="7"/>
      <c r="FVD22" s="7"/>
      <c r="FVE22" s="7"/>
      <c r="FVF22" s="7"/>
      <c r="FVG22" s="7"/>
      <c r="FVH22" s="7"/>
      <c r="FVI22" s="7"/>
      <c r="FVJ22" s="7"/>
      <c r="FVK22" s="7"/>
      <c r="FVL22" s="7"/>
      <c r="FVM22" s="7"/>
      <c r="FVN22" s="7"/>
      <c r="FVO22" s="7"/>
      <c r="FVP22" s="7"/>
      <c r="FVQ22" s="7"/>
      <c r="FVR22" s="7"/>
      <c r="FVS22" s="7"/>
      <c r="FVT22" s="7"/>
      <c r="FVU22" s="7"/>
      <c r="FVV22" s="7"/>
      <c r="FVW22" s="7"/>
      <c r="FVX22" s="7"/>
      <c r="FVY22" s="7"/>
      <c r="FVZ22" s="7"/>
      <c r="FWA22" s="7"/>
      <c r="FWB22" s="7"/>
      <c r="FWC22" s="7"/>
      <c r="FWD22" s="7"/>
      <c r="FWE22" s="7"/>
      <c r="FWF22" s="7"/>
      <c r="FWG22" s="7"/>
      <c r="FWH22" s="7"/>
      <c r="FWI22" s="7"/>
      <c r="FWJ22" s="7"/>
      <c r="FWK22" s="7"/>
      <c r="FWL22" s="7"/>
      <c r="FWM22" s="7"/>
      <c r="FWN22" s="7"/>
      <c r="FWO22" s="7"/>
      <c r="FWP22" s="7"/>
      <c r="FWQ22" s="7"/>
      <c r="FWR22" s="7"/>
      <c r="FWS22" s="7"/>
      <c r="FWT22" s="7"/>
      <c r="FWU22" s="7"/>
      <c r="FWV22" s="7"/>
      <c r="FWW22" s="7"/>
      <c r="FWX22" s="7"/>
      <c r="FWY22" s="7"/>
      <c r="FWZ22" s="7"/>
      <c r="FXA22" s="7"/>
      <c r="FXB22" s="7"/>
      <c r="FXC22" s="7"/>
      <c r="FXD22" s="7"/>
      <c r="FXE22" s="7"/>
      <c r="FXF22" s="7"/>
      <c r="FXG22" s="7"/>
      <c r="FXH22" s="7"/>
      <c r="FXI22" s="7"/>
      <c r="FXJ22" s="7"/>
      <c r="FXK22" s="7"/>
      <c r="FXL22" s="7"/>
      <c r="FXM22" s="7"/>
      <c r="FXN22" s="7"/>
      <c r="FXO22" s="7"/>
      <c r="FXP22" s="7"/>
      <c r="FXQ22" s="7"/>
      <c r="FXR22" s="7"/>
      <c r="FXS22" s="7"/>
      <c r="FXT22" s="7"/>
      <c r="FXU22" s="7"/>
      <c r="FXV22" s="7"/>
      <c r="FXW22" s="7"/>
      <c r="FXX22" s="7"/>
      <c r="FXY22" s="7"/>
      <c r="FXZ22" s="7"/>
      <c r="FYA22" s="7"/>
      <c r="FYB22" s="7"/>
      <c r="FYC22" s="7"/>
      <c r="FYD22" s="7"/>
      <c r="FYE22" s="7"/>
      <c r="FYF22" s="7"/>
      <c r="FYG22" s="7"/>
      <c r="FYH22" s="7"/>
      <c r="FYI22" s="7"/>
      <c r="FYJ22" s="7"/>
      <c r="FYK22" s="7"/>
      <c r="FYL22" s="7"/>
      <c r="FYM22" s="7"/>
      <c r="FYN22" s="7"/>
      <c r="FYO22" s="7"/>
      <c r="FYP22" s="7"/>
      <c r="FYQ22" s="7"/>
      <c r="FYR22" s="7"/>
      <c r="FYS22" s="7"/>
      <c r="FYT22" s="7"/>
      <c r="FYU22" s="7"/>
      <c r="FYV22" s="7"/>
      <c r="FYW22" s="7"/>
      <c r="FYX22" s="7"/>
      <c r="FYY22" s="7"/>
      <c r="FYZ22" s="7"/>
      <c r="FZA22" s="7"/>
      <c r="FZB22" s="7"/>
      <c r="FZC22" s="7"/>
      <c r="FZD22" s="7"/>
      <c r="FZE22" s="7"/>
      <c r="FZF22" s="7"/>
      <c r="FZG22" s="7"/>
      <c r="FZH22" s="7"/>
      <c r="FZI22" s="7"/>
      <c r="FZJ22" s="7"/>
      <c r="FZK22" s="7"/>
      <c r="FZL22" s="7"/>
      <c r="FZM22" s="7"/>
      <c r="FZN22" s="7"/>
      <c r="FZO22" s="7"/>
      <c r="FZP22" s="7"/>
      <c r="FZQ22" s="7"/>
      <c r="FZR22" s="7"/>
      <c r="FZS22" s="7"/>
      <c r="FZT22" s="7"/>
      <c r="FZU22" s="7"/>
      <c r="FZV22" s="7"/>
      <c r="FZW22" s="7"/>
      <c r="FZX22" s="7"/>
      <c r="FZY22" s="7"/>
      <c r="FZZ22" s="7"/>
      <c r="GAA22" s="7"/>
      <c r="GAB22" s="7"/>
      <c r="GAC22" s="7"/>
      <c r="GAD22" s="7"/>
      <c r="GAE22" s="7"/>
      <c r="GAF22" s="7"/>
      <c r="GAG22" s="7"/>
      <c r="GAH22" s="7"/>
      <c r="GAI22" s="7"/>
      <c r="GAJ22" s="7"/>
      <c r="GAK22" s="7"/>
      <c r="GAL22" s="7"/>
      <c r="GAM22" s="7"/>
      <c r="GAN22" s="7"/>
      <c r="GAO22" s="7"/>
      <c r="GAP22" s="7"/>
      <c r="GAQ22" s="7"/>
      <c r="GAR22" s="7"/>
      <c r="GAS22" s="7"/>
      <c r="GAT22" s="7"/>
      <c r="GAU22" s="7"/>
      <c r="GAV22" s="7"/>
      <c r="GAW22" s="7"/>
      <c r="GAX22" s="7"/>
      <c r="GAY22" s="7"/>
      <c r="GAZ22" s="7"/>
      <c r="GBA22" s="7"/>
      <c r="GBB22" s="7"/>
      <c r="GBC22" s="7"/>
      <c r="GBD22" s="7"/>
      <c r="GBE22" s="7"/>
      <c r="GBF22" s="7"/>
      <c r="GBG22" s="7"/>
      <c r="GBH22" s="7"/>
      <c r="GBI22" s="7"/>
      <c r="GBJ22" s="7"/>
      <c r="GBK22" s="7"/>
      <c r="GBL22" s="7"/>
      <c r="GBM22" s="7"/>
      <c r="GBN22" s="7"/>
      <c r="GBO22" s="7"/>
      <c r="GBP22" s="7"/>
      <c r="GBQ22" s="7"/>
      <c r="GBR22" s="7"/>
      <c r="GBS22" s="7"/>
      <c r="GBT22" s="7"/>
      <c r="GBU22" s="7"/>
      <c r="GBV22" s="7"/>
      <c r="GBW22" s="7"/>
      <c r="GBX22" s="7"/>
      <c r="GBY22" s="7"/>
      <c r="GBZ22" s="7"/>
      <c r="GCA22" s="7"/>
      <c r="GCB22" s="7"/>
      <c r="GCC22" s="7"/>
      <c r="GCD22" s="7"/>
      <c r="GCE22" s="7"/>
      <c r="GCF22" s="7"/>
      <c r="GCG22" s="7"/>
      <c r="GCH22" s="7"/>
      <c r="GCI22" s="7"/>
      <c r="GCJ22" s="7"/>
      <c r="GCK22" s="7"/>
      <c r="GCL22" s="7"/>
      <c r="GCM22" s="7"/>
      <c r="GCN22" s="7"/>
      <c r="GCO22" s="7"/>
      <c r="GCP22" s="7"/>
      <c r="GCQ22" s="7"/>
      <c r="GCR22" s="7"/>
      <c r="GCS22" s="7"/>
      <c r="GCT22" s="7"/>
      <c r="GCU22" s="7"/>
      <c r="GCV22" s="7"/>
      <c r="GCW22" s="7"/>
      <c r="GCX22" s="7"/>
      <c r="GCY22" s="7"/>
      <c r="GCZ22" s="7"/>
      <c r="GDA22" s="7"/>
      <c r="GDB22" s="7"/>
      <c r="GDC22" s="7"/>
      <c r="GDD22" s="7"/>
      <c r="GDE22" s="7"/>
      <c r="GDF22" s="7"/>
      <c r="GDG22" s="7"/>
      <c r="GDH22" s="7"/>
      <c r="GDI22" s="7"/>
      <c r="GDJ22" s="7"/>
      <c r="GDK22" s="7"/>
      <c r="GDL22" s="7"/>
      <c r="GDM22" s="7"/>
      <c r="GDN22" s="7"/>
      <c r="GDO22" s="7"/>
      <c r="GDP22" s="7"/>
      <c r="GDQ22" s="7"/>
      <c r="GDR22" s="7"/>
      <c r="GDS22" s="7"/>
      <c r="GDT22" s="7"/>
      <c r="GDU22" s="7"/>
      <c r="GDV22" s="7"/>
      <c r="GDW22" s="7"/>
      <c r="GDX22" s="7"/>
      <c r="GDY22" s="7"/>
      <c r="GDZ22" s="7"/>
      <c r="GEA22" s="7"/>
      <c r="GEB22" s="7"/>
      <c r="GEC22" s="7"/>
      <c r="GED22" s="7"/>
      <c r="GEE22" s="7"/>
      <c r="GEF22" s="7"/>
      <c r="GEG22" s="7"/>
      <c r="GEH22" s="7"/>
      <c r="GEI22" s="7"/>
      <c r="GEJ22" s="7"/>
      <c r="GEK22" s="7"/>
      <c r="GEL22" s="7"/>
      <c r="GEM22" s="7"/>
      <c r="GEN22" s="7"/>
      <c r="GEO22" s="7"/>
      <c r="GEP22" s="7"/>
      <c r="GEQ22" s="7"/>
      <c r="GER22" s="7"/>
      <c r="GES22" s="7"/>
      <c r="GET22" s="7"/>
      <c r="GEU22" s="7"/>
      <c r="GEV22" s="7"/>
      <c r="GEW22" s="7"/>
      <c r="GEX22" s="7"/>
      <c r="GEY22" s="7"/>
      <c r="GEZ22" s="7"/>
      <c r="GFA22" s="7"/>
      <c r="GFB22" s="7"/>
      <c r="GFC22" s="7"/>
      <c r="GFD22" s="7"/>
      <c r="GFE22" s="7"/>
      <c r="GFF22" s="7"/>
      <c r="GFG22" s="7"/>
      <c r="GFH22" s="7"/>
      <c r="GFI22" s="7"/>
      <c r="GFJ22" s="7"/>
      <c r="GFK22" s="7"/>
      <c r="GFL22" s="7"/>
      <c r="GFM22" s="7"/>
      <c r="GFN22" s="7"/>
      <c r="GFO22" s="7"/>
      <c r="GFP22" s="7"/>
      <c r="GFQ22" s="7"/>
      <c r="GFR22" s="7"/>
      <c r="GFS22" s="7"/>
      <c r="GFT22" s="7"/>
      <c r="GFU22" s="7"/>
      <c r="GFV22" s="7"/>
      <c r="GFW22" s="7"/>
      <c r="GFX22" s="7"/>
      <c r="GFY22" s="7"/>
      <c r="GFZ22" s="7"/>
      <c r="GGA22" s="7"/>
      <c r="GGB22" s="7"/>
      <c r="GGC22" s="7"/>
      <c r="GGD22" s="7"/>
      <c r="GGE22" s="7"/>
      <c r="GGF22" s="7"/>
      <c r="GGG22" s="7"/>
      <c r="GGH22" s="7"/>
      <c r="GGI22" s="7"/>
      <c r="GGJ22" s="7"/>
      <c r="GGK22" s="7"/>
      <c r="GGL22" s="7"/>
      <c r="GGM22" s="7"/>
      <c r="GGN22" s="7"/>
      <c r="GGO22" s="7"/>
      <c r="GGP22" s="7"/>
      <c r="GGQ22" s="7"/>
      <c r="GGR22" s="7"/>
      <c r="GGS22" s="7"/>
      <c r="GGT22" s="7"/>
      <c r="GGU22" s="7"/>
      <c r="GGV22" s="7"/>
      <c r="GGW22" s="7"/>
      <c r="GGX22" s="7"/>
      <c r="GGY22" s="7"/>
      <c r="GGZ22" s="7"/>
      <c r="GHA22" s="7"/>
      <c r="GHB22" s="7"/>
      <c r="GHC22" s="7"/>
      <c r="GHD22" s="7"/>
      <c r="GHE22" s="7"/>
      <c r="GHF22" s="7"/>
      <c r="GHG22" s="7"/>
      <c r="GHH22" s="7"/>
      <c r="GHI22" s="7"/>
      <c r="GHJ22" s="7"/>
      <c r="GHK22" s="7"/>
      <c r="GHL22" s="7"/>
      <c r="GHM22" s="7"/>
      <c r="GHN22" s="7"/>
      <c r="GHO22" s="7"/>
      <c r="GHP22" s="7"/>
      <c r="GHQ22" s="7"/>
      <c r="GHR22" s="7"/>
      <c r="GHS22" s="7"/>
      <c r="GHT22" s="7"/>
      <c r="GHU22" s="7"/>
      <c r="GHV22" s="7"/>
      <c r="GHW22" s="7"/>
      <c r="GHX22" s="7"/>
      <c r="GHY22" s="7"/>
      <c r="GHZ22" s="7"/>
      <c r="GIA22" s="7"/>
      <c r="GIB22" s="7"/>
      <c r="GIC22" s="7"/>
      <c r="GID22" s="7"/>
      <c r="GIE22" s="7"/>
      <c r="GIF22" s="7"/>
      <c r="GIG22" s="7"/>
      <c r="GIH22" s="7"/>
      <c r="GII22" s="7"/>
      <c r="GIJ22" s="7"/>
      <c r="GIK22" s="7"/>
      <c r="GIL22" s="7"/>
      <c r="GIM22" s="7"/>
      <c r="GIN22" s="7"/>
      <c r="GIO22" s="7"/>
      <c r="GIP22" s="7"/>
      <c r="GIQ22" s="7"/>
      <c r="GIR22" s="7"/>
      <c r="GIS22" s="7"/>
      <c r="GIT22" s="7"/>
      <c r="GIU22" s="7"/>
      <c r="GIV22" s="7"/>
      <c r="GIW22" s="7"/>
      <c r="GIX22" s="7"/>
      <c r="GIY22" s="7"/>
      <c r="GIZ22" s="7"/>
      <c r="GJA22" s="7"/>
      <c r="GJB22" s="7"/>
      <c r="GJC22" s="7"/>
      <c r="GJD22" s="7"/>
      <c r="GJE22" s="7"/>
      <c r="GJF22" s="7"/>
      <c r="GJG22" s="7"/>
      <c r="GJH22" s="7"/>
      <c r="GJI22" s="7"/>
      <c r="GJJ22" s="7"/>
      <c r="GJK22" s="7"/>
      <c r="GJL22" s="7"/>
      <c r="GJM22" s="7"/>
      <c r="GJN22" s="7"/>
      <c r="GJO22" s="7"/>
      <c r="GJP22" s="7"/>
      <c r="GJQ22" s="7"/>
      <c r="GJR22" s="7"/>
      <c r="GJS22" s="7"/>
      <c r="GJT22" s="7"/>
      <c r="GJU22" s="7"/>
      <c r="GJV22" s="7"/>
      <c r="GJW22" s="7"/>
      <c r="GJX22" s="7"/>
      <c r="GJY22" s="7"/>
      <c r="GJZ22" s="7"/>
      <c r="GKA22" s="7"/>
      <c r="GKB22" s="7"/>
      <c r="GKC22" s="7"/>
      <c r="GKD22" s="7"/>
      <c r="GKE22" s="7"/>
      <c r="GKF22" s="7"/>
      <c r="GKG22" s="7"/>
      <c r="GKH22" s="7"/>
      <c r="GKI22" s="7"/>
      <c r="GKJ22" s="7"/>
      <c r="GKK22" s="7"/>
      <c r="GKL22" s="7"/>
      <c r="GKM22" s="7"/>
      <c r="GKN22" s="7"/>
      <c r="GKO22" s="7"/>
      <c r="GKP22" s="7"/>
      <c r="GKQ22" s="7"/>
      <c r="GKR22" s="7"/>
      <c r="GKS22" s="7"/>
      <c r="GKT22" s="7"/>
      <c r="GKU22" s="7"/>
      <c r="GKV22" s="7"/>
      <c r="GKW22" s="7"/>
      <c r="GKX22" s="7"/>
      <c r="GKY22" s="7"/>
      <c r="GKZ22" s="7"/>
      <c r="GLA22" s="7"/>
      <c r="GLB22" s="7"/>
      <c r="GLC22" s="7"/>
      <c r="GLD22" s="7"/>
      <c r="GLE22" s="7"/>
      <c r="GLF22" s="7"/>
      <c r="GLG22" s="7"/>
      <c r="GLH22" s="7"/>
      <c r="GLI22" s="7"/>
      <c r="GLJ22" s="7"/>
      <c r="GLK22" s="7"/>
      <c r="GLL22" s="7"/>
      <c r="GLM22" s="7"/>
      <c r="GLN22" s="7"/>
      <c r="GLO22" s="7"/>
      <c r="GLP22" s="7"/>
      <c r="GLQ22" s="7"/>
      <c r="GLR22" s="7"/>
      <c r="GLS22" s="7"/>
      <c r="GLT22" s="7"/>
      <c r="GLU22" s="7"/>
      <c r="GLV22" s="7"/>
      <c r="GLW22" s="7"/>
      <c r="GLX22" s="7"/>
      <c r="GLY22" s="7"/>
      <c r="GLZ22" s="7"/>
      <c r="GMA22" s="7"/>
      <c r="GMB22" s="7"/>
      <c r="GMC22" s="7"/>
      <c r="GMD22" s="7"/>
      <c r="GME22" s="7"/>
      <c r="GMF22" s="7"/>
      <c r="GMG22" s="7"/>
      <c r="GMH22" s="7"/>
      <c r="GMI22" s="7"/>
      <c r="GMJ22" s="7"/>
      <c r="GMK22" s="7"/>
      <c r="GML22" s="7"/>
      <c r="GMM22" s="7"/>
      <c r="GMN22" s="7"/>
      <c r="GMO22" s="7"/>
      <c r="GMP22" s="7"/>
      <c r="GMQ22" s="7"/>
      <c r="GMR22" s="7"/>
      <c r="GMS22" s="7"/>
      <c r="GMT22" s="7"/>
      <c r="GMU22" s="7"/>
      <c r="GMV22" s="7"/>
      <c r="GMW22" s="7"/>
      <c r="GMX22" s="7"/>
      <c r="GMY22" s="7"/>
      <c r="GMZ22" s="7"/>
      <c r="GNA22" s="7"/>
      <c r="GNB22" s="7"/>
      <c r="GNC22" s="7"/>
      <c r="GND22" s="7"/>
      <c r="GNE22" s="7"/>
      <c r="GNF22" s="7"/>
      <c r="GNG22" s="7"/>
      <c r="GNH22" s="7"/>
      <c r="GNI22" s="7"/>
      <c r="GNJ22" s="7"/>
      <c r="GNK22" s="7"/>
      <c r="GNL22" s="7"/>
      <c r="GNM22" s="7"/>
      <c r="GNN22" s="7"/>
      <c r="GNO22" s="7"/>
      <c r="GNP22" s="7"/>
      <c r="GNQ22" s="7"/>
      <c r="GNR22" s="7"/>
      <c r="GNS22" s="7"/>
      <c r="GNT22" s="7"/>
      <c r="GNU22" s="7"/>
      <c r="GNV22" s="7"/>
      <c r="GNW22" s="7"/>
      <c r="GNX22" s="7"/>
      <c r="GNY22" s="7"/>
      <c r="GNZ22" s="7"/>
      <c r="GOA22" s="7"/>
      <c r="GOB22" s="7"/>
      <c r="GOC22" s="7"/>
      <c r="GOD22" s="7"/>
      <c r="GOE22" s="7"/>
      <c r="GOF22" s="7"/>
      <c r="GOG22" s="7"/>
      <c r="GOH22" s="7"/>
      <c r="GOI22" s="7"/>
      <c r="GOJ22" s="7"/>
      <c r="GOK22" s="7"/>
      <c r="GOL22" s="7"/>
      <c r="GOM22" s="7"/>
      <c r="GON22" s="7"/>
      <c r="GOO22" s="7"/>
      <c r="GOP22" s="7"/>
      <c r="GOQ22" s="7"/>
      <c r="GOR22" s="7"/>
      <c r="GOS22" s="7"/>
      <c r="GOT22" s="7"/>
      <c r="GOU22" s="7"/>
      <c r="GOV22" s="7"/>
      <c r="GOW22" s="7"/>
      <c r="GOX22" s="7"/>
      <c r="GOY22" s="7"/>
      <c r="GOZ22" s="7"/>
      <c r="GPA22" s="7"/>
      <c r="GPB22" s="7"/>
      <c r="GPC22" s="7"/>
      <c r="GPD22" s="7"/>
      <c r="GPE22" s="7"/>
      <c r="GPF22" s="7"/>
      <c r="GPG22" s="7"/>
      <c r="GPH22" s="7"/>
      <c r="GPI22" s="7"/>
      <c r="GPJ22" s="7"/>
      <c r="GPK22" s="7"/>
      <c r="GPL22" s="7"/>
      <c r="GPM22" s="7"/>
      <c r="GPN22" s="7"/>
      <c r="GPO22" s="7"/>
      <c r="GPP22" s="7"/>
      <c r="GPQ22" s="7"/>
      <c r="GPR22" s="7"/>
      <c r="GPS22" s="7"/>
      <c r="GPT22" s="7"/>
      <c r="GPU22" s="7"/>
      <c r="GPV22" s="7"/>
      <c r="GPW22" s="7"/>
      <c r="GPX22" s="7"/>
      <c r="GPY22" s="7"/>
      <c r="GPZ22" s="7"/>
      <c r="GQA22" s="7"/>
      <c r="GQB22" s="7"/>
      <c r="GQC22" s="7"/>
      <c r="GQD22" s="7"/>
      <c r="GQE22" s="7"/>
      <c r="GQF22" s="7"/>
      <c r="GQG22" s="7"/>
      <c r="GQH22" s="7"/>
      <c r="GQI22" s="7"/>
      <c r="GQJ22" s="7"/>
      <c r="GQK22" s="7"/>
      <c r="GQL22" s="7"/>
      <c r="GQM22" s="7"/>
      <c r="GQN22" s="7"/>
      <c r="GQO22" s="7"/>
      <c r="GQP22" s="7"/>
      <c r="GQQ22" s="7"/>
      <c r="GQR22" s="7"/>
      <c r="GQS22" s="7"/>
      <c r="GQT22" s="7"/>
      <c r="GQU22" s="7"/>
      <c r="GQV22" s="7"/>
      <c r="GQW22" s="7"/>
      <c r="GQX22" s="7"/>
      <c r="GQY22" s="7"/>
      <c r="GQZ22" s="7"/>
      <c r="GRA22" s="7"/>
      <c r="GRB22" s="7"/>
      <c r="GRC22" s="7"/>
      <c r="GRD22" s="7"/>
      <c r="GRE22" s="7"/>
      <c r="GRF22" s="7"/>
      <c r="GRG22" s="7"/>
      <c r="GRH22" s="7"/>
      <c r="GRI22" s="7"/>
      <c r="GRJ22" s="7"/>
      <c r="GRK22" s="7"/>
      <c r="GRL22" s="7"/>
      <c r="GRM22" s="7"/>
      <c r="GRN22" s="7"/>
      <c r="GRO22" s="7"/>
      <c r="GRP22" s="7"/>
      <c r="GRQ22" s="7"/>
      <c r="GRR22" s="7"/>
      <c r="GRS22" s="7"/>
      <c r="GRT22" s="7"/>
      <c r="GRU22" s="7"/>
      <c r="GRV22" s="7"/>
      <c r="GRW22" s="7"/>
      <c r="GRX22" s="7"/>
      <c r="GRY22" s="7"/>
      <c r="GRZ22" s="7"/>
      <c r="GSA22" s="7"/>
      <c r="GSB22" s="7"/>
      <c r="GSC22" s="7"/>
      <c r="GSD22" s="7"/>
      <c r="GSE22" s="7"/>
      <c r="GSF22" s="7"/>
      <c r="GSG22" s="7"/>
      <c r="GSH22" s="7"/>
      <c r="GSI22" s="7"/>
      <c r="GSJ22" s="7"/>
      <c r="GSK22" s="7"/>
      <c r="GSL22" s="7"/>
      <c r="GSM22" s="7"/>
      <c r="GSN22" s="7"/>
      <c r="GSO22" s="7"/>
      <c r="GSP22" s="7"/>
      <c r="GSQ22" s="7"/>
      <c r="GSR22" s="7"/>
      <c r="GSS22" s="7"/>
      <c r="GST22" s="7"/>
      <c r="GSU22" s="7"/>
      <c r="GSV22" s="7"/>
      <c r="GSW22" s="7"/>
      <c r="GSX22" s="7"/>
      <c r="GSY22" s="7"/>
      <c r="GSZ22" s="7"/>
      <c r="GTA22" s="7"/>
      <c r="GTB22" s="7"/>
      <c r="GTC22" s="7"/>
      <c r="GTD22" s="7"/>
      <c r="GTE22" s="7"/>
      <c r="GTF22" s="7"/>
      <c r="GTG22" s="7"/>
      <c r="GTH22" s="7"/>
      <c r="GTI22" s="7"/>
      <c r="GTJ22" s="7"/>
      <c r="GTK22" s="7"/>
      <c r="GTL22" s="7"/>
      <c r="GTM22" s="7"/>
      <c r="GTN22" s="7"/>
      <c r="GTO22" s="7"/>
      <c r="GTP22" s="7"/>
      <c r="GTQ22" s="7"/>
      <c r="GTR22" s="7"/>
      <c r="GTS22" s="7"/>
      <c r="GTT22" s="7"/>
      <c r="GTU22" s="7"/>
      <c r="GTV22" s="7"/>
      <c r="GTW22" s="7"/>
      <c r="GTX22" s="7"/>
      <c r="GTY22" s="7"/>
      <c r="GTZ22" s="7"/>
      <c r="GUA22" s="7"/>
      <c r="GUB22" s="7"/>
      <c r="GUC22" s="7"/>
      <c r="GUD22" s="7"/>
      <c r="GUE22" s="7"/>
      <c r="GUF22" s="7"/>
      <c r="GUG22" s="7"/>
      <c r="GUH22" s="7"/>
      <c r="GUI22" s="7"/>
      <c r="GUJ22" s="7"/>
      <c r="GUK22" s="7"/>
      <c r="GUL22" s="7"/>
      <c r="GUM22" s="7"/>
      <c r="GUN22" s="7"/>
      <c r="GUO22" s="7"/>
      <c r="GUP22" s="7"/>
      <c r="GUQ22" s="7"/>
      <c r="GUR22" s="7"/>
      <c r="GUS22" s="7"/>
      <c r="GUT22" s="7"/>
      <c r="GUU22" s="7"/>
      <c r="GUV22" s="7"/>
      <c r="GUW22" s="7"/>
      <c r="GUX22" s="7"/>
      <c r="GUY22" s="7"/>
      <c r="GUZ22" s="7"/>
      <c r="GVA22" s="7"/>
      <c r="GVB22" s="7"/>
      <c r="GVC22" s="7"/>
      <c r="GVD22" s="7"/>
      <c r="GVE22" s="7"/>
      <c r="GVF22" s="7"/>
      <c r="GVG22" s="7"/>
      <c r="GVH22" s="7"/>
      <c r="GVI22" s="7"/>
      <c r="GVJ22" s="7"/>
      <c r="GVK22" s="7"/>
      <c r="GVL22" s="7"/>
      <c r="GVM22" s="7"/>
      <c r="GVN22" s="7"/>
      <c r="GVO22" s="7"/>
      <c r="GVP22" s="7"/>
      <c r="GVQ22" s="7"/>
      <c r="GVR22" s="7"/>
      <c r="GVS22" s="7"/>
      <c r="GVT22" s="7"/>
      <c r="GVU22" s="7"/>
      <c r="GVV22" s="7"/>
      <c r="GVW22" s="7"/>
      <c r="GVX22" s="7"/>
      <c r="GVY22" s="7"/>
      <c r="GVZ22" s="7"/>
      <c r="GWA22" s="7"/>
      <c r="GWB22" s="7"/>
      <c r="GWC22" s="7"/>
      <c r="GWD22" s="7"/>
      <c r="GWE22" s="7"/>
      <c r="GWF22" s="7"/>
      <c r="GWG22" s="7"/>
      <c r="GWH22" s="7"/>
      <c r="GWI22" s="7"/>
      <c r="GWJ22" s="7"/>
      <c r="GWK22" s="7"/>
      <c r="GWL22" s="7"/>
      <c r="GWM22" s="7"/>
      <c r="GWN22" s="7"/>
      <c r="GWO22" s="7"/>
      <c r="GWP22" s="7"/>
      <c r="GWQ22" s="7"/>
      <c r="GWR22" s="7"/>
      <c r="GWS22" s="7"/>
      <c r="GWT22" s="7"/>
      <c r="GWU22" s="7"/>
      <c r="GWV22" s="7"/>
      <c r="GWW22" s="7"/>
      <c r="GWX22" s="7"/>
      <c r="GWY22" s="7"/>
      <c r="GWZ22" s="7"/>
      <c r="GXA22" s="7"/>
      <c r="GXB22" s="7"/>
      <c r="GXC22" s="7"/>
      <c r="GXD22" s="7"/>
      <c r="GXE22" s="7"/>
      <c r="GXF22" s="7"/>
      <c r="GXG22" s="7"/>
      <c r="GXH22" s="7"/>
      <c r="GXI22" s="7"/>
      <c r="GXJ22" s="7"/>
      <c r="GXK22" s="7"/>
      <c r="GXL22" s="7"/>
      <c r="GXM22" s="7"/>
      <c r="GXN22" s="7"/>
      <c r="GXO22" s="7"/>
      <c r="GXP22" s="7"/>
      <c r="GXQ22" s="7"/>
      <c r="GXR22" s="7"/>
      <c r="GXS22" s="7"/>
      <c r="GXT22" s="7"/>
      <c r="GXU22" s="7"/>
      <c r="GXV22" s="7"/>
      <c r="GXW22" s="7"/>
      <c r="GXX22" s="7"/>
      <c r="GXY22" s="7"/>
      <c r="GXZ22" s="7"/>
      <c r="GYA22" s="7"/>
      <c r="GYB22" s="7"/>
      <c r="GYC22" s="7"/>
      <c r="GYD22" s="7"/>
      <c r="GYE22" s="7"/>
      <c r="GYF22" s="7"/>
      <c r="GYG22" s="7"/>
      <c r="GYH22" s="7"/>
      <c r="GYI22" s="7"/>
      <c r="GYJ22" s="7"/>
      <c r="GYK22" s="7"/>
      <c r="GYL22" s="7"/>
      <c r="GYM22" s="7"/>
      <c r="GYN22" s="7"/>
      <c r="GYO22" s="7"/>
      <c r="GYP22" s="7"/>
      <c r="GYQ22" s="7"/>
      <c r="GYR22" s="7"/>
      <c r="GYS22" s="7"/>
      <c r="GYT22" s="7"/>
      <c r="GYU22" s="7"/>
      <c r="GYV22" s="7"/>
      <c r="GYW22" s="7"/>
      <c r="GYX22" s="7"/>
      <c r="GYY22" s="7"/>
      <c r="GYZ22" s="7"/>
      <c r="GZA22" s="7"/>
      <c r="GZB22" s="7"/>
      <c r="GZC22" s="7"/>
      <c r="GZD22" s="7"/>
      <c r="GZE22" s="7"/>
      <c r="GZF22" s="7"/>
      <c r="GZG22" s="7"/>
      <c r="GZH22" s="7"/>
      <c r="GZI22" s="7"/>
      <c r="GZJ22" s="7"/>
      <c r="GZK22" s="7"/>
      <c r="GZL22" s="7"/>
      <c r="GZM22" s="7"/>
      <c r="GZN22" s="7"/>
      <c r="GZO22" s="7"/>
      <c r="GZP22" s="7"/>
      <c r="GZQ22" s="7"/>
      <c r="GZR22" s="7"/>
      <c r="GZS22" s="7"/>
      <c r="GZT22" s="7"/>
      <c r="GZU22" s="7"/>
      <c r="GZV22" s="7"/>
      <c r="GZW22" s="7"/>
      <c r="GZX22" s="7"/>
      <c r="GZY22" s="7"/>
      <c r="GZZ22" s="7"/>
      <c r="HAA22" s="7"/>
      <c r="HAB22" s="7"/>
      <c r="HAC22" s="7"/>
      <c r="HAD22" s="7"/>
      <c r="HAE22" s="7"/>
      <c r="HAF22" s="7"/>
      <c r="HAG22" s="7"/>
      <c r="HAH22" s="7"/>
      <c r="HAI22" s="7"/>
      <c r="HAJ22" s="7"/>
      <c r="HAK22" s="7"/>
      <c r="HAL22" s="7"/>
      <c r="HAM22" s="7"/>
      <c r="HAN22" s="7"/>
      <c r="HAO22" s="7"/>
      <c r="HAP22" s="7"/>
      <c r="HAQ22" s="7"/>
      <c r="HAR22" s="7"/>
      <c r="HAS22" s="7"/>
      <c r="HAT22" s="7"/>
      <c r="HAU22" s="7"/>
      <c r="HAV22" s="7"/>
      <c r="HAW22" s="7"/>
      <c r="HAX22" s="7"/>
      <c r="HAY22" s="7"/>
      <c r="HAZ22" s="7"/>
      <c r="HBA22" s="7"/>
      <c r="HBB22" s="7"/>
      <c r="HBC22" s="7"/>
      <c r="HBD22" s="7"/>
      <c r="HBE22" s="7"/>
      <c r="HBF22" s="7"/>
      <c r="HBG22" s="7"/>
      <c r="HBH22" s="7"/>
      <c r="HBI22" s="7"/>
      <c r="HBJ22" s="7"/>
      <c r="HBK22" s="7"/>
      <c r="HBL22" s="7"/>
      <c r="HBM22" s="7"/>
      <c r="HBN22" s="7"/>
      <c r="HBO22" s="7"/>
      <c r="HBP22" s="7"/>
      <c r="HBQ22" s="7"/>
      <c r="HBR22" s="7"/>
      <c r="HBS22" s="7"/>
      <c r="HBT22" s="7"/>
      <c r="HBU22" s="7"/>
      <c r="HBV22" s="7"/>
      <c r="HBW22" s="7"/>
      <c r="HBX22" s="7"/>
      <c r="HBY22" s="7"/>
      <c r="HBZ22" s="7"/>
      <c r="HCA22" s="7"/>
      <c r="HCB22" s="7"/>
      <c r="HCC22" s="7"/>
      <c r="HCD22" s="7"/>
      <c r="HCE22" s="7"/>
      <c r="HCF22" s="7"/>
      <c r="HCG22" s="7"/>
      <c r="HCH22" s="7"/>
      <c r="HCI22" s="7"/>
      <c r="HCJ22" s="7"/>
      <c r="HCK22" s="7"/>
      <c r="HCL22" s="7"/>
      <c r="HCM22" s="7"/>
      <c r="HCN22" s="7"/>
      <c r="HCO22" s="7"/>
      <c r="HCP22" s="7"/>
      <c r="HCQ22" s="7"/>
      <c r="HCR22" s="7"/>
      <c r="HCS22" s="7"/>
      <c r="HCT22" s="7"/>
      <c r="HCU22" s="7"/>
      <c r="HCV22" s="7"/>
      <c r="HCW22" s="7"/>
      <c r="HCX22" s="7"/>
      <c r="HCY22" s="7"/>
      <c r="HCZ22" s="7"/>
      <c r="HDA22" s="7"/>
      <c r="HDB22" s="7"/>
      <c r="HDC22" s="7"/>
      <c r="HDD22" s="7"/>
      <c r="HDE22" s="7"/>
      <c r="HDF22" s="7"/>
      <c r="HDG22" s="7"/>
      <c r="HDH22" s="7"/>
      <c r="HDI22" s="7"/>
      <c r="HDJ22" s="7"/>
      <c r="HDK22" s="7"/>
      <c r="HDL22" s="7"/>
      <c r="HDM22" s="7"/>
      <c r="HDN22" s="7"/>
      <c r="HDO22" s="7"/>
      <c r="HDP22" s="7"/>
      <c r="HDQ22" s="7"/>
      <c r="HDR22" s="7"/>
      <c r="HDS22" s="7"/>
      <c r="HDT22" s="7"/>
      <c r="HDU22" s="7"/>
      <c r="HDV22" s="7"/>
      <c r="HDW22" s="7"/>
      <c r="HDX22" s="7"/>
      <c r="HDY22" s="7"/>
      <c r="HDZ22" s="7"/>
      <c r="HEA22" s="7"/>
      <c r="HEB22" s="7"/>
      <c r="HEC22" s="7"/>
      <c r="HED22" s="7"/>
      <c r="HEE22" s="7"/>
      <c r="HEF22" s="7"/>
      <c r="HEG22" s="7"/>
      <c r="HEH22" s="7"/>
      <c r="HEI22" s="7"/>
      <c r="HEJ22" s="7"/>
      <c r="HEK22" s="7"/>
      <c r="HEL22" s="7"/>
      <c r="HEM22" s="7"/>
      <c r="HEN22" s="7"/>
      <c r="HEO22" s="7"/>
      <c r="HEP22" s="7"/>
      <c r="HEQ22" s="7"/>
      <c r="HER22" s="7"/>
      <c r="HES22" s="7"/>
      <c r="HET22" s="7"/>
      <c r="HEU22" s="7"/>
      <c r="HEV22" s="7"/>
      <c r="HEW22" s="7"/>
      <c r="HEX22" s="7"/>
      <c r="HEY22" s="7"/>
      <c r="HEZ22" s="7"/>
      <c r="HFA22" s="7"/>
      <c r="HFB22" s="7"/>
      <c r="HFC22" s="7"/>
      <c r="HFD22" s="7"/>
      <c r="HFE22" s="7"/>
      <c r="HFF22" s="7"/>
      <c r="HFG22" s="7"/>
      <c r="HFH22" s="7"/>
      <c r="HFI22" s="7"/>
      <c r="HFJ22" s="7"/>
      <c r="HFK22" s="7"/>
      <c r="HFL22" s="7"/>
      <c r="HFM22" s="7"/>
      <c r="HFN22" s="7"/>
      <c r="HFO22" s="7"/>
      <c r="HFP22" s="7"/>
      <c r="HFQ22" s="7"/>
      <c r="HFR22" s="7"/>
      <c r="HFS22" s="7"/>
      <c r="HFT22" s="7"/>
      <c r="HFU22" s="7"/>
      <c r="HFV22" s="7"/>
      <c r="HFW22" s="7"/>
      <c r="HFX22" s="7"/>
      <c r="HFY22" s="7"/>
      <c r="HFZ22" s="7"/>
      <c r="HGA22" s="7"/>
      <c r="HGB22" s="7"/>
      <c r="HGC22" s="7"/>
      <c r="HGD22" s="7"/>
      <c r="HGE22" s="7"/>
      <c r="HGF22" s="7"/>
      <c r="HGG22" s="7"/>
      <c r="HGH22" s="7"/>
      <c r="HGI22" s="7"/>
      <c r="HGJ22" s="7"/>
      <c r="HGK22" s="7"/>
      <c r="HGL22" s="7"/>
      <c r="HGM22" s="7"/>
      <c r="HGN22" s="7"/>
      <c r="HGO22" s="7"/>
      <c r="HGP22" s="7"/>
      <c r="HGQ22" s="7"/>
      <c r="HGR22" s="7"/>
      <c r="HGS22" s="7"/>
      <c r="HGT22" s="7"/>
      <c r="HGU22" s="7"/>
      <c r="HGV22" s="7"/>
      <c r="HGW22" s="7"/>
      <c r="HGX22" s="7"/>
      <c r="HGY22" s="7"/>
      <c r="HGZ22" s="7"/>
      <c r="HHA22" s="7"/>
      <c r="HHB22" s="7"/>
      <c r="HHC22" s="7"/>
      <c r="HHD22" s="7"/>
      <c r="HHE22" s="7"/>
      <c r="HHF22" s="7"/>
      <c r="HHG22" s="7"/>
      <c r="HHH22" s="7"/>
      <c r="HHI22" s="7"/>
      <c r="HHJ22" s="7"/>
      <c r="HHK22" s="7"/>
      <c r="HHL22" s="7"/>
      <c r="HHM22" s="7"/>
      <c r="HHN22" s="7"/>
      <c r="HHO22" s="7"/>
      <c r="HHP22" s="7"/>
      <c r="HHQ22" s="7"/>
      <c r="HHR22" s="7"/>
      <c r="HHS22" s="7"/>
      <c r="HHT22" s="7"/>
      <c r="HHU22" s="7"/>
      <c r="HHV22" s="7"/>
      <c r="HHW22" s="7"/>
      <c r="HHX22" s="7"/>
      <c r="HHY22" s="7"/>
      <c r="HHZ22" s="7"/>
      <c r="HIA22" s="7"/>
      <c r="HIB22" s="7"/>
      <c r="HIC22" s="7"/>
      <c r="HID22" s="7"/>
      <c r="HIE22" s="7"/>
      <c r="HIF22" s="7"/>
      <c r="HIG22" s="7"/>
      <c r="HIH22" s="7"/>
      <c r="HII22" s="7"/>
      <c r="HIJ22" s="7"/>
      <c r="HIK22" s="7"/>
      <c r="HIL22" s="7"/>
      <c r="HIM22" s="7"/>
      <c r="HIN22" s="7"/>
      <c r="HIO22" s="7"/>
      <c r="HIP22" s="7"/>
      <c r="HIQ22" s="7"/>
      <c r="HIR22" s="7"/>
      <c r="HIS22" s="7"/>
      <c r="HIT22" s="7"/>
      <c r="HIU22" s="7"/>
      <c r="HIV22" s="7"/>
      <c r="HIW22" s="7"/>
      <c r="HIX22" s="7"/>
      <c r="HIY22" s="7"/>
      <c r="HIZ22" s="7"/>
      <c r="HJA22" s="7"/>
      <c r="HJB22" s="7"/>
      <c r="HJC22" s="7"/>
      <c r="HJD22" s="7"/>
      <c r="HJE22" s="7"/>
      <c r="HJF22" s="7"/>
      <c r="HJG22" s="7"/>
      <c r="HJH22" s="7"/>
      <c r="HJI22" s="7"/>
      <c r="HJJ22" s="7"/>
      <c r="HJK22" s="7"/>
      <c r="HJL22" s="7"/>
      <c r="HJM22" s="7"/>
      <c r="HJN22" s="7"/>
      <c r="HJO22" s="7"/>
      <c r="HJP22" s="7"/>
      <c r="HJQ22" s="7"/>
      <c r="HJR22" s="7"/>
      <c r="HJS22" s="7"/>
      <c r="HJT22" s="7"/>
      <c r="HJU22" s="7"/>
      <c r="HJV22" s="7"/>
      <c r="HJW22" s="7"/>
      <c r="HJX22" s="7"/>
      <c r="HJY22" s="7"/>
      <c r="HJZ22" s="7"/>
      <c r="HKA22" s="7"/>
      <c r="HKB22" s="7"/>
      <c r="HKC22" s="7"/>
      <c r="HKD22" s="7"/>
      <c r="HKE22" s="7"/>
      <c r="HKF22" s="7"/>
      <c r="HKG22" s="7"/>
      <c r="HKH22" s="7"/>
      <c r="HKI22" s="7"/>
      <c r="HKJ22" s="7"/>
      <c r="HKK22" s="7"/>
      <c r="HKL22" s="7"/>
      <c r="HKM22" s="7"/>
      <c r="HKN22" s="7"/>
      <c r="HKO22" s="7"/>
      <c r="HKP22" s="7"/>
      <c r="HKQ22" s="7"/>
      <c r="HKR22" s="7"/>
      <c r="HKS22" s="7"/>
      <c r="HKT22" s="7"/>
      <c r="HKU22" s="7"/>
      <c r="HKV22" s="7"/>
      <c r="HKW22" s="7"/>
      <c r="HKX22" s="7"/>
      <c r="HKY22" s="7"/>
      <c r="HKZ22" s="7"/>
      <c r="HLA22" s="7"/>
      <c r="HLB22" s="7"/>
      <c r="HLC22" s="7"/>
      <c r="HLD22" s="7"/>
      <c r="HLE22" s="7"/>
      <c r="HLF22" s="7"/>
      <c r="HLG22" s="7"/>
      <c r="HLH22" s="7"/>
      <c r="HLI22" s="7"/>
      <c r="HLJ22" s="7"/>
      <c r="HLK22" s="7"/>
      <c r="HLL22" s="7"/>
      <c r="HLM22" s="7"/>
      <c r="HLN22" s="7"/>
      <c r="HLO22" s="7"/>
      <c r="HLP22" s="7"/>
      <c r="HLQ22" s="7"/>
      <c r="HLR22" s="7"/>
      <c r="HLS22" s="7"/>
      <c r="HLT22" s="7"/>
      <c r="HLU22" s="7"/>
      <c r="HLV22" s="7"/>
      <c r="HLW22" s="7"/>
      <c r="HLX22" s="7"/>
      <c r="HLY22" s="7"/>
      <c r="HLZ22" s="7"/>
      <c r="HMA22" s="7"/>
      <c r="HMB22" s="7"/>
      <c r="HMC22" s="7"/>
      <c r="HMD22" s="7"/>
      <c r="HME22" s="7"/>
      <c r="HMF22" s="7"/>
      <c r="HMG22" s="7"/>
      <c r="HMH22" s="7"/>
      <c r="HMI22" s="7"/>
      <c r="HMJ22" s="7"/>
      <c r="HMK22" s="7"/>
      <c r="HML22" s="7"/>
      <c r="HMM22" s="7"/>
      <c r="HMN22" s="7"/>
      <c r="HMO22" s="7"/>
      <c r="HMP22" s="7"/>
      <c r="HMQ22" s="7"/>
      <c r="HMR22" s="7"/>
      <c r="HMS22" s="7"/>
      <c r="HMT22" s="7"/>
      <c r="HMU22" s="7"/>
      <c r="HMV22" s="7"/>
      <c r="HMW22" s="7"/>
      <c r="HMX22" s="7"/>
      <c r="HMY22" s="7"/>
      <c r="HMZ22" s="7"/>
      <c r="HNA22" s="7"/>
      <c r="HNB22" s="7"/>
      <c r="HNC22" s="7"/>
      <c r="HND22" s="7"/>
      <c r="HNE22" s="7"/>
      <c r="HNF22" s="7"/>
      <c r="HNG22" s="7"/>
      <c r="HNH22" s="7"/>
      <c r="HNI22" s="7"/>
      <c r="HNJ22" s="7"/>
      <c r="HNK22" s="7"/>
      <c r="HNL22" s="7"/>
      <c r="HNM22" s="7"/>
      <c r="HNN22" s="7"/>
      <c r="HNO22" s="7"/>
      <c r="HNP22" s="7"/>
      <c r="HNQ22" s="7"/>
      <c r="HNR22" s="7"/>
      <c r="HNS22" s="7"/>
      <c r="HNT22" s="7"/>
      <c r="HNU22" s="7"/>
      <c r="HNV22" s="7"/>
      <c r="HNW22" s="7"/>
      <c r="HNX22" s="7"/>
      <c r="HNY22" s="7"/>
      <c r="HNZ22" s="7"/>
      <c r="HOA22" s="7"/>
      <c r="HOB22" s="7"/>
      <c r="HOC22" s="7"/>
      <c r="HOD22" s="7"/>
      <c r="HOE22" s="7"/>
      <c r="HOF22" s="7"/>
      <c r="HOG22" s="7"/>
      <c r="HOH22" s="7"/>
      <c r="HOI22" s="7"/>
      <c r="HOJ22" s="7"/>
      <c r="HOK22" s="7"/>
      <c r="HOL22" s="7"/>
      <c r="HOM22" s="7"/>
      <c r="HON22" s="7"/>
      <c r="HOO22" s="7"/>
      <c r="HOP22" s="7"/>
      <c r="HOQ22" s="7"/>
      <c r="HOR22" s="7"/>
      <c r="HOS22" s="7"/>
      <c r="HOT22" s="7"/>
      <c r="HOU22" s="7"/>
      <c r="HOV22" s="7"/>
      <c r="HOW22" s="7"/>
      <c r="HOX22" s="7"/>
      <c r="HOY22" s="7"/>
      <c r="HOZ22" s="7"/>
      <c r="HPA22" s="7"/>
      <c r="HPB22" s="7"/>
      <c r="HPC22" s="7"/>
      <c r="HPD22" s="7"/>
      <c r="HPE22" s="7"/>
      <c r="HPF22" s="7"/>
      <c r="HPG22" s="7"/>
      <c r="HPH22" s="7"/>
      <c r="HPI22" s="7"/>
      <c r="HPJ22" s="7"/>
      <c r="HPK22" s="7"/>
      <c r="HPL22" s="7"/>
      <c r="HPM22" s="7"/>
      <c r="HPN22" s="7"/>
      <c r="HPO22" s="7"/>
      <c r="HPP22" s="7"/>
      <c r="HPQ22" s="7"/>
      <c r="HPR22" s="7"/>
      <c r="HPS22" s="7"/>
      <c r="HPT22" s="7"/>
      <c r="HPU22" s="7"/>
      <c r="HPV22" s="7"/>
      <c r="HPW22" s="7"/>
      <c r="HPX22" s="7"/>
      <c r="HPY22" s="7"/>
      <c r="HPZ22" s="7"/>
      <c r="HQA22" s="7"/>
      <c r="HQB22" s="7"/>
      <c r="HQC22" s="7"/>
      <c r="HQD22" s="7"/>
      <c r="HQE22" s="7"/>
      <c r="HQF22" s="7"/>
      <c r="HQG22" s="7"/>
      <c r="HQH22" s="7"/>
      <c r="HQI22" s="7"/>
      <c r="HQJ22" s="7"/>
      <c r="HQK22" s="7"/>
      <c r="HQL22" s="7"/>
      <c r="HQM22" s="7"/>
      <c r="HQN22" s="7"/>
      <c r="HQO22" s="7"/>
      <c r="HQP22" s="7"/>
      <c r="HQQ22" s="7"/>
      <c r="HQR22" s="7"/>
      <c r="HQS22" s="7"/>
      <c r="HQT22" s="7"/>
      <c r="HQU22" s="7"/>
      <c r="HQV22" s="7"/>
      <c r="HQW22" s="7"/>
      <c r="HQX22" s="7"/>
      <c r="HQY22" s="7"/>
      <c r="HQZ22" s="7"/>
      <c r="HRA22" s="7"/>
      <c r="HRB22" s="7"/>
      <c r="HRC22" s="7"/>
      <c r="HRD22" s="7"/>
      <c r="HRE22" s="7"/>
      <c r="HRF22" s="7"/>
      <c r="HRG22" s="7"/>
      <c r="HRH22" s="7"/>
      <c r="HRI22" s="7"/>
      <c r="HRJ22" s="7"/>
      <c r="HRK22" s="7"/>
      <c r="HRL22" s="7"/>
      <c r="HRM22" s="7"/>
      <c r="HRN22" s="7"/>
      <c r="HRO22" s="7"/>
      <c r="HRP22" s="7"/>
      <c r="HRQ22" s="7"/>
      <c r="HRR22" s="7"/>
      <c r="HRS22" s="7"/>
      <c r="HRT22" s="7"/>
      <c r="HRU22" s="7"/>
      <c r="HRV22" s="7"/>
      <c r="HRW22" s="7"/>
      <c r="HRX22" s="7"/>
      <c r="HRY22" s="7"/>
      <c r="HRZ22" s="7"/>
      <c r="HSA22" s="7"/>
      <c r="HSB22" s="7"/>
      <c r="HSC22" s="7"/>
      <c r="HSD22" s="7"/>
      <c r="HSE22" s="7"/>
      <c r="HSF22" s="7"/>
      <c r="HSG22" s="7"/>
      <c r="HSH22" s="7"/>
      <c r="HSI22" s="7"/>
      <c r="HSJ22" s="7"/>
      <c r="HSK22" s="7"/>
      <c r="HSL22" s="7"/>
      <c r="HSM22" s="7"/>
      <c r="HSN22" s="7"/>
      <c r="HSO22" s="7"/>
      <c r="HSP22" s="7"/>
      <c r="HSQ22" s="7"/>
      <c r="HSR22" s="7"/>
      <c r="HSS22" s="7"/>
      <c r="HST22" s="7"/>
      <c r="HSU22" s="7"/>
      <c r="HSV22" s="7"/>
      <c r="HSW22" s="7"/>
      <c r="HSX22" s="7"/>
      <c r="HSY22" s="7"/>
      <c r="HSZ22" s="7"/>
      <c r="HTA22" s="7"/>
      <c r="HTB22" s="7"/>
      <c r="HTC22" s="7"/>
      <c r="HTD22" s="7"/>
      <c r="HTE22" s="7"/>
      <c r="HTF22" s="7"/>
      <c r="HTG22" s="7"/>
      <c r="HTH22" s="7"/>
      <c r="HTI22" s="7"/>
      <c r="HTJ22" s="7"/>
      <c r="HTK22" s="7"/>
      <c r="HTL22" s="7"/>
      <c r="HTM22" s="7"/>
      <c r="HTN22" s="7"/>
      <c r="HTO22" s="7"/>
      <c r="HTP22" s="7"/>
      <c r="HTQ22" s="7"/>
      <c r="HTR22" s="7"/>
      <c r="HTS22" s="7"/>
      <c r="HTT22" s="7"/>
      <c r="HTU22" s="7"/>
      <c r="HTV22" s="7"/>
      <c r="HTW22" s="7"/>
      <c r="HTX22" s="7"/>
      <c r="HTY22" s="7"/>
      <c r="HTZ22" s="7"/>
      <c r="HUA22" s="7"/>
      <c r="HUB22" s="7"/>
      <c r="HUC22" s="7"/>
      <c r="HUD22" s="7"/>
      <c r="HUE22" s="7"/>
      <c r="HUF22" s="7"/>
      <c r="HUG22" s="7"/>
      <c r="HUH22" s="7"/>
      <c r="HUI22" s="7"/>
      <c r="HUJ22" s="7"/>
      <c r="HUK22" s="7"/>
      <c r="HUL22" s="7"/>
      <c r="HUM22" s="7"/>
      <c r="HUN22" s="7"/>
      <c r="HUO22" s="7"/>
      <c r="HUP22" s="7"/>
      <c r="HUQ22" s="7"/>
      <c r="HUR22" s="7"/>
      <c r="HUS22" s="7"/>
      <c r="HUT22" s="7"/>
      <c r="HUU22" s="7"/>
      <c r="HUV22" s="7"/>
      <c r="HUW22" s="7"/>
      <c r="HUX22" s="7"/>
      <c r="HUY22" s="7"/>
      <c r="HUZ22" s="7"/>
      <c r="HVA22" s="7"/>
      <c r="HVB22" s="7"/>
      <c r="HVC22" s="7"/>
      <c r="HVD22" s="7"/>
      <c r="HVE22" s="7"/>
      <c r="HVF22" s="7"/>
      <c r="HVG22" s="7"/>
      <c r="HVH22" s="7"/>
      <c r="HVI22" s="7"/>
      <c r="HVJ22" s="7"/>
      <c r="HVK22" s="7"/>
      <c r="HVL22" s="7"/>
      <c r="HVM22" s="7"/>
      <c r="HVN22" s="7"/>
      <c r="HVO22" s="7"/>
      <c r="HVP22" s="7"/>
      <c r="HVQ22" s="7"/>
      <c r="HVR22" s="7"/>
      <c r="HVS22" s="7"/>
      <c r="HVT22" s="7"/>
      <c r="HVU22" s="7"/>
      <c r="HVV22" s="7"/>
      <c r="HVW22" s="7"/>
      <c r="HVX22" s="7"/>
      <c r="HVY22" s="7"/>
      <c r="HVZ22" s="7"/>
      <c r="HWA22" s="7"/>
      <c r="HWB22" s="7"/>
      <c r="HWC22" s="7"/>
      <c r="HWD22" s="7"/>
      <c r="HWE22" s="7"/>
      <c r="HWF22" s="7"/>
      <c r="HWG22" s="7"/>
      <c r="HWH22" s="7"/>
      <c r="HWI22" s="7"/>
      <c r="HWJ22" s="7"/>
      <c r="HWK22" s="7"/>
      <c r="HWL22" s="7"/>
      <c r="HWM22" s="7"/>
      <c r="HWN22" s="7"/>
      <c r="HWO22" s="7"/>
      <c r="HWP22" s="7"/>
      <c r="HWQ22" s="7"/>
      <c r="HWR22" s="7"/>
      <c r="HWS22" s="7"/>
      <c r="HWT22" s="7"/>
      <c r="HWU22" s="7"/>
      <c r="HWV22" s="7"/>
      <c r="HWW22" s="7"/>
      <c r="HWX22" s="7"/>
      <c r="HWY22" s="7"/>
      <c r="HWZ22" s="7"/>
      <c r="HXA22" s="7"/>
      <c r="HXB22" s="7"/>
      <c r="HXC22" s="7"/>
      <c r="HXD22" s="7"/>
      <c r="HXE22" s="7"/>
      <c r="HXF22" s="7"/>
      <c r="HXG22" s="7"/>
      <c r="HXH22" s="7"/>
      <c r="HXI22" s="7"/>
      <c r="HXJ22" s="7"/>
      <c r="HXK22" s="7"/>
      <c r="HXL22" s="7"/>
      <c r="HXM22" s="7"/>
      <c r="HXN22" s="7"/>
      <c r="HXO22" s="7"/>
      <c r="HXP22" s="7"/>
      <c r="HXQ22" s="7"/>
      <c r="HXR22" s="7"/>
      <c r="HXS22" s="7"/>
      <c r="HXT22" s="7"/>
      <c r="HXU22" s="7"/>
      <c r="HXV22" s="7"/>
      <c r="HXW22" s="7"/>
      <c r="HXX22" s="7"/>
      <c r="HXY22" s="7"/>
      <c r="HXZ22" s="7"/>
      <c r="HYA22" s="7"/>
      <c r="HYB22" s="7"/>
      <c r="HYC22" s="7"/>
      <c r="HYD22" s="7"/>
      <c r="HYE22" s="7"/>
      <c r="HYF22" s="7"/>
      <c r="HYG22" s="7"/>
      <c r="HYH22" s="7"/>
      <c r="HYI22" s="7"/>
      <c r="HYJ22" s="7"/>
      <c r="HYK22" s="7"/>
      <c r="HYL22" s="7"/>
      <c r="HYM22" s="7"/>
      <c r="HYN22" s="7"/>
      <c r="HYO22" s="7"/>
      <c r="HYP22" s="7"/>
      <c r="HYQ22" s="7"/>
      <c r="HYR22" s="7"/>
      <c r="HYS22" s="7"/>
      <c r="HYT22" s="7"/>
      <c r="HYU22" s="7"/>
      <c r="HYV22" s="7"/>
      <c r="HYW22" s="7"/>
      <c r="HYX22" s="7"/>
      <c r="HYY22" s="7"/>
      <c r="HYZ22" s="7"/>
      <c r="HZA22" s="7"/>
      <c r="HZB22" s="7"/>
      <c r="HZC22" s="7"/>
      <c r="HZD22" s="7"/>
      <c r="HZE22" s="7"/>
      <c r="HZF22" s="7"/>
      <c r="HZG22" s="7"/>
      <c r="HZH22" s="7"/>
      <c r="HZI22" s="7"/>
      <c r="HZJ22" s="7"/>
      <c r="HZK22" s="7"/>
      <c r="HZL22" s="7"/>
      <c r="HZM22" s="7"/>
      <c r="HZN22" s="7"/>
      <c r="HZO22" s="7"/>
      <c r="HZP22" s="7"/>
      <c r="HZQ22" s="7"/>
      <c r="HZR22" s="7"/>
      <c r="HZS22" s="7"/>
      <c r="HZT22" s="7"/>
      <c r="HZU22" s="7"/>
      <c r="HZV22" s="7"/>
      <c r="HZW22" s="7"/>
      <c r="HZX22" s="7"/>
      <c r="HZY22" s="7"/>
      <c r="HZZ22" s="7"/>
      <c r="IAA22" s="7"/>
      <c r="IAB22" s="7"/>
      <c r="IAC22" s="7"/>
      <c r="IAD22" s="7"/>
      <c r="IAE22" s="7"/>
      <c r="IAF22" s="7"/>
      <c r="IAG22" s="7"/>
      <c r="IAH22" s="7"/>
      <c r="IAI22" s="7"/>
      <c r="IAJ22" s="7"/>
      <c r="IAK22" s="7"/>
      <c r="IAL22" s="7"/>
      <c r="IAM22" s="7"/>
      <c r="IAN22" s="7"/>
      <c r="IAO22" s="7"/>
      <c r="IAP22" s="7"/>
      <c r="IAQ22" s="7"/>
      <c r="IAR22" s="7"/>
      <c r="IAS22" s="7"/>
      <c r="IAT22" s="7"/>
      <c r="IAU22" s="7"/>
      <c r="IAV22" s="7"/>
      <c r="IAW22" s="7"/>
      <c r="IAX22" s="7"/>
      <c r="IAY22" s="7"/>
      <c r="IAZ22" s="7"/>
      <c r="IBA22" s="7"/>
      <c r="IBB22" s="7"/>
      <c r="IBC22" s="7"/>
      <c r="IBD22" s="7"/>
      <c r="IBE22" s="7"/>
      <c r="IBF22" s="7"/>
      <c r="IBG22" s="7"/>
      <c r="IBH22" s="7"/>
      <c r="IBI22" s="7"/>
      <c r="IBJ22" s="7"/>
      <c r="IBK22" s="7"/>
      <c r="IBL22" s="7"/>
      <c r="IBM22" s="7"/>
      <c r="IBN22" s="7"/>
      <c r="IBO22" s="7"/>
      <c r="IBP22" s="7"/>
      <c r="IBQ22" s="7"/>
      <c r="IBR22" s="7"/>
      <c r="IBS22" s="7"/>
      <c r="IBT22" s="7"/>
      <c r="IBU22" s="7"/>
      <c r="IBV22" s="7"/>
      <c r="IBW22" s="7"/>
      <c r="IBX22" s="7"/>
      <c r="IBY22" s="7"/>
      <c r="IBZ22" s="7"/>
      <c r="ICA22" s="7"/>
      <c r="ICB22" s="7"/>
      <c r="ICC22" s="7"/>
      <c r="ICD22" s="7"/>
      <c r="ICE22" s="7"/>
      <c r="ICF22" s="7"/>
      <c r="ICG22" s="7"/>
      <c r="ICH22" s="7"/>
      <c r="ICI22" s="7"/>
      <c r="ICJ22" s="7"/>
      <c r="ICK22" s="7"/>
      <c r="ICL22" s="7"/>
      <c r="ICM22" s="7"/>
      <c r="ICN22" s="7"/>
      <c r="ICO22" s="7"/>
      <c r="ICP22" s="7"/>
      <c r="ICQ22" s="7"/>
      <c r="ICR22" s="7"/>
      <c r="ICS22" s="7"/>
      <c r="ICT22" s="7"/>
      <c r="ICU22" s="7"/>
      <c r="ICV22" s="7"/>
      <c r="ICW22" s="7"/>
      <c r="ICX22" s="7"/>
      <c r="ICY22" s="7"/>
      <c r="ICZ22" s="7"/>
      <c r="IDA22" s="7"/>
      <c r="IDB22" s="7"/>
      <c r="IDC22" s="7"/>
      <c r="IDD22" s="7"/>
      <c r="IDE22" s="7"/>
      <c r="IDF22" s="7"/>
      <c r="IDG22" s="7"/>
      <c r="IDH22" s="7"/>
      <c r="IDI22" s="7"/>
      <c r="IDJ22" s="7"/>
      <c r="IDK22" s="7"/>
      <c r="IDL22" s="7"/>
      <c r="IDM22" s="7"/>
      <c r="IDN22" s="7"/>
      <c r="IDO22" s="7"/>
      <c r="IDP22" s="7"/>
      <c r="IDQ22" s="7"/>
      <c r="IDR22" s="7"/>
      <c r="IDS22" s="7"/>
      <c r="IDT22" s="7"/>
      <c r="IDU22" s="7"/>
      <c r="IDV22" s="7"/>
      <c r="IDW22" s="7"/>
      <c r="IDX22" s="7"/>
      <c r="IDY22" s="7"/>
      <c r="IDZ22" s="7"/>
      <c r="IEA22" s="7"/>
      <c r="IEB22" s="7"/>
      <c r="IEC22" s="7"/>
      <c r="IED22" s="7"/>
      <c r="IEE22" s="7"/>
      <c r="IEF22" s="7"/>
      <c r="IEG22" s="7"/>
      <c r="IEH22" s="7"/>
      <c r="IEI22" s="7"/>
      <c r="IEJ22" s="7"/>
      <c r="IEK22" s="7"/>
      <c r="IEL22" s="7"/>
      <c r="IEM22" s="7"/>
      <c r="IEN22" s="7"/>
      <c r="IEO22" s="7"/>
      <c r="IEP22" s="7"/>
      <c r="IEQ22" s="7"/>
      <c r="IER22" s="7"/>
      <c r="IES22" s="7"/>
      <c r="IET22" s="7"/>
      <c r="IEU22" s="7"/>
      <c r="IEV22" s="7"/>
      <c r="IEW22" s="7"/>
      <c r="IEX22" s="7"/>
      <c r="IEY22" s="7"/>
      <c r="IEZ22" s="7"/>
      <c r="IFA22" s="7"/>
      <c r="IFB22" s="7"/>
      <c r="IFC22" s="7"/>
      <c r="IFD22" s="7"/>
      <c r="IFE22" s="7"/>
      <c r="IFF22" s="7"/>
      <c r="IFG22" s="7"/>
      <c r="IFH22" s="7"/>
      <c r="IFI22" s="7"/>
      <c r="IFJ22" s="7"/>
      <c r="IFK22" s="7"/>
      <c r="IFL22" s="7"/>
      <c r="IFM22" s="7"/>
      <c r="IFN22" s="7"/>
      <c r="IFO22" s="7"/>
      <c r="IFP22" s="7"/>
      <c r="IFQ22" s="7"/>
      <c r="IFR22" s="7"/>
      <c r="IFS22" s="7"/>
      <c r="IFT22" s="7"/>
      <c r="IFU22" s="7"/>
      <c r="IFV22" s="7"/>
      <c r="IFW22" s="7"/>
      <c r="IFX22" s="7"/>
      <c r="IFY22" s="7"/>
      <c r="IFZ22" s="7"/>
      <c r="IGA22" s="7"/>
      <c r="IGB22" s="7"/>
      <c r="IGC22" s="7"/>
      <c r="IGD22" s="7"/>
      <c r="IGE22" s="7"/>
      <c r="IGF22" s="7"/>
      <c r="IGG22" s="7"/>
      <c r="IGH22" s="7"/>
      <c r="IGI22" s="7"/>
      <c r="IGJ22" s="7"/>
      <c r="IGK22" s="7"/>
      <c r="IGL22" s="7"/>
      <c r="IGM22" s="7"/>
      <c r="IGN22" s="7"/>
      <c r="IGO22" s="7"/>
      <c r="IGP22" s="7"/>
      <c r="IGQ22" s="7"/>
      <c r="IGR22" s="7"/>
      <c r="IGS22" s="7"/>
      <c r="IGT22" s="7"/>
      <c r="IGU22" s="7"/>
      <c r="IGV22" s="7"/>
      <c r="IGW22" s="7"/>
      <c r="IGX22" s="7"/>
      <c r="IGY22" s="7"/>
      <c r="IGZ22" s="7"/>
      <c r="IHA22" s="7"/>
      <c r="IHB22" s="7"/>
      <c r="IHC22" s="7"/>
      <c r="IHD22" s="7"/>
      <c r="IHE22" s="7"/>
      <c r="IHF22" s="7"/>
      <c r="IHG22" s="7"/>
      <c r="IHH22" s="7"/>
      <c r="IHI22" s="7"/>
      <c r="IHJ22" s="7"/>
      <c r="IHK22" s="7"/>
      <c r="IHL22" s="7"/>
      <c r="IHM22" s="7"/>
      <c r="IHN22" s="7"/>
      <c r="IHO22" s="7"/>
      <c r="IHP22" s="7"/>
      <c r="IHQ22" s="7"/>
      <c r="IHR22" s="7"/>
      <c r="IHS22" s="7"/>
      <c r="IHT22" s="7"/>
      <c r="IHU22" s="7"/>
      <c r="IHV22" s="7"/>
      <c r="IHW22" s="7"/>
      <c r="IHX22" s="7"/>
      <c r="IHY22" s="7"/>
      <c r="IHZ22" s="7"/>
      <c r="IIA22" s="7"/>
      <c r="IIB22" s="7"/>
      <c r="IIC22" s="7"/>
      <c r="IID22" s="7"/>
      <c r="IIE22" s="7"/>
      <c r="IIF22" s="7"/>
      <c r="IIG22" s="7"/>
      <c r="IIH22" s="7"/>
      <c r="III22" s="7"/>
      <c r="IIJ22" s="7"/>
      <c r="IIK22" s="7"/>
      <c r="IIL22" s="7"/>
      <c r="IIM22" s="7"/>
      <c r="IIN22" s="7"/>
      <c r="IIO22" s="7"/>
      <c r="IIP22" s="7"/>
      <c r="IIQ22" s="7"/>
      <c r="IIR22" s="7"/>
      <c r="IIS22" s="7"/>
      <c r="IIT22" s="7"/>
      <c r="IIU22" s="7"/>
      <c r="IIV22" s="7"/>
      <c r="IIW22" s="7"/>
      <c r="IIX22" s="7"/>
      <c r="IIY22" s="7"/>
      <c r="IIZ22" s="7"/>
      <c r="IJA22" s="7"/>
      <c r="IJB22" s="7"/>
      <c r="IJC22" s="7"/>
      <c r="IJD22" s="7"/>
      <c r="IJE22" s="7"/>
      <c r="IJF22" s="7"/>
      <c r="IJG22" s="7"/>
      <c r="IJH22" s="7"/>
      <c r="IJI22" s="7"/>
      <c r="IJJ22" s="7"/>
      <c r="IJK22" s="7"/>
      <c r="IJL22" s="7"/>
      <c r="IJM22" s="7"/>
      <c r="IJN22" s="7"/>
      <c r="IJO22" s="7"/>
      <c r="IJP22" s="7"/>
      <c r="IJQ22" s="7"/>
      <c r="IJR22" s="7"/>
      <c r="IJS22" s="7"/>
      <c r="IJT22" s="7"/>
      <c r="IJU22" s="7"/>
      <c r="IJV22" s="7"/>
      <c r="IJW22" s="7"/>
      <c r="IJX22" s="7"/>
      <c r="IJY22" s="7"/>
      <c r="IJZ22" s="7"/>
      <c r="IKA22" s="7"/>
      <c r="IKB22" s="7"/>
      <c r="IKC22" s="7"/>
      <c r="IKD22" s="7"/>
      <c r="IKE22" s="7"/>
      <c r="IKF22" s="7"/>
      <c r="IKG22" s="7"/>
      <c r="IKH22" s="7"/>
      <c r="IKI22" s="7"/>
      <c r="IKJ22" s="7"/>
      <c r="IKK22" s="7"/>
      <c r="IKL22" s="7"/>
      <c r="IKM22" s="7"/>
      <c r="IKN22" s="7"/>
      <c r="IKO22" s="7"/>
      <c r="IKP22" s="7"/>
      <c r="IKQ22" s="7"/>
      <c r="IKR22" s="7"/>
      <c r="IKS22" s="7"/>
      <c r="IKT22" s="7"/>
      <c r="IKU22" s="7"/>
      <c r="IKV22" s="7"/>
      <c r="IKW22" s="7"/>
      <c r="IKX22" s="7"/>
      <c r="IKY22" s="7"/>
      <c r="IKZ22" s="7"/>
      <c r="ILA22" s="7"/>
      <c r="ILB22" s="7"/>
      <c r="ILC22" s="7"/>
      <c r="ILD22" s="7"/>
      <c r="ILE22" s="7"/>
      <c r="ILF22" s="7"/>
      <c r="ILG22" s="7"/>
      <c r="ILH22" s="7"/>
      <c r="ILI22" s="7"/>
      <c r="ILJ22" s="7"/>
      <c r="ILK22" s="7"/>
      <c r="ILL22" s="7"/>
      <c r="ILM22" s="7"/>
      <c r="ILN22" s="7"/>
      <c r="ILO22" s="7"/>
      <c r="ILP22" s="7"/>
      <c r="ILQ22" s="7"/>
      <c r="ILR22" s="7"/>
      <c r="ILS22" s="7"/>
      <c r="ILT22" s="7"/>
      <c r="ILU22" s="7"/>
      <c r="ILV22" s="7"/>
      <c r="ILW22" s="7"/>
      <c r="ILX22" s="7"/>
      <c r="ILY22" s="7"/>
      <c r="ILZ22" s="7"/>
      <c r="IMA22" s="7"/>
      <c r="IMB22" s="7"/>
      <c r="IMC22" s="7"/>
      <c r="IMD22" s="7"/>
      <c r="IME22" s="7"/>
      <c r="IMF22" s="7"/>
      <c r="IMG22" s="7"/>
      <c r="IMH22" s="7"/>
      <c r="IMI22" s="7"/>
      <c r="IMJ22" s="7"/>
      <c r="IMK22" s="7"/>
      <c r="IML22" s="7"/>
      <c r="IMM22" s="7"/>
      <c r="IMN22" s="7"/>
      <c r="IMO22" s="7"/>
      <c r="IMP22" s="7"/>
      <c r="IMQ22" s="7"/>
      <c r="IMR22" s="7"/>
      <c r="IMS22" s="7"/>
      <c r="IMT22" s="7"/>
      <c r="IMU22" s="7"/>
      <c r="IMV22" s="7"/>
      <c r="IMW22" s="7"/>
      <c r="IMX22" s="7"/>
      <c r="IMY22" s="7"/>
      <c r="IMZ22" s="7"/>
      <c r="INA22" s="7"/>
      <c r="INB22" s="7"/>
      <c r="INC22" s="7"/>
      <c r="IND22" s="7"/>
      <c r="INE22" s="7"/>
      <c r="INF22" s="7"/>
      <c r="ING22" s="7"/>
      <c r="INH22" s="7"/>
      <c r="INI22" s="7"/>
      <c r="INJ22" s="7"/>
      <c r="INK22" s="7"/>
      <c r="INL22" s="7"/>
      <c r="INM22" s="7"/>
      <c r="INN22" s="7"/>
      <c r="INO22" s="7"/>
      <c r="INP22" s="7"/>
      <c r="INQ22" s="7"/>
      <c r="INR22" s="7"/>
      <c r="INS22" s="7"/>
      <c r="INT22" s="7"/>
      <c r="INU22" s="7"/>
      <c r="INV22" s="7"/>
      <c r="INW22" s="7"/>
      <c r="INX22" s="7"/>
      <c r="INY22" s="7"/>
      <c r="INZ22" s="7"/>
      <c r="IOA22" s="7"/>
      <c r="IOB22" s="7"/>
      <c r="IOC22" s="7"/>
      <c r="IOD22" s="7"/>
      <c r="IOE22" s="7"/>
      <c r="IOF22" s="7"/>
      <c r="IOG22" s="7"/>
      <c r="IOH22" s="7"/>
      <c r="IOI22" s="7"/>
      <c r="IOJ22" s="7"/>
      <c r="IOK22" s="7"/>
      <c r="IOL22" s="7"/>
      <c r="IOM22" s="7"/>
      <c r="ION22" s="7"/>
      <c r="IOO22" s="7"/>
      <c r="IOP22" s="7"/>
      <c r="IOQ22" s="7"/>
      <c r="IOR22" s="7"/>
      <c r="IOS22" s="7"/>
      <c r="IOT22" s="7"/>
      <c r="IOU22" s="7"/>
      <c r="IOV22" s="7"/>
      <c r="IOW22" s="7"/>
      <c r="IOX22" s="7"/>
      <c r="IOY22" s="7"/>
      <c r="IOZ22" s="7"/>
      <c r="IPA22" s="7"/>
      <c r="IPB22" s="7"/>
      <c r="IPC22" s="7"/>
      <c r="IPD22" s="7"/>
      <c r="IPE22" s="7"/>
      <c r="IPF22" s="7"/>
      <c r="IPG22" s="7"/>
      <c r="IPH22" s="7"/>
      <c r="IPI22" s="7"/>
      <c r="IPJ22" s="7"/>
      <c r="IPK22" s="7"/>
      <c r="IPL22" s="7"/>
      <c r="IPM22" s="7"/>
      <c r="IPN22" s="7"/>
      <c r="IPO22" s="7"/>
      <c r="IPP22" s="7"/>
      <c r="IPQ22" s="7"/>
      <c r="IPR22" s="7"/>
      <c r="IPS22" s="7"/>
      <c r="IPT22" s="7"/>
      <c r="IPU22" s="7"/>
      <c r="IPV22" s="7"/>
      <c r="IPW22" s="7"/>
      <c r="IPX22" s="7"/>
      <c r="IPY22" s="7"/>
      <c r="IPZ22" s="7"/>
      <c r="IQA22" s="7"/>
      <c r="IQB22" s="7"/>
      <c r="IQC22" s="7"/>
      <c r="IQD22" s="7"/>
      <c r="IQE22" s="7"/>
      <c r="IQF22" s="7"/>
      <c r="IQG22" s="7"/>
      <c r="IQH22" s="7"/>
      <c r="IQI22" s="7"/>
      <c r="IQJ22" s="7"/>
      <c r="IQK22" s="7"/>
      <c r="IQL22" s="7"/>
      <c r="IQM22" s="7"/>
      <c r="IQN22" s="7"/>
      <c r="IQO22" s="7"/>
      <c r="IQP22" s="7"/>
      <c r="IQQ22" s="7"/>
      <c r="IQR22" s="7"/>
      <c r="IQS22" s="7"/>
      <c r="IQT22" s="7"/>
      <c r="IQU22" s="7"/>
      <c r="IQV22" s="7"/>
      <c r="IQW22" s="7"/>
      <c r="IQX22" s="7"/>
      <c r="IQY22" s="7"/>
      <c r="IQZ22" s="7"/>
      <c r="IRA22" s="7"/>
      <c r="IRB22" s="7"/>
      <c r="IRC22" s="7"/>
      <c r="IRD22" s="7"/>
      <c r="IRE22" s="7"/>
      <c r="IRF22" s="7"/>
      <c r="IRG22" s="7"/>
      <c r="IRH22" s="7"/>
      <c r="IRI22" s="7"/>
      <c r="IRJ22" s="7"/>
      <c r="IRK22" s="7"/>
      <c r="IRL22" s="7"/>
      <c r="IRM22" s="7"/>
      <c r="IRN22" s="7"/>
      <c r="IRO22" s="7"/>
      <c r="IRP22" s="7"/>
      <c r="IRQ22" s="7"/>
      <c r="IRR22" s="7"/>
      <c r="IRS22" s="7"/>
      <c r="IRT22" s="7"/>
      <c r="IRU22" s="7"/>
      <c r="IRV22" s="7"/>
      <c r="IRW22" s="7"/>
      <c r="IRX22" s="7"/>
      <c r="IRY22" s="7"/>
      <c r="IRZ22" s="7"/>
      <c r="ISA22" s="7"/>
      <c r="ISB22" s="7"/>
      <c r="ISC22" s="7"/>
      <c r="ISD22" s="7"/>
      <c r="ISE22" s="7"/>
      <c r="ISF22" s="7"/>
      <c r="ISG22" s="7"/>
      <c r="ISH22" s="7"/>
      <c r="ISI22" s="7"/>
      <c r="ISJ22" s="7"/>
      <c r="ISK22" s="7"/>
      <c r="ISL22" s="7"/>
      <c r="ISM22" s="7"/>
      <c r="ISN22" s="7"/>
      <c r="ISO22" s="7"/>
      <c r="ISP22" s="7"/>
      <c r="ISQ22" s="7"/>
      <c r="ISR22" s="7"/>
      <c r="ISS22" s="7"/>
      <c r="IST22" s="7"/>
      <c r="ISU22" s="7"/>
      <c r="ISV22" s="7"/>
      <c r="ISW22" s="7"/>
      <c r="ISX22" s="7"/>
      <c r="ISY22" s="7"/>
      <c r="ISZ22" s="7"/>
      <c r="ITA22" s="7"/>
      <c r="ITB22" s="7"/>
      <c r="ITC22" s="7"/>
      <c r="ITD22" s="7"/>
      <c r="ITE22" s="7"/>
      <c r="ITF22" s="7"/>
      <c r="ITG22" s="7"/>
      <c r="ITH22" s="7"/>
      <c r="ITI22" s="7"/>
      <c r="ITJ22" s="7"/>
      <c r="ITK22" s="7"/>
      <c r="ITL22" s="7"/>
      <c r="ITM22" s="7"/>
      <c r="ITN22" s="7"/>
      <c r="ITO22" s="7"/>
      <c r="ITP22" s="7"/>
      <c r="ITQ22" s="7"/>
      <c r="ITR22" s="7"/>
      <c r="ITS22" s="7"/>
      <c r="ITT22" s="7"/>
      <c r="ITU22" s="7"/>
      <c r="ITV22" s="7"/>
      <c r="ITW22" s="7"/>
      <c r="ITX22" s="7"/>
      <c r="ITY22" s="7"/>
      <c r="ITZ22" s="7"/>
      <c r="IUA22" s="7"/>
      <c r="IUB22" s="7"/>
      <c r="IUC22" s="7"/>
      <c r="IUD22" s="7"/>
      <c r="IUE22" s="7"/>
      <c r="IUF22" s="7"/>
      <c r="IUG22" s="7"/>
      <c r="IUH22" s="7"/>
      <c r="IUI22" s="7"/>
      <c r="IUJ22" s="7"/>
      <c r="IUK22" s="7"/>
      <c r="IUL22" s="7"/>
      <c r="IUM22" s="7"/>
      <c r="IUN22" s="7"/>
      <c r="IUO22" s="7"/>
      <c r="IUP22" s="7"/>
      <c r="IUQ22" s="7"/>
      <c r="IUR22" s="7"/>
      <c r="IUS22" s="7"/>
      <c r="IUT22" s="7"/>
      <c r="IUU22" s="7"/>
      <c r="IUV22" s="7"/>
      <c r="IUW22" s="7"/>
      <c r="IUX22" s="7"/>
      <c r="IUY22" s="7"/>
      <c r="IUZ22" s="7"/>
      <c r="IVA22" s="7"/>
      <c r="IVB22" s="7"/>
      <c r="IVC22" s="7"/>
      <c r="IVD22" s="7"/>
      <c r="IVE22" s="7"/>
      <c r="IVF22" s="7"/>
      <c r="IVG22" s="7"/>
      <c r="IVH22" s="7"/>
      <c r="IVI22" s="7"/>
      <c r="IVJ22" s="7"/>
      <c r="IVK22" s="7"/>
      <c r="IVL22" s="7"/>
      <c r="IVM22" s="7"/>
      <c r="IVN22" s="7"/>
      <c r="IVO22" s="7"/>
      <c r="IVP22" s="7"/>
      <c r="IVQ22" s="7"/>
      <c r="IVR22" s="7"/>
      <c r="IVS22" s="7"/>
      <c r="IVT22" s="7"/>
      <c r="IVU22" s="7"/>
      <c r="IVV22" s="7"/>
      <c r="IVW22" s="7"/>
      <c r="IVX22" s="7"/>
      <c r="IVY22" s="7"/>
      <c r="IVZ22" s="7"/>
      <c r="IWA22" s="7"/>
      <c r="IWB22" s="7"/>
      <c r="IWC22" s="7"/>
      <c r="IWD22" s="7"/>
      <c r="IWE22" s="7"/>
      <c r="IWF22" s="7"/>
      <c r="IWG22" s="7"/>
      <c r="IWH22" s="7"/>
      <c r="IWI22" s="7"/>
      <c r="IWJ22" s="7"/>
      <c r="IWK22" s="7"/>
      <c r="IWL22" s="7"/>
      <c r="IWM22" s="7"/>
      <c r="IWN22" s="7"/>
      <c r="IWO22" s="7"/>
      <c r="IWP22" s="7"/>
      <c r="IWQ22" s="7"/>
      <c r="IWR22" s="7"/>
      <c r="IWS22" s="7"/>
      <c r="IWT22" s="7"/>
      <c r="IWU22" s="7"/>
      <c r="IWV22" s="7"/>
      <c r="IWW22" s="7"/>
      <c r="IWX22" s="7"/>
      <c r="IWY22" s="7"/>
      <c r="IWZ22" s="7"/>
      <c r="IXA22" s="7"/>
      <c r="IXB22" s="7"/>
      <c r="IXC22" s="7"/>
      <c r="IXD22" s="7"/>
      <c r="IXE22" s="7"/>
      <c r="IXF22" s="7"/>
      <c r="IXG22" s="7"/>
      <c r="IXH22" s="7"/>
      <c r="IXI22" s="7"/>
      <c r="IXJ22" s="7"/>
      <c r="IXK22" s="7"/>
      <c r="IXL22" s="7"/>
      <c r="IXM22" s="7"/>
      <c r="IXN22" s="7"/>
      <c r="IXO22" s="7"/>
      <c r="IXP22" s="7"/>
      <c r="IXQ22" s="7"/>
      <c r="IXR22" s="7"/>
      <c r="IXS22" s="7"/>
      <c r="IXT22" s="7"/>
      <c r="IXU22" s="7"/>
      <c r="IXV22" s="7"/>
      <c r="IXW22" s="7"/>
      <c r="IXX22" s="7"/>
      <c r="IXY22" s="7"/>
      <c r="IXZ22" s="7"/>
      <c r="IYA22" s="7"/>
      <c r="IYB22" s="7"/>
      <c r="IYC22" s="7"/>
      <c r="IYD22" s="7"/>
      <c r="IYE22" s="7"/>
      <c r="IYF22" s="7"/>
      <c r="IYG22" s="7"/>
      <c r="IYH22" s="7"/>
      <c r="IYI22" s="7"/>
      <c r="IYJ22" s="7"/>
      <c r="IYK22" s="7"/>
      <c r="IYL22" s="7"/>
      <c r="IYM22" s="7"/>
      <c r="IYN22" s="7"/>
      <c r="IYO22" s="7"/>
      <c r="IYP22" s="7"/>
      <c r="IYQ22" s="7"/>
      <c r="IYR22" s="7"/>
      <c r="IYS22" s="7"/>
      <c r="IYT22" s="7"/>
      <c r="IYU22" s="7"/>
      <c r="IYV22" s="7"/>
      <c r="IYW22" s="7"/>
      <c r="IYX22" s="7"/>
      <c r="IYY22" s="7"/>
      <c r="IYZ22" s="7"/>
      <c r="IZA22" s="7"/>
      <c r="IZB22" s="7"/>
      <c r="IZC22" s="7"/>
      <c r="IZD22" s="7"/>
      <c r="IZE22" s="7"/>
      <c r="IZF22" s="7"/>
      <c r="IZG22" s="7"/>
      <c r="IZH22" s="7"/>
      <c r="IZI22" s="7"/>
      <c r="IZJ22" s="7"/>
      <c r="IZK22" s="7"/>
      <c r="IZL22" s="7"/>
      <c r="IZM22" s="7"/>
      <c r="IZN22" s="7"/>
      <c r="IZO22" s="7"/>
      <c r="IZP22" s="7"/>
      <c r="IZQ22" s="7"/>
      <c r="IZR22" s="7"/>
      <c r="IZS22" s="7"/>
      <c r="IZT22" s="7"/>
      <c r="IZU22" s="7"/>
      <c r="IZV22" s="7"/>
      <c r="IZW22" s="7"/>
      <c r="IZX22" s="7"/>
      <c r="IZY22" s="7"/>
      <c r="IZZ22" s="7"/>
      <c r="JAA22" s="7"/>
      <c r="JAB22" s="7"/>
      <c r="JAC22" s="7"/>
      <c r="JAD22" s="7"/>
      <c r="JAE22" s="7"/>
      <c r="JAF22" s="7"/>
      <c r="JAG22" s="7"/>
      <c r="JAH22" s="7"/>
      <c r="JAI22" s="7"/>
      <c r="JAJ22" s="7"/>
      <c r="JAK22" s="7"/>
      <c r="JAL22" s="7"/>
      <c r="JAM22" s="7"/>
      <c r="JAN22" s="7"/>
      <c r="JAO22" s="7"/>
      <c r="JAP22" s="7"/>
      <c r="JAQ22" s="7"/>
      <c r="JAR22" s="7"/>
      <c r="JAS22" s="7"/>
      <c r="JAT22" s="7"/>
      <c r="JAU22" s="7"/>
      <c r="JAV22" s="7"/>
      <c r="JAW22" s="7"/>
      <c r="JAX22" s="7"/>
      <c r="JAY22" s="7"/>
      <c r="JAZ22" s="7"/>
      <c r="JBA22" s="7"/>
      <c r="JBB22" s="7"/>
      <c r="JBC22" s="7"/>
      <c r="JBD22" s="7"/>
      <c r="JBE22" s="7"/>
      <c r="JBF22" s="7"/>
      <c r="JBG22" s="7"/>
      <c r="JBH22" s="7"/>
      <c r="JBI22" s="7"/>
      <c r="JBJ22" s="7"/>
      <c r="JBK22" s="7"/>
      <c r="JBL22" s="7"/>
      <c r="JBM22" s="7"/>
      <c r="JBN22" s="7"/>
      <c r="JBO22" s="7"/>
      <c r="JBP22" s="7"/>
      <c r="JBQ22" s="7"/>
      <c r="JBR22" s="7"/>
      <c r="JBS22" s="7"/>
      <c r="JBT22" s="7"/>
      <c r="JBU22" s="7"/>
      <c r="JBV22" s="7"/>
      <c r="JBW22" s="7"/>
      <c r="JBX22" s="7"/>
      <c r="JBY22" s="7"/>
      <c r="JBZ22" s="7"/>
      <c r="JCA22" s="7"/>
      <c r="JCB22" s="7"/>
      <c r="JCC22" s="7"/>
      <c r="JCD22" s="7"/>
      <c r="JCE22" s="7"/>
      <c r="JCF22" s="7"/>
      <c r="JCG22" s="7"/>
      <c r="JCH22" s="7"/>
      <c r="JCI22" s="7"/>
      <c r="JCJ22" s="7"/>
      <c r="JCK22" s="7"/>
      <c r="JCL22" s="7"/>
      <c r="JCM22" s="7"/>
      <c r="JCN22" s="7"/>
      <c r="JCO22" s="7"/>
      <c r="JCP22" s="7"/>
      <c r="JCQ22" s="7"/>
      <c r="JCR22" s="7"/>
      <c r="JCS22" s="7"/>
      <c r="JCT22" s="7"/>
      <c r="JCU22" s="7"/>
      <c r="JCV22" s="7"/>
      <c r="JCW22" s="7"/>
      <c r="JCX22" s="7"/>
      <c r="JCY22" s="7"/>
      <c r="JCZ22" s="7"/>
      <c r="JDA22" s="7"/>
      <c r="JDB22" s="7"/>
      <c r="JDC22" s="7"/>
      <c r="JDD22" s="7"/>
      <c r="JDE22" s="7"/>
      <c r="JDF22" s="7"/>
      <c r="JDG22" s="7"/>
      <c r="JDH22" s="7"/>
      <c r="JDI22" s="7"/>
      <c r="JDJ22" s="7"/>
      <c r="JDK22" s="7"/>
      <c r="JDL22" s="7"/>
      <c r="JDM22" s="7"/>
      <c r="JDN22" s="7"/>
      <c r="JDO22" s="7"/>
      <c r="JDP22" s="7"/>
      <c r="JDQ22" s="7"/>
      <c r="JDR22" s="7"/>
      <c r="JDS22" s="7"/>
      <c r="JDT22" s="7"/>
      <c r="JDU22" s="7"/>
      <c r="JDV22" s="7"/>
      <c r="JDW22" s="7"/>
      <c r="JDX22" s="7"/>
      <c r="JDY22" s="7"/>
      <c r="JDZ22" s="7"/>
      <c r="JEA22" s="7"/>
      <c r="JEB22" s="7"/>
      <c r="JEC22" s="7"/>
      <c r="JED22" s="7"/>
      <c r="JEE22" s="7"/>
      <c r="JEF22" s="7"/>
      <c r="JEG22" s="7"/>
      <c r="JEH22" s="7"/>
      <c r="JEI22" s="7"/>
      <c r="JEJ22" s="7"/>
      <c r="JEK22" s="7"/>
      <c r="JEL22" s="7"/>
      <c r="JEM22" s="7"/>
      <c r="JEN22" s="7"/>
      <c r="JEO22" s="7"/>
      <c r="JEP22" s="7"/>
      <c r="JEQ22" s="7"/>
      <c r="JER22" s="7"/>
      <c r="JES22" s="7"/>
      <c r="JET22" s="7"/>
      <c r="JEU22" s="7"/>
      <c r="JEV22" s="7"/>
      <c r="JEW22" s="7"/>
      <c r="JEX22" s="7"/>
      <c r="JEY22" s="7"/>
      <c r="JEZ22" s="7"/>
      <c r="JFA22" s="7"/>
      <c r="JFB22" s="7"/>
      <c r="JFC22" s="7"/>
      <c r="JFD22" s="7"/>
      <c r="JFE22" s="7"/>
      <c r="JFF22" s="7"/>
      <c r="JFG22" s="7"/>
      <c r="JFH22" s="7"/>
      <c r="JFI22" s="7"/>
      <c r="JFJ22" s="7"/>
      <c r="JFK22" s="7"/>
      <c r="JFL22" s="7"/>
      <c r="JFM22" s="7"/>
      <c r="JFN22" s="7"/>
      <c r="JFO22" s="7"/>
      <c r="JFP22" s="7"/>
      <c r="JFQ22" s="7"/>
      <c r="JFR22" s="7"/>
      <c r="JFS22" s="7"/>
      <c r="JFT22" s="7"/>
      <c r="JFU22" s="7"/>
      <c r="JFV22" s="7"/>
      <c r="JFW22" s="7"/>
      <c r="JFX22" s="7"/>
      <c r="JFY22" s="7"/>
      <c r="JFZ22" s="7"/>
      <c r="JGA22" s="7"/>
      <c r="JGB22" s="7"/>
      <c r="JGC22" s="7"/>
      <c r="JGD22" s="7"/>
      <c r="JGE22" s="7"/>
      <c r="JGF22" s="7"/>
      <c r="JGG22" s="7"/>
      <c r="JGH22" s="7"/>
      <c r="JGI22" s="7"/>
      <c r="JGJ22" s="7"/>
      <c r="JGK22" s="7"/>
      <c r="JGL22" s="7"/>
      <c r="JGM22" s="7"/>
      <c r="JGN22" s="7"/>
      <c r="JGO22" s="7"/>
      <c r="JGP22" s="7"/>
      <c r="JGQ22" s="7"/>
      <c r="JGR22" s="7"/>
      <c r="JGS22" s="7"/>
      <c r="JGT22" s="7"/>
      <c r="JGU22" s="7"/>
      <c r="JGV22" s="7"/>
      <c r="JGW22" s="7"/>
      <c r="JGX22" s="7"/>
      <c r="JGY22" s="7"/>
      <c r="JGZ22" s="7"/>
      <c r="JHA22" s="7"/>
      <c r="JHB22" s="7"/>
      <c r="JHC22" s="7"/>
      <c r="JHD22" s="7"/>
      <c r="JHE22" s="7"/>
      <c r="JHF22" s="7"/>
      <c r="JHG22" s="7"/>
      <c r="JHH22" s="7"/>
      <c r="JHI22" s="7"/>
      <c r="JHJ22" s="7"/>
      <c r="JHK22" s="7"/>
      <c r="JHL22" s="7"/>
      <c r="JHM22" s="7"/>
      <c r="JHN22" s="7"/>
      <c r="JHO22" s="7"/>
      <c r="JHP22" s="7"/>
      <c r="JHQ22" s="7"/>
      <c r="JHR22" s="7"/>
      <c r="JHS22" s="7"/>
      <c r="JHT22" s="7"/>
      <c r="JHU22" s="7"/>
      <c r="JHV22" s="7"/>
      <c r="JHW22" s="7"/>
      <c r="JHX22" s="7"/>
      <c r="JHY22" s="7"/>
      <c r="JHZ22" s="7"/>
      <c r="JIA22" s="7"/>
      <c r="JIB22" s="7"/>
      <c r="JIC22" s="7"/>
      <c r="JID22" s="7"/>
      <c r="JIE22" s="7"/>
      <c r="JIF22" s="7"/>
      <c r="JIG22" s="7"/>
      <c r="JIH22" s="7"/>
      <c r="JII22" s="7"/>
      <c r="JIJ22" s="7"/>
      <c r="JIK22" s="7"/>
      <c r="JIL22" s="7"/>
      <c r="JIM22" s="7"/>
      <c r="JIN22" s="7"/>
      <c r="JIO22" s="7"/>
      <c r="JIP22" s="7"/>
      <c r="JIQ22" s="7"/>
      <c r="JIR22" s="7"/>
      <c r="JIS22" s="7"/>
      <c r="JIT22" s="7"/>
      <c r="JIU22" s="7"/>
      <c r="JIV22" s="7"/>
      <c r="JIW22" s="7"/>
      <c r="JIX22" s="7"/>
      <c r="JIY22" s="7"/>
      <c r="JIZ22" s="7"/>
      <c r="JJA22" s="7"/>
      <c r="JJB22" s="7"/>
      <c r="JJC22" s="7"/>
      <c r="JJD22" s="7"/>
      <c r="JJE22" s="7"/>
      <c r="JJF22" s="7"/>
      <c r="JJG22" s="7"/>
      <c r="JJH22" s="7"/>
      <c r="JJI22" s="7"/>
      <c r="JJJ22" s="7"/>
      <c r="JJK22" s="7"/>
      <c r="JJL22" s="7"/>
      <c r="JJM22" s="7"/>
      <c r="JJN22" s="7"/>
      <c r="JJO22" s="7"/>
      <c r="JJP22" s="7"/>
      <c r="JJQ22" s="7"/>
      <c r="JJR22" s="7"/>
      <c r="JJS22" s="7"/>
      <c r="JJT22" s="7"/>
      <c r="JJU22" s="7"/>
      <c r="JJV22" s="7"/>
      <c r="JJW22" s="7"/>
      <c r="JJX22" s="7"/>
      <c r="JJY22" s="7"/>
      <c r="JJZ22" s="7"/>
      <c r="JKA22" s="7"/>
      <c r="JKB22" s="7"/>
      <c r="JKC22" s="7"/>
      <c r="JKD22" s="7"/>
      <c r="JKE22" s="7"/>
      <c r="JKF22" s="7"/>
      <c r="JKG22" s="7"/>
      <c r="JKH22" s="7"/>
      <c r="JKI22" s="7"/>
      <c r="JKJ22" s="7"/>
      <c r="JKK22" s="7"/>
      <c r="JKL22" s="7"/>
      <c r="JKM22" s="7"/>
      <c r="JKN22" s="7"/>
      <c r="JKO22" s="7"/>
      <c r="JKP22" s="7"/>
      <c r="JKQ22" s="7"/>
      <c r="JKR22" s="7"/>
      <c r="JKS22" s="7"/>
      <c r="JKT22" s="7"/>
      <c r="JKU22" s="7"/>
      <c r="JKV22" s="7"/>
      <c r="JKW22" s="7"/>
      <c r="JKX22" s="7"/>
      <c r="JKY22" s="7"/>
      <c r="JKZ22" s="7"/>
      <c r="JLA22" s="7"/>
      <c r="JLB22" s="7"/>
      <c r="JLC22" s="7"/>
      <c r="JLD22" s="7"/>
      <c r="JLE22" s="7"/>
      <c r="JLF22" s="7"/>
      <c r="JLG22" s="7"/>
      <c r="JLH22" s="7"/>
      <c r="JLI22" s="7"/>
      <c r="JLJ22" s="7"/>
      <c r="JLK22" s="7"/>
      <c r="JLL22" s="7"/>
      <c r="JLM22" s="7"/>
      <c r="JLN22" s="7"/>
      <c r="JLO22" s="7"/>
      <c r="JLP22" s="7"/>
      <c r="JLQ22" s="7"/>
      <c r="JLR22" s="7"/>
      <c r="JLS22" s="7"/>
      <c r="JLT22" s="7"/>
      <c r="JLU22" s="7"/>
      <c r="JLV22" s="7"/>
      <c r="JLW22" s="7"/>
      <c r="JLX22" s="7"/>
      <c r="JLY22" s="7"/>
      <c r="JLZ22" s="7"/>
      <c r="JMA22" s="7"/>
      <c r="JMB22" s="7"/>
      <c r="JMC22" s="7"/>
      <c r="JMD22" s="7"/>
      <c r="JME22" s="7"/>
      <c r="JMF22" s="7"/>
      <c r="JMG22" s="7"/>
      <c r="JMH22" s="7"/>
      <c r="JMI22" s="7"/>
      <c r="JMJ22" s="7"/>
      <c r="JMK22" s="7"/>
      <c r="JML22" s="7"/>
      <c r="JMM22" s="7"/>
      <c r="JMN22" s="7"/>
      <c r="JMO22" s="7"/>
      <c r="JMP22" s="7"/>
      <c r="JMQ22" s="7"/>
      <c r="JMR22" s="7"/>
      <c r="JMS22" s="7"/>
      <c r="JMT22" s="7"/>
      <c r="JMU22" s="7"/>
      <c r="JMV22" s="7"/>
      <c r="JMW22" s="7"/>
      <c r="JMX22" s="7"/>
      <c r="JMY22" s="7"/>
      <c r="JMZ22" s="7"/>
      <c r="JNA22" s="7"/>
      <c r="JNB22" s="7"/>
      <c r="JNC22" s="7"/>
      <c r="JND22" s="7"/>
      <c r="JNE22" s="7"/>
      <c r="JNF22" s="7"/>
      <c r="JNG22" s="7"/>
      <c r="JNH22" s="7"/>
      <c r="JNI22" s="7"/>
      <c r="JNJ22" s="7"/>
      <c r="JNK22" s="7"/>
      <c r="JNL22" s="7"/>
      <c r="JNM22" s="7"/>
      <c r="JNN22" s="7"/>
      <c r="JNO22" s="7"/>
      <c r="JNP22" s="7"/>
      <c r="JNQ22" s="7"/>
      <c r="JNR22" s="7"/>
      <c r="JNS22" s="7"/>
      <c r="JNT22" s="7"/>
      <c r="JNU22" s="7"/>
      <c r="JNV22" s="7"/>
      <c r="JNW22" s="7"/>
      <c r="JNX22" s="7"/>
      <c r="JNY22" s="7"/>
      <c r="JNZ22" s="7"/>
      <c r="JOA22" s="7"/>
      <c r="JOB22" s="7"/>
      <c r="JOC22" s="7"/>
      <c r="JOD22" s="7"/>
      <c r="JOE22" s="7"/>
      <c r="JOF22" s="7"/>
      <c r="JOG22" s="7"/>
      <c r="JOH22" s="7"/>
      <c r="JOI22" s="7"/>
      <c r="JOJ22" s="7"/>
      <c r="JOK22" s="7"/>
      <c r="JOL22" s="7"/>
      <c r="JOM22" s="7"/>
      <c r="JON22" s="7"/>
      <c r="JOO22" s="7"/>
      <c r="JOP22" s="7"/>
      <c r="JOQ22" s="7"/>
      <c r="JOR22" s="7"/>
      <c r="JOS22" s="7"/>
      <c r="JOT22" s="7"/>
      <c r="JOU22" s="7"/>
      <c r="JOV22" s="7"/>
      <c r="JOW22" s="7"/>
      <c r="JOX22" s="7"/>
      <c r="JOY22" s="7"/>
      <c r="JOZ22" s="7"/>
      <c r="JPA22" s="7"/>
      <c r="JPB22" s="7"/>
      <c r="JPC22" s="7"/>
      <c r="JPD22" s="7"/>
      <c r="JPE22" s="7"/>
      <c r="JPF22" s="7"/>
      <c r="JPG22" s="7"/>
      <c r="JPH22" s="7"/>
      <c r="JPI22" s="7"/>
      <c r="JPJ22" s="7"/>
      <c r="JPK22" s="7"/>
      <c r="JPL22" s="7"/>
      <c r="JPM22" s="7"/>
      <c r="JPN22" s="7"/>
      <c r="JPO22" s="7"/>
      <c r="JPP22" s="7"/>
      <c r="JPQ22" s="7"/>
      <c r="JPR22" s="7"/>
      <c r="JPS22" s="7"/>
      <c r="JPT22" s="7"/>
      <c r="JPU22" s="7"/>
      <c r="JPV22" s="7"/>
      <c r="JPW22" s="7"/>
      <c r="JPX22" s="7"/>
      <c r="JPY22" s="7"/>
      <c r="JPZ22" s="7"/>
      <c r="JQA22" s="7"/>
      <c r="JQB22" s="7"/>
      <c r="JQC22" s="7"/>
      <c r="JQD22" s="7"/>
      <c r="JQE22" s="7"/>
      <c r="JQF22" s="7"/>
      <c r="JQG22" s="7"/>
      <c r="JQH22" s="7"/>
      <c r="JQI22" s="7"/>
      <c r="JQJ22" s="7"/>
      <c r="JQK22" s="7"/>
      <c r="JQL22" s="7"/>
      <c r="JQM22" s="7"/>
      <c r="JQN22" s="7"/>
      <c r="JQO22" s="7"/>
      <c r="JQP22" s="7"/>
      <c r="JQQ22" s="7"/>
      <c r="JQR22" s="7"/>
      <c r="JQS22" s="7"/>
      <c r="JQT22" s="7"/>
      <c r="JQU22" s="7"/>
      <c r="JQV22" s="7"/>
      <c r="JQW22" s="7"/>
      <c r="JQX22" s="7"/>
      <c r="JQY22" s="7"/>
      <c r="JQZ22" s="7"/>
      <c r="JRA22" s="7"/>
      <c r="JRB22" s="7"/>
      <c r="JRC22" s="7"/>
      <c r="JRD22" s="7"/>
      <c r="JRE22" s="7"/>
      <c r="JRF22" s="7"/>
      <c r="JRG22" s="7"/>
      <c r="JRH22" s="7"/>
      <c r="JRI22" s="7"/>
      <c r="JRJ22" s="7"/>
      <c r="JRK22" s="7"/>
      <c r="JRL22" s="7"/>
      <c r="JRM22" s="7"/>
      <c r="JRN22" s="7"/>
      <c r="JRO22" s="7"/>
      <c r="JRP22" s="7"/>
      <c r="JRQ22" s="7"/>
      <c r="JRR22" s="7"/>
      <c r="JRS22" s="7"/>
      <c r="JRT22" s="7"/>
      <c r="JRU22" s="7"/>
      <c r="JRV22" s="7"/>
      <c r="JRW22" s="7"/>
      <c r="JRX22" s="7"/>
      <c r="JRY22" s="7"/>
      <c r="JRZ22" s="7"/>
      <c r="JSA22" s="7"/>
      <c r="JSB22" s="7"/>
      <c r="JSC22" s="7"/>
      <c r="JSD22" s="7"/>
      <c r="JSE22" s="7"/>
      <c r="JSF22" s="7"/>
      <c r="JSG22" s="7"/>
      <c r="JSH22" s="7"/>
      <c r="JSI22" s="7"/>
      <c r="JSJ22" s="7"/>
      <c r="JSK22" s="7"/>
      <c r="JSL22" s="7"/>
      <c r="JSM22" s="7"/>
      <c r="JSN22" s="7"/>
      <c r="JSO22" s="7"/>
      <c r="JSP22" s="7"/>
      <c r="JSQ22" s="7"/>
      <c r="JSR22" s="7"/>
      <c r="JSS22" s="7"/>
      <c r="JST22" s="7"/>
      <c r="JSU22" s="7"/>
      <c r="JSV22" s="7"/>
      <c r="JSW22" s="7"/>
      <c r="JSX22" s="7"/>
      <c r="JSY22" s="7"/>
      <c r="JSZ22" s="7"/>
      <c r="JTA22" s="7"/>
      <c r="JTB22" s="7"/>
      <c r="JTC22" s="7"/>
      <c r="JTD22" s="7"/>
      <c r="JTE22" s="7"/>
      <c r="JTF22" s="7"/>
      <c r="JTG22" s="7"/>
      <c r="JTH22" s="7"/>
      <c r="JTI22" s="7"/>
      <c r="JTJ22" s="7"/>
      <c r="JTK22" s="7"/>
      <c r="JTL22" s="7"/>
      <c r="JTM22" s="7"/>
      <c r="JTN22" s="7"/>
      <c r="JTO22" s="7"/>
      <c r="JTP22" s="7"/>
      <c r="JTQ22" s="7"/>
      <c r="JTR22" s="7"/>
      <c r="JTS22" s="7"/>
      <c r="JTT22" s="7"/>
      <c r="JTU22" s="7"/>
      <c r="JTV22" s="7"/>
      <c r="JTW22" s="7"/>
      <c r="JTX22" s="7"/>
      <c r="JTY22" s="7"/>
      <c r="JTZ22" s="7"/>
      <c r="JUA22" s="7"/>
      <c r="JUB22" s="7"/>
      <c r="JUC22" s="7"/>
      <c r="JUD22" s="7"/>
      <c r="JUE22" s="7"/>
      <c r="JUF22" s="7"/>
      <c r="JUG22" s="7"/>
      <c r="JUH22" s="7"/>
      <c r="JUI22" s="7"/>
      <c r="JUJ22" s="7"/>
      <c r="JUK22" s="7"/>
      <c r="JUL22" s="7"/>
      <c r="JUM22" s="7"/>
      <c r="JUN22" s="7"/>
      <c r="JUO22" s="7"/>
      <c r="JUP22" s="7"/>
      <c r="JUQ22" s="7"/>
      <c r="JUR22" s="7"/>
      <c r="JUS22" s="7"/>
      <c r="JUT22" s="7"/>
      <c r="JUU22" s="7"/>
      <c r="JUV22" s="7"/>
      <c r="JUW22" s="7"/>
      <c r="JUX22" s="7"/>
      <c r="JUY22" s="7"/>
      <c r="JUZ22" s="7"/>
      <c r="JVA22" s="7"/>
      <c r="JVB22" s="7"/>
      <c r="JVC22" s="7"/>
      <c r="JVD22" s="7"/>
      <c r="JVE22" s="7"/>
      <c r="JVF22" s="7"/>
      <c r="JVG22" s="7"/>
      <c r="JVH22" s="7"/>
      <c r="JVI22" s="7"/>
      <c r="JVJ22" s="7"/>
      <c r="JVK22" s="7"/>
      <c r="JVL22" s="7"/>
      <c r="JVM22" s="7"/>
      <c r="JVN22" s="7"/>
      <c r="JVO22" s="7"/>
      <c r="JVP22" s="7"/>
      <c r="JVQ22" s="7"/>
      <c r="JVR22" s="7"/>
      <c r="JVS22" s="7"/>
      <c r="JVT22" s="7"/>
      <c r="JVU22" s="7"/>
      <c r="JVV22" s="7"/>
      <c r="JVW22" s="7"/>
      <c r="JVX22" s="7"/>
      <c r="JVY22" s="7"/>
      <c r="JVZ22" s="7"/>
      <c r="JWA22" s="7"/>
      <c r="JWB22" s="7"/>
      <c r="JWC22" s="7"/>
      <c r="JWD22" s="7"/>
      <c r="JWE22" s="7"/>
      <c r="JWF22" s="7"/>
      <c r="JWG22" s="7"/>
      <c r="JWH22" s="7"/>
      <c r="JWI22" s="7"/>
      <c r="JWJ22" s="7"/>
      <c r="JWK22" s="7"/>
      <c r="JWL22" s="7"/>
      <c r="JWM22" s="7"/>
      <c r="JWN22" s="7"/>
      <c r="JWO22" s="7"/>
      <c r="JWP22" s="7"/>
      <c r="JWQ22" s="7"/>
      <c r="JWR22" s="7"/>
      <c r="JWS22" s="7"/>
      <c r="JWT22" s="7"/>
      <c r="JWU22" s="7"/>
      <c r="JWV22" s="7"/>
      <c r="JWW22" s="7"/>
      <c r="JWX22" s="7"/>
      <c r="JWY22" s="7"/>
      <c r="JWZ22" s="7"/>
      <c r="JXA22" s="7"/>
      <c r="JXB22" s="7"/>
      <c r="JXC22" s="7"/>
      <c r="JXD22" s="7"/>
      <c r="JXE22" s="7"/>
      <c r="JXF22" s="7"/>
      <c r="JXG22" s="7"/>
      <c r="JXH22" s="7"/>
      <c r="JXI22" s="7"/>
      <c r="JXJ22" s="7"/>
      <c r="JXK22" s="7"/>
      <c r="JXL22" s="7"/>
      <c r="JXM22" s="7"/>
      <c r="JXN22" s="7"/>
      <c r="JXO22" s="7"/>
      <c r="JXP22" s="7"/>
      <c r="JXQ22" s="7"/>
      <c r="JXR22" s="7"/>
      <c r="JXS22" s="7"/>
      <c r="JXT22" s="7"/>
      <c r="JXU22" s="7"/>
      <c r="JXV22" s="7"/>
      <c r="JXW22" s="7"/>
      <c r="JXX22" s="7"/>
      <c r="JXY22" s="7"/>
      <c r="JXZ22" s="7"/>
      <c r="JYA22" s="7"/>
      <c r="JYB22" s="7"/>
      <c r="JYC22" s="7"/>
      <c r="JYD22" s="7"/>
      <c r="JYE22" s="7"/>
      <c r="JYF22" s="7"/>
      <c r="JYG22" s="7"/>
      <c r="JYH22" s="7"/>
      <c r="JYI22" s="7"/>
      <c r="JYJ22" s="7"/>
      <c r="JYK22" s="7"/>
      <c r="JYL22" s="7"/>
      <c r="JYM22" s="7"/>
      <c r="JYN22" s="7"/>
      <c r="JYO22" s="7"/>
      <c r="JYP22" s="7"/>
      <c r="JYQ22" s="7"/>
      <c r="JYR22" s="7"/>
      <c r="JYS22" s="7"/>
      <c r="JYT22" s="7"/>
      <c r="JYU22" s="7"/>
      <c r="JYV22" s="7"/>
      <c r="JYW22" s="7"/>
      <c r="JYX22" s="7"/>
      <c r="JYY22" s="7"/>
      <c r="JYZ22" s="7"/>
      <c r="JZA22" s="7"/>
      <c r="JZB22" s="7"/>
      <c r="JZC22" s="7"/>
      <c r="JZD22" s="7"/>
      <c r="JZE22" s="7"/>
      <c r="JZF22" s="7"/>
      <c r="JZG22" s="7"/>
      <c r="JZH22" s="7"/>
      <c r="JZI22" s="7"/>
      <c r="JZJ22" s="7"/>
      <c r="JZK22" s="7"/>
      <c r="JZL22" s="7"/>
      <c r="JZM22" s="7"/>
      <c r="JZN22" s="7"/>
      <c r="JZO22" s="7"/>
      <c r="JZP22" s="7"/>
      <c r="JZQ22" s="7"/>
      <c r="JZR22" s="7"/>
      <c r="JZS22" s="7"/>
      <c r="JZT22" s="7"/>
      <c r="JZU22" s="7"/>
      <c r="JZV22" s="7"/>
      <c r="JZW22" s="7"/>
      <c r="JZX22" s="7"/>
      <c r="JZY22" s="7"/>
      <c r="JZZ22" s="7"/>
      <c r="KAA22" s="7"/>
      <c r="KAB22" s="7"/>
      <c r="KAC22" s="7"/>
      <c r="KAD22" s="7"/>
      <c r="KAE22" s="7"/>
      <c r="KAF22" s="7"/>
      <c r="KAG22" s="7"/>
      <c r="KAH22" s="7"/>
      <c r="KAI22" s="7"/>
      <c r="KAJ22" s="7"/>
      <c r="KAK22" s="7"/>
      <c r="KAL22" s="7"/>
      <c r="KAM22" s="7"/>
      <c r="KAN22" s="7"/>
      <c r="KAO22" s="7"/>
      <c r="KAP22" s="7"/>
      <c r="KAQ22" s="7"/>
      <c r="KAR22" s="7"/>
      <c r="KAS22" s="7"/>
      <c r="KAT22" s="7"/>
      <c r="KAU22" s="7"/>
      <c r="KAV22" s="7"/>
      <c r="KAW22" s="7"/>
      <c r="KAX22" s="7"/>
      <c r="KAY22" s="7"/>
      <c r="KAZ22" s="7"/>
      <c r="KBA22" s="7"/>
      <c r="KBB22" s="7"/>
      <c r="KBC22" s="7"/>
      <c r="KBD22" s="7"/>
      <c r="KBE22" s="7"/>
      <c r="KBF22" s="7"/>
      <c r="KBG22" s="7"/>
      <c r="KBH22" s="7"/>
      <c r="KBI22" s="7"/>
      <c r="KBJ22" s="7"/>
      <c r="KBK22" s="7"/>
      <c r="KBL22" s="7"/>
      <c r="KBM22" s="7"/>
      <c r="KBN22" s="7"/>
      <c r="KBO22" s="7"/>
      <c r="KBP22" s="7"/>
      <c r="KBQ22" s="7"/>
      <c r="KBR22" s="7"/>
      <c r="KBS22" s="7"/>
      <c r="KBT22" s="7"/>
      <c r="KBU22" s="7"/>
      <c r="KBV22" s="7"/>
      <c r="KBW22" s="7"/>
      <c r="KBX22" s="7"/>
      <c r="KBY22" s="7"/>
      <c r="KBZ22" s="7"/>
      <c r="KCA22" s="7"/>
      <c r="KCB22" s="7"/>
      <c r="KCC22" s="7"/>
      <c r="KCD22" s="7"/>
      <c r="KCE22" s="7"/>
      <c r="KCF22" s="7"/>
      <c r="KCG22" s="7"/>
      <c r="KCH22" s="7"/>
      <c r="KCI22" s="7"/>
      <c r="KCJ22" s="7"/>
      <c r="KCK22" s="7"/>
      <c r="KCL22" s="7"/>
      <c r="KCM22" s="7"/>
      <c r="KCN22" s="7"/>
      <c r="KCO22" s="7"/>
      <c r="KCP22" s="7"/>
      <c r="KCQ22" s="7"/>
      <c r="KCR22" s="7"/>
      <c r="KCS22" s="7"/>
      <c r="KCT22" s="7"/>
      <c r="KCU22" s="7"/>
      <c r="KCV22" s="7"/>
      <c r="KCW22" s="7"/>
      <c r="KCX22" s="7"/>
      <c r="KCY22" s="7"/>
      <c r="KCZ22" s="7"/>
      <c r="KDA22" s="7"/>
      <c r="KDB22" s="7"/>
      <c r="KDC22" s="7"/>
      <c r="KDD22" s="7"/>
      <c r="KDE22" s="7"/>
      <c r="KDF22" s="7"/>
      <c r="KDG22" s="7"/>
      <c r="KDH22" s="7"/>
      <c r="KDI22" s="7"/>
      <c r="KDJ22" s="7"/>
      <c r="KDK22" s="7"/>
      <c r="KDL22" s="7"/>
      <c r="KDM22" s="7"/>
      <c r="KDN22" s="7"/>
      <c r="KDO22" s="7"/>
      <c r="KDP22" s="7"/>
      <c r="KDQ22" s="7"/>
      <c r="KDR22" s="7"/>
      <c r="KDS22" s="7"/>
      <c r="KDT22" s="7"/>
      <c r="KDU22" s="7"/>
      <c r="KDV22" s="7"/>
      <c r="KDW22" s="7"/>
      <c r="KDX22" s="7"/>
      <c r="KDY22" s="7"/>
      <c r="KDZ22" s="7"/>
      <c r="KEA22" s="7"/>
      <c r="KEB22" s="7"/>
      <c r="KEC22" s="7"/>
      <c r="KED22" s="7"/>
      <c r="KEE22" s="7"/>
      <c r="KEF22" s="7"/>
      <c r="KEG22" s="7"/>
      <c r="KEH22" s="7"/>
      <c r="KEI22" s="7"/>
      <c r="KEJ22" s="7"/>
      <c r="KEK22" s="7"/>
      <c r="KEL22" s="7"/>
      <c r="KEM22" s="7"/>
      <c r="KEN22" s="7"/>
      <c r="KEO22" s="7"/>
      <c r="KEP22" s="7"/>
      <c r="KEQ22" s="7"/>
      <c r="KER22" s="7"/>
      <c r="KES22" s="7"/>
      <c r="KET22" s="7"/>
      <c r="KEU22" s="7"/>
      <c r="KEV22" s="7"/>
      <c r="KEW22" s="7"/>
      <c r="KEX22" s="7"/>
      <c r="KEY22" s="7"/>
      <c r="KEZ22" s="7"/>
      <c r="KFA22" s="7"/>
      <c r="KFB22" s="7"/>
      <c r="KFC22" s="7"/>
      <c r="KFD22" s="7"/>
      <c r="KFE22" s="7"/>
      <c r="KFF22" s="7"/>
      <c r="KFG22" s="7"/>
      <c r="KFH22" s="7"/>
      <c r="KFI22" s="7"/>
      <c r="KFJ22" s="7"/>
      <c r="KFK22" s="7"/>
      <c r="KFL22" s="7"/>
      <c r="KFM22" s="7"/>
      <c r="KFN22" s="7"/>
      <c r="KFO22" s="7"/>
      <c r="KFP22" s="7"/>
      <c r="KFQ22" s="7"/>
      <c r="KFR22" s="7"/>
      <c r="KFS22" s="7"/>
      <c r="KFT22" s="7"/>
      <c r="KFU22" s="7"/>
      <c r="KFV22" s="7"/>
      <c r="KFW22" s="7"/>
      <c r="KFX22" s="7"/>
      <c r="KFY22" s="7"/>
      <c r="KFZ22" s="7"/>
      <c r="KGA22" s="7"/>
      <c r="KGB22" s="7"/>
      <c r="KGC22" s="7"/>
      <c r="KGD22" s="7"/>
      <c r="KGE22" s="7"/>
      <c r="KGF22" s="7"/>
      <c r="KGG22" s="7"/>
      <c r="KGH22" s="7"/>
      <c r="KGI22" s="7"/>
      <c r="KGJ22" s="7"/>
      <c r="KGK22" s="7"/>
      <c r="KGL22" s="7"/>
      <c r="KGM22" s="7"/>
      <c r="KGN22" s="7"/>
      <c r="KGO22" s="7"/>
      <c r="KGP22" s="7"/>
      <c r="KGQ22" s="7"/>
      <c r="KGR22" s="7"/>
      <c r="KGS22" s="7"/>
      <c r="KGT22" s="7"/>
      <c r="KGU22" s="7"/>
      <c r="KGV22" s="7"/>
      <c r="KGW22" s="7"/>
      <c r="KGX22" s="7"/>
      <c r="KGY22" s="7"/>
      <c r="KGZ22" s="7"/>
      <c r="KHA22" s="7"/>
      <c r="KHB22" s="7"/>
      <c r="KHC22" s="7"/>
      <c r="KHD22" s="7"/>
      <c r="KHE22" s="7"/>
      <c r="KHF22" s="7"/>
      <c r="KHG22" s="7"/>
      <c r="KHH22" s="7"/>
      <c r="KHI22" s="7"/>
      <c r="KHJ22" s="7"/>
      <c r="KHK22" s="7"/>
      <c r="KHL22" s="7"/>
      <c r="KHM22" s="7"/>
      <c r="KHN22" s="7"/>
      <c r="KHO22" s="7"/>
      <c r="KHP22" s="7"/>
      <c r="KHQ22" s="7"/>
      <c r="KHR22" s="7"/>
      <c r="KHS22" s="7"/>
      <c r="KHT22" s="7"/>
      <c r="KHU22" s="7"/>
      <c r="KHV22" s="7"/>
      <c r="KHW22" s="7"/>
      <c r="KHX22" s="7"/>
      <c r="KHY22" s="7"/>
      <c r="KHZ22" s="7"/>
      <c r="KIA22" s="7"/>
      <c r="KIB22" s="7"/>
      <c r="KIC22" s="7"/>
      <c r="KID22" s="7"/>
      <c r="KIE22" s="7"/>
      <c r="KIF22" s="7"/>
      <c r="KIG22" s="7"/>
      <c r="KIH22" s="7"/>
      <c r="KII22" s="7"/>
      <c r="KIJ22" s="7"/>
      <c r="KIK22" s="7"/>
      <c r="KIL22" s="7"/>
      <c r="KIM22" s="7"/>
      <c r="KIN22" s="7"/>
      <c r="KIO22" s="7"/>
      <c r="KIP22" s="7"/>
      <c r="KIQ22" s="7"/>
      <c r="KIR22" s="7"/>
      <c r="KIS22" s="7"/>
      <c r="KIT22" s="7"/>
      <c r="KIU22" s="7"/>
      <c r="KIV22" s="7"/>
      <c r="KIW22" s="7"/>
      <c r="KIX22" s="7"/>
      <c r="KIY22" s="7"/>
      <c r="KIZ22" s="7"/>
      <c r="KJA22" s="7"/>
      <c r="KJB22" s="7"/>
      <c r="KJC22" s="7"/>
      <c r="KJD22" s="7"/>
      <c r="KJE22" s="7"/>
      <c r="KJF22" s="7"/>
      <c r="KJG22" s="7"/>
      <c r="KJH22" s="7"/>
      <c r="KJI22" s="7"/>
      <c r="KJJ22" s="7"/>
      <c r="KJK22" s="7"/>
      <c r="KJL22" s="7"/>
      <c r="KJM22" s="7"/>
      <c r="KJN22" s="7"/>
      <c r="KJO22" s="7"/>
      <c r="KJP22" s="7"/>
      <c r="KJQ22" s="7"/>
      <c r="KJR22" s="7"/>
      <c r="KJS22" s="7"/>
      <c r="KJT22" s="7"/>
      <c r="KJU22" s="7"/>
      <c r="KJV22" s="7"/>
      <c r="KJW22" s="7"/>
      <c r="KJX22" s="7"/>
      <c r="KJY22" s="7"/>
      <c r="KJZ22" s="7"/>
      <c r="KKA22" s="7"/>
      <c r="KKB22" s="7"/>
      <c r="KKC22" s="7"/>
      <c r="KKD22" s="7"/>
      <c r="KKE22" s="7"/>
      <c r="KKF22" s="7"/>
      <c r="KKG22" s="7"/>
      <c r="KKH22" s="7"/>
      <c r="KKI22" s="7"/>
      <c r="KKJ22" s="7"/>
      <c r="KKK22" s="7"/>
      <c r="KKL22" s="7"/>
      <c r="KKM22" s="7"/>
      <c r="KKN22" s="7"/>
      <c r="KKO22" s="7"/>
      <c r="KKP22" s="7"/>
      <c r="KKQ22" s="7"/>
      <c r="KKR22" s="7"/>
      <c r="KKS22" s="7"/>
      <c r="KKT22" s="7"/>
      <c r="KKU22" s="7"/>
      <c r="KKV22" s="7"/>
      <c r="KKW22" s="7"/>
      <c r="KKX22" s="7"/>
      <c r="KKY22" s="7"/>
      <c r="KKZ22" s="7"/>
      <c r="KLA22" s="7"/>
      <c r="KLB22" s="7"/>
      <c r="KLC22" s="7"/>
      <c r="KLD22" s="7"/>
      <c r="KLE22" s="7"/>
      <c r="KLF22" s="7"/>
      <c r="KLG22" s="7"/>
      <c r="KLH22" s="7"/>
      <c r="KLI22" s="7"/>
      <c r="KLJ22" s="7"/>
      <c r="KLK22" s="7"/>
      <c r="KLL22" s="7"/>
      <c r="KLM22" s="7"/>
      <c r="KLN22" s="7"/>
      <c r="KLO22" s="7"/>
      <c r="KLP22" s="7"/>
      <c r="KLQ22" s="7"/>
      <c r="KLR22" s="7"/>
      <c r="KLS22" s="7"/>
      <c r="KLT22" s="7"/>
      <c r="KLU22" s="7"/>
      <c r="KLV22" s="7"/>
      <c r="KLW22" s="7"/>
      <c r="KLX22" s="7"/>
      <c r="KLY22" s="7"/>
      <c r="KLZ22" s="7"/>
      <c r="KMA22" s="7"/>
      <c r="KMB22" s="7"/>
      <c r="KMC22" s="7"/>
      <c r="KMD22" s="7"/>
      <c r="KME22" s="7"/>
      <c r="KMF22" s="7"/>
      <c r="KMG22" s="7"/>
      <c r="KMH22" s="7"/>
      <c r="KMI22" s="7"/>
      <c r="KMJ22" s="7"/>
      <c r="KMK22" s="7"/>
      <c r="KML22" s="7"/>
      <c r="KMM22" s="7"/>
      <c r="KMN22" s="7"/>
      <c r="KMO22" s="7"/>
      <c r="KMP22" s="7"/>
      <c r="KMQ22" s="7"/>
      <c r="KMR22" s="7"/>
      <c r="KMS22" s="7"/>
      <c r="KMT22" s="7"/>
      <c r="KMU22" s="7"/>
      <c r="KMV22" s="7"/>
      <c r="KMW22" s="7"/>
      <c r="KMX22" s="7"/>
      <c r="KMY22" s="7"/>
      <c r="KMZ22" s="7"/>
      <c r="KNA22" s="7"/>
      <c r="KNB22" s="7"/>
      <c r="KNC22" s="7"/>
      <c r="KND22" s="7"/>
      <c r="KNE22" s="7"/>
      <c r="KNF22" s="7"/>
      <c r="KNG22" s="7"/>
      <c r="KNH22" s="7"/>
      <c r="KNI22" s="7"/>
      <c r="KNJ22" s="7"/>
      <c r="KNK22" s="7"/>
      <c r="KNL22" s="7"/>
      <c r="KNM22" s="7"/>
      <c r="KNN22" s="7"/>
      <c r="KNO22" s="7"/>
      <c r="KNP22" s="7"/>
      <c r="KNQ22" s="7"/>
      <c r="KNR22" s="7"/>
      <c r="KNS22" s="7"/>
      <c r="KNT22" s="7"/>
      <c r="KNU22" s="7"/>
      <c r="KNV22" s="7"/>
      <c r="KNW22" s="7"/>
      <c r="KNX22" s="7"/>
      <c r="KNY22" s="7"/>
      <c r="KNZ22" s="7"/>
      <c r="KOA22" s="7"/>
      <c r="KOB22" s="7"/>
      <c r="KOC22" s="7"/>
      <c r="KOD22" s="7"/>
      <c r="KOE22" s="7"/>
      <c r="KOF22" s="7"/>
      <c r="KOG22" s="7"/>
      <c r="KOH22" s="7"/>
      <c r="KOI22" s="7"/>
      <c r="KOJ22" s="7"/>
      <c r="KOK22" s="7"/>
      <c r="KOL22" s="7"/>
      <c r="KOM22" s="7"/>
      <c r="KON22" s="7"/>
      <c r="KOO22" s="7"/>
      <c r="KOP22" s="7"/>
      <c r="KOQ22" s="7"/>
      <c r="KOR22" s="7"/>
      <c r="KOS22" s="7"/>
      <c r="KOT22" s="7"/>
      <c r="KOU22" s="7"/>
      <c r="KOV22" s="7"/>
      <c r="KOW22" s="7"/>
      <c r="KOX22" s="7"/>
      <c r="KOY22" s="7"/>
      <c r="KOZ22" s="7"/>
      <c r="KPA22" s="7"/>
      <c r="KPB22" s="7"/>
      <c r="KPC22" s="7"/>
      <c r="KPD22" s="7"/>
      <c r="KPE22" s="7"/>
      <c r="KPF22" s="7"/>
      <c r="KPG22" s="7"/>
      <c r="KPH22" s="7"/>
      <c r="KPI22" s="7"/>
      <c r="KPJ22" s="7"/>
      <c r="KPK22" s="7"/>
      <c r="KPL22" s="7"/>
      <c r="KPM22" s="7"/>
      <c r="KPN22" s="7"/>
      <c r="KPO22" s="7"/>
      <c r="KPP22" s="7"/>
      <c r="KPQ22" s="7"/>
      <c r="KPR22" s="7"/>
      <c r="KPS22" s="7"/>
      <c r="KPT22" s="7"/>
      <c r="KPU22" s="7"/>
      <c r="KPV22" s="7"/>
      <c r="KPW22" s="7"/>
      <c r="KPX22" s="7"/>
      <c r="KPY22" s="7"/>
      <c r="KPZ22" s="7"/>
      <c r="KQA22" s="7"/>
      <c r="KQB22" s="7"/>
      <c r="KQC22" s="7"/>
      <c r="KQD22" s="7"/>
      <c r="KQE22" s="7"/>
      <c r="KQF22" s="7"/>
      <c r="KQG22" s="7"/>
      <c r="KQH22" s="7"/>
      <c r="KQI22" s="7"/>
      <c r="KQJ22" s="7"/>
      <c r="KQK22" s="7"/>
      <c r="KQL22" s="7"/>
      <c r="KQM22" s="7"/>
      <c r="KQN22" s="7"/>
      <c r="KQO22" s="7"/>
      <c r="KQP22" s="7"/>
      <c r="KQQ22" s="7"/>
      <c r="KQR22" s="7"/>
      <c r="KQS22" s="7"/>
      <c r="KQT22" s="7"/>
      <c r="KQU22" s="7"/>
      <c r="KQV22" s="7"/>
      <c r="KQW22" s="7"/>
      <c r="KQX22" s="7"/>
      <c r="KQY22" s="7"/>
      <c r="KQZ22" s="7"/>
      <c r="KRA22" s="7"/>
      <c r="KRB22" s="7"/>
      <c r="KRC22" s="7"/>
      <c r="KRD22" s="7"/>
      <c r="KRE22" s="7"/>
      <c r="KRF22" s="7"/>
      <c r="KRG22" s="7"/>
      <c r="KRH22" s="7"/>
      <c r="KRI22" s="7"/>
      <c r="KRJ22" s="7"/>
      <c r="KRK22" s="7"/>
      <c r="KRL22" s="7"/>
      <c r="KRM22" s="7"/>
      <c r="KRN22" s="7"/>
      <c r="KRO22" s="7"/>
      <c r="KRP22" s="7"/>
      <c r="KRQ22" s="7"/>
      <c r="KRR22" s="7"/>
      <c r="KRS22" s="7"/>
      <c r="KRT22" s="7"/>
      <c r="KRU22" s="7"/>
      <c r="KRV22" s="7"/>
      <c r="KRW22" s="7"/>
      <c r="KRX22" s="7"/>
      <c r="KRY22" s="7"/>
      <c r="KRZ22" s="7"/>
      <c r="KSA22" s="7"/>
      <c r="KSB22" s="7"/>
      <c r="KSC22" s="7"/>
      <c r="KSD22" s="7"/>
      <c r="KSE22" s="7"/>
      <c r="KSF22" s="7"/>
      <c r="KSG22" s="7"/>
      <c r="KSH22" s="7"/>
      <c r="KSI22" s="7"/>
      <c r="KSJ22" s="7"/>
      <c r="KSK22" s="7"/>
      <c r="KSL22" s="7"/>
      <c r="KSM22" s="7"/>
      <c r="KSN22" s="7"/>
      <c r="KSO22" s="7"/>
      <c r="KSP22" s="7"/>
      <c r="KSQ22" s="7"/>
      <c r="KSR22" s="7"/>
      <c r="KSS22" s="7"/>
      <c r="KST22" s="7"/>
      <c r="KSU22" s="7"/>
      <c r="KSV22" s="7"/>
      <c r="KSW22" s="7"/>
      <c r="KSX22" s="7"/>
      <c r="KSY22" s="7"/>
      <c r="KSZ22" s="7"/>
      <c r="KTA22" s="7"/>
      <c r="KTB22" s="7"/>
      <c r="KTC22" s="7"/>
      <c r="KTD22" s="7"/>
      <c r="KTE22" s="7"/>
      <c r="KTF22" s="7"/>
      <c r="KTG22" s="7"/>
      <c r="KTH22" s="7"/>
      <c r="KTI22" s="7"/>
      <c r="KTJ22" s="7"/>
      <c r="KTK22" s="7"/>
      <c r="KTL22" s="7"/>
      <c r="KTM22" s="7"/>
      <c r="KTN22" s="7"/>
      <c r="KTO22" s="7"/>
      <c r="KTP22" s="7"/>
      <c r="KTQ22" s="7"/>
      <c r="KTR22" s="7"/>
      <c r="KTS22" s="7"/>
      <c r="KTT22" s="7"/>
      <c r="KTU22" s="7"/>
      <c r="KTV22" s="7"/>
      <c r="KTW22" s="7"/>
      <c r="KTX22" s="7"/>
      <c r="KTY22" s="7"/>
      <c r="KTZ22" s="7"/>
      <c r="KUA22" s="7"/>
      <c r="KUB22" s="7"/>
      <c r="KUC22" s="7"/>
      <c r="KUD22" s="7"/>
      <c r="KUE22" s="7"/>
      <c r="KUF22" s="7"/>
      <c r="KUG22" s="7"/>
      <c r="KUH22" s="7"/>
      <c r="KUI22" s="7"/>
      <c r="KUJ22" s="7"/>
      <c r="KUK22" s="7"/>
      <c r="KUL22" s="7"/>
      <c r="KUM22" s="7"/>
      <c r="KUN22" s="7"/>
      <c r="KUO22" s="7"/>
      <c r="KUP22" s="7"/>
      <c r="KUQ22" s="7"/>
      <c r="KUR22" s="7"/>
      <c r="KUS22" s="7"/>
      <c r="KUT22" s="7"/>
      <c r="KUU22" s="7"/>
      <c r="KUV22" s="7"/>
      <c r="KUW22" s="7"/>
      <c r="KUX22" s="7"/>
      <c r="KUY22" s="7"/>
      <c r="KUZ22" s="7"/>
      <c r="KVA22" s="7"/>
      <c r="KVB22" s="7"/>
      <c r="KVC22" s="7"/>
      <c r="KVD22" s="7"/>
      <c r="KVE22" s="7"/>
      <c r="KVF22" s="7"/>
      <c r="KVG22" s="7"/>
      <c r="KVH22" s="7"/>
      <c r="KVI22" s="7"/>
      <c r="KVJ22" s="7"/>
      <c r="KVK22" s="7"/>
      <c r="KVL22" s="7"/>
      <c r="KVM22" s="7"/>
      <c r="KVN22" s="7"/>
      <c r="KVO22" s="7"/>
      <c r="KVP22" s="7"/>
      <c r="KVQ22" s="7"/>
      <c r="KVR22" s="7"/>
      <c r="KVS22" s="7"/>
      <c r="KVT22" s="7"/>
      <c r="KVU22" s="7"/>
      <c r="KVV22" s="7"/>
      <c r="KVW22" s="7"/>
      <c r="KVX22" s="7"/>
      <c r="KVY22" s="7"/>
      <c r="KVZ22" s="7"/>
      <c r="KWA22" s="7"/>
      <c r="KWB22" s="7"/>
      <c r="KWC22" s="7"/>
      <c r="KWD22" s="7"/>
      <c r="KWE22" s="7"/>
      <c r="KWF22" s="7"/>
      <c r="KWG22" s="7"/>
      <c r="KWH22" s="7"/>
      <c r="KWI22" s="7"/>
      <c r="KWJ22" s="7"/>
      <c r="KWK22" s="7"/>
      <c r="KWL22" s="7"/>
      <c r="KWM22" s="7"/>
      <c r="KWN22" s="7"/>
      <c r="KWO22" s="7"/>
      <c r="KWP22" s="7"/>
      <c r="KWQ22" s="7"/>
      <c r="KWR22" s="7"/>
      <c r="KWS22" s="7"/>
      <c r="KWT22" s="7"/>
      <c r="KWU22" s="7"/>
      <c r="KWV22" s="7"/>
      <c r="KWW22" s="7"/>
      <c r="KWX22" s="7"/>
      <c r="KWY22" s="7"/>
      <c r="KWZ22" s="7"/>
      <c r="KXA22" s="7"/>
      <c r="KXB22" s="7"/>
      <c r="KXC22" s="7"/>
      <c r="KXD22" s="7"/>
      <c r="KXE22" s="7"/>
      <c r="KXF22" s="7"/>
      <c r="KXG22" s="7"/>
      <c r="KXH22" s="7"/>
      <c r="KXI22" s="7"/>
      <c r="KXJ22" s="7"/>
      <c r="KXK22" s="7"/>
      <c r="KXL22" s="7"/>
      <c r="KXM22" s="7"/>
      <c r="KXN22" s="7"/>
      <c r="KXO22" s="7"/>
      <c r="KXP22" s="7"/>
      <c r="KXQ22" s="7"/>
      <c r="KXR22" s="7"/>
      <c r="KXS22" s="7"/>
      <c r="KXT22" s="7"/>
      <c r="KXU22" s="7"/>
      <c r="KXV22" s="7"/>
      <c r="KXW22" s="7"/>
      <c r="KXX22" s="7"/>
      <c r="KXY22" s="7"/>
      <c r="KXZ22" s="7"/>
      <c r="KYA22" s="7"/>
      <c r="KYB22" s="7"/>
      <c r="KYC22" s="7"/>
      <c r="KYD22" s="7"/>
      <c r="KYE22" s="7"/>
      <c r="KYF22" s="7"/>
      <c r="KYG22" s="7"/>
      <c r="KYH22" s="7"/>
      <c r="KYI22" s="7"/>
      <c r="KYJ22" s="7"/>
      <c r="KYK22" s="7"/>
      <c r="KYL22" s="7"/>
      <c r="KYM22" s="7"/>
      <c r="KYN22" s="7"/>
      <c r="KYO22" s="7"/>
      <c r="KYP22" s="7"/>
      <c r="KYQ22" s="7"/>
      <c r="KYR22" s="7"/>
      <c r="KYS22" s="7"/>
      <c r="KYT22" s="7"/>
      <c r="KYU22" s="7"/>
      <c r="KYV22" s="7"/>
      <c r="KYW22" s="7"/>
      <c r="KYX22" s="7"/>
      <c r="KYY22" s="7"/>
      <c r="KYZ22" s="7"/>
      <c r="KZA22" s="7"/>
      <c r="KZB22" s="7"/>
      <c r="KZC22" s="7"/>
      <c r="KZD22" s="7"/>
      <c r="KZE22" s="7"/>
      <c r="KZF22" s="7"/>
      <c r="KZG22" s="7"/>
      <c r="KZH22" s="7"/>
      <c r="KZI22" s="7"/>
      <c r="KZJ22" s="7"/>
      <c r="KZK22" s="7"/>
      <c r="KZL22" s="7"/>
      <c r="KZM22" s="7"/>
      <c r="KZN22" s="7"/>
      <c r="KZO22" s="7"/>
      <c r="KZP22" s="7"/>
      <c r="KZQ22" s="7"/>
      <c r="KZR22" s="7"/>
      <c r="KZS22" s="7"/>
      <c r="KZT22" s="7"/>
      <c r="KZU22" s="7"/>
      <c r="KZV22" s="7"/>
      <c r="KZW22" s="7"/>
      <c r="KZX22" s="7"/>
      <c r="KZY22" s="7"/>
      <c r="KZZ22" s="7"/>
      <c r="LAA22" s="7"/>
      <c r="LAB22" s="7"/>
      <c r="LAC22" s="7"/>
      <c r="LAD22" s="7"/>
      <c r="LAE22" s="7"/>
      <c r="LAF22" s="7"/>
      <c r="LAG22" s="7"/>
      <c r="LAH22" s="7"/>
      <c r="LAI22" s="7"/>
      <c r="LAJ22" s="7"/>
      <c r="LAK22" s="7"/>
      <c r="LAL22" s="7"/>
      <c r="LAM22" s="7"/>
      <c r="LAN22" s="7"/>
      <c r="LAO22" s="7"/>
      <c r="LAP22" s="7"/>
      <c r="LAQ22" s="7"/>
      <c r="LAR22" s="7"/>
      <c r="LAS22" s="7"/>
      <c r="LAT22" s="7"/>
      <c r="LAU22" s="7"/>
      <c r="LAV22" s="7"/>
      <c r="LAW22" s="7"/>
      <c r="LAX22" s="7"/>
      <c r="LAY22" s="7"/>
      <c r="LAZ22" s="7"/>
      <c r="LBA22" s="7"/>
      <c r="LBB22" s="7"/>
      <c r="LBC22" s="7"/>
      <c r="LBD22" s="7"/>
      <c r="LBE22" s="7"/>
      <c r="LBF22" s="7"/>
      <c r="LBG22" s="7"/>
      <c r="LBH22" s="7"/>
      <c r="LBI22" s="7"/>
      <c r="LBJ22" s="7"/>
      <c r="LBK22" s="7"/>
      <c r="LBL22" s="7"/>
      <c r="LBM22" s="7"/>
      <c r="LBN22" s="7"/>
      <c r="LBO22" s="7"/>
      <c r="LBP22" s="7"/>
      <c r="LBQ22" s="7"/>
      <c r="LBR22" s="7"/>
      <c r="LBS22" s="7"/>
      <c r="LBT22" s="7"/>
      <c r="LBU22" s="7"/>
      <c r="LBV22" s="7"/>
      <c r="LBW22" s="7"/>
      <c r="LBX22" s="7"/>
      <c r="LBY22" s="7"/>
      <c r="LBZ22" s="7"/>
      <c r="LCA22" s="7"/>
      <c r="LCB22" s="7"/>
      <c r="LCC22" s="7"/>
      <c r="LCD22" s="7"/>
      <c r="LCE22" s="7"/>
      <c r="LCF22" s="7"/>
      <c r="LCG22" s="7"/>
      <c r="LCH22" s="7"/>
      <c r="LCI22" s="7"/>
      <c r="LCJ22" s="7"/>
      <c r="LCK22" s="7"/>
      <c r="LCL22" s="7"/>
      <c r="LCM22" s="7"/>
      <c r="LCN22" s="7"/>
      <c r="LCO22" s="7"/>
      <c r="LCP22" s="7"/>
      <c r="LCQ22" s="7"/>
      <c r="LCR22" s="7"/>
      <c r="LCS22" s="7"/>
      <c r="LCT22" s="7"/>
      <c r="LCU22" s="7"/>
      <c r="LCV22" s="7"/>
      <c r="LCW22" s="7"/>
      <c r="LCX22" s="7"/>
      <c r="LCY22" s="7"/>
      <c r="LCZ22" s="7"/>
      <c r="LDA22" s="7"/>
      <c r="LDB22" s="7"/>
      <c r="LDC22" s="7"/>
      <c r="LDD22" s="7"/>
      <c r="LDE22" s="7"/>
      <c r="LDF22" s="7"/>
      <c r="LDG22" s="7"/>
      <c r="LDH22" s="7"/>
      <c r="LDI22" s="7"/>
      <c r="LDJ22" s="7"/>
      <c r="LDK22" s="7"/>
      <c r="LDL22" s="7"/>
      <c r="LDM22" s="7"/>
      <c r="LDN22" s="7"/>
      <c r="LDO22" s="7"/>
      <c r="LDP22" s="7"/>
      <c r="LDQ22" s="7"/>
      <c r="LDR22" s="7"/>
      <c r="LDS22" s="7"/>
      <c r="LDT22" s="7"/>
      <c r="LDU22" s="7"/>
      <c r="LDV22" s="7"/>
      <c r="LDW22" s="7"/>
      <c r="LDX22" s="7"/>
      <c r="LDY22" s="7"/>
      <c r="LDZ22" s="7"/>
      <c r="LEA22" s="7"/>
      <c r="LEB22" s="7"/>
      <c r="LEC22" s="7"/>
      <c r="LED22" s="7"/>
      <c r="LEE22" s="7"/>
      <c r="LEF22" s="7"/>
      <c r="LEG22" s="7"/>
      <c r="LEH22" s="7"/>
      <c r="LEI22" s="7"/>
      <c r="LEJ22" s="7"/>
      <c r="LEK22" s="7"/>
      <c r="LEL22" s="7"/>
      <c r="LEM22" s="7"/>
      <c r="LEN22" s="7"/>
      <c r="LEO22" s="7"/>
      <c r="LEP22" s="7"/>
      <c r="LEQ22" s="7"/>
      <c r="LER22" s="7"/>
      <c r="LES22" s="7"/>
      <c r="LET22" s="7"/>
      <c r="LEU22" s="7"/>
      <c r="LEV22" s="7"/>
      <c r="LEW22" s="7"/>
      <c r="LEX22" s="7"/>
      <c r="LEY22" s="7"/>
      <c r="LEZ22" s="7"/>
      <c r="LFA22" s="7"/>
      <c r="LFB22" s="7"/>
      <c r="LFC22" s="7"/>
      <c r="LFD22" s="7"/>
      <c r="LFE22" s="7"/>
      <c r="LFF22" s="7"/>
      <c r="LFG22" s="7"/>
      <c r="LFH22" s="7"/>
      <c r="LFI22" s="7"/>
      <c r="LFJ22" s="7"/>
      <c r="LFK22" s="7"/>
      <c r="LFL22" s="7"/>
      <c r="LFM22" s="7"/>
      <c r="LFN22" s="7"/>
      <c r="LFO22" s="7"/>
      <c r="LFP22" s="7"/>
      <c r="LFQ22" s="7"/>
      <c r="LFR22" s="7"/>
      <c r="LFS22" s="7"/>
      <c r="LFT22" s="7"/>
      <c r="LFU22" s="7"/>
      <c r="LFV22" s="7"/>
      <c r="LFW22" s="7"/>
      <c r="LFX22" s="7"/>
      <c r="LFY22" s="7"/>
      <c r="LFZ22" s="7"/>
      <c r="LGA22" s="7"/>
      <c r="LGB22" s="7"/>
      <c r="LGC22" s="7"/>
      <c r="LGD22" s="7"/>
      <c r="LGE22" s="7"/>
      <c r="LGF22" s="7"/>
      <c r="LGG22" s="7"/>
      <c r="LGH22" s="7"/>
      <c r="LGI22" s="7"/>
      <c r="LGJ22" s="7"/>
      <c r="LGK22" s="7"/>
      <c r="LGL22" s="7"/>
      <c r="LGM22" s="7"/>
      <c r="LGN22" s="7"/>
      <c r="LGO22" s="7"/>
      <c r="LGP22" s="7"/>
      <c r="LGQ22" s="7"/>
      <c r="LGR22" s="7"/>
      <c r="LGS22" s="7"/>
      <c r="LGT22" s="7"/>
      <c r="LGU22" s="7"/>
      <c r="LGV22" s="7"/>
      <c r="LGW22" s="7"/>
      <c r="LGX22" s="7"/>
      <c r="LGY22" s="7"/>
      <c r="LGZ22" s="7"/>
      <c r="LHA22" s="7"/>
      <c r="LHB22" s="7"/>
      <c r="LHC22" s="7"/>
      <c r="LHD22" s="7"/>
      <c r="LHE22" s="7"/>
      <c r="LHF22" s="7"/>
      <c r="LHG22" s="7"/>
      <c r="LHH22" s="7"/>
      <c r="LHI22" s="7"/>
      <c r="LHJ22" s="7"/>
      <c r="LHK22" s="7"/>
      <c r="LHL22" s="7"/>
      <c r="LHM22" s="7"/>
      <c r="LHN22" s="7"/>
      <c r="LHO22" s="7"/>
      <c r="LHP22" s="7"/>
      <c r="LHQ22" s="7"/>
      <c r="LHR22" s="7"/>
      <c r="LHS22" s="7"/>
      <c r="LHT22" s="7"/>
      <c r="LHU22" s="7"/>
      <c r="LHV22" s="7"/>
      <c r="LHW22" s="7"/>
      <c r="LHX22" s="7"/>
      <c r="LHY22" s="7"/>
      <c r="LHZ22" s="7"/>
      <c r="LIA22" s="7"/>
      <c r="LIB22" s="7"/>
      <c r="LIC22" s="7"/>
      <c r="LID22" s="7"/>
      <c r="LIE22" s="7"/>
      <c r="LIF22" s="7"/>
      <c r="LIG22" s="7"/>
      <c r="LIH22" s="7"/>
      <c r="LII22" s="7"/>
      <c r="LIJ22" s="7"/>
      <c r="LIK22" s="7"/>
      <c r="LIL22" s="7"/>
      <c r="LIM22" s="7"/>
      <c r="LIN22" s="7"/>
      <c r="LIO22" s="7"/>
      <c r="LIP22" s="7"/>
      <c r="LIQ22" s="7"/>
      <c r="LIR22" s="7"/>
      <c r="LIS22" s="7"/>
      <c r="LIT22" s="7"/>
      <c r="LIU22" s="7"/>
      <c r="LIV22" s="7"/>
      <c r="LIW22" s="7"/>
      <c r="LIX22" s="7"/>
      <c r="LIY22" s="7"/>
      <c r="LIZ22" s="7"/>
      <c r="LJA22" s="7"/>
      <c r="LJB22" s="7"/>
      <c r="LJC22" s="7"/>
      <c r="LJD22" s="7"/>
      <c r="LJE22" s="7"/>
      <c r="LJF22" s="7"/>
      <c r="LJG22" s="7"/>
      <c r="LJH22" s="7"/>
      <c r="LJI22" s="7"/>
      <c r="LJJ22" s="7"/>
      <c r="LJK22" s="7"/>
      <c r="LJL22" s="7"/>
      <c r="LJM22" s="7"/>
      <c r="LJN22" s="7"/>
      <c r="LJO22" s="7"/>
      <c r="LJP22" s="7"/>
      <c r="LJQ22" s="7"/>
      <c r="LJR22" s="7"/>
      <c r="LJS22" s="7"/>
      <c r="LJT22" s="7"/>
      <c r="LJU22" s="7"/>
      <c r="LJV22" s="7"/>
      <c r="LJW22" s="7"/>
      <c r="LJX22" s="7"/>
      <c r="LJY22" s="7"/>
      <c r="LJZ22" s="7"/>
      <c r="LKA22" s="7"/>
      <c r="LKB22" s="7"/>
      <c r="LKC22" s="7"/>
      <c r="LKD22" s="7"/>
      <c r="LKE22" s="7"/>
      <c r="LKF22" s="7"/>
      <c r="LKG22" s="7"/>
      <c r="LKH22" s="7"/>
      <c r="LKI22" s="7"/>
      <c r="LKJ22" s="7"/>
      <c r="LKK22" s="7"/>
      <c r="LKL22" s="7"/>
      <c r="LKM22" s="7"/>
      <c r="LKN22" s="7"/>
      <c r="LKO22" s="7"/>
      <c r="LKP22" s="7"/>
      <c r="LKQ22" s="7"/>
      <c r="LKR22" s="7"/>
      <c r="LKS22" s="7"/>
      <c r="LKT22" s="7"/>
      <c r="LKU22" s="7"/>
      <c r="LKV22" s="7"/>
      <c r="LKW22" s="7"/>
      <c r="LKX22" s="7"/>
      <c r="LKY22" s="7"/>
      <c r="LKZ22" s="7"/>
      <c r="LLA22" s="7"/>
      <c r="LLB22" s="7"/>
      <c r="LLC22" s="7"/>
      <c r="LLD22" s="7"/>
      <c r="LLE22" s="7"/>
      <c r="LLF22" s="7"/>
      <c r="LLG22" s="7"/>
      <c r="LLH22" s="7"/>
      <c r="LLI22" s="7"/>
      <c r="LLJ22" s="7"/>
      <c r="LLK22" s="7"/>
      <c r="LLL22" s="7"/>
      <c r="LLM22" s="7"/>
      <c r="LLN22" s="7"/>
      <c r="LLO22" s="7"/>
      <c r="LLP22" s="7"/>
      <c r="LLQ22" s="7"/>
      <c r="LLR22" s="7"/>
      <c r="LLS22" s="7"/>
      <c r="LLT22" s="7"/>
      <c r="LLU22" s="7"/>
      <c r="LLV22" s="7"/>
      <c r="LLW22" s="7"/>
      <c r="LLX22" s="7"/>
      <c r="LLY22" s="7"/>
      <c r="LLZ22" s="7"/>
      <c r="LMA22" s="7"/>
      <c r="LMB22" s="7"/>
      <c r="LMC22" s="7"/>
      <c r="LMD22" s="7"/>
      <c r="LME22" s="7"/>
      <c r="LMF22" s="7"/>
      <c r="LMG22" s="7"/>
      <c r="LMH22" s="7"/>
      <c r="LMI22" s="7"/>
      <c r="LMJ22" s="7"/>
      <c r="LMK22" s="7"/>
      <c r="LML22" s="7"/>
      <c r="LMM22" s="7"/>
      <c r="LMN22" s="7"/>
      <c r="LMO22" s="7"/>
      <c r="LMP22" s="7"/>
      <c r="LMQ22" s="7"/>
      <c r="LMR22" s="7"/>
      <c r="LMS22" s="7"/>
      <c r="LMT22" s="7"/>
      <c r="LMU22" s="7"/>
      <c r="LMV22" s="7"/>
      <c r="LMW22" s="7"/>
      <c r="LMX22" s="7"/>
      <c r="LMY22" s="7"/>
      <c r="LMZ22" s="7"/>
      <c r="LNA22" s="7"/>
      <c r="LNB22" s="7"/>
      <c r="LNC22" s="7"/>
      <c r="LND22" s="7"/>
      <c r="LNE22" s="7"/>
      <c r="LNF22" s="7"/>
      <c r="LNG22" s="7"/>
      <c r="LNH22" s="7"/>
      <c r="LNI22" s="7"/>
      <c r="LNJ22" s="7"/>
      <c r="LNK22" s="7"/>
      <c r="LNL22" s="7"/>
      <c r="LNM22" s="7"/>
      <c r="LNN22" s="7"/>
      <c r="LNO22" s="7"/>
      <c r="LNP22" s="7"/>
      <c r="LNQ22" s="7"/>
      <c r="LNR22" s="7"/>
      <c r="LNS22" s="7"/>
      <c r="LNT22" s="7"/>
      <c r="LNU22" s="7"/>
      <c r="LNV22" s="7"/>
      <c r="LNW22" s="7"/>
      <c r="LNX22" s="7"/>
      <c r="LNY22" s="7"/>
      <c r="LNZ22" s="7"/>
      <c r="LOA22" s="7"/>
      <c r="LOB22" s="7"/>
      <c r="LOC22" s="7"/>
      <c r="LOD22" s="7"/>
      <c r="LOE22" s="7"/>
      <c r="LOF22" s="7"/>
      <c r="LOG22" s="7"/>
      <c r="LOH22" s="7"/>
      <c r="LOI22" s="7"/>
      <c r="LOJ22" s="7"/>
      <c r="LOK22" s="7"/>
      <c r="LOL22" s="7"/>
      <c r="LOM22" s="7"/>
      <c r="LON22" s="7"/>
      <c r="LOO22" s="7"/>
      <c r="LOP22" s="7"/>
      <c r="LOQ22" s="7"/>
      <c r="LOR22" s="7"/>
      <c r="LOS22" s="7"/>
      <c r="LOT22" s="7"/>
      <c r="LOU22" s="7"/>
      <c r="LOV22" s="7"/>
      <c r="LOW22" s="7"/>
      <c r="LOX22" s="7"/>
      <c r="LOY22" s="7"/>
      <c r="LOZ22" s="7"/>
      <c r="LPA22" s="7"/>
      <c r="LPB22" s="7"/>
      <c r="LPC22" s="7"/>
      <c r="LPD22" s="7"/>
      <c r="LPE22" s="7"/>
      <c r="LPF22" s="7"/>
      <c r="LPG22" s="7"/>
      <c r="LPH22" s="7"/>
      <c r="LPI22" s="7"/>
      <c r="LPJ22" s="7"/>
      <c r="LPK22" s="7"/>
      <c r="LPL22" s="7"/>
      <c r="LPM22" s="7"/>
      <c r="LPN22" s="7"/>
      <c r="LPO22" s="7"/>
      <c r="LPP22" s="7"/>
      <c r="LPQ22" s="7"/>
      <c r="LPR22" s="7"/>
      <c r="LPS22" s="7"/>
      <c r="LPT22" s="7"/>
      <c r="LPU22" s="7"/>
      <c r="LPV22" s="7"/>
      <c r="LPW22" s="7"/>
      <c r="LPX22" s="7"/>
      <c r="LPY22" s="7"/>
      <c r="LPZ22" s="7"/>
      <c r="LQA22" s="7"/>
      <c r="LQB22" s="7"/>
      <c r="LQC22" s="7"/>
      <c r="LQD22" s="7"/>
      <c r="LQE22" s="7"/>
      <c r="LQF22" s="7"/>
      <c r="LQG22" s="7"/>
      <c r="LQH22" s="7"/>
      <c r="LQI22" s="7"/>
      <c r="LQJ22" s="7"/>
      <c r="LQK22" s="7"/>
      <c r="LQL22" s="7"/>
      <c r="LQM22" s="7"/>
      <c r="LQN22" s="7"/>
      <c r="LQO22" s="7"/>
      <c r="LQP22" s="7"/>
      <c r="LQQ22" s="7"/>
      <c r="LQR22" s="7"/>
      <c r="LQS22" s="7"/>
      <c r="LQT22" s="7"/>
      <c r="LQU22" s="7"/>
      <c r="LQV22" s="7"/>
      <c r="LQW22" s="7"/>
      <c r="LQX22" s="7"/>
      <c r="LQY22" s="7"/>
      <c r="LQZ22" s="7"/>
      <c r="LRA22" s="7"/>
      <c r="LRB22" s="7"/>
      <c r="LRC22" s="7"/>
      <c r="LRD22" s="7"/>
      <c r="LRE22" s="7"/>
      <c r="LRF22" s="7"/>
      <c r="LRG22" s="7"/>
      <c r="LRH22" s="7"/>
      <c r="LRI22" s="7"/>
      <c r="LRJ22" s="7"/>
      <c r="LRK22" s="7"/>
      <c r="LRL22" s="7"/>
      <c r="LRM22" s="7"/>
      <c r="LRN22" s="7"/>
      <c r="LRO22" s="7"/>
      <c r="LRP22" s="7"/>
      <c r="LRQ22" s="7"/>
      <c r="LRR22" s="7"/>
      <c r="LRS22" s="7"/>
      <c r="LRT22" s="7"/>
      <c r="LRU22" s="7"/>
      <c r="LRV22" s="7"/>
      <c r="LRW22" s="7"/>
      <c r="LRX22" s="7"/>
      <c r="LRY22" s="7"/>
      <c r="LRZ22" s="7"/>
      <c r="LSA22" s="7"/>
      <c r="LSB22" s="7"/>
      <c r="LSC22" s="7"/>
      <c r="LSD22" s="7"/>
      <c r="LSE22" s="7"/>
      <c r="LSF22" s="7"/>
      <c r="LSG22" s="7"/>
      <c r="LSH22" s="7"/>
      <c r="LSI22" s="7"/>
      <c r="LSJ22" s="7"/>
      <c r="LSK22" s="7"/>
      <c r="LSL22" s="7"/>
      <c r="LSM22" s="7"/>
      <c r="LSN22" s="7"/>
      <c r="LSO22" s="7"/>
      <c r="LSP22" s="7"/>
      <c r="LSQ22" s="7"/>
      <c r="LSR22" s="7"/>
      <c r="LSS22" s="7"/>
      <c r="LST22" s="7"/>
      <c r="LSU22" s="7"/>
      <c r="LSV22" s="7"/>
      <c r="LSW22" s="7"/>
      <c r="LSX22" s="7"/>
      <c r="LSY22" s="7"/>
      <c r="LSZ22" s="7"/>
      <c r="LTA22" s="7"/>
      <c r="LTB22" s="7"/>
      <c r="LTC22" s="7"/>
      <c r="LTD22" s="7"/>
      <c r="LTE22" s="7"/>
      <c r="LTF22" s="7"/>
      <c r="LTG22" s="7"/>
      <c r="LTH22" s="7"/>
      <c r="LTI22" s="7"/>
      <c r="LTJ22" s="7"/>
      <c r="LTK22" s="7"/>
      <c r="LTL22" s="7"/>
      <c r="LTM22" s="7"/>
      <c r="LTN22" s="7"/>
      <c r="LTO22" s="7"/>
      <c r="LTP22" s="7"/>
      <c r="LTQ22" s="7"/>
      <c r="LTR22" s="7"/>
      <c r="LTS22" s="7"/>
      <c r="LTT22" s="7"/>
      <c r="LTU22" s="7"/>
      <c r="LTV22" s="7"/>
      <c r="LTW22" s="7"/>
      <c r="LTX22" s="7"/>
      <c r="LTY22" s="7"/>
      <c r="LTZ22" s="7"/>
      <c r="LUA22" s="7"/>
      <c r="LUB22" s="7"/>
      <c r="LUC22" s="7"/>
      <c r="LUD22" s="7"/>
      <c r="LUE22" s="7"/>
      <c r="LUF22" s="7"/>
      <c r="LUG22" s="7"/>
      <c r="LUH22" s="7"/>
      <c r="LUI22" s="7"/>
      <c r="LUJ22" s="7"/>
      <c r="LUK22" s="7"/>
      <c r="LUL22" s="7"/>
      <c r="LUM22" s="7"/>
      <c r="LUN22" s="7"/>
      <c r="LUO22" s="7"/>
      <c r="LUP22" s="7"/>
      <c r="LUQ22" s="7"/>
      <c r="LUR22" s="7"/>
      <c r="LUS22" s="7"/>
      <c r="LUT22" s="7"/>
      <c r="LUU22" s="7"/>
      <c r="LUV22" s="7"/>
      <c r="LUW22" s="7"/>
      <c r="LUX22" s="7"/>
      <c r="LUY22" s="7"/>
      <c r="LUZ22" s="7"/>
      <c r="LVA22" s="7"/>
      <c r="LVB22" s="7"/>
      <c r="LVC22" s="7"/>
      <c r="LVD22" s="7"/>
      <c r="LVE22" s="7"/>
      <c r="LVF22" s="7"/>
      <c r="LVG22" s="7"/>
      <c r="LVH22" s="7"/>
      <c r="LVI22" s="7"/>
      <c r="LVJ22" s="7"/>
      <c r="LVK22" s="7"/>
      <c r="LVL22" s="7"/>
      <c r="LVM22" s="7"/>
      <c r="LVN22" s="7"/>
      <c r="LVO22" s="7"/>
      <c r="LVP22" s="7"/>
      <c r="LVQ22" s="7"/>
      <c r="LVR22" s="7"/>
      <c r="LVS22" s="7"/>
      <c r="LVT22" s="7"/>
      <c r="LVU22" s="7"/>
      <c r="LVV22" s="7"/>
      <c r="LVW22" s="7"/>
      <c r="LVX22" s="7"/>
      <c r="LVY22" s="7"/>
      <c r="LVZ22" s="7"/>
      <c r="LWA22" s="7"/>
      <c r="LWB22" s="7"/>
      <c r="LWC22" s="7"/>
      <c r="LWD22" s="7"/>
      <c r="LWE22" s="7"/>
      <c r="LWF22" s="7"/>
      <c r="LWG22" s="7"/>
      <c r="LWH22" s="7"/>
      <c r="LWI22" s="7"/>
      <c r="LWJ22" s="7"/>
      <c r="LWK22" s="7"/>
      <c r="LWL22" s="7"/>
      <c r="LWM22" s="7"/>
      <c r="LWN22" s="7"/>
      <c r="LWO22" s="7"/>
      <c r="LWP22" s="7"/>
      <c r="LWQ22" s="7"/>
      <c r="LWR22" s="7"/>
      <c r="LWS22" s="7"/>
      <c r="LWT22" s="7"/>
      <c r="LWU22" s="7"/>
      <c r="LWV22" s="7"/>
      <c r="LWW22" s="7"/>
      <c r="LWX22" s="7"/>
      <c r="LWY22" s="7"/>
      <c r="LWZ22" s="7"/>
      <c r="LXA22" s="7"/>
      <c r="LXB22" s="7"/>
      <c r="LXC22" s="7"/>
      <c r="LXD22" s="7"/>
      <c r="LXE22" s="7"/>
      <c r="LXF22" s="7"/>
      <c r="LXG22" s="7"/>
      <c r="LXH22" s="7"/>
      <c r="LXI22" s="7"/>
      <c r="LXJ22" s="7"/>
      <c r="LXK22" s="7"/>
      <c r="LXL22" s="7"/>
      <c r="LXM22" s="7"/>
      <c r="LXN22" s="7"/>
      <c r="LXO22" s="7"/>
      <c r="LXP22" s="7"/>
      <c r="LXQ22" s="7"/>
      <c r="LXR22" s="7"/>
      <c r="LXS22" s="7"/>
      <c r="LXT22" s="7"/>
      <c r="LXU22" s="7"/>
      <c r="LXV22" s="7"/>
      <c r="LXW22" s="7"/>
      <c r="LXX22" s="7"/>
      <c r="LXY22" s="7"/>
      <c r="LXZ22" s="7"/>
      <c r="LYA22" s="7"/>
      <c r="LYB22" s="7"/>
      <c r="LYC22" s="7"/>
      <c r="LYD22" s="7"/>
      <c r="LYE22" s="7"/>
      <c r="LYF22" s="7"/>
      <c r="LYG22" s="7"/>
      <c r="LYH22" s="7"/>
      <c r="LYI22" s="7"/>
      <c r="LYJ22" s="7"/>
      <c r="LYK22" s="7"/>
      <c r="LYL22" s="7"/>
      <c r="LYM22" s="7"/>
      <c r="LYN22" s="7"/>
      <c r="LYO22" s="7"/>
      <c r="LYP22" s="7"/>
      <c r="LYQ22" s="7"/>
      <c r="LYR22" s="7"/>
      <c r="LYS22" s="7"/>
      <c r="LYT22" s="7"/>
      <c r="LYU22" s="7"/>
      <c r="LYV22" s="7"/>
      <c r="LYW22" s="7"/>
      <c r="LYX22" s="7"/>
      <c r="LYY22" s="7"/>
      <c r="LYZ22" s="7"/>
      <c r="LZA22" s="7"/>
      <c r="LZB22" s="7"/>
      <c r="LZC22" s="7"/>
      <c r="LZD22" s="7"/>
      <c r="LZE22" s="7"/>
      <c r="LZF22" s="7"/>
      <c r="LZG22" s="7"/>
      <c r="LZH22" s="7"/>
      <c r="LZI22" s="7"/>
      <c r="LZJ22" s="7"/>
      <c r="LZK22" s="7"/>
      <c r="LZL22" s="7"/>
      <c r="LZM22" s="7"/>
      <c r="LZN22" s="7"/>
      <c r="LZO22" s="7"/>
      <c r="LZP22" s="7"/>
      <c r="LZQ22" s="7"/>
      <c r="LZR22" s="7"/>
      <c r="LZS22" s="7"/>
      <c r="LZT22" s="7"/>
      <c r="LZU22" s="7"/>
      <c r="LZV22" s="7"/>
      <c r="LZW22" s="7"/>
      <c r="LZX22" s="7"/>
      <c r="LZY22" s="7"/>
      <c r="LZZ22" s="7"/>
      <c r="MAA22" s="7"/>
      <c r="MAB22" s="7"/>
      <c r="MAC22" s="7"/>
      <c r="MAD22" s="7"/>
      <c r="MAE22" s="7"/>
      <c r="MAF22" s="7"/>
      <c r="MAG22" s="7"/>
      <c r="MAH22" s="7"/>
      <c r="MAI22" s="7"/>
      <c r="MAJ22" s="7"/>
      <c r="MAK22" s="7"/>
      <c r="MAL22" s="7"/>
      <c r="MAM22" s="7"/>
      <c r="MAN22" s="7"/>
      <c r="MAO22" s="7"/>
      <c r="MAP22" s="7"/>
      <c r="MAQ22" s="7"/>
      <c r="MAR22" s="7"/>
      <c r="MAS22" s="7"/>
      <c r="MAT22" s="7"/>
      <c r="MAU22" s="7"/>
      <c r="MAV22" s="7"/>
      <c r="MAW22" s="7"/>
      <c r="MAX22" s="7"/>
      <c r="MAY22" s="7"/>
      <c r="MAZ22" s="7"/>
      <c r="MBA22" s="7"/>
      <c r="MBB22" s="7"/>
      <c r="MBC22" s="7"/>
      <c r="MBD22" s="7"/>
      <c r="MBE22" s="7"/>
      <c r="MBF22" s="7"/>
      <c r="MBG22" s="7"/>
      <c r="MBH22" s="7"/>
      <c r="MBI22" s="7"/>
      <c r="MBJ22" s="7"/>
      <c r="MBK22" s="7"/>
      <c r="MBL22" s="7"/>
      <c r="MBM22" s="7"/>
      <c r="MBN22" s="7"/>
      <c r="MBO22" s="7"/>
      <c r="MBP22" s="7"/>
      <c r="MBQ22" s="7"/>
      <c r="MBR22" s="7"/>
      <c r="MBS22" s="7"/>
      <c r="MBT22" s="7"/>
      <c r="MBU22" s="7"/>
      <c r="MBV22" s="7"/>
      <c r="MBW22" s="7"/>
      <c r="MBX22" s="7"/>
      <c r="MBY22" s="7"/>
      <c r="MBZ22" s="7"/>
      <c r="MCA22" s="7"/>
      <c r="MCB22" s="7"/>
      <c r="MCC22" s="7"/>
      <c r="MCD22" s="7"/>
      <c r="MCE22" s="7"/>
      <c r="MCF22" s="7"/>
      <c r="MCG22" s="7"/>
      <c r="MCH22" s="7"/>
      <c r="MCI22" s="7"/>
      <c r="MCJ22" s="7"/>
      <c r="MCK22" s="7"/>
      <c r="MCL22" s="7"/>
      <c r="MCM22" s="7"/>
      <c r="MCN22" s="7"/>
      <c r="MCO22" s="7"/>
      <c r="MCP22" s="7"/>
      <c r="MCQ22" s="7"/>
      <c r="MCR22" s="7"/>
      <c r="MCS22" s="7"/>
      <c r="MCT22" s="7"/>
      <c r="MCU22" s="7"/>
      <c r="MCV22" s="7"/>
      <c r="MCW22" s="7"/>
      <c r="MCX22" s="7"/>
      <c r="MCY22" s="7"/>
      <c r="MCZ22" s="7"/>
      <c r="MDA22" s="7"/>
      <c r="MDB22" s="7"/>
      <c r="MDC22" s="7"/>
      <c r="MDD22" s="7"/>
      <c r="MDE22" s="7"/>
      <c r="MDF22" s="7"/>
      <c r="MDG22" s="7"/>
      <c r="MDH22" s="7"/>
      <c r="MDI22" s="7"/>
      <c r="MDJ22" s="7"/>
      <c r="MDK22" s="7"/>
      <c r="MDL22" s="7"/>
      <c r="MDM22" s="7"/>
      <c r="MDN22" s="7"/>
      <c r="MDO22" s="7"/>
      <c r="MDP22" s="7"/>
      <c r="MDQ22" s="7"/>
      <c r="MDR22" s="7"/>
      <c r="MDS22" s="7"/>
      <c r="MDT22" s="7"/>
      <c r="MDU22" s="7"/>
      <c r="MDV22" s="7"/>
      <c r="MDW22" s="7"/>
      <c r="MDX22" s="7"/>
      <c r="MDY22" s="7"/>
      <c r="MDZ22" s="7"/>
      <c r="MEA22" s="7"/>
      <c r="MEB22" s="7"/>
      <c r="MEC22" s="7"/>
      <c r="MED22" s="7"/>
      <c r="MEE22" s="7"/>
      <c r="MEF22" s="7"/>
      <c r="MEG22" s="7"/>
      <c r="MEH22" s="7"/>
      <c r="MEI22" s="7"/>
      <c r="MEJ22" s="7"/>
      <c r="MEK22" s="7"/>
      <c r="MEL22" s="7"/>
      <c r="MEM22" s="7"/>
      <c r="MEN22" s="7"/>
      <c r="MEO22" s="7"/>
      <c r="MEP22" s="7"/>
      <c r="MEQ22" s="7"/>
      <c r="MER22" s="7"/>
      <c r="MES22" s="7"/>
      <c r="MET22" s="7"/>
      <c r="MEU22" s="7"/>
      <c r="MEV22" s="7"/>
      <c r="MEW22" s="7"/>
      <c r="MEX22" s="7"/>
      <c r="MEY22" s="7"/>
      <c r="MEZ22" s="7"/>
      <c r="MFA22" s="7"/>
      <c r="MFB22" s="7"/>
      <c r="MFC22" s="7"/>
      <c r="MFD22" s="7"/>
      <c r="MFE22" s="7"/>
      <c r="MFF22" s="7"/>
      <c r="MFG22" s="7"/>
      <c r="MFH22" s="7"/>
      <c r="MFI22" s="7"/>
      <c r="MFJ22" s="7"/>
      <c r="MFK22" s="7"/>
      <c r="MFL22" s="7"/>
      <c r="MFM22" s="7"/>
      <c r="MFN22" s="7"/>
      <c r="MFO22" s="7"/>
      <c r="MFP22" s="7"/>
      <c r="MFQ22" s="7"/>
      <c r="MFR22" s="7"/>
      <c r="MFS22" s="7"/>
      <c r="MFT22" s="7"/>
      <c r="MFU22" s="7"/>
      <c r="MFV22" s="7"/>
      <c r="MFW22" s="7"/>
      <c r="MFX22" s="7"/>
      <c r="MFY22" s="7"/>
      <c r="MFZ22" s="7"/>
      <c r="MGA22" s="7"/>
      <c r="MGB22" s="7"/>
      <c r="MGC22" s="7"/>
      <c r="MGD22" s="7"/>
      <c r="MGE22" s="7"/>
      <c r="MGF22" s="7"/>
      <c r="MGG22" s="7"/>
      <c r="MGH22" s="7"/>
      <c r="MGI22" s="7"/>
      <c r="MGJ22" s="7"/>
      <c r="MGK22" s="7"/>
      <c r="MGL22" s="7"/>
      <c r="MGM22" s="7"/>
      <c r="MGN22" s="7"/>
      <c r="MGO22" s="7"/>
      <c r="MGP22" s="7"/>
      <c r="MGQ22" s="7"/>
      <c r="MGR22" s="7"/>
      <c r="MGS22" s="7"/>
      <c r="MGT22" s="7"/>
      <c r="MGU22" s="7"/>
      <c r="MGV22" s="7"/>
      <c r="MGW22" s="7"/>
      <c r="MGX22" s="7"/>
      <c r="MGY22" s="7"/>
      <c r="MGZ22" s="7"/>
      <c r="MHA22" s="7"/>
      <c r="MHB22" s="7"/>
      <c r="MHC22" s="7"/>
      <c r="MHD22" s="7"/>
      <c r="MHE22" s="7"/>
      <c r="MHF22" s="7"/>
      <c r="MHG22" s="7"/>
      <c r="MHH22" s="7"/>
      <c r="MHI22" s="7"/>
      <c r="MHJ22" s="7"/>
      <c r="MHK22" s="7"/>
      <c r="MHL22" s="7"/>
      <c r="MHM22" s="7"/>
      <c r="MHN22" s="7"/>
      <c r="MHO22" s="7"/>
      <c r="MHP22" s="7"/>
      <c r="MHQ22" s="7"/>
      <c r="MHR22" s="7"/>
      <c r="MHS22" s="7"/>
      <c r="MHT22" s="7"/>
      <c r="MHU22" s="7"/>
      <c r="MHV22" s="7"/>
      <c r="MHW22" s="7"/>
      <c r="MHX22" s="7"/>
      <c r="MHY22" s="7"/>
      <c r="MHZ22" s="7"/>
      <c r="MIA22" s="7"/>
      <c r="MIB22" s="7"/>
      <c r="MIC22" s="7"/>
      <c r="MID22" s="7"/>
      <c r="MIE22" s="7"/>
      <c r="MIF22" s="7"/>
      <c r="MIG22" s="7"/>
      <c r="MIH22" s="7"/>
      <c r="MII22" s="7"/>
      <c r="MIJ22" s="7"/>
      <c r="MIK22" s="7"/>
      <c r="MIL22" s="7"/>
      <c r="MIM22" s="7"/>
      <c r="MIN22" s="7"/>
      <c r="MIO22" s="7"/>
      <c r="MIP22" s="7"/>
      <c r="MIQ22" s="7"/>
      <c r="MIR22" s="7"/>
      <c r="MIS22" s="7"/>
      <c r="MIT22" s="7"/>
      <c r="MIU22" s="7"/>
      <c r="MIV22" s="7"/>
      <c r="MIW22" s="7"/>
      <c r="MIX22" s="7"/>
      <c r="MIY22" s="7"/>
      <c r="MIZ22" s="7"/>
      <c r="MJA22" s="7"/>
      <c r="MJB22" s="7"/>
      <c r="MJC22" s="7"/>
      <c r="MJD22" s="7"/>
      <c r="MJE22" s="7"/>
      <c r="MJF22" s="7"/>
      <c r="MJG22" s="7"/>
      <c r="MJH22" s="7"/>
      <c r="MJI22" s="7"/>
      <c r="MJJ22" s="7"/>
      <c r="MJK22" s="7"/>
      <c r="MJL22" s="7"/>
      <c r="MJM22" s="7"/>
      <c r="MJN22" s="7"/>
      <c r="MJO22" s="7"/>
      <c r="MJP22" s="7"/>
      <c r="MJQ22" s="7"/>
      <c r="MJR22" s="7"/>
      <c r="MJS22" s="7"/>
      <c r="MJT22" s="7"/>
      <c r="MJU22" s="7"/>
      <c r="MJV22" s="7"/>
      <c r="MJW22" s="7"/>
      <c r="MJX22" s="7"/>
      <c r="MJY22" s="7"/>
      <c r="MJZ22" s="7"/>
      <c r="MKA22" s="7"/>
      <c r="MKB22" s="7"/>
      <c r="MKC22" s="7"/>
      <c r="MKD22" s="7"/>
      <c r="MKE22" s="7"/>
      <c r="MKF22" s="7"/>
      <c r="MKG22" s="7"/>
      <c r="MKH22" s="7"/>
      <c r="MKI22" s="7"/>
      <c r="MKJ22" s="7"/>
      <c r="MKK22" s="7"/>
      <c r="MKL22" s="7"/>
      <c r="MKM22" s="7"/>
      <c r="MKN22" s="7"/>
      <c r="MKO22" s="7"/>
      <c r="MKP22" s="7"/>
      <c r="MKQ22" s="7"/>
      <c r="MKR22" s="7"/>
      <c r="MKS22" s="7"/>
      <c r="MKT22" s="7"/>
      <c r="MKU22" s="7"/>
      <c r="MKV22" s="7"/>
      <c r="MKW22" s="7"/>
      <c r="MKX22" s="7"/>
      <c r="MKY22" s="7"/>
      <c r="MKZ22" s="7"/>
      <c r="MLA22" s="7"/>
      <c r="MLB22" s="7"/>
      <c r="MLC22" s="7"/>
      <c r="MLD22" s="7"/>
      <c r="MLE22" s="7"/>
      <c r="MLF22" s="7"/>
      <c r="MLG22" s="7"/>
      <c r="MLH22" s="7"/>
      <c r="MLI22" s="7"/>
      <c r="MLJ22" s="7"/>
      <c r="MLK22" s="7"/>
      <c r="MLL22" s="7"/>
      <c r="MLM22" s="7"/>
      <c r="MLN22" s="7"/>
      <c r="MLO22" s="7"/>
      <c r="MLP22" s="7"/>
      <c r="MLQ22" s="7"/>
      <c r="MLR22" s="7"/>
      <c r="MLS22" s="7"/>
      <c r="MLT22" s="7"/>
      <c r="MLU22" s="7"/>
      <c r="MLV22" s="7"/>
      <c r="MLW22" s="7"/>
      <c r="MLX22" s="7"/>
      <c r="MLY22" s="7"/>
      <c r="MLZ22" s="7"/>
      <c r="MMA22" s="7"/>
      <c r="MMB22" s="7"/>
      <c r="MMC22" s="7"/>
      <c r="MMD22" s="7"/>
      <c r="MME22" s="7"/>
      <c r="MMF22" s="7"/>
      <c r="MMG22" s="7"/>
      <c r="MMH22" s="7"/>
      <c r="MMI22" s="7"/>
      <c r="MMJ22" s="7"/>
      <c r="MMK22" s="7"/>
      <c r="MML22" s="7"/>
      <c r="MMM22" s="7"/>
      <c r="MMN22" s="7"/>
      <c r="MMO22" s="7"/>
      <c r="MMP22" s="7"/>
      <c r="MMQ22" s="7"/>
      <c r="MMR22" s="7"/>
      <c r="MMS22" s="7"/>
      <c r="MMT22" s="7"/>
      <c r="MMU22" s="7"/>
      <c r="MMV22" s="7"/>
      <c r="MMW22" s="7"/>
      <c r="MMX22" s="7"/>
      <c r="MMY22" s="7"/>
      <c r="MMZ22" s="7"/>
      <c r="MNA22" s="7"/>
      <c r="MNB22" s="7"/>
      <c r="MNC22" s="7"/>
      <c r="MND22" s="7"/>
      <c r="MNE22" s="7"/>
      <c r="MNF22" s="7"/>
      <c r="MNG22" s="7"/>
      <c r="MNH22" s="7"/>
      <c r="MNI22" s="7"/>
      <c r="MNJ22" s="7"/>
      <c r="MNK22" s="7"/>
      <c r="MNL22" s="7"/>
      <c r="MNM22" s="7"/>
      <c r="MNN22" s="7"/>
      <c r="MNO22" s="7"/>
      <c r="MNP22" s="7"/>
      <c r="MNQ22" s="7"/>
      <c r="MNR22" s="7"/>
      <c r="MNS22" s="7"/>
      <c r="MNT22" s="7"/>
      <c r="MNU22" s="7"/>
      <c r="MNV22" s="7"/>
      <c r="MNW22" s="7"/>
      <c r="MNX22" s="7"/>
      <c r="MNY22" s="7"/>
      <c r="MNZ22" s="7"/>
      <c r="MOA22" s="7"/>
      <c r="MOB22" s="7"/>
      <c r="MOC22" s="7"/>
      <c r="MOD22" s="7"/>
      <c r="MOE22" s="7"/>
      <c r="MOF22" s="7"/>
      <c r="MOG22" s="7"/>
      <c r="MOH22" s="7"/>
      <c r="MOI22" s="7"/>
      <c r="MOJ22" s="7"/>
      <c r="MOK22" s="7"/>
      <c r="MOL22" s="7"/>
      <c r="MOM22" s="7"/>
      <c r="MON22" s="7"/>
      <c r="MOO22" s="7"/>
      <c r="MOP22" s="7"/>
      <c r="MOQ22" s="7"/>
      <c r="MOR22" s="7"/>
      <c r="MOS22" s="7"/>
      <c r="MOT22" s="7"/>
      <c r="MOU22" s="7"/>
      <c r="MOV22" s="7"/>
      <c r="MOW22" s="7"/>
      <c r="MOX22" s="7"/>
      <c r="MOY22" s="7"/>
      <c r="MOZ22" s="7"/>
      <c r="MPA22" s="7"/>
      <c r="MPB22" s="7"/>
      <c r="MPC22" s="7"/>
      <c r="MPD22" s="7"/>
      <c r="MPE22" s="7"/>
      <c r="MPF22" s="7"/>
      <c r="MPG22" s="7"/>
      <c r="MPH22" s="7"/>
      <c r="MPI22" s="7"/>
      <c r="MPJ22" s="7"/>
      <c r="MPK22" s="7"/>
      <c r="MPL22" s="7"/>
      <c r="MPM22" s="7"/>
      <c r="MPN22" s="7"/>
      <c r="MPO22" s="7"/>
      <c r="MPP22" s="7"/>
      <c r="MPQ22" s="7"/>
      <c r="MPR22" s="7"/>
      <c r="MPS22" s="7"/>
      <c r="MPT22" s="7"/>
      <c r="MPU22" s="7"/>
      <c r="MPV22" s="7"/>
      <c r="MPW22" s="7"/>
      <c r="MPX22" s="7"/>
      <c r="MPY22" s="7"/>
      <c r="MPZ22" s="7"/>
      <c r="MQA22" s="7"/>
      <c r="MQB22" s="7"/>
      <c r="MQC22" s="7"/>
      <c r="MQD22" s="7"/>
      <c r="MQE22" s="7"/>
      <c r="MQF22" s="7"/>
      <c r="MQG22" s="7"/>
      <c r="MQH22" s="7"/>
      <c r="MQI22" s="7"/>
      <c r="MQJ22" s="7"/>
      <c r="MQK22" s="7"/>
      <c r="MQL22" s="7"/>
      <c r="MQM22" s="7"/>
      <c r="MQN22" s="7"/>
      <c r="MQO22" s="7"/>
      <c r="MQP22" s="7"/>
      <c r="MQQ22" s="7"/>
      <c r="MQR22" s="7"/>
      <c r="MQS22" s="7"/>
      <c r="MQT22" s="7"/>
      <c r="MQU22" s="7"/>
      <c r="MQV22" s="7"/>
      <c r="MQW22" s="7"/>
      <c r="MQX22" s="7"/>
      <c r="MQY22" s="7"/>
      <c r="MQZ22" s="7"/>
      <c r="MRA22" s="7"/>
      <c r="MRB22" s="7"/>
      <c r="MRC22" s="7"/>
      <c r="MRD22" s="7"/>
      <c r="MRE22" s="7"/>
      <c r="MRF22" s="7"/>
      <c r="MRG22" s="7"/>
      <c r="MRH22" s="7"/>
      <c r="MRI22" s="7"/>
      <c r="MRJ22" s="7"/>
      <c r="MRK22" s="7"/>
      <c r="MRL22" s="7"/>
      <c r="MRM22" s="7"/>
      <c r="MRN22" s="7"/>
      <c r="MRO22" s="7"/>
      <c r="MRP22" s="7"/>
      <c r="MRQ22" s="7"/>
      <c r="MRR22" s="7"/>
      <c r="MRS22" s="7"/>
      <c r="MRT22" s="7"/>
      <c r="MRU22" s="7"/>
      <c r="MRV22" s="7"/>
      <c r="MRW22" s="7"/>
      <c r="MRX22" s="7"/>
      <c r="MRY22" s="7"/>
      <c r="MRZ22" s="7"/>
      <c r="MSA22" s="7"/>
      <c r="MSB22" s="7"/>
      <c r="MSC22" s="7"/>
      <c r="MSD22" s="7"/>
      <c r="MSE22" s="7"/>
      <c r="MSF22" s="7"/>
      <c r="MSG22" s="7"/>
      <c r="MSH22" s="7"/>
      <c r="MSI22" s="7"/>
      <c r="MSJ22" s="7"/>
      <c r="MSK22" s="7"/>
      <c r="MSL22" s="7"/>
      <c r="MSM22" s="7"/>
      <c r="MSN22" s="7"/>
      <c r="MSO22" s="7"/>
      <c r="MSP22" s="7"/>
      <c r="MSQ22" s="7"/>
      <c r="MSR22" s="7"/>
      <c r="MSS22" s="7"/>
      <c r="MST22" s="7"/>
      <c r="MSU22" s="7"/>
      <c r="MSV22" s="7"/>
      <c r="MSW22" s="7"/>
      <c r="MSX22" s="7"/>
      <c r="MSY22" s="7"/>
      <c r="MSZ22" s="7"/>
      <c r="MTA22" s="7"/>
      <c r="MTB22" s="7"/>
      <c r="MTC22" s="7"/>
      <c r="MTD22" s="7"/>
      <c r="MTE22" s="7"/>
      <c r="MTF22" s="7"/>
      <c r="MTG22" s="7"/>
      <c r="MTH22" s="7"/>
      <c r="MTI22" s="7"/>
      <c r="MTJ22" s="7"/>
      <c r="MTK22" s="7"/>
      <c r="MTL22" s="7"/>
      <c r="MTM22" s="7"/>
      <c r="MTN22" s="7"/>
      <c r="MTO22" s="7"/>
      <c r="MTP22" s="7"/>
      <c r="MTQ22" s="7"/>
      <c r="MTR22" s="7"/>
      <c r="MTS22" s="7"/>
      <c r="MTT22" s="7"/>
      <c r="MTU22" s="7"/>
      <c r="MTV22" s="7"/>
      <c r="MTW22" s="7"/>
      <c r="MTX22" s="7"/>
      <c r="MTY22" s="7"/>
      <c r="MTZ22" s="7"/>
      <c r="MUA22" s="7"/>
      <c r="MUB22" s="7"/>
      <c r="MUC22" s="7"/>
      <c r="MUD22" s="7"/>
      <c r="MUE22" s="7"/>
      <c r="MUF22" s="7"/>
      <c r="MUG22" s="7"/>
      <c r="MUH22" s="7"/>
      <c r="MUI22" s="7"/>
      <c r="MUJ22" s="7"/>
      <c r="MUK22" s="7"/>
      <c r="MUL22" s="7"/>
      <c r="MUM22" s="7"/>
      <c r="MUN22" s="7"/>
      <c r="MUO22" s="7"/>
      <c r="MUP22" s="7"/>
      <c r="MUQ22" s="7"/>
      <c r="MUR22" s="7"/>
      <c r="MUS22" s="7"/>
      <c r="MUT22" s="7"/>
      <c r="MUU22" s="7"/>
      <c r="MUV22" s="7"/>
      <c r="MUW22" s="7"/>
      <c r="MUX22" s="7"/>
      <c r="MUY22" s="7"/>
      <c r="MUZ22" s="7"/>
      <c r="MVA22" s="7"/>
      <c r="MVB22" s="7"/>
      <c r="MVC22" s="7"/>
      <c r="MVD22" s="7"/>
      <c r="MVE22" s="7"/>
      <c r="MVF22" s="7"/>
      <c r="MVG22" s="7"/>
      <c r="MVH22" s="7"/>
      <c r="MVI22" s="7"/>
      <c r="MVJ22" s="7"/>
      <c r="MVK22" s="7"/>
      <c r="MVL22" s="7"/>
      <c r="MVM22" s="7"/>
      <c r="MVN22" s="7"/>
      <c r="MVO22" s="7"/>
      <c r="MVP22" s="7"/>
      <c r="MVQ22" s="7"/>
      <c r="MVR22" s="7"/>
      <c r="MVS22" s="7"/>
      <c r="MVT22" s="7"/>
      <c r="MVU22" s="7"/>
      <c r="MVV22" s="7"/>
      <c r="MVW22" s="7"/>
      <c r="MVX22" s="7"/>
      <c r="MVY22" s="7"/>
      <c r="MVZ22" s="7"/>
      <c r="MWA22" s="7"/>
      <c r="MWB22" s="7"/>
      <c r="MWC22" s="7"/>
      <c r="MWD22" s="7"/>
      <c r="MWE22" s="7"/>
      <c r="MWF22" s="7"/>
      <c r="MWG22" s="7"/>
      <c r="MWH22" s="7"/>
      <c r="MWI22" s="7"/>
      <c r="MWJ22" s="7"/>
      <c r="MWK22" s="7"/>
      <c r="MWL22" s="7"/>
      <c r="MWM22" s="7"/>
      <c r="MWN22" s="7"/>
      <c r="MWO22" s="7"/>
      <c r="MWP22" s="7"/>
      <c r="MWQ22" s="7"/>
      <c r="MWR22" s="7"/>
      <c r="MWS22" s="7"/>
      <c r="MWT22" s="7"/>
      <c r="MWU22" s="7"/>
      <c r="MWV22" s="7"/>
      <c r="MWW22" s="7"/>
      <c r="MWX22" s="7"/>
      <c r="MWY22" s="7"/>
      <c r="MWZ22" s="7"/>
      <c r="MXA22" s="7"/>
      <c r="MXB22" s="7"/>
      <c r="MXC22" s="7"/>
      <c r="MXD22" s="7"/>
      <c r="MXE22" s="7"/>
      <c r="MXF22" s="7"/>
      <c r="MXG22" s="7"/>
      <c r="MXH22" s="7"/>
      <c r="MXI22" s="7"/>
      <c r="MXJ22" s="7"/>
      <c r="MXK22" s="7"/>
      <c r="MXL22" s="7"/>
      <c r="MXM22" s="7"/>
      <c r="MXN22" s="7"/>
      <c r="MXO22" s="7"/>
      <c r="MXP22" s="7"/>
      <c r="MXQ22" s="7"/>
      <c r="MXR22" s="7"/>
      <c r="MXS22" s="7"/>
      <c r="MXT22" s="7"/>
      <c r="MXU22" s="7"/>
      <c r="MXV22" s="7"/>
      <c r="MXW22" s="7"/>
      <c r="MXX22" s="7"/>
      <c r="MXY22" s="7"/>
      <c r="MXZ22" s="7"/>
      <c r="MYA22" s="7"/>
      <c r="MYB22" s="7"/>
      <c r="MYC22" s="7"/>
      <c r="MYD22" s="7"/>
      <c r="MYE22" s="7"/>
      <c r="MYF22" s="7"/>
      <c r="MYG22" s="7"/>
      <c r="MYH22" s="7"/>
      <c r="MYI22" s="7"/>
      <c r="MYJ22" s="7"/>
      <c r="MYK22" s="7"/>
      <c r="MYL22" s="7"/>
      <c r="MYM22" s="7"/>
      <c r="MYN22" s="7"/>
      <c r="MYO22" s="7"/>
      <c r="MYP22" s="7"/>
      <c r="MYQ22" s="7"/>
      <c r="MYR22" s="7"/>
      <c r="MYS22" s="7"/>
      <c r="MYT22" s="7"/>
      <c r="MYU22" s="7"/>
      <c r="MYV22" s="7"/>
      <c r="MYW22" s="7"/>
      <c r="MYX22" s="7"/>
      <c r="MYY22" s="7"/>
      <c r="MYZ22" s="7"/>
      <c r="MZA22" s="7"/>
      <c r="MZB22" s="7"/>
      <c r="MZC22" s="7"/>
      <c r="MZD22" s="7"/>
      <c r="MZE22" s="7"/>
      <c r="MZF22" s="7"/>
      <c r="MZG22" s="7"/>
      <c r="MZH22" s="7"/>
      <c r="MZI22" s="7"/>
      <c r="MZJ22" s="7"/>
      <c r="MZK22" s="7"/>
      <c r="MZL22" s="7"/>
      <c r="MZM22" s="7"/>
      <c r="MZN22" s="7"/>
      <c r="MZO22" s="7"/>
      <c r="MZP22" s="7"/>
      <c r="MZQ22" s="7"/>
      <c r="MZR22" s="7"/>
      <c r="MZS22" s="7"/>
      <c r="MZT22" s="7"/>
      <c r="MZU22" s="7"/>
      <c r="MZV22" s="7"/>
      <c r="MZW22" s="7"/>
      <c r="MZX22" s="7"/>
      <c r="MZY22" s="7"/>
      <c r="MZZ22" s="7"/>
      <c r="NAA22" s="7"/>
      <c r="NAB22" s="7"/>
      <c r="NAC22" s="7"/>
      <c r="NAD22" s="7"/>
      <c r="NAE22" s="7"/>
      <c r="NAF22" s="7"/>
      <c r="NAG22" s="7"/>
      <c r="NAH22" s="7"/>
      <c r="NAI22" s="7"/>
      <c r="NAJ22" s="7"/>
      <c r="NAK22" s="7"/>
      <c r="NAL22" s="7"/>
      <c r="NAM22" s="7"/>
      <c r="NAN22" s="7"/>
      <c r="NAO22" s="7"/>
      <c r="NAP22" s="7"/>
      <c r="NAQ22" s="7"/>
      <c r="NAR22" s="7"/>
      <c r="NAS22" s="7"/>
      <c r="NAT22" s="7"/>
      <c r="NAU22" s="7"/>
      <c r="NAV22" s="7"/>
      <c r="NAW22" s="7"/>
      <c r="NAX22" s="7"/>
      <c r="NAY22" s="7"/>
      <c r="NAZ22" s="7"/>
      <c r="NBA22" s="7"/>
      <c r="NBB22" s="7"/>
      <c r="NBC22" s="7"/>
      <c r="NBD22" s="7"/>
      <c r="NBE22" s="7"/>
      <c r="NBF22" s="7"/>
      <c r="NBG22" s="7"/>
      <c r="NBH22" s="7"/>
      <c r="NBI22" s="7"/>
      <c r="NBJ22" s="7"/>
      <c r="NBK22" s="7"/>
      <c r="NBL22" s="7"/>
      <c r="NBM22" s="7"/>
      <c r="NBN22" s="7"/>
      <c r="NBO22" s="7"/>
      <c r="NBP22" s="7"/>
      <c r="NBQ22" s="7"/>
      <c r="NBR22" s="7"/>
      <c r="NBS22" s="7"/>
      <c r="NBT22" s="7"/>
      <c r="NBU22" s="7"/>
      <c r="NBV22" s="7"/>
      <c r="NBW22" s="7"/>
      <c r="NBX22" s="7"/>
      <c r="NBY22" s="7"/>
      <c r="NBZ22" s="7"/>
      <c r="NCA22" s="7"/>
      <c r="NCB22" s="7"/>
      <c r="NCC22" s="7"/>
      <c r="NCD22" s="7"/>
      <c r="NCE22" s="7"/>
      <c r="NCF22" s="7"/>
      <c r="NCG22" s="7"/>
      <c r="NCH22" s="7"/>
      <c r="NCI22" s="7"/>
      <c r="NCJ22" s="7"/>
      <c r="NCK22" s="7"/>
      <c r="NCL22" s="7"/>
      <c r="NCM22" s="7"/>
      <c r="NCN22" s="7"/>
      <c r="NCO22" s="7"/>
      <c r="NCP22" s="7"/>
      <c r="NCQ22" s="7"/>
      <c r="NCR22" s="7"/>
      <c r="NCS22" s="7"/>
      <c r="NCT22" s="7"/>
      <c r="NCU22" s="7"/>
      <c r="NCV22" s="7"/>
      <c r="NCW22" s="7"/>
      <c r="NCX22" s="7"/>
      <c r="NCY22" s="7"/>
      <c r="NCZ22" s="7"/>
      <c r="NDA22" s="7"/>
      <c r="NDB22" s="7"/>
      <c r="NDC22" s="7"/>
      <c r="NDD22" s="7"/>
      <c r="NDE22" s="7"/>
      <c r="NDF22" s="7"/>
      <c r="NDG22" s="7"/>
      <c r="NDH22" s="7"/>
      <c r="NDI22" s="7"/>
      <c r="NDJ22" s="7"/>
      <c r="NDK22" s="7"/>
      <c r="NDL22" s="7"/>
      <c r="NDM22" s="7"/>
      <c r="NDN22" s="7"/>
      <c r="NDO22" s="7"/>
      <c r="NDP22" s="7"/>
      <c r="NDQ22" s="7"/>
      <c r="NDR22" s="7"/>
      <c r="NDS22" s="7"/>
      <c r="NDT22" s="7"/>
      <c r="NDU22" s="7"/>
      <c r="NDV22" s="7"/>
      <c r="NDW22" s="7"/>
      <c r="NDX22" s="7"/>
      <c r="NDY22" s="7"/>
      <c r="NDZ22" s="7"/>
      <c r="NEA22" s="7"/>
      <c r="NEB22" s="7"/>
      <c r="NEC22" s="7"/>
      <c r="NED22" s="7"/>
      <c r="NEE22" s="7"/>
      <c r="NEF22" s="7"/>
      <c r="NEG22" s="7"/>
      <c r="NEH22" s="7"/>
      <c r="NEI22" s="7"/>
      <c r="NEJ22" s="7"/>
      <c r="NEK22" s="7"/>
      <c r="NEL22" s="7"/>
      <c r="NEM22" s="7"/>
      <c r="NEN22" s="7"/>
      <c r="NEO22" s="7"/>
      <c r="NEP22" s="7"/>
      <c r="NEQ22" s="7"/>
      <c r="NER22" s="7"/>
      <c r="NES22" s="7"/>
      <c r="NET22" s="7"/>
      <c r="NEU22" s="7"/>
      <c r="NEV22" s="7"/>
      <c r="NEW22" s="7"/>
      <c r="NEX22" s="7"/>
      <c r="NEY22" s="7"/>
      <c r="NEZ22" s="7"/>
      <c r="NFA22" s="7"/>
      <c r="NFB22" s="7"/>
      <c r="NFC22" s="7"/>
      <c r="NFD22" s="7"/>
      <c r="NFE22" s="7"/>
      <c r="NFF22" s="7"/>
      <c r="NFG22" s="7"/>
      <c r="NFH22" s="7"/>
      <c r="NFI22" s="7"/>
      <c r="NFJ22" s="7"/>
      <c r="NFK22" s="7"/>
      <c r="NFL22" s="7"/>
      <c r="NFM22" s="7"/>
      <c r="NFN22" s="7"/>
      <c r="NFO22" s="7"/>
      <c r="NFP22" s="7"/>
      <c r="NFQ22" s="7"/>
      <c r="NFR22" s="7"/>
      <c r="NFS22" s="7"/>
      <c r="NFT22" s="7"/>
      <c r="NFU22" s="7"/>
      <c r="NFV22" s="7"/>
      <c r="NFW22" s="7"/>
      <c r="NFX22" s="7"/>
      <c r="NFY22" s="7"/>
      <c r="NFZ22" s="7"/>
      <c r="NGA22" s="7"/>
      <c r="NGB22" s="7"/>
      <c r="NGC22" s="7"/>
      <c r="NGD22" s="7"/>
      <c r="NGE22" s="7"/>
      <c r="NGF22" s="7"/>
      <c r="NGG22" s="7"/>
      <c r="NGH22" s="7"/>
      <c r="NGI22" s="7"/>
      <c r="NGJ22" s="7"/>
      <c r="NGK22" s="7"/>
      <c r="NGL22" s="7"/>
      <c r="NGM22" s="7"/>
      <c r="NGN22" s="7"/>
      <c r="NGO22" s="7"/>
      <c r="NGP22" s="7"/>
      <c r="NGQ22" s="7"/>
      <c r="NGR22" s="7"/>
      <c r="NGS22" s="7"/>
      <c r="NGT22" s="7"/>
      <c r="NGU22" s="7"/>
      <c r="NGV22" s="7"/>
      <c r="NGW22" s="7"/>
      <c r="NGX22" s="7"/>
      <c r="NGY22" s="7"/>
      <c r="NGZ22" s="7"/>
      <c r="NHA22" s="7"/>
      <c r="NHB22" s="7"/>
      <c r="NHC22" s="7"/>
      <c r="NHD22" s="7"/>
      <c r="NHE22" s="7"/>
      <c r="NHF22" s="7"/>
      <c r="NHG22" s="7"/>
      <c r="NHH22" s="7"/>
      <c r="NHI22" s="7"/>
      <c r="NHJ22" s="7"/>
      <c r="NHK22" s="7"/>
      <c r="NHL22" s="7"/>
      <c r="NHM22" s="7"/>
      <c r="NHN22" s="7"/>
      <c r="NHO22" s="7"/>
      <c r="NHP22" s="7"/>
      <c r="NHQ22" s="7"/>
      <c r="NHR22" s="7"/>
      <c r="NHS22" s="7"/>
      <c r="NHT22" s="7"/>
      <c r="NHU22" s="7"/>
      <c r="NHV22" s="7"/>
      <c r="NHW22" s="7"/>
      <c r="NHX22" s="7"/>
      <c r="NHY22" s="7"/>
      <c r="NHZ22" s="7"/>
      <c r="NIA22" s="7"/>
      <c r="NIB22" s="7"/>
      <c r="NIC22" s="7"/>
      <c r="NID22" s="7"/>
      <c r="NIE22" s="7"/>
      <c r="NIF22" s="7"/>
      <c r="NIG22" s="7"/>
      <c r="NIH22" s="7"/>
      <c r="NII22" s="7"/>
      <c r="NIJ22" s="7"/>
      <c r="NIK22" s="7"/>
      <c r="NIL22" s="7"/>
      <c r="NIM22" s="7"/>
      <c r="NIN22" s="7"/>
      <c r="NIO22" s="7"/>
      <c r="NIP22" s="7"/>
      <c r="NIQ22" s="7"/>
      <c r="NIR22" s="7"/>
      <c r="NIS22" s="7"/>
      <c r="NIT22" s="7"/>
      <c r="NIU22" s="7"/>
      <c r="NIV22" s="7"/>
      <c r="NIW22" s="7"/>
      <c r="NIX22" s="7"/>
      <c r="NIY22" s="7"/>
      <c r="NIZ22" s="7"/>
      <c r="NJA22" s="7"/>
      <c r="NJB22" s="7"/>
      <c r="NJC22" s="7"/>
      <c r="NJD22" s="7"/>
      <c r="NJE22" s="7"/>
      <c r="NJF22" s="7"/>
      <c r="NJG22" s="7"/>
      <c r="NJH22" s="7"/>
      <c r="NJI22" s="7"/>
      <c r="NJJ22" s="7"/>
      <c r="NJK22" s="7"/>
      <c r="NJL22" s="7"/>
      <c r="NJM22" s="7"/>
      <c r="NJN22" s="7"/>
      <c r="NJO22" s="7"/>
      <c r="NJP22" s="7"/>
      <c r="NJQ22" s="7"/>
      <c r="NJR22" s="7"/>
      <c r="NJS22" s="7"/>
      <c r="NJT22" s="7"/>
      <c r="NJU22" s="7"/>
      <c r="NJV22" s="7"/>
      <c r="NJW22" s="7"/>
      <c r="NJX22" s="7"/>
      <c r="NJY22" s="7"/>
      <c r="NJZ22" s="7"/>
      <c r="NKA22" s="7"/>
      <c r="NKB22" s="7"/>
      <c r="NKC22" s="7"/>
      <c r="NKD22" s="7"/>
      <c r="NKE22" s="7"/>
      <c r="NKF22" s="7"/>
      <c r="NKG22" s="7"/>
      <c r="NKH22" s="7"/>
      <c r="NKI22" s="7"/>
      <c r="NKJ22" s="7"/>
      <c r="NKK22" s="7"/>
      <c r="NKL22" s="7"/>
      <c r="NKM22" s="7"/>
      <c r="NKN22" s="7"/>
      <c r="NKO22" s="7"/>
      <c r="NKP22" s="7"/>
      <c r="NKQ22" s="7"/>
      <c r="NKR22" s="7"/>
      <c r="NKS22" s="7"/>
      <c r="NKT22" s="7"/>
      <c r="NKU22" s="7"/>
      <c r="NKV22" s="7"/>
      <c r="NKW22" s="7"/>
      <c r="NKX22" s="7"/>
      <c r="NKY22" s="7"/>
      <c r="NKZ22" s="7"/>
      <c r="NLA22" s="7"/>
      <c r="NLB22" s="7"/>
      <c r="NLC22" s="7"/>
      <c r="NLD22" s="7"/>
      <c r="NLE22" s="7"/>
      <c r="NLF22" s="7"/>
      <c r="NLG22" s="7"/>
      <c r="NLH22" s="7"/>
      <c r="NLI22" s="7"/>
      <c r="NLJ22" s="7"/>
      <c r="NLK22" s="7"/>
      <c r="NLL22" s="7"/>
      <c r="NLM22" s="7"/>
      <c r="NLN22" s="7"/>
      <c r="NLO22" s="7"/>
      <c r="NLP22" s="7"/>
      <c r="NLQ22" s="7"/>
      <c r="NLR22" s="7"/>
      <c r="NLS22" s="7"/>
      <c r="NLT22" s="7"/>
      <c r="NLU22" s="7"/>
      <c r="NLV22" s="7"/>
      <c r="NLW22" s="7"/>
      <c r="NLX22" s="7"/>
      <c r="NLY22" s="7"/>
      <c r="NLZ22" s="7"/>
      <c r="NMA22" s="7"/>
      <c r="NMB22" s="7"/>
      <c r="NMC22" s="7"/>
      <c r="NMD22" s="7"/>
      <c r="NME22" s="7"/>
      <c r="NMF22" s="7"/>
      <c r="NMG22" s="7"/>
      <c r="NMH22" s="7"/>
      <c r="NMI22" s="7"/>
      <c r="NMJ22" s="7"/>
      <c r="NMK22" s="7"/>
      <c r="NML22" s="7"/>
      <c r="NMM22" s="7"/>
      <c r="NMN22" s="7"/>
      <c r="NMO22" s="7"/>
      <c r="NMP22" s="7"/>
      <c r="NMQ22" s="7"/>
      <c r="NMR22" s="7"/>
      <c r="NMS22" s="7"/>
      <c r="NMT22" s="7"/>
      <c r="NMU22" s="7"/>
      <c r="NMV22" s="7"/>
      <c r="NMW22" s="7"/>
      <c r="NMX22" s="7"/>
      <c r="NMY22" s="7"/>
      <c r="NMZ22" s="7"/>
      <c r="NNA22" s="7"/>
      <c r="NNB22" s="7"/>
      <c r="NNC22" s="7"/>
      <c r="NND22" s="7"/>
      <c r="NNE22" s="7"/>
      <c r="NNF22" s="7"/>
      <c r="NNG22" s="7"/>
      <c r="NNH22" s="7"/>
      <c r="NNI22" s="7"/>
      <c r="NNJ22" s="7"/>
      <c r="NNK22" s="7"/>
      <c r="NNL22" s="7"/>
      <c r="NNM22" s="7"/>
      <c r="NNN22" s="7"/>
      <c r="NNO22" s="7"/>
      <c r="NNP22" s="7"/>
      <c r="NNQ22" s="7"/>
      <c r="NNR22" s="7"/>
      <c r="NNS22" s="7"/>
      <c r="NNT22" s="7"/>
      <c r="NNU22" s="7"/>
      <c r="NNV22" s="7"/>
      <c r="NNW22" s="7"/>
      <c r="NNX22" s="7"/>
      <c r="NNY22" s="7"/>
      <c r="NNZ22" s="7"/>
      <c r="NOA22" s="7"/>
      <c r="NOB22" s="7"/>
      <c r="NOC22" s="7"/>
      <c r="NOD22" s="7"/>
      <c r="NOE22" s="7"/>
      <c r="NOF22" s="7"/>
      <c r="NOG22" s="7"/>
      <c r="NOH22" s="7"/>
      <c r="NOI22" s="7"/>
      <c r="NOJ22" s="7"/>
      <c r="NOK22" s="7"/>
      <c r="NOL22" s="7"/>
      <c r="NOM22" s="7"/>
      <c r="NON22" s="7"/>
      <c r="NOO22" s="7"/>
      <c r="NOP22" s="7"/>
      <c r="NOQ22" s="7"/>
      <c r="NOR22" s="7"/>
      <c r="NOS22" s="7"/>
      <c r="NOT22" s="7"/>
      <c r="NOU22" s="7"/>
      <c r="NOV22" s="7"/>
      <c r="NOW22" s="7"/>
      <c r="NOX22" s="7"/>
      <c r="NOY22" s="7"/>
      <c r="NOZ22" s="7"/>
      <c r="NPA22" s="7"/>
      <c r="NPB22" s="7"/>
      <c r="NPC22" s="7"/>
      <c r="NPD22" s="7"/>
      <c r="NPE22" s="7"/>
      <c r="NPF22" s="7"/>
      <c r="NPG22" s="7"/>
      <c r="NPH22" s="7"/>
      <c r="NPI22" s="7"/>
      <c r="NPJ22" s="7"/>
      <c r="NPK22" s="7"/>
      <c r="NPL22" s="7"/>
      <c r="NPM22" s="7"/>
      <c r="NPN22" s="7"/>
      <c r="NPO22" s="7"/>
      <c r="NPP22" s="7"/>
      <c r="NPQ22" s="7"/>
      <c r="NPR22" s="7"/>
      <c r="NPS22" s="7"/>
      <c r="NPT22" s="7"/>
      <c r="NPU22" s="7"/>
      <c r="NPV22" s="7"/>
      <c r="NPW22" s="7"/>
      <c r="NPX22" s="7"/>
      <c r="NPY22" s="7"/>
      <c r="NPZ22" s="7"/>
      <c r="NQA22" s="7"/>
      <c r="NQB22" s="7"/>
      <c r="NQC22" s="7"/>
      <c r="NQD22" s="7"/>
      <c r="NQE22" s="7"/>
      <c r="NQF22" s="7"/>
      <c r="NQG22" s="7"/>
      <c r="NQH22" s="7"/>
      <c r="NQI22" s="7"/>
      <c r="NQJ22" s="7"/>
      <c r="NQK22" s="7"/>
      <c r="NQL22" s="7"/>
      <c r="NQM22" s="7"/>
      <c r="NQN22" s="7"/>
      <c r="NQO22" s="7"/>
      <c r="NQP22" s="7"/>
      <c r="NQQ22" s="7"/>
      <c r="NQR22" s="7"/>
      <c r="NQS22" s="7"/>
      <c r="NQT22" s="7"/>
      <c r="NQU22" s="7"/>
      <c r="NQV22" s="7"/>
      <c r="NQW22" s="7"/>
      <c r="NQX22" s="7"/>
      <c r="NQY22" s="7"/>
      <c r="NQZ22" s="7"/>
      <c r="NRA22" s="7"/>
      <c r="NRB22" s="7"/>
      <c r="NRC22" s="7"/>
      <c r="NRD22" s="7"/>
      <c r="NRE22" s="7"/>
      <c r="NRF22" s="7"/>
      <c r="NRG22" s="7"/>
      <c r="NRH22" s="7"/>
      <c r="NRI22" s="7"/>
      <c r="NRJ22" s="7"/>
      <c r="NRK22" s="7"/>
      <c r="NRL22" s="7"/>
      <c r="NRM22" s="7"/>
      <c r="NRN22" s="7"/>
      <c r="NRO22" s="7"/>
      <c r="NRP22" s="7"/>
      <c r="NRQ22" s="7"/>
      <c r="NRR22" s="7"/>
      <c r="NRS22" s="7"/>
      <c r="NRT22" s="7"/>
      <c r="NRU22" s="7"/>
      <c r="NRV22" s="7"/>
      <c r="NRW22" s="7"/>
      <c r="NRX22" s="7"/>
      <c r="NRY22" s="7"/>
      <c r="NRZ22" s="7"/>
      <c r="NSA22" s="7"/>
      <c r="NSB22" s="7"/>
      <c r="NSC22" s="7"/>
      <c r="NSD22" s="7"/>
      <c r="NSE22" s="7"/>
      <c r="NSF22" s="7"/>
      <c r="NSG22" s="7"/>
      <c r="NSH22" s="7"/>
      <c r="NSI22" s="7"/>
      <c r="NSJ22" s="7"/>
      <c r="NSK22" s="7"/>
      <c r="NSL22" s="7"/>
      <c r="NSM22" s="7"/>
      <c r="NSN22" s="7"/>
      <c r="NSO22" s="7"/>
      <c r="NSP22" s="7"/>
      <c r="NSQ22" s="7"/>
      <c r="NSR22" s="7"/>
      <c r="NSS22" s="7"/>
      <c r="NST22" s="7"/>
      <c r="NSU22" s="7"/>
      <c r="NSV22" s="7"/>
      <c r="NSW22" s="7"/>
      <c r="NSX22" s="7"/>
      <c r="NSY22" s="7"/>
      <c r="NSZ22" s="7"/>
      <c r="NTA22" s="7"/>
      <c r="NTB22" s="7"/>
      <c r="NTC22" s="7"/>
      <c r="NTD22" s="7"/>
      <c r="NTE22" s="7"/>
      <c r="NTF22" s="7"/>
      <c r="NTG22" s="7"/>
      <c r="NTH22" s="7"/>
      <c r="NTI22" s="7"/>
      <c r="NTJ22" s="7"/>
      <c r="NTK22" s="7"/>
      <c r="NTL22" s="7"/>
      <c r="NTM22" s="7"/>
      <c r="NTN22" s="7"/>
      <c r="NTO22" s="7"/>
      <c r="NTP22" s="7"/>
      <c r="NTQ22" s="7"/>
      <c r="NTR22" s="7"/>
      <c r="NTS22" s="7"/>
      <c r="NTT22" s="7"/>
      <c r="NTU22" s="7"/>
      <c r="NTV22" s="7"/>
      <c r="NTW22" s="7"/>
      <c r="NTX22" s="7"/>
      <c r="NTY22" s="7"/>
      <c r="NTZ22" s="7"/>
      <c r="NUA22" s="7"/>
      <c r="NUB22" s="7"/>
      <c r="NUC22" s="7"/>
      <c r="NUD22" s="7"/>
      <c r="NUE22" s="7"/>
      <c r="NUF22" s="7"/>
      <c r="NUG22" s="7"/>
      <c r="NUH22" s="7"/>
      <c r="NUI22" s="7"/>
      <c r="NUJ22" s="7"/>
      <c r="NUK22" s="7"/>
      <c r="NUL22" s="7"/>
      <c r="NUM22" s="7"/>
      <c r="NUN22" s="7"/>
      <c r="NUO22" s="7"/>
      <c r="NUP22" s="7"/>
      <c r="NUQ22" s="7"/>
      <c r="NUR22" s="7"/>
      <c r="NUS22" s="7"/>
      <c r="NUT22" s="7"/>
      <c r="NUU22" s="7"/>
      <c r="NUV22" s="7"/>
      <c r="NUW22" s="7"/>
      <c r="NUX22" s="7"/>
      <c r="NUY22" s="7"/>
      <c r="NUZ22" s="7"/>
      <c r="NVA22" s="7"/>
      <c r="NVB22" s="7"/>
      <c r="NVC22" s="7"/>
      <c r="NVD22" s="7"/>
      <c r="NVE22" s="7"/>
      <c r="NVF22" s="7"/>
      <c r="NVG22" s="7"/>
      <c r="NVH22" s="7"/>
      <c r="NVI22" s="7"/>
      <c r="NVJ22" s="7"/>
      <c r="NVK22" s="7"/>
      <c r="NVL22" s="7"/>
      <c r="NVM22" s="7"/>
      <c r="NVN22" s="7"/>
      <c r="NVO22" s="7"/>
      <c r="NVP22" s="7"/>
      <c r="NVQ22" s="7"/>
      <c r="NVR22" s="7"/>
      <c r="NVS22" s="7"/>
      <c r="NVT22" s="7"/>
      <c r="NVU22" s="7"/>
      <c r="NVV22" s="7"/>
      <c r="NVW22" s="7"/>
      <c r="NVX22" s="7"/>
      <c r="NVY22" s="7"/>
      <c r="NVZ22" s="7"/>
      <c r="NWA22" s="7"/>
      <c r="NWB22" s="7"/>
      <c r="NWC22" s="7"/>
      <c r="NWD22" s="7"/>
      <c r="NWE22" s="7"/>
      <c r="NWF22" s="7"/>
      <c r="NWG22" s="7"/>
      <c r="NWH22" s="7"/>
      <c r="NWI22" s="7"/>
      <c r="NWJ22" s="7"/>
      <c r="NWK22" s="7"/>
      <c r="NWL22" s="7"/>
      <c r="NWM22" s="7"/>
      <c r="NWN22" s="7"/>
      <c r="NWO22" s="7"/>
      <c r="NWP22" s="7"/>
      <c r="NWQ22" s="7"/>
      <c r="NWR22" s="7"/>
      <c r="NWS22" s="7"/>
      <c r="NWT22" s="7"/>
      <c r="NWU22" s="7"/>
      <c r="NWV22" s="7"/>
      <c r="NWW22" s="7"/>
      <c r="NWX22" s="7"/>
      <c r="NWY22" s="7"/>
      <c r="NWZ22" s="7"/>
      <c r="NXA22" s="7"/>
      <c r="NXB22" s="7"/>
      <c r="NXC22" s="7"/>
      <c r="NXD22" s="7"/>
      <c r="NXE22" s="7"/>
      <c r="NXF22" s="7"/>
      <c r="NXG22" s="7"/>
      <c r="NXH22" s="7"/>
      <c r="NXI22" s="7"/>
      <c r="NXJ22" s="7"/>
      <c r="NXK22" s="7"/>
      <c r="NXL22" s="7"/>
      <c r="NXM22" s="7"/>
      <c r="NXN22" s="7"/>
      <c r="NXO22" s="7"/>
      <c r="NXP22" s="7"/>
      <c r="NXQ22" s="7"/>
      <c r="NXR22" s="7"/>
      <c r="NXS22" s="7"/>
      <c r="NXT22" s="7"/>
      <c r="NXU22" s="7"/>
      <c r="NXV22" s="7"/>
      <c r="NXW22" s="7"/>
      <c r="NXX22" s="7"/>
      <c r="NXY22" s="7"/>
      <c r="NXZ22" s="7"/>
      <c r="NYA22" s="7"/>
      <c r="NYB22" s="7"/>
      <c r="NYC22" s="7"/>
      <c r="NYD22" s="7"/>
      <c r="NYE22" s="7"/>
      <c r="NYF22" s="7"/>
      <c r="NYG22" s="7"/>
      <c r="NYH22" s="7"/>
      <c r="NYI22" s="7"/>
      <c r="NYJ22" s="7"/>
      <c r="NYK22" s="7"/>
      <c r="NYL22" s="7"/>
      <c r="NYM22" s="7"/>
      <c r="NYN22" s="7"/>
      <c r="NYO22" s="7"/>
      <c r="NYP22" s="7"/>
      <c r="NYQ22" s="7"/>
      <c r="NYR22" s="7"/>
      <c r="NYS22" s="7"/>
      <c r="NYT22" s="7"/>
      <c r="NYU22" s="7"/>
      <c r="NYV22" s="7"/>
      <c r="NYW22" s="7"/>
      <c r="NYX22" s="7"/>
      <c r="NYY22" s="7"/>
      <c r="NYZ22" s="7"/>
      <c r="NZA22" s="7"/>
      <c r="NZB22" s="7"/>
      <c r="NZC22" s="7"/>
      <c r="NZD22" s="7"/>
      <c r="NZE22" s="7"/>
      <c r="NZF22" s="7"/>
      <c r="NZG22" s="7"/>
      <c r="NZH22" s="7"/>
      <c r="NZI22" s="7"/>
      <c r="NZJ22" s="7"/>
      <c r="NZK22" s="7"/>
      <c r="NZL22" s="7"/>
      <c r="NZM22" s="7"/>
      <c r="NZN22" s="7"/>
      <c r="NZO22" s="7"/>
      <c r="NZP22" s="7"/>
      <c r="NZQ22" s="7"/>
      <c r="NZR22" s="7"/>
      <c r="NZS22" s="7"/>
      <c r="NZT22" s="7"/>
      <c r="NZU22" s="7"/>
      <c r="NZV22" s="7"/>
      <c r="NZW22" s="7"/>
      <c r="NZX22" s="7"/>
      <c r="NZY22" s="7"/>
      <c r="NZZ22" s="7"/>
      <c r="OAA22" s="7"/>
      <c r="OAB22" s="7"/>
      <c r="OAC22" s="7"/>
      <c r="OAD22" s="7"/>
      <c r="OAE22" s="7"/>
      <c r="OAF22" s="7"/>
      <c r="OAG22" s="7"/>
      <c r="OAH22" s="7"/>
      <c r="OAI22" s="7"/>
      <c r="OAJ22" s="7"/>
      <c r="OAK22" s="7"/>
      <c r="OAL22" s="7"/>
      <c r="OAM22" s="7"/>
      <c r="OAN22" s="7"/>
      <c r="OAO22" s="7"/>
      <c r="OAP22" s="7"/>
      <c r="OAQ22" s="7"/>
      <c r="OAR22" s="7"/>
      <c r="OAS22" s="7"/>
      <c r="OAT22" s="7"/>
      <c r="OAU22" s="7"/>
      <c r="OAV22" s="7"/>
      <c r="OAW22" s="7"/>
      <c r="OAX22" s="7"/>
      <c r="OAY22" s="7"/>
      <c r="OAZ22" s="7"/>
      <c r="OBA22" s="7"/>
      <c r="OBB22" s="7"/>
      <c r="OBC22" s="7"/>
      <c r="OBD22" s="7"/>
      <c r="OBE22" s="7"/>
      <c r="OBF22" s="7"/>
      <c r="OBG22" s="7"/>
      <c r="OBH22" s="7"/>
      <c r="OBI22" s="7"/>
      <c r="OBJ22" s="7"/>
      <c r="OBK22" s="7"/>
      <c r="OBL22" s="7"/>
      <c r="OBM22" s="7"/>
      <c r="OBN22" s="7"/>
      <c r="OBO22" s="7"/>
      <c r="OBP22" s="7"/>
      <c r="OBQ22" s="7"/>
      <c r="OBR22" s="7"/>
      <c r="OBS22" s="7"/>
      <c r="OBT22" s="7"/>
      <c r="OBU22" s="7"/>
      <c r="OBV22" s="7"/>
      <c r="OBW22" s="7"/>
      <c r="OBX22" s="7"/>
      <c r="OBY22" s="7"/>
      <c r="OBZ22" s="7"/>
      <c r="OCA22" s="7"/>
      <c r="OCB22" s="7"/>
      <c r="OCC22" s="7"/>
      <c r="OCD22" s="7"/>
      <c r="OCE22" s="7"/>
      <c r="OCF22" s="7"/>
      <c r="OCG22" s="7"/>
      <c r="OCH22" s="7"/>
      <c r="OCI22" s="7"/>
      <c r="OCJ22" s="7"/>
      <c r="OCK22" s="7"/>
      <c r="OCL22" s="7"/>
      <c r="OCM22" s="7"/>
      <c r="OCN22" s="7"/>
      <c r="OCO22" s="7"/>
      <c r="OCP22" s="7"/>
      <c r="OCQ22" s="7"/>
      <c r="OCR22" s="7"/>
      <c r="OCS22" s="7"/>
      <c r="OCT22" s="7"/>
      <c r="OCU22" s="7"/>
      <c r="OCV22" s="7"/>
      <c r="OCW22" s="7"/>
      <c r="OCX22" s="7"/>
      <c r="OCY22" s="7"/>
      <c r="OCZ22" s="7"/>
      <c r="ODA22" s="7"/>
      <c r="ODB22" s="7"/>
      <c r="ODC22" s="7"/>
      <c r="ODD22" s="7"/>
      <c r="ODE22" s="7"/>
      <c r="ODF22" s="7"/>
      <c r="ODG22" s="7"/>
      <c r="ODH22" s="7"/>
      <c r="ODI22" s="7"/>
      <c r="ODJ22" s="7"/>
      <c r="ODK22" s="7"/>
      <c r="ODL22" s="7"/>
      <c r="ODM22" s="7"/>
      <c r="ODN22" s="7"/>
      <c r="ODO22" s="7"/>
      <c r="ODP22" s="7"/>
      <c r="ODQ22" s="7"/>
      <c r="ODR22" s="7"/>
      <c r="ODS22" s="7"/>
      <c r="ODT22" s="7"/>
      <c r="ODU22" s="7"/>
      <c r="ODV22" s="7"/>
      <c r="ODW22" s="7"/>
      <c r="ODX22" s="7"/>
      <c r="ODY22" s="7"/>
      <c r="ODZ22" s="7"/>
      <c r="OEA22" s="7"/>
      <c r="OEB22" s="7"/>
      <c r="OEC22" s="7"/>
      <c r="OED22" s="7"/>
      <c r="OEE22" s="7"/>
      <c r="OEF22" s="7"/>
      <c r="OEG22" s="7"/>
      <c r="OEH22" s="7"/>
      <c r="OEI22" s="7"/>
      <c r="OEJ22" s="7"/>
      <c r="OEK22" s="7"/>
      <c r="OEL22" s="7"/>
      <c r="OEM22" s="7"/>
      <c r="OEN22" s="7"/>
      <c r="OEO22" s="7"/>
      <c r="OEP22" s="7"/>
      <c r="OEQ22" s="7"/>
      <c r="OER22" s="7"/>
      <c r="OES22" s="7"/>
      <c r="OET22" s="7"/>
      <c r="OEU22" s="7"/>
      <c r="OEV22" s="7"/>
      <c r="OEW22" s="7"/>
      <c r="OEX22" s="7"/>
      <c r="OEY22" s="7"/>
      <c r="OEZ22" s="7"/>
      <c r="OFA22" s="7"/>
      <c r="OFB22" s="7"/>
      <c r="OFC22" s="7"/>
      <c r="OFD22" s="7"/>
      <c r="OFE22" s="7"/>
      <c r="OFF22" s="7"/>
      <c r="OFG22" s="7"/>
      <c r="OFH22" s="7"/>
      <c r="OFI22" s="7"/>
      <c r="OFJ22" s="7"/>
      <c r="OFK22" s="7"/>
      <c r="OFL22" s="7"/>
      <c r="OFM22" s="7"/>
      <c r="OFN22" s="7"/>
      <c r="OFO22" s="7"/>
      <c r="OFP22" s="7"/>
      <c r="OFQ22" s="7"/>
      <c r="OFR22" s="7"/>
      <c r="OFS22" s="7"/>
      <c r="OFT22" s="7"/>
      <c r="OFU22" s="7"/>
      <c r="OFV22" s="7"/>
      <c r="OFW22" s="7"/>
      <c r="OFX22" s="7"/>
      <c r="OFY22" s="7"/>
      <c r="OFZ22" s="7"/>
      <c r="OGA22" s="7"/>
      <c r="OGB22" s="7"/>
      <c r="OGC22" s="7"/>
      <c r="OGD22" s="7"/>
      <c r="OGE22" s="7"/>
      <c r="OGF22" s="7"/>
      <c r="OGG22" s="7"/>
      <c r="OGH22" s="7"/>
      <c r="OGI22" s="7"/>
      <c r="OGJ22" s="7"/>
      <c r="OGK22" s="7"/>
      <c r="OGL22" s="7"/>
      <c r="OGM22" s="7"/>
      <c r="OGN22" s="7"/>
      <c r="OGO22" s="7"/>
      <c r="OGP22" s="7"/>
      <c r="OGQ22" s="7"/>
      <c r="OGR22" s="7"/>
      <c r="OGS22" s="7"/>
      <c r="OGT22" s="7"/>
      <c r="OGU22" s="7"/>
      <c r="OGV22" s="7"/>
      <c r="OGW22" s="7"/>
      <c r="OGX22" s="7"/>
      <c r="OGY22" s="7"/>
      <c r="OGZ22" s="7"/>
      <c r="OHA22" s="7"/>
      <c r="OHB22" s="7"/>
      <c r="OHC22" s="7"/>
      <c r="OHD22" s="7"/>
      <c r="OHE22" s="7"/>
      <c r="OHF22" s="7"/>
      <c r="OHG22" s="7"/>
      <c r="OHH22" s="7"/>
      <c r="OHI22" s="7"/>
      <c r="OHJ22" s="7"/>
      <c r="OHK22" s="7"/>
      <c r="OHL22" s="7"/>
      <c r="OHM22" s="7"/>
      <c r="OHN22" s="7"/>
      <c r="OHO22" s="7"/>
      <c r="OHP22" s="7"/>
      <c r="OHQ22" s="7"/>
      <c r="OHR22" s="7"/>
      <c r="OHS22" s="7"/>
      <c r="OHT22" s="7"/>
      <c r="OHU22" s="7"/>
      <c r="OHV22" s="7"/>
      <c r="OHW22" s="7"/>
      <c r="OHX22" s="7"/>
      <c r="OHY22" s="7"/>
      <c r="OHZ22" s="7"/>
      <c r="OIA22" s="7"/>
      <c r="OIB22" s="7"/>
      <c r="OIC22" s="7"/>
      <c r="OID22" s="7"/>
      <c r="OIE22" s="7"/>
      <c r="OIF22" s="7"/>
      <c r="OIG22" s="7"/>
      <c r="OIH22" s="7"/>
      <c r="OII22" s="7"/>
      <c r="OIJ22" s="7"/>
      <c r="OIK22" s="7"/>
      <c r="OIL22" s="7"/>
      <c r="OIM22" s="7"/>
      <c r="OIN22" s="7"/>
      <c r="OIO22" s="7"/>
      <c r="OIP22" s="7"/>
      <c r="OIQ22" s="7"/>
      <c r="OIR22" s="7"/>
      <c r="OIS22" s="7"/>
      <c r="OIT22" s="7"/>
      <c r="OIU22" s="7"/>
      <c r="OIV22" s="7"/>
      <c r="OIW22" s="7"/>
      <c r="OIX22" s="7"/>
      <c r="OIY22" s="7"/>
      <c r="OIZ22" s="7"/>
      <c r="OJA22" s="7"/>
      <c r="OJB22" s="7"/>
      <c r="OJC22" s="7"/>
      <c r="OJD22" s="7"/>
      <c r="OJE22" s="7"/>
      <c r="OJF22" s="7"/>
      <c r="OJG22" s="7"/>
      <c r="OJH22" s="7"/>
      <c r="OJI22" s="7"/>
      <c r="OJJ22" s="7"/>
      <c r="OJK22" s="7"/>
      <c r="OJL22" s="7"/>
      <c r="OJM22" s="7"/>
      <c r="OJN22" s="7"/>
      <c r="OJO22" s="7"/>
      <c r="OJP22" s="7"/>
      <c r="OJQ22" s="7"/>
      <c r="OJR22" s="7"/>
      <c r="OJS22" s="7"/>
      <c r="OJT22" s="7"/>
      <c r="OJU22" s="7"/>
      <c r="OJV22" s="7"/>
      <c r="OJW22" s="7"/>
      <c r="OJX22" s="7"/>
      <c r="OJY22" s="7"/>
      <c r="OJZ22" s="7"/>
      <c r="OKA22" s="7"/>
      <c r="OKB22" s="7"/>
      <c r="OKC22" s="7"/>
      <c r="OKD22" s="7"/>
      <c r="OKE22" s="7"/>
      <c r="OKF22" s="7"/>
      <c r="OKG22" s="7"/>
      <c r="OKH22" s="7"/>
      <c r="OKI22" s="7"/>
      <c r="OKJ22" s="7"/>
      <c r="OKK22" s="7"/>
      <c r="OKL22" s="7"/>
      <c r="OKM22" s="7"/>
      <c r="OKN22" s="7"/>
      <c r="OKO22" s="7"/>
      <c r="OKP22" s="7"/>
      <c r="OKQ22" s="7"/>
      <c r="OKR22" s="7"/>
      <c r="OKS22" s="7"/>
      <c r="OKT22" s="7"/>
      <c r="OKU22" s="7"/>
      <c r="OKV22" s="7"/>
      <c r="OKW22" s="7"/>
      <c r="OKX22" s="7"/>
      <c r="OKY22" s="7"/>
      <c r="OKZ22" s="7"/>
      <c r="OLA22" s="7"/>
      <c r="OLB22" s="7"/>
      <c r="OLC22" s="7"/>
      <c r="OLD22" s="7"/>
      <c r="OLE22" s="7"/>
      <c r="OLF22" s="7"/>
      <c r="OLG22" s="7"/>
      <c r="OLH22" s="7"/>
      <c r="OLI22" s="7"/>
      <c r="OLJ22" s="7"/>
      <c r="OLK22" s="7"/>
      <c r="OLL22" s="7"/>
      <c r="OLM22" s="7"/>
      <c r="OLN22" s="7"/>
      <c r="OLO22" s="7"/>
      <c r="OLP22" s="7"/>
      <c r="OLQ22" s="7"/>
      <c r="OLR22" s="7"/>
      <c r="OLS22" s="7"/>
      <c r="OLT22" s="7"/>
      <c r="OLU22" s="7"/>
      <c r="OLV22" s="7"/>
      <c r="OLW22" s="7"/>
      <c r="OLX22" s="7"/>
      <c r="OLY22" s="7"/>
      <c r="OLZ22" s="7"/>
      <c r="OMA22" s="7"/>
      <c r="OMB22" s="7"/>
      <c r="OMC22" s="7"/>
      <c r="OMD22" s="7"/>
      <c r="OME22" s="7"/>
      <c r="OMF22" s="7"/>
      <c r="OMG22" s="7"/>
      <c r="OMH22" s="7"/>
      <c r="OMI22" s="7"/>
      <c r="OMJ22" s="7"/>
      <c r="OMK22" s="7"/>
      <c r="OML22" s="7"/>
      <c r="OMM22" s="7"/>
      <c r="OMN22" s="7"/>
      <c r="OMO22" s="7"/>
      <c r="OMP22" s="7"/>
      <c r="OMQ22" s="7"/>
      <c r="OMR22" s="7"/>
      <c r="OMS22" s="7"/>
      <c r="OMT22" s="7"/>
      <c r="OMU22" s="7"/>
      <c r="OMV22" s="7"/>
      <c r="OMW22" s="7"/>
      <c r="OMX22" s="7"/>
      <c r="OMY22" s="7"/>
      <c r="OMZ22" s="7"/>
      <c r="ONA22" s="7"/>
      <c r="ONB22" s="7"/>
      <c r="ONC22" s="7"/>
      <c r="OND22" s="7"/>
      <c r="ONE22" s="7"/>
      <c r="ONF22" s="7"/>
      <c r="ONG22" s="7"/>
      <c r="ONH22" s="7"/>
      <c r="ONI22" s="7"/>
      <c r="ONJ22" s="7"/>
      <c r="ONK22" s="7"/>
      <c r="ONL22" s="7"/>
      <c r="ONM22" s="7"/>
      <c r="ONN22" s="7"/>
      <c r="ONO22" s="7"/>
      <c r="ONP22" s="7"/>
      <c r="ONQ22" s="7"/>
      <c r="ONR22" s="7"/>
      <c r="ONS22" s="7"/>
      <c r="ONT22" s="7"/>
      <c r="ONU22" s="7"/>
      <c r="ONV22" s="7"/>
      <c r="ONW22" s="7"/>
      <c r="ONX22" s="7"/>
      <c r="ONY22" s="7"/>
      <c r="ONZ22" s="7"/>
      <c r="OOA22" s="7"/>
      <c r="OOB22" s="7"/>
      <c r="OOC22" s="7"/>
      <c r="OOD22" s="7"/>
      <c r="OOE22" s="7"/>
      <c r="OOF22" s="7"/>
      <c r="OOG22" s="7"/>
      <c r="OOH22" s="7"/>
      <c r="OOI22" s="7"/>
      <c r="OOJ22" s="7"/>
      <c r="OOK22" s="7"/>
      <c r="OOL22" s="7"/>
      <c r="OOM22" s="7"/>
      <c r="OON22" s="7"/>
      <c r="OOO22" s="7"/>
      <c r="OOP22" s="7"/>
      <c r="OOQ22" s="7"/>
      <c r="OOR22" s="7"/>
      <c r="OOS22" s="7"/>
      <c r="OOT22" s="7"/>
      <c r="OOU22" s="7"/>
      <c r="OOV22" s="7"/>
      <c r="OOW22" s="7"/>
      <c r="OOX22" s="7"/>
      <c r="OOY22" s="7"/>
      <c r="OOZ22" s="7"/>
      <c r="OPA22" s="7"/>
      <c r="OPB22" s="7"/>
      <c r="OPC22" s="7"/>
      <c r="OPD22" s="7"/>
      <c r="OPE22" s="7"/>
      <c r="OPF22" s="7"/>
      <c r="OPG22" s="7"/>
      <c r="OPH22" s="7"/>
      <c r="OPI22" s="7"/>
      <c r="OPJ22" s="7"/>
      <c r="OPK22" s="7"/>
      <c r="OPL22" s="7"/>
      <c r="OPM22" s="7"/>
      <c r="OPN22" s="7"/>
      <c r="OPO22" s="7"/>
      <c r="OPP22" s="7"/>
      <c r="OPQ22" s="7"/>
      <c r="OPR22" s="7"/>
      <c r="OPS22" s="7"/>
      <c r="OPT22" s="7"/>
      <c r="OPU22" s="7"/>
      <c r="OPV22" s="7"/>
      <c r="OPW22" s="7"/>
      <c r="OPX22" s="7"/>
      <c r="OPY22" s="7"/>
      <c r="OPZ22" s="7"/>
      <c r="OQA22" s="7"/>
      <c r="OQB22" s="7"/>
      <c r="OQC22" s="7"/>
      <c r="OQD22" s="7"/>
      <c r="OQE22" s="7"/>
      <c r="OQF22" s="7"/>
      <c r="OQG22" s="7"/>
      <c r="OQH22" s="7"/>
      <c r="OQI22" s="7"/>
      <c r="OQJ22" s="7"/>
      <c r="OQK22" s="7"/>
      <c r="OQL22" s="7"/>
      <c r="OQM22" s="7"/>
      <c r="OQN22" s="7"/>
      <c r="OQO22" s="7"/>
      <c r="OQP22" s="7"/>
      <c r="OQQ22" s="7"/>
      <c r="OQR22" s="7"/>
      <c r="OQS22" s="7"/>
      <c r="OQT22" s="7"/>
      <c r="OQU22" s="7"/>
      <c r="OQV22" s="7"/>
      <c r="OQW22" s="7"/>
      <c r="OQX22" s="7"/>
      <c r="OQY22" s="7"/>
      <c r="OQZ22" s="7"/>
      <c r="ORA22" s="7"/>
      <c r="ORB22" s="7"/>
      <c r="ORC22" s="7"/>
      <c r="ORD22" s="7"/>
      <c r="ORE22" s="7"/>
      <c r="ORF22" s="7"/>
      <c r="ORG22" s="7"/>
      <c r="ORH22" s="7"/>
      <c r="ORI22" s="7"/>
      <c r="ORJ22" s="7"/>
      <c r="ORK22" s="7"/>
      <c r="ORL22" s="7"/>
      <c r="ORM22" s="7"/>
      <c r="ORN22" s="7"/>
      <c r="ORO22" s="7"/>
      <c r="ORP22" s="7"/>
      <c r="ORQ22" s="7"/>
      <c r="ORR22" s="7"/>
      <c r="ORS22" s="7"/>
      <c r="ORT22" s="7"/>
      <c r="ORU22" s="7"/>
      <c r="ORV22" s="7"/>
      <c r="ORW22" s="7"/>
      <c r="ORX22" s="7"/>
      <c r="ORY22" s="7"/>
      <c r="ORZ22" s="7"/>
      <c r="OSA22" s="7"/>
      <c r="OSB22" s="7"/>
      <c r="OSC22" s="7"/>
      <c r="OSD22" s="7"/>
      <c r="OSE22" s="7"/>
      <c r="OSF22" s="7"/>
      <c r="OSG22" s="7"/>
      <c r="OSH22" s="7"/>
      <c r="OSI22" s="7"/>
      <c r="OSJ22" s="7"/>
      <c r="OSK22" s="7"/>
      <c r="OSL22" s="7"/>
      <c r="OSM22" s="7"/>
      <c r="OSN22" s="7"/>
      <c r="OSO22" s="7"/>
      <c r="OSP22" s="7"/>
      <c r="OSQ22" s="7"/>
      <c r="OSR22" s="7"/>
      <c r="OSS22" s="7"/>
      <c r="OST22" s="7"/>
      <c r="OSU22" s="7"/>
      <c r="OSV22" s="7"/>
      <c r="OSW22" s="7"/>
      <c r="OSX22" s="7"/>
      <c r="OSY22" s="7"/>
      <c r="OSZ22" s="7"/>
      <c r="OTA22" s="7"/>
      <c r="OTB22" s="7"/>
      <c r="OTC22" s="7"/>
      <c r="OTD22" s="7"/>
      <c r="OTE22" s="7"/>
      <c r="OTF22" s="7"/>
      <c r="OTG22" s="7"/>
      <c r="OTH22" s="7"/>
      <c r="OTI22" s="7"/>
      <c r="OTJ22" s="7"/>
      <c r="OTK22" s="7"/>
      <c r="OTL22" s="7"/>
      <c r="OTM22" s="7"/>
      <c r="OTN22" s="7"/>
      <c r="OTO22" s="7"/>
      <c r="OTP22" s="7"/>
      <c r="OTQ22" s="7"/>
      <c r="OTR22" s="7"/>
      <c r="OTS22" s="7"/>
      <c r="OTT22" s="7"/>
      <c r="OTU22" s="7"/>
      <c r="OTV22" s="7"/>
      <c r="OTW22" s="7"/>
      <c r="OTX22" s="7"/>
      <c r="OTY22" s="7"/>
      <c r="OTZ22" s="7"/>
      <c r="OUA22" s="7"/>
      <c r="OUB22" s="7"/>
      <c r="OUC22" s="7"/>
      <c r="OUD22" s="7"/>
      <c r="OUE22" s="7"/>
      <c r="OUF22" s="7"/>
      <c r="OUG22" s="7"/>
      <c r="OUH22" s="7"/>
      <c r="OUI22" s="7"/>
      <c r="OUJ22" s="7"/>
      <c r="OUK22" s="7"/>
      <c r="OUL22" s="7"/>
      <c r="OUM22" s="7"/>
      <c r="OUN22" s="7"/>
      <c r="OUO22" s="7"/>
      <c r="OUP22" s="7"/>
      <c r="OUQ22" s="7"/>
      <c r="OUR22" s="7"/>
      <c r="OUS22" s="7"/>
      <c r="OUT22" s="7"/>
      <c r="OUU22" s="7"/>
      <c r="OUV22" s="7"/>
      <c r="OUW22" s="7"/>
      <c r="OUX22" s="7"/>
      <c r="OUY22" s="7"/>
      <c r="OUZ22" s="7"/>
      <c r="OVA22" s="7"/>
      <c r="OVB22" s="7"/>
      <c r="OVC22" s="7"/>
      <c r="OVD22" s="7"/>
      <c r="OVE22" s="7"/>
      <c r="OVF22" s="7"/>
      <c r="OVG22" s="7"/>
      <c r="OVH22" s="7"/>
      <c r="OVI22" s="7"/>
      <c r="OVJ22" s="7"/>
      <c r="OVK22" s="7"/>
      <c r="OVL22" s="7"/>
      <c r="OVM22" s="7"/>
      <c r="OVN22" s="7"/>
      <c r="OVO22" s="7"/>
      <c r="OVP22" s="7"/>
      <c r="OVQ22" s="7"/>
      <c r="OVR22" s="7"/>
      <c r="OVS22" s="7"/>
      <c r="OVT22" s="7"/>
      <c r="OVU22" s="7"/>
      <c r="OVV22" s="7"/>
      <c r="OVW22" s="7"/>
      <c r="OVX22" s="7"/>
      <c r="OVY22" s="7"/>
      <c r="OVZ22" s="7"/>
      <c r="OWA22" s="7"/>
      <c r="OWB22" s="7"/>
      <c r="OWC22" s="7"/>
      <c r="OWD22" s="7"/>
      <c r="OWE22" s="7"/>
      <c r="OWF22" s="7"/>
      <c r="OWG22" s="7"/>
      <c r="OWH22" s="7"/>
      <c r="OWI22" s="7"/>
      <c r="OWJ22" s="7"/>
      <c r="OWK22" s="7"/>
      <c r="OWL22" s="7"/>
      <c r="OWM22" s="7"/>
      <c r="OWN22" s="7"/>
      <c r="OWO22" s="7"/>
      <c r="OWP22" s="7"/>
      <c r="OWQ22" s="7"/>
      <c r="OWR22" s="7"/>
      <c r="OWS22" s="7"/>
      <c r="OWT22" s="7"/>
      <c r="OWU22" s="7"/>
      <c r="OWV22" s="7"/>
      <c r="OWW22" s="7"/>
      <c r="OWX22" s="7"/>
      <c r="OWY22" s="7"/>
      <c r="OWZ22" s="7"/>
      <c r="OXA22" s="7"/>
      <c r="OXB22" s="7"/>
      <c r="OXC22" s="7"/>
      <c r="OXD22" s="7"/>
      <c r="OXE22" s="7"/>
      <c r="OXF22" s="7"/>
      <c r="OXG22" s="7"/>
      <c r="OXH22" s="7"/>
      <c r="OXI22" s="7"/>
      <c r="OXJ22" s="7"/>
      <c r="OXK22" s="7"/>
      <c r="OXL22" s="7"/>
      <c r="OXM22" s="7"/>
      <c r="OXN22" s="7"/>
      <c r="OXO22" s="7"/>
      <c r="OXP22" s="7"/>
      <c r="OXQ22" s="7"/>
      <c r="OXR22" s="7"/>
      <c r="OXS22" s="7"/>
      <c r="OXT22" s="7"/>
      <c r="OXU22" s="7"/>
      <c r="OXV22" s="7"/>
      <c r="OXW22" s="7"/>
      <c r="OXX22" s="7"/>
      <c r="OXY22" s="7"/>
      <c r="OXZ22" s="7"/>
      <c r="OYA22" s="7"/>
      <c r="OYB22" s="7"/>
      <c r="OYC22" s="7"/>
      <c r="OYD22" s="7"/>
      <c r="OYE22" s="7"/>
      <c r="OYF22" s="7"/>
      <c r="OYG22" s="7"/>
      <c r="OYH22" s="7"/>
      <c r="OYI22" s="7"/>
      <c r="OYJ22" s="7"/>
      <c r="OYK22" s="7"/>
      <c r="OYL22" s="7"/>
      <c r="OYM22" s="7"/>
      <c r="OYN22" s="7"/>
      <c r="OYO22" s="7"/>
      <c r="OYP22" s="7"/>
      <c r="OYQ22" s="7"/>
      <c r="OYR22" s="7"/>
      <c r="OYS22" s="7"/>
      <c r="OYT22" s="7"/>
      <c r="OYU22" s="7"/>
      <c r="OYV22" s="7"/>
      <c r="OYW22" s="7"/>
      <c r="OYX22" s="7"/>
      <c r="OYY22" s="7"/>
      <c r="OYZ22" s="7"/>
      <c r="OZA22" s="7"/>
      <c r="OZB22" s="7"/>
      <c r="OZC22" s="7"/>
      <c r="OZD22" s="7"/>
      <c r="OZE22" s="7"/>
      <c r="OZF22" s="7"/>
      <c r="OZG22" s="7"/>
      <c r="OZH22" s="7"/>
      <c r="OZI22" s="7"/>
      <c r="OZJ22" s="7"/>
      <c r="OZK22" s="7"/>
      <c r="OZL22" s="7"/>
      <c r="OZM22" s="7"/>
      <c r="OZN22" s="7"/>
      <c r="OZO22" s="7"/>
      <c r="OZP22" s="7"/>
      <c r="OZQ22" s="7"/>
      <c r="OZR22" s="7"/>
      <c r="OZS22" s="7"/>
      <c r="OZT22" s="7"/>
      <c r="OZU22" s="7"/>
      <c r="OZV22" s="7"/>
      <c r="OZW22" s="7"/>
      <c r="OZX22" s="7"/>
      <c r="OZY22" s="7"/>
      <c r="OZZ22" s="7"/>
      <c r="PAA22" s="7"/>
      <c r="PAB22" s="7"/>
      <c r="PAC22" s="7"/>
      <c r="PAD22" s="7"/>
      <c r="PAE22" s="7"/>
      <c r="PAF22" s="7"/>
      <c r="PAG22" s="7"/>
      <c r="PAH22" s="7"/>
      <c r="PAI22" s="7"/>
      <c r="PAJ22" s="7"/>
      <c r="PAK22" s="7"/>
      <c r="PAL22" s="7"/>
      <c r="PAM22" s="7"/>
      <c r="PAN22" s="7"/>
      <c r="PAO22" s="7"/>
      <c r="PAP22" s="7"/>
      <c r="PAQ22" s="7"/>
      <c r="PAR22" s="7"/>
      <c r="PAS22" s="7"/>
      <c r="PAT22" s="7"/>
      <c r="PAU22" s="7"/>
      <c r="PAV22" s="7"/>
      <c r="PAW22" s="7"/>
      <c r="PAX22" s="7"/>
      <c r="PAY22" s="7"/>
      <c r="PAZ22" s="7"/>
      <c r="PBA22" s="7"/>
      <c r="PBB22" s="7"/>
      <c r="PBC22" s="7"/>
      <c r="PBD22" s="7"/>
      <c r="PBE22" s="7"/>
      <c r="PBF22" s="7"/>
      <c r="PBG22" s="7"/>
      <c r="PBH22" s="7"/>
      <c r="PBI22" s="7"/>
      <c r="PBJ22" s="7"/>
      <c r="PBK22" s="7"/>
      <c r="PBL22" s="7"/>
      <c r="PBM22" s="7"/>
      <c r="PBN22" s="7"/>
      <c r="PBO22" s="7"/>
      <c r="PBP22" s="7"/>
      <c r="PBQ22" s="7"/>
      <c r="PBR22" s="7"/>
      <c r="PBS22" s="7"/>
      <c r="PBT22" s="7"/>
      <c r="PBU22" s="7"/>
      <c r="PBV22" s="7"/>
      <c r="PBW22" s="7"/>
      <c r="PBX22" s="7"/>
      <c r="PBY22" s="7"/>
      <c r="PBZ22" s="7"/>
      <c r="PCA22" s="7"/>
      <c r="PCB22" s="7"/>
      <c r="PCC22" s="7"/>
      <c r="PCD22" s="7"/>
      <c r="PCE22" s="7"/>
      <c r="PCF22" s="7"/>
      <c r="PCG22" s="7"/>
      <c r="PCH22" s="7"/>
      <c r="PCI22" s="7"/>
      <c r="PCJ22" s="7"/>
      <c r="PCK22" s="7"/>
      <c r="PCL22" s="7"/>
      <c r="PCM22" s="7"/>
      <c r="PCN22" s="7"/>
      <c r="PCO22" s="7"/>
      <c r="PCP22" s="7"/>
      <c r="PCQ22" s="7"/>
      <c r="PCR22" s="7"/>
      <c r="PCS22" s="7"/>
      <c r="PCT22" s="7"/>
      <c r="PCU22" s="7"/>
      <c r="PCV22" s="7"/>
      <c r="PCW22" s="7"/>
      <c r="PCX22" s="7"/>
      <c r="PCY22" s="7"/>
      <c r="PCZ22" s="7"/>
      <c r="PDA22" s="7"/>
      <c r="PDB22" s="7"/>
      <c r="PDC22" s="7"/>
      <c r="PDD22" s="7"/>
      <c r="PDE22" s="7"/>
      <c r="PDF22" s="7"/>
      <c r="PDG22" s="7"/>
      <c r="PDH22" s="7"/>
      <c r="PDI22" s="7"/>
      <c r="PDJ22" s="7"/>
      <c r="PDK22" s="7"/>
      <c r="PDL22" s="7"/>
      <c r="PDM22" s="7"/>
      <c r="PDN22" s="7"/>
      <c r="PDO22" s="7"/>
      <c r="PDP22" s="7"/>
      <c r="PDQ22" s="7"/>
      <c r="PDR22" s="7"/>
      <c r="PDS22" s="7"/>
      <c r="PDT22" s="7"/>
      <c r="PDU22" s="7"/>
      <c r="PDV22" s="7"/>
      <c r="PDW22" s="7"/>
      <c r="PDX22" s="7"/>
      <c r="PDY22" s="7"/>
      <c r="PDZ22" s="7"/>
      <c r="PEA22" s="7"/>
      <c r="PEB22" s="7"/>
      <c r="PEC22" s="7"/>
      <c r="PED22" s="7"/>
      <c r="PEE22" s="7"/>
      <c r="PEF22" s="7"/>
      <c r="PEG22" s="7"/>
      <c r="PEH22" s="7"/>
      <c r="PEI22" s="7"/>
      <c r="PEJ22" s="7"/>
      <c r="PEK22" s="7"/>
      <c r="PEL22" s="7"/>
      <c r="PEM22" s="7"/>
      <c r="PEN22" s="7"/>
      <c r="PEO22" s="7"/>
      <c r="PEP22" s="7"/>
      <c r="PEQ22" s="7"/>
      <c r="PER22" s="7"/>
      <c r="PES22" s="7"/>
      <c r="PET22" s="7"/>
      <c r="PEU22" s="7"/>
      <c r="PEV22" s="7"/>
      <c r="PEW22" s="7"/>
      <c r="PEX22" s="7"/>
      <c r="PEY22" s="7"/>
      <c r="PEZ22" s="7"/>
      <c r="PFA22" s="7"/>
      <c r="PFB22" s="7"/>
      <c r="PFC22" s="7"/>
      <c r="PFD22" s="7"/>
      <c r="PFE22" s="7"/>
      <c r="PFF22" s="7"/>
      <c r="PFG22" s="7"/>
      <c r="PFH22" s="7"/>
      <c r="PFI22" s="7"/>
      <c r="PFJ22" s="7"/>
      <c r="PFK22" s="7"/>
      <c r="PFL22" s="7"/>
      <c r="PFM22" s="7"/>
      <c r="PFN22" s="7"/>
      <c r="PFO22" s="7"/>
      <c r="PFP22" s="7"/>
      <c r="PFQ22" s="7"/>
      <c r="PFR22" s="7"/>
      <c r="PFS22" s="7"/>
      <c r="PFT22" s="7"/>
      <c r="PFU22" s="7"/>
      <c r="PFV22" s="7"/>
      <c r="PFW22" s="7"/>
      <c r="PFX22" s="7"/>
      <c r="PFY22" s="7"/>
      <c r="PFZ22" s="7"/>
      <c r="PGA22" s="7"/>
      <c r="PGB22" s="7"/>
      <c r="PGC22" s="7"/>
      <c r="PGD22" s="7"/>
      <c r="PGE22" s="7"/>
      <c r="PGF22" s="7"/>
      <c r="PGG22" s="7"/>
      <c r="PGH22" s="7"/>
      <c r="PGI22" s="7"/>
      <c r="PGJ22" s="7"/>
      <c r="PGK22" s="7"/>
      <c r="PGL22" s="7"/>
      <c r="PGM22" s="7"/>
      <c r="PGN22" s="7"/>
      <c r="PGO22" s="7"/>
      <c r="PGP22" s="7"/>
      <c r="PGQ22" s="7"/>
      <c r="PGR22" s="7"/>
      <c r="PGS22" s="7"/>
      <c r="PGT22" s="7"/>
      <c r="PGU22" s="7"/>
      <c r="PGV22" s="7"/>
      <c r="PGW22" s="7"/>
      <c r="PGX22" s="7"/>
      <c r="PGY22" s="7"/>
      <c r="PGZ22" s="7"/>
      <c r="PHA22" s="7"/>
      <c r="PHB22" s="7"/>
      <c r="PHC22" s="7"/>
      <c r="PHD22" s="7"/>
      <c r="PHE22" s="7"/>
      <c r="PHF22" s="7"/>
      <c r="PHG22" s="7"/>
      <c r="PHH22" s="7"/>
      <c r="PHI22" s="7"/>
      <c r="PHJ22" s="7"/>
      <c r="PHK22" s="7"/>
      <c r="PHL22" s="7"/>
      <c r="PHM22" s="7"/>
      <c r="PHN22" s="7"/>
      <c r="PHO22" s="7"/>
      <c r="PHP22" s="7"/>
      <c r="PHQ22" s="7"/>
      <c r="PHR22" s="7"/>
      <c r="PHS22" s="7"/>
      <c r="PHT22" s="7"/>
      <c r="PHU22" s="7"/>
      <c r="PHV22" s="7"/>
      <c r="PHW22" s="7"/>
      <c r="PHX22" s="7"/>
      <c r="PHY22" s="7"/>
      <c r="PHZ22" s="7"/>
      <c r="PIA22" s="7"/>
      <c r="PIB22" s="7"/>
      <c r="PIC22" s="7"/>
      <c r="PID22" s="7"/>
      <c r="PIE22" s="7"/>
      <c r="PIF22" s="7"/>
      <c r="PIG22" s="7"/>
      <c r="PIH22" s="7"/>
      <c r="PII22" s="7"/>
      <c r="PIJ22" s="7"/>
      <c r="PIK22" s="7"/>
      <c r="PIL22" s="7"/>
      <c r="PIM22" s="7"/>
      <c r="PIN22" s="7"/>
      <c r="PIO22" s="7"/>
      <c r="PIP22" s="7"/>
      <c r="PIQ22" s="7"/>
      <c r="PIR22" s="7"/>
      <c r="PIS22" s="7"/>
      <c r="PIT22" s="7"/>
      <c r="PIU22" s="7"/>
      <c r="PIV22" s="7"/>
      <c r="PIW22" s="7"/>
      <c r="PIX22" s="7"/>
      <c r="PIY22" s="7"/>
      <c r="PIZ22" s="7"/>
      <c r="PJA22" s="7"/>
      <c r="PJB22" s="7"/>
      <c r="PJC22" s="7"/>
      <c r="PJD22" s="7"/>
      <c r="PJE22" s="7"/>
      <c r="PJF22" s="7"/>
      <c r="PJG22" s="7"/>
      <c r="PJH22" s="7"/>
      <c r="PJI22" s="7"/>
      <c r="PJJ22" s="7"/>
      <c r="PJK22" s="7"/>
      <c r="PJL22" s="7"/>
      <c r="PJM22" s="7"/>
      <c r="PJN22" s="7"/>
      <c r="PJO22" s="7"/>
      <c r="PJP22" s="7"/>
      <c r="PJQ22" s="7"/>
      <c r="PJR22" s="7"/>
      <c r="PJS22" s="7"/>
      <c r="PJT22" s="7"/>
      <c r="PJU22" s="7"/>
      <c r="PJV22" s="7"/>
      <c r="PJW22" s="7"/>
      <c r="PJX22" s="7"/>
      <c r="PJY22" s="7"/>
      <c r="PJZ22" s="7"/>
      <c r="PKA22" s="7"/>
      <c r="PKB22" s="7"/>
      <c r="PKC22" s="7"/>
      <c r="PKD22" s="7"/>
      <c r="PKE22" s="7"/>
      <c r="PKF22" s="7"/>
      <c r="PKG22" s="7"/>
      <c r="PKH22" s="7"/>
      <c r="PKI22" s="7"/>
      <c r="PKJ22" s="7"/>
      <c r="PKK22" s="7"/>
      <c r="PKL22" s="7"/>
      <c r="PKM22" s="7"/>
      <c r="PKN22" s="7"/>
      <c r="PKO22" s="7"/>
      <c r="PKP22" s="7"/>
      <c r="PKQ22" s="7"/>
      <c r="PKR22" s="7"/>
      <c r="PKS22" s="7"/>
      <c r="PKT22" s="7"/>
      <c r="PKU22" s="7"/>
      <c r="PKV22" s="7"/>
      <c r="PKW22" s="7"/>
      <c r="PKX22" s="7"/>
      <c r="PKY22" s="7"/>
      <c r="PKZ22" s="7"/>
      <c r="PLA22" s="7"/>
      <c r="PLB22" s="7"/>
      <c r="PLC22" s="7"/>
      <c r="PLD22" s="7"/>
      <c r="PLE22" s="7"/>
      <c r="PLF22" s="7"/>
      <c r="PLG22" s="7"/>
      <c r="PLH22" s="7"/>
      <c r="PLI22" s="7"/>
      <c r="PLJ22" s="7"/>
      <c r="PLK22" s="7"/>
      <c r="PLL22" s="7"/>
      <c r="PLM22" s="7"/>
      <c r="PLN22" s="7"/>
      <c r="PLO22" s="7"/>
      <c r="PLP22" s="7"/>
      <c r="PLQ22" s="7"/>
      <c r="PLR22" s="7"/>
      <c r="PLS22" s="7"/>
      <c r="PLT22" s="7"/>
      <c r="PLU22" s="7"/>
      <c r="PLV22" s="7"/>
      <c r="PLW22" s="7"/>
      <c r="PLX22" s="7"/>
      <c r="PLY22" s="7"/>
      <c r="PLZ22" s="7"/>
      <c r="PMA22" s="7"/>
      <c r="PMB22" s="7"/>
      <c r="PMC22" s="7"/>
      <c r="PMD22" s="7"/>
      <c r="PME22" s="7"/>
      <c r="PMF22" s="7"/>
      <c r="PMG22" s="7"/>
      <c r="PMH22" s="7"/>
      <c r="PMI22" s="7"/>
      <c r="PMJ22" s="7"/>
      <c r="PMK22" s="7"/>
      <c r="PML22" s="7"/>
      <c r="PMM22" s="7"/>
      <c r="PMN22" s="7"/>
      <c r="PMO22" s="7"/>
      <c r="PMP22" s="7"/>
      <c r="PMQ22" s="7"/>
      <c r="PMR22" s="7"/>
      <c r="PMS22" s="7"/>
      <c r="PMT22" s="7"/>
      <c r="PMU22" s="7"/>
      <c r="PMV22" s="7"/>
      <c r="PMW22" s="7"/>
      <c r="PMX22" s="7"/>
      <c r="PMY22" s="7"/>
      <c r="PMZ22" s="7"/>
      <c r="PNA22" s="7"/>
      <c r="PNB22" s="7"/>
      <c r="PNC22" s="7"/>
      <c r="PND22" s="7"/>
      <c r="PNE22" s="7"/>
      <c r="PNF22" s="7"/>
      <c r="PNG22" s="7"/>
      <c r="PNH22" s="7"/>
      <c r="PNI22" s="7"/>
      <c r="PNJ22" s="7"/>
      <c r="PNK22" s="7"/>
      <c r="PNL22" s="7"/>
      <c r="PNM22" s="7"/>
      <c r="PNN22" s="7"/>
      <c r="PNO22" s="7"/>
      <c r="PNP22" s="7"/>
      <c r="PNQ22" s="7"/>
      <c r="PNR22" s="7"/>
      <c r="PNS22" s="7"/>
      <c r="PNT22" s="7"/>
      <c r="PNU22" s="7"/>
      <c r="PNV22" s="7"/>
      <c r="PNW22" s="7"/>
      <c r="PNX22" s="7"/>
      <c r="PNY22" s="7"/>
      <c r="PNZ22" s="7"/>
      <c r="POA22" s="7"/>
      <c r="POB22" s="7"/>
      <c r="POC22" s="7"/>
      <c r="POD22" s="7"/>
      <c r="POE22" s="7"/>
      <c r="POF22" s="7"/>
      <c r="POG22" s="7"/>
      <c r="POH22" s="7"/>
      <c r="POI22" s="7"/>
      <c r="POJ22" s="7"/>
      <c r="POK22" s="7"/>
      <c r="POL22" s="7"/>
      <c r="POM22" s="7"/>
      <c r="PON22" s="7"/>
      <c r="POO22" s="7"/>
      <c r="POP22" s="7"/>
      <c r="POQ22" s="7"/>
      <c r="POR22" s="7"/>
      <c r="POS22" s="7"/>
      <c r="POT22" s="7"/>
      <c r="POU22" s="7"/>
      <c r="POV22" s="7"/>
      <c r="POW22" s="7"/>
      <c r="POX22" s="7"/>
      <c r="POY22" s="7"/>
      <c r="POZ22" s="7"/>
      <c r="PPA22" s="7"/>
      <c r="PPB22" s="7"/>
      <c r="PPC22" s="7"/>
      <c r="PPD22" s="7"/>
      <c r="PPE22" s="7"/>
      <c r="PPF22" s="7"/>
      <c r="PPG22" s="7"/>
      <c r="PPH22" s="7"/>
      <c r="PPI22" s="7"/>
      <c r="PPJ22" s="7"/>
      <c r="PPK22" s="7"/>
      <c r="PPL22" s="7"/>
      <c r="PPM22" s="7"/>
      <c r="PPN22" s="7"/>
      <c r="PPO22" s="7"/>
      <c r="PPP22" s="7"/>
      <c r="PPQ22" s="7"/>
      <c r="PPR22" s="7"/>
      <c r="PPS22" s="7"/>
      <c r="PPT22" s="7"/>
      <c r="PPU22" s="7"/>
      <c r="PPV22" s="7"/>
      <c r="PPW22" s="7"/>
      <c r="PPX22" s="7"/>
      <c r="PPY22" s="7"/>
      <c r="PPZ22" s="7"/>
      <c r="PQA22" s="7"/>
      <c r="PQB22" s="7"/>
      <c r="PQC22" s="7"/>
      <c r="PQD22" s="7"/>
      <c r="PQE22" s="7"/>
      <c r="PQF22" s="7"/>
      <c r="PQG22" s="7"/>
      <c r="PQH22" s="7"/>
      <c r="PQI22" s="7"/>
      <c r="PQJ22" s="7"/>
      <c r="PQK22" s="7"/>
      <c r="PQL22" s="7"/>
      <c r="PQM22" s="7"/>
      <c r="PQN22" s="7"/>
      <c r="PQO22" s="7"/>
      <c r="PQP22" s="7"/>
      <c r="PQQ22" s="7"/>
      <c r="PQR22" s="7"/>
      <c r="PQS22" s="7"/>
      <c r="PQT22" s="7"/>
      <c r="PQU22" s="7"/>
      <c r="PQV22" s="7"/>
      <c r="PQW22" s="7"/>
      <c r="PQX22" s="7"/>
      <c r="PQY22" s="7"/>
      <c r="PQZ22" s="7"/>
      <c r="PRA22" s="7"/>
      <c r="PRB22" s="7"/>
      <c r="PRC22" s="7"/>
      <c r="PRD22" s="7"/>
      <c r="PRE22" s="7"/>
      <c r="PRF22" s="7"/>
      <c r="PRG22" s="7"/>
      <c r="PRH22" s="7"/>
      <c r="PRI22" s="7"/>
      <c r="PRJ22" s="7"/>
      <c r="PRK22" s="7"/>
      <c r="PRL22" s="7"/>
      <c r="PRM22" s="7"/>
      <c r="PRN22" s="7"/>
      <c r="PRO22" s="7"/>
      <c r="PRP22" s="7"/>
      <c r="PRQ22" s="7"/>
      <c r="PRR22" s="7"/>
      <c r="PRS22" s="7"/>
      <c r="PRT22" s="7"/>
      <c r="PRU22" s="7"/>
      <c r="PRV22" s="7"/>
      <c r="PRW22" s="7"/>
      <c r="PRX22" s="7"/>
      <c r="PRY22" s="7"/>
      <c r="PRZ22" s="7"/>
      <c r="PSA22" s="7"/>
      <c r="PSB22" s="7"/>
      <c r="PSC22" s="7"/>
      <c r="PSD22" s="7"/>
      <c r="PSE22" s="7"/>
      <c r="PSF22" s="7"/>
      <c r="PSG22" s="7"/>
      <c r="PSH22" s="7"/>
      <c r="PSI22" s="7"/>
      <c r="PSJ22" s="7"/>
      <c r="PSK22" s="7"/>
      <c r="PSL22" s="7"/>
      <c r="PSM22" s="7"/>
      <c r="PSN22" s="7"/>
      <c r="PSO22" s="7"/>
      <c r="PSP22" s="7"/>
      <c r="PSQ22" s="7"/>
      <c r="PSR22" s="7"/>
      <c r="PSS22" s="7"/>
      <c r="PST22" s="7"/>
      <c r="PSU22" s="7"/>
      <c r="PSV22" s="7"/>
      <c r="PSW22" s="7"/>
      <c r="PSX22" s="7"/>
      <c r="PSY22" s="7"/>
      <c r="PSZ22" s="7"/>
      <c r="PTA22" s="7"/>
      <c r="PTB22" s="7"/>
      <c r="PTC22" s="7"/>
      <c r="PTD22" s="7"/>
      <c r="PTE22" s="7"/>
      <c r="PTF22" s="7"/>
      <c r="PTG22" s="7"/>
      <c r="PTH22" s="7"/>
      <c r="PTI22" s="7"/>
      <c r="PTJ22" s="7"/>
      <c r="PTK22" s="7"/>
      <c r="PTL22" s="7"/>
      <c r="PTM22" s="7"/>
      <c r="PTN22" s="7"/>
      <c r="PTO22" s="7"/>
      <c r="PTP22" s="7"/>
      <c r="PTQ22" s="7"/>
      <c r="PTR22" s="7"/>
      <c r="PTS22" s="7"/>
      <c r="PTT22" s="7"/>
      <c r="PTU22" s="7"/>
      <c r="PTV22" s="7"/>
      <c r="PTW22" s="7"/>
      <c r="PTX22" s="7"/>
      <c r="PTY22" s="7"/>
      <c r="PTZ22" s="7"/>
      <c r="PUA22" s="7"/>
      <c r="PUB22" s="7"/>
      <c r="PUC22" s="7"/>
      <c r="PUD22" s="7"/>
      <c r="PUE22" s="7"/>
      <c r="PUF22" s="7"/>
      <c r="PUG22" s="7"/>
      <c r="PUH22" s="7"/>
      <c r="PUI22" s="7"/>
      <c r="PUJ22" s="7"/>
      <c r="PUK22" s="7"/>
      <c r="PUL22" s="7"/>
      <c r="PUM22" s="7"/>
      <c r="PUN22" s="7"/>
      <c r="PUO22" s="7"/>
      <c r="PUP22" s="7"/>
      <c r="PUQ22" s="7"/>
      <c r="PUR22" s="7"/>
      <c r="PUS22" s="7"/>
      <c r="PUT22" s="7"/>
      <c r="PUU22" s="7"/>
      <c r="PUV22" s="7"/>
      <c r="PUW22" s="7"/>
      <c r="PUX22" s="7"/>
      <c r="PUY22" s="7"/>
      <c r="PUZ22" s="7"/>
      <c r="PVA22" s="7"/>
      <c r="PVB22" s="7"/>
      <c r="PVC22" s="7"/>
      <c r="PVD22" s="7"/>
      <c r="PVE22" s="7"/>
      <c r="PVF22" s="7"/>
      <c r="PVG22" s="7"/>
      <c r="PVH22" s="7"/>
      <c r="PVI22" s="7"/>
      <c r="PVJ22" s="7"/>
      <c r="PVK22" s="7"/>
      <c r="PVL22" s="7"/>
      <c r="PVM22" s="7"/>
      <c r="PVN22" s="7"/>
      <c r="PVO22" s="7"/>
      <c r="PVP22" s="7"/>
      <c r="PVQ22" s="7"/>
      <c r="PVR22" s="7"/>
      <c r="PVS22" s="7"/>
      <c r="PVT22" s="7"/>
      <c r="PVU22" s="7"/>
      <c r="PVV22" s="7"/>
      <c r="PVW22" s="7"/>
      <c r="PVX22" s="7"/>
      <c r="PVY22" s="7"/>
      <c r="PVZ22" s="7"/>
      <c r="PWA22" s="7"/>
      <c r="PWB22" s="7"/>
      <c r="PWC22" s="7"/>
      <c r="PWD22" s="7"/>
      <c r="PWE22" s="7"/>
      <c r="PWF22" s="7"/>
      <c r="PWG22" s="7"/>
      <c r="PWH22" s="7"/>
      <c r="PWI22" s="7"/>
      <c r="PWJ22" s="7"/>
      <c r="PWK22" s="7"/>
      <c r="PWL22" s="7"/>
      <c r="PWM22" s="7"/>
      <c r="PWN22" s="7"/>
      <c r="PWO22" s="7"/>
      <c r="PWP22" s="7"/>
      <c r="PWQ22" s="7"/>
      <c r="PWR22" s="7"/>
      <c r="PWS22" s="7"/>
      <c r="PWT22" s="7"/>
      <c r="PWU22" s="7"/>
      <c r="PWV22" s="7"/>
      <c r="PWW22" s="7"/>
      <c r="PWX22" s="7"/>
      <c r="PWY22" s="7"/>
      <c r="PWZ22" s="7"/>
      <c r="PXA22" s="7"/>
      <c r="PXB22" s="7"/>
      <c r="PXC22" s="7"/>
      <c r="PXD22" s="7"/>
      <c r="PXE22" s="7"/>
      <c r="PXF22" s="7"/>
      <c r="PXG22" s="7"/>
      <c r="PXH22" s="7"/>
      <c r="PXI22" s="7"/>
      <c r="PXJ22" s="7"/>
      <c r="PXK22" s="7"/>
      <c r="PXL22" s="7"/>
      <c r="PXM22" s="7"/>
      <c r="PXN22" s="7"/>
      <c r="PXO22" s="7"/>
      <c r="PXP22" s="7"/>
      <c r="PXQ22" s="7"/>
      <c r="PXR22" s="7"/>
      <c r="PXS22" s="7"/>
      <c r="PXT22" s="7"/>
      <c r="PXU22" s="7"/>
      <c r="PXV22" s="7"/>
      <c r="PXW22" s="7"/>
      <c r="PXX22" s="7"/>
      <c r="PXY22" s="7"/>
      <c r="PXZ22" s="7"/>
      <c r="PYA22" s="7"/>
      <c r="PYB22" s="7"/>
      <c r="PYC22" s="7"/>
      <c r="PYD22" s="7"/>
      <c r="PYE22" s="7"/>
      <c r="PYF22" s="7"/>
      <c r="PYG22" s="7"/>
      <c r="PYH22" s="7"/>
      <c r="PYI22" s="7"/>
      <c r="PYJ22" s="7"/>
      <c r="PYK22" s="7"/>
      <c r="PYL22" s="7"/>
      <c r="PYM22" s="7"/>
      <c r="PYN22" s="7"/>
      <c r="PYO22" s="7"/>
      <c r="PYP22" s="7"/>
      <c r="PYQ22" s="7"/>
      <c r="PYR22" s="7"/>
      <c r="PYS22" s="7"/>
      <c r="PYT22" s="7"/>
      <c r="PYU22" s="7"/>
      <c r="PYV22" s="7"/>
      <c r="PYW22" s="7"/>
      <c r="PYX22" s="7"/>
      <c r="PYY22" s="7"/>
      <c r="PYZ22" s="7"/>
      <c r="PZA22" s="7"/>
      <c r="PZB22" s="7"/>
      <c r="PZC22" s="7"/>
      <c r="PZD22" s="7"/>
      <c r="PZE22" s="7"/>
      <c r="PZF22" s="7"/>
      <c r="PZG22" s="7"/>
      <c r="PZH22" s="7"/>
      <c r="PZI22" s="7"/>
      <c r="PZJ22" s="7"/>
      <c r="PZK22" s="7"/>
      <c r="PZL22" s="7"/>
      <c r="PZM22" s="7"/>
      <c r="PZN22" s="7"/>
      <c r="PZO22" s="7"/>
      <c r="PZP22" s="7"/>
      <c r="PZQ22" s="7"/>
      <c r="PZR22" s="7"/>
      <c r="PZS22" s="7"/>
      <c r="PZT22" s="7"/>
      <c r="PZU22" s="7"/>
      <c r="PZV22" s="7"/>
      <c r="PZW22" s="7"/>
      <c r="PZX22" s="7"/>
      <c r="PZY22" s="7"/>
      <c r="PZZ22" s="7"/>
      <c r="QAA22" s="7"/>
      <c r="QAB22" s="7"/>
      <c r="QAC22" s="7"/>
      <c r="QAD22" s="7"/>
      <c r="QAE22" s="7"/>
      <c r="QAF22" s="7"/>
      <c r="QAG22" s="7"/>
      <c r="QAH22" s="7"/>
      <c r="QAI22" s="7"/>
      <c r="QAJ22" s="7"/>
      <c r="QAK22" s="7"/>
      <c r="QAL22" s="7"/>
      <c r="QAM22" s="7"/>
      <c r="QAN22" s="7"/>
      <c r="QAO22" s="7"/>
      <c r="QAP22" s="7"/>
      <c r="QAQ22" s="7"/>
      <c r="QAR22" s="7"/>
      <c r="QAS22" s="7"/>
      <c r="QAT22" s="7"/>
      <c r="QAU22" s="7"/>
      <c r="QAV22" s="7"/>
      <c r="QAW22" s="7"/>
      <c r="QAX22" s="7"/>
      <c r="QAY22" s="7"/>
      <c r="QAZ22" s="7"/>
      <c r="QBA22" s="7"/>
      <c r="QBB22" s="7"/>
      <c r="QBC22" s="7"/>
      <c r="QBD22" s="7"/>
      <c r="QBE22" s="7"/>
      <c r="QBF22" s="7"/>
      <c r="QBG22" s="7"/>
      <c r="QBH22" s="7"/>
      <c r="QBI22" s="7"/>
      <c r="QBJ22" s="7"/>
      <c r="QBK22" s="7"/>
      <c r="QBL22" s="7"/>
      <c r="QBM22" s="7"/>
      <c r="QBN22" s="7"/>
      <c r="QBO22" s="7"/>
      <c r="QBP22" s="7"/>
      <c r="QBQ22" s="7"/>
      <c r="QBR22" s="7"/>
      <c r="QBS22" s="7"/>
      <c r="QBT22" s="7"/>
      <c r="QBU22" s="7"/>
      <c r="QBV22" s="7"/>
      <c r="QBW22" s="7"/>
      <c r="QBX22" s="7"/>
      <c r="QBY22" s="7"/>
      <c r="QBZ22" s="7"/>
      <c r="QCA22" s="7"/>
      <c r="QCB22" s="7"/>
      <c r="QCC22" s="7"/>
      <c r="QCD22" s="7"/>
      <c r="QCE22" s="7"/>
      <c r="QCF22" s="7"/>
      <c r="QCG22" s="7"/>
      <c r="QCH22" s="7"/>
      <c r="QCI22" s="7"/>
      <c r="QCJ22" s="7"/>
      <c r="QCK22" s="7"/>
      <c r="QCL22" s="7"/>
      <c r="QCM22" s="7"/>
      <c r="QCN22" s="7"/>
      <c r="QCO22" s="7"/>
      <c r="QCP22" s="7"/>
      <c r="QCQ22" s="7"/>
      <c r="QCR22" s="7"/>
      <c r="QCS22" s="7"/>
      <c r="QCT22" s="7"/>
      <c r="QCU22" s="7"/>
      <c r="QCV22" s="7"/>
      <c r="QCW22" s="7"/>
      <c r="QCX22" s="7"/>
      <c r="QCY22" s="7"/>
      <c r="QCZ22" s="7"/>
      <c r="QDA22" s="7"/>
      <c r="QDB22" s="7"/>
      <c r="QDC22" s="7"/>
      <c r="QDD22" s="7"/>
      <c r="QDE22" s="7"/>
      <c r="QDF22" s="7"/>
      <c r="QDG22" s="7"/>
      <c r="QDH22" s="7"/>
      <c r="QDI22" s="7"/>
      <c r="QDJ22" s="7"/>
      <c r="QDK22" s="7"/>
      <c r="QDL22" s="7"/>
      <c r="QDM22" s="7"/>
      <c r="QDN22" s="7"/>
      <c r="QDO22" s="7"/>
      <c r="QDP22" s="7"/>
      <c r="QDQ22" s="7"/>
      <c r="QDR22" s="7"/>
      <c r="QDS22" s="7"/>
      <c r="QDT22" s="7"/>
      <c r="QDU22" s="7"/>
      <c r="QDV22" s="7"/>
      <c r="QDW22" s="7"/>
      <c r="QDX22" s="7"/>
      <c r="QDY22" s="7"/>
      <c r="QDZ22" s="7"/>
      <c r="QEA22" s="7"/>
      <c r="QEB22" s="7"/>
      <c r="QEC22" s="7"/>
      <c r="QED22" s="7"/>
      <c r="QEE22" s="7"/>
      <c r="QEF22" s="7"/>
      <c r="QEG22" s="7"/>
      <c r="QEH22" s="7"/>
      <c r="QEI22" s="7"/>
      <c r="QEJ22" s="7"/>
      <c r="QEK22" s="7"/>
      <c r="QEL22" s="7"/>
      <c r="QEM22" s="7"/>
      <c r="QEN22" s="7"/>
      <c r="QEO22" s="7"/>
      <c r="QEP22" s="7"/>
      <c r="QEQ22" s="7"/>
      <c r="QER22" s="7"/>
      <c r="QES22" s="7"/>
      <c r="QET22" s="7"/>
      <c r="QEU22" s="7"/>
      <c r="QEV22" s="7"/>
      <c r="QEW22" s="7"/>
      <c r="QEX22" s="7"/>
      <c r="QEY22" s="7"/>
      <c r="QEZ22" s="7"/>
      <c r="QFA22" s="7"/>
      <c r="QFB22" s="7"/>
      <c r="QFC22" s="7"/>
      <c r="QFD22" s="7"/>
      <c r="QFE22" s="7"/>
      <c r="QFF22" s="7"/>
      <c r="QFG22" s="7"/>
      <c r="QFH22" s="7"/>
      <c r="QFI22" s="7"/>
      <c r="QFJ22" s="7"/>
      <c r="QFK22" s="7"/>
      <c r="QFL22" s="7"/>
      <c r="QFM22" s="7"/>
      <c r="QFN22" s="7"/>
      <c r="QFO22" s="7"/>
      <c r="QFP22" s="7"/>
      <c r="QFQ22" s="7"/>
      <c r="QFR22" s="7"/>
      <c r="QFS22" s="7"/>
      <c r="QFT22" s="7"/>
      <c r="QFU22" s="7"/>
      <c r="QFV22" s="7"/>
      <c r="QFW22" s="7"/>
      <c r="QFX22" s="7"/>
      <c r="QFY22" s="7"/>
      <c r="QFZ22" s="7"/>
      <c r="QGA22" s="7"/>
      <c r="QGB22" s="7"/>
      <c r="QGC22" s="7"/>
      <c r="QGD22" s="7"/>
      <c r="QGE22" s="7"/>
      <c r="QGF22" s="7"/>
      <c r="QGG22" s="7"/>
      <c r="QGH22" s="7"/>
      <c r="QGI22" s="7"/>
      <c r="QGJ22" s="7"/>
      <c r="QGK22" s="7"/>
      <c r="QGL22" s="7"/>
      <c r="QGM22" s="7"/>
      <c r="QGN22" s="7"/>
      <c r="QGO22" s="7"/>
      <c r="QGP22" s="7"/>
      <c r="QGQ22" s="7"/>
      <c r="QGR22" s="7"/>
      <c r="QGS22" s="7"/>
      <c r="QGT22" s="7"/>
      <c r="QGU22" s="7"/>
      <c r="QGV22" s="7"/>
      <c r="QGW22" s="7"/>
      <c r="QGX22" s="7"/>
      <c r="QGY22" s="7"/>
      <c r="QGZ22" s="7"/>
      <c r="QHA22" s="7"/>
      <c r="QHB22" s="7"/>
      <c r="QHC22" s="7"/>
      <c r="QHD22" s="7"/>
      <c r="QHE22" s="7"/>
      <c r="QHF22" s="7"/>
      <c r="QHG22" s="7"/>
      <c r="QHH22" s="7"/>
      <c r="QHI22" s="7"/>
      <c r="QHJ22" s="7"/>
      <c r="QHK22" s="7"/>
      <c r="QHL22" s="7"/>
      <c r="QHM22" s="7"/>
      <c r="QHN22" s="7"/>
      <c r="QHO22" s="7"/>
      <c r="QHP22" s="7"/>
      <c r="QHQ22" s="7"/>
      <c r="QHR22" s="7"/>
      <c r="QHS22" s="7"/>
      <c r="QHT22" s="7"/>
      <c r="QHU22" s="7"/>
      <c r="QHV22" s="7"/>
      <c r="QHW22" s="7"/>
      <c r="QHX22" s="7"/>
      <c r="QHY22" s="7"/>
      <c r="QHZ22" s="7"/>
      <c r="QIA22" s="7"/>
      <c r="QIB22" s="7"/>
      <c r="QIC22" s="7"/>
      <c r="QID22" s="7"/>
      <c r="QIE22" s="7"/>
      <c r="QIF22" s="7"/>
      <c r="QIG22" s="7"/>
      <c r="QIH22" s="7"/>
      <c r="QII22" s="7"/>
      <c r="QIJ22" s="7"/>
      <c r="QIK22" s="7"/>
      <c r="QIL22" s="7"/>
      <c r="QIM22" s="7"/>
      <c r="QIN22" s="7"/>
      <c r="QIO22" s="7"/>
      <c r="QIP22" s="7"/>
      <c r="QIQ22" s="7"/>
      <c r="QIR22" s="7"/>
      <c r="QIS22" s="7"/>
      <c r="QIT22" s="7"/>
      <c r="QIU22" s="7"/>
      <c r="QIV22" s="7"/>
      <c r="QIW22" s="7"/>
      <c r="QIX22" s="7"/>
      <c r="QIY22" s="7"/>
      <c r="QIZ22" s="7"/>
      <c r="QJA22" s="7"/>
      <c r="QJB22" s="7"/>
      <c r="QJC22" s="7"/>
      <c r="QJD22" s="7"/>
      <c r="QJE22" s="7"/>
      <c r="QJF22" s="7"/>
      <c r="QJG22" s="7"/>
      <c r="QJH22" s="7"/>
      <c r="QJI22" s="7"/>
      <c r="QJJ22" s="7"/>
      <c r="QJK22" s="7"/>
      <c r="QJL22" s="7"/>
      <c r="QJM22" s="7"/>
      <c r="QJN22" s="7"/>
      <c r="QJO22" s="7"/>
      <c r="QJP22" s="7"/>
      <c r="QJQ22" s="7"/>
      <c r="QJR22" s="7"/>
      <c r="QJS22" s="7"/>
      <c r="QJT22" s="7"/>
      <c r="QJU22" s="7"/>
      <c r="QJV22" s="7"/>
      <c r="QJW22" s="7"/>
      <c r="QJX22" s="7"/>
      <c r="QJY22" s="7"/>
      <c r="QJZ22" s="7"/>
      <c r="QKA22" s="7"/>
      <c r="QKB22" s="7"/>
      <c r="QKC22" s="7"/>
      <c r="QKD22" s="7"/>
      <c r="QKE22" s="7"/>
      <c r="QKF22" s="7"/>
      <c r="QKG22" s="7"/>
      <c r="QKH22" s="7"/>
      <c r="QKI22" s="7"/>
      <c r="QKJ22" s="7"/>
      <c r="QKK22" s="7"/>
      <c r="QKL22" s="7"/>
      <c r="QKM22" s="7"/>
      <c r="QKN22" s="7"/>
      <c r="QKO22" s="7"/>
      <c r="QKP22" s="7"/>
      <c r="QKQ22" s="7"/>
      <c r="QKR22" s="7"/>
      <c r="QKS22" s="7"/>
      <c r="QKT22" s="7"/>
      <c r="QKU22" s="7"/>
      <c r="QKV22" s="7"/>
      <c r="QKW22" s="7"/>
      <c r="QKX22" s="7"/>
      <c r="QKY22" s="7"/>
      <c r="QKZ22" s="7"/>
      <c r="QLA22" s="7"/>
      <c r="QLB22" s="7"/>
      <c r="QLC22" s="7"/>
      <c r="QLD22" s="7"/>
      <c r="QLE22" s="7"/>
      <c r="QLF22" s="7"/>
      <c r="QLG22" s="7"/>
      <c r="QLH22" s="7"/>
      <c r="QLI22" s="7"/>
      <c r="QLJ22" s="7"/>
      <c r="QLK22" s="7"/>
      <c r="QLL22" s="7"/>
      <c r="QLM22" s="7"/>
      <c r="QLN22" s="7"/>
      <c r="QLO22" s="7"/>
      <c r="QLP22" s="7"/>
      <c r="QLQ22" s="7"/>
      <c r="QLR22" s="7"/>
      <c r="QLS22" s="7"/>
      <c r="QLT22" s="7"/>
      <c r="QLU22" s="7"/>
      <c r="QLV22" s="7"/>
      <c r="QLW22" s="7"/>
      <c r="QLX22" s="7"/>
      <c r="QLY22" s="7"/>
      <c r="QLZ22" s="7"/>
      <c r="QMA22" s="7"/>
      <c r="QMB22" s="7"/>
      <c r="QMC22" s="7"/>
      <c r="QMD22" s="7"/>
      <c r="QME22" s="7"/>
      <c r="QMF22" s="7"/>
      <c r="QMG22" s="7"/>
      <c r="QMH22" s="7"/>
      <c r="QMI22" s="7"/>
      <c r="QMJ22" s="7"/>
      <c r="QMK22" s="7"/>
      <c r="QML22" s="7"/>
      <c r="QMM22" s="7"/>
      <c r="QMN22" s="7"/>
      <c r="QMO22" s="7"/>
      <c r="QMP22" s="7"/>
      <c r="QMQ22" s="7"/>
      <c r="QMR22" s="7"/>
      <c r="QMS22" s="7"/>
      <c r="QMT22" s="7"/>
      <c r="QMU22" s="7"/>
      <c r="QMV22" s="7"/>
      <c r="QMW22" s="7"/>
      <c r="QMX22" s="7"/>
      <c r="QMY22" s="7"/>
      <c r="QMZ22" s="7"/>
      <c r="QNA22" s="7"/>
      <c r="QNB22" s="7"/>
      <c r="QNC22" s="7"/>
      <c r="QND22" s="7"/>
      <c r="QNE22" s="7"/>
      <c r="QNF22" s="7"/>
      <c r="QNG22" s="7"/>
      <c r="QNH22" s="7"/>
      <c r="QNI22" s="7"/>
      <c r="QNJ22" s="7"/>
      <c r="QNK22" s="7"/>
      <c r="QNL22" s="7"/>
      <c r="QNM22" s="7"/>
      <c r="QNN22" s="7"/>
      <c r="QNO22" s="7"/>
      <c r="QNP22" s="7"/>
      <c r="QNQ22" s="7"/>
      <c r="QNR22" s="7"/>
      <c r="QNS22" s="7"/>
      <c r="QNT22" s="7"/>
      <c r="QNU22" s="7"/>
      <c r="QNV22" s="7"/>
      <c r="QNW22" s="7"/>
      <c r="QNX22" s="7"/>
      <c r="QNY22" s="7"/>
      <c r="QNZ22" s="7"/>
      <c r="QOA22" s="7"/>
      <c r="QOB22" s="7"/>
      <c r="QOC22" s="7"/>
      <c r="QOD22" s="7"/>
      <c r="QOE22" s="7"/>
      <c r="QOF22" s="7"/>
      <c r="QOG22" s="7"/>
      <c r="QOH22" s="7"/>
      <c r="QOI22" s="7"/>
      <c r="QOJ22" s="7"/>
      <c r="QOK22" s="7"/>
      <c r="QOL22" s="7"/>
      <c r="QOM22" s="7"/>
      <c r="QON22" s="7"/>
      <c r="QOO22" s="7"/>
      <c r="QOP22" s="7"/>
      <c r="QOQ22" s="7"/>
      <c r="QOR22" s="7"/>
      <c r="QOS22" s="7"/>
      <c r="QOT22" s="7"/>
      <c r="QOU22" s="7"/>
      <c r="QOV22" s="7"/>
      <c r="QOW22" s="7"/>
      <c r="QOX22" s="7"/>
      <c r="QOY22" s="7"/>
      <c r="QOZ22" s="7"/>
      <c r="QPA22" s="7"/>
      <c r="QPB22" s="7"/>
      <c r="QPC22" s="7"/>
      <c r="QPD22" s="7"/>
      <c r="QPE22" s="7"/>
      <c r="QPF22" s="7"/>
      <c r="QPG22" s="7"/>
      <c r="QPH22" s="7"/>
      <c r="QPI22" s="7"/>
      <c r="QPJ22" s="7"/>
      <c r="QPK22" s="7"/>
      <c r="QPL22" s="7"/>
      <c r="QPM22" s="7"/>
      <c r="QPN22" s="7"/>
      <c r="QPO22" s="7"/>
      <c r="QPP22" s="7"/>
      <c r="QPQ22" s="7"/>
      <c r="QPR22" s="7"/>
      <c r="QPS22" s="7"/>
      <c r="QPT22" s="7"/>
      <c r="QPU22" s="7"/>
      <c r="QPV22" s="7"/>
      <c r="QPW22" s="7"/>
      <c r="QPX22" s="7"/>
      <c r="QPY22" s="7"/>
      <c r="QPZ22" s="7"/>
      <c r="QQA22" s="7"/>
      <c r="QQB22" s="7"/>
      <c r="QQC22" s="7"/>
      <c r="QQD22" s="7"/>
      <c r="QQE22" s="7"/>
      <c r="QQF22" s="7"/>
      <c r="QQG22" s="7"/>
      <c r="QQH22" s="7"/>
      <c r="QQI22" s="7"/>
      <c r="QQJ22" s="7"/>
      <c r="QQK22" s="7"/>
      <c r="QQL22" s="7"/>
      <c r="QQM22" s="7"/>
      <c r="QQN22" s="7"/>
      <c r="QQO22" s="7"/>
      <c r="QQP22" s="7"/>
      <c r="QQQ22" s="7"/>
      <c r="QQR22" s="7"/>
      <c r="QQS22" s="7"/>
      <c r="QQT22" s="7"/>
      <c r="QQU22" s="7"/>
      <c r="QQV22" s="7"/>
      <c r="QQW22" s="7"/>
      <c r="QQX22" s="7"/>
      <c r="QQY22" s="7"/>
      <c r="QQZ22" s="7"/>
      <c r="QRA22" s="7"/>
      <c r="QRB22" s="7"/>
      <c r="QRC22" s="7"/>
      <c r="QRD22" s="7"/>
      <c r="QRE22" s="7"/>
      <c r="QRF22" s="7"/>
      <c r="QRG22" s="7"/>
      <c r="QRH22" s="7"/>
      <c r="QRI22" s="7"/>
      <c r="QRJ22" s="7"/>
      <c r="QRK22" s="7"/>
      <c r="QRL22" s="7"/>
      <c r="QRM22" s="7"/>
      <c r="QRN22" s="7"/>
      <c r="QRO22" s="7"/>
      <c r="QRP22" s="7"/>
      <c r="QRQ22" s="7"/>
      <c r="QRR22" s="7"/>
      <c r="QRS22" s="7"/>
      <c r="QRT22" s="7"/>
      <c r="QRU22" s="7"/>
      <c r="QRV22" s="7"/>
      <c r="QRW22" s="7"/>
      <c r="QRX22" s="7"/>
      <c r="QRY22" s="7"/>
      <c r="QRZ22" s="7"/>
      <c r="QSA22" s="7"/>
      <c r="QSB22" s="7"/>
      <c r="QSC22" s="7"/>
      <c r="QSD22" s="7"/>
      <c r="QSE22" s="7"/>
      <c r="QSF22" s="7"/>
      <c r="QSG22" s="7"/>
      <c r="QSH22" s="7"/>
      <c r="QSI22" s="7"/>
      <c r="QSJ22" s="7"/>
      <c r="QSK22" s="7"/>
      <c r="QSL22" s="7"/>
      <c r="QSM22" s="7"/>
      <c r="QSN22" s="7"/>
      <c r="QSO22" s="7"/>
      <c r="QSP22" s="7"/>
      <c r="QSQ22" s="7"/>
      <c r="QSR22" s="7"/>
      <c r="QSS22" s="7"/>
      <c r="QST22" s="7"/>
      <c r="QSU22" s="7"/>
      <c r="QSV22" s="7"/>
      <c r="QSW22" s="7"/>
      <c r="QSX22" s="7"/>
      <c r="QSY22" s="7"/>
      <c r="QSZ22" s="7"/>
      <c r="QTA22" s="7"/>
      <c r="QTB22" s="7"/>
      <c r="QTC22" s="7"/>
      <c r="QTD22" s="7"/>
      <c r="QTE22" s="7"/>
      <c r="QTF22" s="7"/>
      <c r="QTG22" s="7"/>
      <c r="QTH22" s="7"/>
      <c r="QTI22" s="7"/>
      <c r="QTJ22" s="7"/>
      <c r="QTK22" s="7"/>
      <c r="QTL22" s="7"/>
      <c r="QTM22" s="7"/>
      <c r="QTN22" s="7"/>
      <c r="QTO22" s="7"/>
      <c r="QTP22" s="7"/>
      <c r="QTQ22" s="7"/>
      <c r="QTR22" s="7"/>
      <c r="QTS22" s="7"/>
      <c r="QTT22" s="7"/>
      <c r="QTU22" s="7"/>
      <c r="QTV22" s="7"/>
      <c r="QTW22" s="7"/>
      <c r="QTX22" s="7"/>
      <c r="QTY22" s="7"/>
      <c r="QTZ22" s="7"/>
      <c r="QUA22" s="7"/>
      <c r="QUB22" s="7"/>
      <c r="QUC22" s="7"/>
      <c r="QUD22" s="7"/>
      <c r="QUE22" s="7"/>
      <c r="QUF22" s="7"/>
      <c r="QUG22" s="7"/>
      <c r="QUH22" s="7"/>
      <c r="QUI22" s="7"/>
      <c r="QUJ22" s="7"/>
      <c r="QUK22" s="7"/>
      <c r="QUL22" s="7"/>
      <c r="QUM22" s="7"/>
      <c r="QUN22" s="7"/>
      <c r="QUO22" s="7"/>
      <c r="QUP22" s="7"/>
      <c r="QUQ22" s="7"/>
      <c r="QUR22" s="7"/>
      <c r="QUS22" s="7"/>
      <c r="QUT22" s="7"/>
      <c r="QUU22" s="7"/>
      <c r="QUV22" s="7"/>
      <c r="QUW22" s="7"/>
      <c r="QUX22" s="7"/>
      <c r="QUY22" s="7"/>
      <c r="QUZ22" s="7"/>
      <c r="QVA22" s="7"/>
      <c r="QVB22" s="7"/>
      <c r="QVC22" s="7"/>
      <c r="QVD22" s="7"/>
      <c r="QVE22" s="7"/>
      <c r="QVF22" s="7"/>
      <c r="QVG22" s="7"/>
      <c r="QVH22" s="7"/>
      <c r="QVI22" s="7"/>
      <c r="QVJ22" s="7"/>
      <c r="QVK22" s="7"/>
      <c r="QVL22" s="7"/>
      <c r="QVM22" s="7"/>
      <c r="QVN22" s="7"/>
      <c r="QVO22" s="7"/>
      <c r="QVP22" s="7"/>
      <c r="QVQ22" s="7"/>
      <c r="QVR22" s="7"/>
      <c r="QVS22" s="7"/>
      <c r="QVT22" s="7"/>
      <c r="QVU22" s="7"/>
      <c r="QVV22" s="7"/>
      <c r="QVW22" s="7"/>
      <c r="QVX22" s="7"/>
      <c r="QVY22" s="7"/>
      <c r="QVZ22" s="7"/>
      <c r="QWA22" s="7"/>
      <c r="QWB22" s="7"/>
      <c r="QWC22" s="7"/>
      <c r="QWD22" s="7"/>
      <c r="QWE22" s="7"/>
      <c r="QWF22" s="7"/>
      <c r="QWG22" s="7"/>
      <c r="QWH22" s="7"/>
      <c r="QWI22" s="7"/>
      <c r="QWJ22" s="7"/>
      <c r="QWK22" s="7"/>
      <c r="QWL22" s="7"/>
      <c r="QWM22" s="7"/>
      <c r="QWN22" s="7"/>
      <c r="QWO22" s="7"/>
      <c r="QWP22" s="7"/>
      <c r="QWQ22" s="7"/>
      <c r="QWR22" s="7"/>
      <c r="QWS22" s="7"/>
      <c r="QWT22" s="7"/>
      <c r="QWU22" s="7"/>
      <c r="QWV22" s="7"/>
      <c r="QWW22" s="7"/>
      <c r="QWX22" s="7"/>
      <c r="QWY22" s="7"/>
      <c r="QWZ22" s="7"/>
      <c r="QXA22" s="7"/>
      <c r="QXB22" s="7"/>
      <c r="QXC22" s="7"/>
      <c r="QXD22" s="7"/>
      <c r="QXE22" s="7"/>
      <c r="QXF22" s="7"/>
      <c r="QXG22" s="7"/>
      <c r="QXH22" s="7"/>
      <c r="QXI22" s="7"/>
      <c r="QXJ22" s="7"/>
      <c r="QXK22" s="7"/>
      <c r="QXL22" s="7"/>
      <c r="QXM22" s="7"/>
      <c r="QXN22" s="7"/>
      <c r="QXO22" s="7"/>
      <c r="QXP22" s="7"/>
      <c r="QXQ22" s="7"/>
      <c r="QXR22" s="7"/>
      <c r="QXS22" s="7"/>
      <c r="QXT22" s="7"/>
      <c r="QXU22" s="7"/>
      <c r="QXV22" s="7"/>
      <c r="QXW22" s="7"/>
      <c r="QXX22" s="7"/>
      <c r="QXY22" s="7"/>
      <c r="QXZ22" s="7"/>
      <c r="QYA22" s="7"/>
      <c r="QYB22" s="7"/>
      <c r="QYC22" s="7"/>
      <c r="QYD22" s="7"/>
      <c r="QYE22" s="7"/>
      <c r="QYF22" s="7"/>
      <c r="QYG22" s="7"/>
      <c r="QYH22" s="7"/>
      <c r="QYI22" s="7"/>
      <c r="QYJ22" s="7"/>
      <c r="QYK22" s="7"/>
      <c r="QYL22" s="7"/>
      <c r="QYM22" s="7"/>
      <c r="QYN22" s="7"/>
      <c r="QYO22" s="7"/>
      <c r="QYP22" s="7"/>
      <c r="QYQ22" s="7"/>
      <c r="QYR22" s="7"/>
      <c r="QYS22" s="7"/>
      <c r="QYT22" s="7"/>
      <c r="QYU22" s="7"/>
      <c r="QYV22" s="7"/>
      <c r="QYW22" s="7"/>
      <c r="QYX22" s="7"/>
      <c r="QYY22" s="7"/>
      <c r="QYZ22" s="7"/>
      <c r="QZA22" s="7"/>
      <c r="QZB22" s="7"/>
      <c r="QZC22" s="7"/>
      <c r="QZD22" s="7"/>
      <c r="QZE22" s="7"/>
      <c r="QZF22" s="7"/>
      <c r="QZG22" s="7"/>
      <c r="QZH22" s="7"/>
      <c r="QZI22" s="7"/>
      <c r="QZJ22" s="7"/>
      <c r="QZK22" s="7"/>
      <c r="QZL22" s="7"/>
      <c r="QZM22" s="7"/>
      <c r="QZN22" s="7"/>
      <c r="QZO22" s="7"/>
      <c r="QZP22" s="7"/>
      <c r="QZQ22" s="7"/>
      <c r="QZR22" s="7"/>
      <c r="QZS22" s="7"/>
      <c r="QZT22" s="7"/>
      <c r="QZU22" s="7"/>
      <c r="QZV22" s="7"/>
      <c r="QZW22" s="7"/>
      <c r="QZX22" s="7"/>
      <c r="QZY22" s="7"/>
      <c r="QZZ22" s="7"/>
      <c r="RAA22" s="7"/>
      <c r="RAB22" s="7"/>
      <c r="RAC22" s="7"/>
      <c r="RAD22" s="7"/>
      <c r="RAE22" s="7"/>
      <c r="RAF22" s="7"/>
      <c r="RAG22" s="7"/>
      <c r="RAH22" s="7"/>
      <c r="RAI22" s="7"/>
      <c r="RAJ22" s="7"/>
      <c r="RAK22" s="7"/>
      <c r="RAL22" s="7"/>
      <c r="RAM22" s="7"/>
      <c r="RAN22" s="7"/>
      <c r="RAO22" s="7"/>
      <c r="RAP22" s="7"/>
      <c r="RAQ22" s="7"/>
      <c r="RAR22" s="7"/>
      <c r="RAS22" s="7"/>
      <c r="RAT22" s="7"/>
      <c r="RAU22" s="7"/>
      <c r="RAV22" s="7"/>
      <c r="RAW22" s="7"/>
      <c r="RAX22" s="7"/>
      <c r="RAY22" s="7"/>
      <c r="RAZ22" s="7"/>
      <c r="RBA22" s="7"/>
      <c r="RBB22" s="7"/>
      <c r="RBC22" s="7"/>
      <c r="RBD22" s="7"/>
      <c r="RBE22" s="7"/>
      <c r="RBF22" s="7"/>
      <c r="RBG22" s="7"/>
      <c r="RBH22" s="7"/>
      <c r="RBI22" s="7"/>
      <c r="RBJ22" s="7"/>
      <c r="RBK22" s="7"/>
      <c r="RBL22" s="7"/>
      <c r="RBM22" s="7"/>
      <c r="RBN22" s="7"/>
      <c r="RBO22" s="7"/>
      <c r="RBP22" s="7"/>
      <c r="RBQ22" s="7"/>
      <c r="RBR22" s="7"/>
      <c r="RBS22" s="7"/>
      <c r="RBT22" s="7"/>
      <c r="RBU22" s="7"/>
      <c r="RBV22" s="7"/>
      <c r="RBW22" s="7"/>
      <c r="RBX22" s="7"/>
      <c r="RBY22" s="7"/>
      <c r="RBZ22" s="7"/>
      <c r="RCA22" s="7"/>
      <c r="RCB22" s="7"/>
      <c r="RCC22" s="7"/>
      <c r="RCD22" s="7"/>
      <c r="RCE22" s="7"/>
      <c r="RCF22" s="7"/>
      <c r="RCG22" s="7"/>
      <c r="RCH22" s="7"/>
      <c r="RCI22" s="7"/>
      <c r="RCJ22" s="7"/>
      <c r="RCK22" s="7"/>
      <c r="RCL22" s="7"/>
      <c r="RCM22" s="7"/>
      <c r="RCN22" s="7"/>
      <c r="RCO22" s="7"/>
      <c r="RCP22" s="7"/>
      <c r="RCQ22" s="7"/>
      <c r="RCR22" s="7"/>
      <c r="RCS22" s="7"/>
      <c r="RCT22" s="7"/>
      <c r="RCU22" s="7"/>
      <c r="RCV22" s="7"/>
      <c r="RCW22" s="7"/>
      <c r="RCX22" s="7"/>
      <c r="RCY22" s="7"/>
      <c r="RCZ22" s="7"/>
      <c r="RDA22" s="7"/>
      <c r="RDB22" s="7"/>
      <c r="RDC22" s="7"/>
      <c r="RDD22" s="7"/>
      <c r="RDE22" s="7"/>
      <c r="RDF22" s="7"/>
      <c r="RDG22" s="7"/>
      <c r="RDH22" s="7"/>
      <c r="RDI22" s="7"/>
      <c r="RDJ22" s="7"/>
      <c r="RDK22" s="7"/>
      <c r="RDL22" s="7"/>
      <c r="RDM22" s="7"/>
      <c r="RDN22" s="7"/>
      <c r="RDO22" s="7"/>
      <c r="RDP22" s="7"/>
      <c r="RDQ22" s="7"/>
      <c r="RDR22" s="7"/>
      <c r="RDS22" s="7"/>
      <c r="RDT22" s="7"/>
      <c r="RDU22" s="7"/>
      <c r="RDV22" s="7"/>
      <c r="RDW22" s="7"/>
      <c r="RDX22" s="7"/>
      <c r="RDY22" s="7"/>
      <c r="RDZ22" s="7"/>
      <c r="REA22" s="7"/>
      <c r="REB22" s="7"/>
      <c r="REC22" s="7"/>
      <c r="RED22" s="7"/>
      <c r="REE22" s="7"/>
      <c r="REF22" s="7"/>
      <c r="REG22" s="7"/>
      <c r="REH22" s="7"/>
      <c r="REI22" s="7"/>
      <c r="REJ22" s="7"/>
      <c r="REK22" s="7"/>
      <c r="REL22" s="7"/>
      <c r="REM22" s="7"/>
      <c r="REN22" s="7"/>
      <c r="REO22" s="7"/>
      <c r="REP22" s="7"/>
      <c r="REQ22" s="7"/>
      <c r="RER22" s="7"/>
      <c r="RES22" s="7"/>
      <c r="RET22" s="7"/>
      <c r="REU22" s="7"/>
      <c r="REV22" s="7"/>
      <c r="REW22" s="7"/>
      <c r="REX22" s="7"/>
      <c r="REY22" s="7"/>
      <c r="REZ22" s="7"/>
      <c r="RFA22" s="7"/>
      <c r="RFB22" s="7"/>
      <c r="RFC22" s="7"/>
      <c r="RFD22" s="7"/>
      <c r="RFE22" s="7"/>
      <c r="RFF22" s="7"/>
      <c r="RFG22" s="7"/>
      <c r="RFH22" s="7"/>
      <c r="RFI22" s="7"/>
      <c r="RFJ22" s="7"/>
      <c r="RFK22" s="7"/>
      <c r="RFL22" s="7"/>
      <c r="RFM22" s="7"/>
      <c r="RFN22" s="7"/>
      <c r="RFO22" s="7"/>
      <c r="RFP22" s="7"/>
      <c r="RFQ22" s="7"/>
      <c r="RFR22" s="7"/>
      <c r="RFS22" s="7"/>
      <c r="RFT22" s="7"/>
      <c r="RFU22" s="7"/>
      <c r="RFV22" s="7"/>
      <c r="RFW22" s="7"/>
      <c r="RFX22" s="7"/>
      <c r="RFY22" s="7"/>
      <c r="RFZ22" s="7"/>
      <c r="RGA22" s="7"/>
      <c r="RGB22" s="7"/>
      <c r="RGC22" s="7"/>
      <c r="RGD22" s="7"/>
      <c r="RGE22" s="7"/>
      <c r="RGF22" s="7"/>
      <c r="RGG22" s="7"/>
      <c r="RGH22" s="7"/>
      <c r="RGI22" s="7"/>
      <c r="RGJ22" s="7"/>
      <c r="RGK22" s="7"/>
      <c r="RGL22" s="7"/>
      <c r="RGM22" s="7"/>
      <c r="RGN22" s="7"/>
      <c r="RGO22" s="7"/>
      <c r="RGP22" s="7"/>
      <c r="RGQ22" s="7"/>
      <c r="RGR22" s="7"/>
      <c r="RGS22" s="7"/>
      <c r="RGT22" s="7"/>
      <c r="RGU22" s="7"/>
      <c r="RGV22" s="7"/>
      <c r="RGW22" s="7"/>
      <c r="RGX22" s="7"/>
      <c r="RGY22" s="7"/>
      <c r="RGZ22" s="7"/>
      <c r="RHA22" s="7"/>
      <c r="RHB22" s="7"/>
      <c r="RHC22" s="7"/>
      <c r="RHD22" s="7"/>
      <c r="RHE22" s="7"/>
      <c r="RHF22" s="7"/>
      <c r="RHG22" s="7"/>
      <c r="RHH22" s="7"/>
      <c r="RHI22" s="7"/>
      <c r="RHJ22" s="7"/>
      <c r="RHK22" s="7"/>
      <c r="RHL22" s="7"/>
      <c r="RHM22" s="7"/>
      <c r="RHN22" s="7"/>
      <c r="RHO22" s="7"/>
      <c r="RHP22" s="7"/>
      <c r="RHQ22" s="7"/>
      <c r="RHR22" s="7"/>
      <c r="RHS22" s="7"/>
      <c r="RHT22" s="7"/>
      <c r="RHU22" s="7"/>
      <c r="RHV22" s="7"/>
      <c r="RHW22" s="7"/>
      <c r="RHX22" s="7"/>
      <c r="RHY22" s="7"/>
      <c r="RHZ22" s="7"/>
      <c r="RIA22" s="7"/>
      <c r="RIB22" s="7"/>
      <c r="RIC22" s="7"/>
      <c r="RID22" s="7"/>
      <c r="RIE22" s="7"/>
      <c r="RIF22" s="7"/>
      <c r="RIG22" s="7"/>
      <c r="RIH22" s="7"/>
      <c r="RII22" s="7"/>
      <c r="RIJ22" s="7"/>
      <c r="RIK22" s="7"/>
      <c r="RIL22" s="7"/>
      <c r="RIM22" s="7"/>
      <c r="RIN22" s="7"/>
      <c r="RIO22" s="7"/>
      <c r="RIP22" s="7"/>
      <c r="RIQ22" s="7"/>
      <c r="RIR22" s="7"/>
      <c r="RIS22" s="7"/>
      <c r="RIT22" s="7"/>
      <c r="RIU22" s="7"/>
      <c r="RIV22" s="7"/>
      <c r="RIW22" s="7"/>
      <c r="RIX22" s="7"/>
      <c r="RIY22" s="7"/>
      <c r="RIZ22" s="7"/>
      <c r="RJA22" s="7"/>
      <c r="RJB22" s="7"/>
      <c r="RJC22" s="7"/>
      <c r="RJD22" s="7"/>
      <c r="RJE22" s="7"/>
      <c r="RJF22" s="7"/>
      <c r="RJG22" s="7"/>
      <c r="RJH22" s="7"/>
      <c r="RJI22" s="7"/>
      <c r="RJJ22" s="7"/>
      <c r="RJK22" s="7"/>
      <c r="RJL22" s="7"/>
      <c r="RJM22" s="7"/>
      <c r="RJN22" s="7"/>
      <c r="RJO22" s="7"/>
      <c r="RJP22" s="7"/>
      <c r="RJQ22" s="7"/>
      <c r="RJR22" s="7"/>
      <c r="RJS22" s="7"/>
      <c r="RJT22" s="7"/>
      <c r="RJU22" s="7"/>
      <c r="RJV22" s="7"/>
      <c r="RJW22" s="7"/>
      <c r="RJX22" s="7"/>
      <c r="RJY22" s="7"/>
      <c r="RJZ22" s="7"/>
      <c r="RKA22" s="7"/>
      <c r="RKB22" s="7"/>
      <c r="RKC22" s="7"/>
      <c r="RKD22" s="7"/>
      <c r="RKE22" s="7"/>
      <c r="RKF22" s="7"/>
      <c r="RKG22" s="7"/>
      <c r="RKH22" s="7"/>
      <c r="RKI22" s="7"/>
      <c r="RKJ22" s="7"/>
      <c r="RKK22" s="7"/>
      <c r="RKL22" s="7"/>
      <c r="RKM22" s="7"/>
      <c r="RKN22" s="7"/>
      <c r="RKO22" s="7"/>
      <c r="RKP22" s="7"/>
      <c r="RKQ22" s="7"/>
      <c r="RKR22" s="7"/>
      <c r="RKS22" s="7"/>
      <c r="RKT22" s="7"/>
      <c r="RKU22" s="7"/>
      <c r="RKV22" s="7"/>
      <c r="RKW22" s="7"/>
      <c r="RKX22" s="7"/>
      <c r="RKY22" s="7"/>
      <c r="RKZ22" s="7"/>
      <c r="RLA22" s="7"/>
      <c r="RLB22" s="7"/>
      <c r="RLC22" s="7"/>
      <c r="RLD22" s="7"/>
      <c r="RLE22" s="7"/>
      <c r="RLF22" s="7"/>
      <c r="RLG22" s="7"/>
      <c r="RLH22" s="7"/>
      <c r="RLI22" s="7"/>
      <c r="RLJ22" s="7"/>
      <c r="RLK22" s="7"/>
      <c r="RLL22" s="7"/>
      <c r="RLM22" s="7"/>
      <c r="RLN22" s="7"/>
      <c r="RLO22" s="7"/>
      <c r="RLP22" s="7"/>
      <c r="RLQ22" s="7"/>
      <c r="RLR22" s="7"/>
      <c r="RLS22" s="7"/>
      <c r="RLT22" s="7"/>
      <c r="RLU22" s="7"/>
      <c r="RLV22" s="7"/>
      <c r="RLW22" s="7"/>
      <c r="RLX22" s="7"/>
      <c r="RLY22" s="7"/>
      <c r="RLZ22" s="7"/>
      <c r="RMA22" s="7"/>
      <c r="RMB22" s="7"/>
      <c r="RMC22" s="7"/>
      <c r="RMD22" s="7"/>
      <c r="RME22" s="7"/>
      <c r="RMF22" s="7"/>
      <c r="RMG22" s="7"/>
      <c r="RMH22" s="7"/>
      <c r="RMI22" s="7"/>
      <c r="RMJ22" s="7"/>
      <c r="RMK22" s="7"/>
      <c r="RML22" s="7"/>
      <c r="RMM22" s="7"/>
      <c r="RMN22" s="7"/>
      <c r="RMO22" s="7"/>
      <c r="RMP22" s="7"/>
      <c r="RMQ22" s="7"/>
      <c r="RMR22" s="7"/>
      <c r="RMS22" s="7"/>
      <c r="RMT22" s="7"/>
      <c r="RMU22" s="7"/>
      <c r="RMV22" s="7"/>
      <c r="RMW22" s="7"/>
      <c r="RMX22" s="7"/>
      <c r="RMY22" s="7"/>
      <c r="RMZ22" s="7"/>
      <c r="RNA22" s="7"/>
      <c r="RNB22" s="7"/>
      <c r="RNC22" s="7"/>
      <c r="RND22" s="7"/>
      <c r="RNE22" s="7"/>
      <c r="RNF22" s="7"/>
      <c r="RNG22" s="7"/>
      <c r="RNH22" s="7"/>
      <c r="RNI22" s="7"/>
      <c r="RNJ22" s="7"/>
      <c r="RNK22" s="7"/>
      <c r="RNL22" s="7"/>
      <c r="RNM22" s="7"/>
      <c r="RNN22" s="7"/>
      <c r="RNO22" s="7"/>
      <c r="RNP22" s="7"/>
      <c r="RNQ22" s="7"/>
      <c r="RNR22" s="7"/>
      <c r="RNS22" s="7"/>
      <c r="RNT22" s="7"/>
      <c r="RNU22" s="7"/>
      <c r="RNV22" s="7"/>
      <c r="RNW22" s="7"/>
      <c r="RNX22" s="7"/>
      <c r="RNY22" s="7"/>
      <c r="RNZ22" s="7"/>
      <c r="ROA22" s="7"/>
      <c r="ROB22" s="7"/>
      <c r="ROC22" s="7"/>
      <c r="ROD22" s="7"/>
      <c r="ROE22" s="7"/>
      <c r="ROF22" s="7"/>
      <c r="ROG22" s="7"/>
      <c r="ROH22" s="7"/>
      <c r="ROI22" s="7"/>
      <c r="ROJ22" s="7"/>
      <c r="ROK22" s="7"/>
      <c r="ROL22" s="7"/>
      <c r="ROM22" s="7"/>
      <c r="RON22" s="7"/>
      <c r="ROO22" s="7"/>
      <c r="ROP22" s="7"/>
      <c r="ROQ22" s="7"/>
      <c r="ROR22" s="7"/>
      <c r="ROS22" s="7"/>
      <c r="ROT22" s="7"/>
      <c r="ROU22" s="7"/>
      <c r="ROV22" s="7"/>
      <c r="ROW22" s="7"/>
      <c r="ROX22" s="7"/>
      <c r="ROY22" s="7"/>
      <c r="ROZ22" s="7"/>
      <c r="RPA22" s="7"/>
      <c r="RPB22" s="7"/>
      <c r="RPC22" s="7"/>
      <c r="RPD22" s="7"/>
      <c r="RPE22" s="7"/>
      <c r="RPF22" s="7"/>
      <c r="RPG22" s="7"/>
      <c r="RPH22" s="7"/>
      <c r="RPI22" s="7"/>
      <c r="RPJ22" s="7"/>
      <c r="RPK22" s="7"/>
      <c r="RPL22" s="7"/>
      <c r="RPM22" s="7"/>
      <c r="RPN22" s="7"/>
      <c r="RPO22" s="7"/>
      <c r="RPP22" s="7"/>
      <c r="RPQ22" s="7"/>
      <c r="RPR22" s="7"/>
      <c r="RPS22" s="7"/>
      <c r="RPT22" s="7"/>
      <c r="RPU22" s="7"/>
      <c r="RPV22" s="7"/>
      <c r="RPW22" s="7"/>
      <c r="RPX22" s="7"/>
      <c r="RPY22" s="7"/>
      <c r="RPZ22" s="7"/>
      <c r="RQA22" s="7"/>
      <c r="RQB22" s="7"/>
      <c r="RQC22" s="7"/>
      <c r="RQD22" s="7"/>
      <c r="RQE22" s="7"/>
      <c r="RQF22" s="7"/>
      <c r="RQG22" s="7"/>
      <c r="RQH22" s="7"/>
      <c r="RQI22" s="7"/>
      <c r="RQJ22" s="7"/>
      <c r="RQK22" s="7"/>
      <c r="RQL22" s="7"/>
      <c r="RQM22" s="7"/>
      <c r="RQN22" s="7"/>
      <c r="RQO22" s="7"/>
      <c r="RQP22" s="7"/>
      <c r="RQQ22" s="7"/>
      <c r="RQR22" s="7"/>
      <c r="RQS22" s="7"/>
      <c r="RQT22" s="7"/>
      <c r="RQU22" s="7"/>
      <c r="RQV22" s="7"/>
      <c r="RQW22" s="7"/>
      <c r="RQX22" s="7"/>
      <c r="RQY22" s="7"/>
      <c r="RQZ22" s="7"/>
      <c r="RRA22" s="7"/>
      <c r="RRB22" s="7"/>
      <c r="RRC22" s="7"/>
      <c r="RRD22" s="7"/>
      <c r="RRE22" s="7"/>
      <c r="RRF22" s="7"/>
      <c r="RRG22" s="7"/>
      <c r="RRH22" s="7"/>
      <c r="RRI22" s="7"/>
      <c r="RRJ22" s="7"/>
      <c r="RRK22" s="7"/>
      <c r="RRL22" s="7"/>
      <c r="RRM22" s="7"/>
      <c r="RRN22" s="7"/>
      <c r="RRO22" s="7"/>
      <c r="RRP22" s="7"/>
      <c r="RRQ22" s="7"/>
      <c r="RRR22" s="7"/>
      <c r="RRS22" s="7"/>
      <c r="RRT22" s="7"/>
      <c r="RRU22" s="7"/>
      <c r="RRV22" s="7"/>
      <c r="RRW22" s="7"/>
      <c r="RRX22" s="7"/>
      <c r="RRY22" s="7"/>
      <c r="RRZ22" s="7"/>
      <c r="RSA22" s="7"/>
      <c r="RSB22" s="7"/>
      <c r="RSC22" s="7"/>
      <c r="RSD22" s="7"/>
      <c r="RSE22" s="7"/>
      <c r="RSF22" s="7"/>
      <c r="RSG22" s="7"/>
      <c r="RSH22" s="7"/>
      <c r="RSI22" s="7"/>
      <c r="RSJ22" s="7"/>
      <c r="RSK22" s="7"/>
      <c r="RSL22" s="7"/>
      <c r="RSM22" s="7"/>
      <c r="RSN22" s="7"/>
      <c r="RSO22" s="7"/>
      <c r="RSP22" s="7"/>
      <c r="RSQ22" s="7"/>
      <c r="RSR22" s="7"/>
      <c r="RSS22" s="7"/>
      <c r="RST22" s="7"/>
      <c r="RSU22" s="7"/>
      <c r="RSV22" s="7"/>
      <c r="RSW22" s="7"/>
      <c r="RSX22" s="7"/>
      <c r="RSY22" s="7"/>
      <c r="RSZ22" s="7"/>
      <c r="RTA22" s="7"/>
      <c r="RTB22" s="7"/>
      <c r="RTC22" s="7"/>
      <c r="RTD22" s="7"/>
      <c r="RTE22" s="7"/>
      <c r="RTF22" s="7"/>
      <c r="RTG22" s="7"/>
      <c r="RTH22" s="7"/>
      <c r="RTI22" s="7"/>
      <c r="RTJ22" s="7"/>
      <c r="RTK22" s="7"/>
      <c r="RTL22" s="7"/>
      <c r="RTM22" s="7"/>
      <c r="RTN22" s="7"/>
      <c r="RTO22" s="7"/>
      <c r="RTP22" s="7"/>
      <c r="RTQ22" s="7"/>
      <c r="RTR22" s="7"/>
      <c r="RTS22" s="7"/>
      <c r="RTT22" s="7"/>
      <c r="RTU22" s="7"/>
      <c r="RTV22" s="7"/>
      <c r="RTW22" s="7"/>
      <c r="RTX22" s="7"/>
      <c r="RTY22" s="7"/>
      <c r="RTZ22" s="7"/>
      <c r="RUA22" s="7"/>
      <c r="RUB22" s="7"/>
      <c r="RUC22" s="7"/>
      <c r="RUD22" s="7"/>
      <c r="RUE22" s="7"/>
      <c r="RUF22" s="7"/>
      <c r="RUG22" s="7"/>
      <c r="RUH22" s="7"/>
      <c r="RUI22" s="7"/>
      <c r="RUJ22" s="7"/>
      <c r="RUK22" s="7"/>
      <c r="RUL22" s="7"/>
      <c r="RUM22" s="7"/>
      <c r="RUN22" s="7"/>
      <c r="RUO22" s="7"/>
      <c r="RUP22" s="7"/>
      <c r="RUQ22" s="7"/>
      <c r="RUR22" s="7"/>
      <c r="RUS22" s="7"/>
      <c r="RUT22" s="7"/>
      <c r="RUU22" s="7"/>
      <c r="RUV22" s="7"/>
      <c r="RUW22" s="7"/>
      <c r="RUX22" s="7"/>
      <c r="RUY22" s="7"/>
      <c r="RUZ22" s="7"/>
      <c r="RVA22" s="7"/>
      <c r="RVB22" s="7"/>
      <c r="RVC22" s="7"/>
      <c r="RVD22" s="7"/>
      <c r="RVE22" s="7"/>
      <c r="RVF22" s="7"/>
      <c r="RVG22" s="7"/>
      <c r="RVH22" s="7"/>
      <c r="RVI22" s="7"/>
      <c r="RVJ22" s="7"/>
      <c r="RVK22" s="7"/>
      <c r="RVL22" s="7"/>
      <c r="RVM22" s="7"/>
      <c r="RVN22" s="7"/>
      <c r="RVO22" s="7"/>
      <c r="RVP22" s="7"/>
      <c r="RVQ22" s="7"/>
      <c r="RVR22" s="7"/>
      <c r="RVS22" s="7"/>
      <c r="RVT22" s="7"/>
      <c r="RVU22" s="7"/>
      <c r="RVV22" s="7"/>
      <c r="RVW22" s="7"/>
      <c r="RVX22" s="7"/>
      <c r="RVY22" s="7"/>
      <c r="RVZ22" s="7"/>
      <c r="RWA22" s="7"/>
      <c r="RWB22" s="7"/>
      <c r="RWC22" s="7"/>
      <c r="RWD22" s="7"/>
      <c r="RWE22" s="7"/>
      <c r="RWF22" s="7"/>
      <c r="RWG22" s="7"/>
      <c r="RWH22" s="7"/>
      <c r="RWI22" s="7"/>
      <c r="RWJ22" s="7"/>
      <c r="RWK22" s="7"/>
      <c r="RWL22" s="7"/>
      <c r="RWM22" s="7"/>
      <c r="RWN22" s="7"/>
      <c r="RWO22" s="7"/>
      <c r="RWP22" s="7"/>
      <c r="RWQ22" s="7"/>
      <c r="RWR22" s="7"/>
      <c r="RWS22" s="7"/>
      <c r="RWT22" s="7"/>
      <c r="RWU22" s="7"/>
      <c r="RWV22" s="7"/>
      <c r="RWW22" s="7"/>
      <c r="RWX22" s="7"/>
      <c r="RWY22" s="7"/>
      <c r="RWZ22" s="7"/>
      <c r="RXA22" s="7"/>
      <c r="RXB22" s="7"/>
      <c r="RXC22" s="7"/>
      <c r="RXD22" s="7"/>
      <c r="RXE22" s="7"/>
      <c r="RXF22" s="7"/>
      <c r="RXG22" s="7"/>
      <c r="RXH22" s="7"/>
      <c r="RXI22" s="7"/>
      <c r="RXJ22" s="7"/>
      <c r="RXK22" s="7"/>
      <c r="RXL22" s="7"/>
      <c r="RXM22" s="7"/>
      <c r="RXN22" s="7"/>
      <c r="RXO22" s="7"/>
      <c r="RXP22" s="7"/>
      <c r="RXQ22" s="7"/>
      <c r="RXR22" s="7"/>
      <c r="RXS22" s="7"/>
      <c r="RXT22" s="7"/>
      <c r="RXU22" s="7"/>
      <c r="RXV22" s="7"/>
      <c r="RXW22" s="7"/>
      <c r="RXX22" s="7"/>
      <c r="RXY22" s="7"/>
      <c r="RXZ22" s="7"/>
      <c r="RYA22" s="7"/>
      <c r="RYB22" s="7"/>
      <c r="RYC22" s="7"/>
      <c r="RYD22" s="7"/>
      <c r="RYE22" s="7"/>
      <c r="RYF22" s="7"/>
      <c r="RYG22" s="7"/>
      <c r="RYH22" s="7"/>
      <c r="RYI22" s="7"/>
      <c r="RYJ22" s="7"/>
      <c r="RYK22" s="7"/>
      <c r="RYL22" s="7"/>
      <c r="RYM22" s="7"/>
      <c r="RYN22" s="7"/>
      <c r="RYO22" s="7"/>
      <c r="RYP22" s="7"/>
      <c r="RYQ22" s="7"/>
      <c r="RYR22" s="7"/>
      <c r="RYS22" s="7"/>
      <c r="RYT22" s="7"/>
      <c r="RYU22" s="7"/>
      <c r="RYV22" s="7"/>
      <c r="RYW22" s="7"/>
      <c r="RYX22" s="7"/>
      <c r="RYY22" s="7"/>
      <c r="RYZ22" s="7"/>
      <c r="RZA22" s="7"/>
      <c r="RZB22" s="7"/>
      <c r="RZC22" s="7"/>
      <c r="RZD22" s="7"/>
      <c r="RZE22" s="7"/>
      <c r="RZF22" s="7"/>
      <c r="RZG22" s="7"/>
      <c r="RZH22" s="7"/>
      <c r="RZI22" s="7"/>
      <c r="RZJ22" s="7"/>
      <c r="RZK22" s="7"/>
      <c r="RZL22" s="7"/>
      <c r="RZM22" s="7"/>
      <c r="RZN22" s="7"/>
      <c r="RZO22" s="7"/>
      <c r="RZP22" s="7"/>
      <c r="RZQ22" s="7"/>
      <c r="RZR22" s="7"/>
      <c r="RZS22" s="7"/>
      <c r="RZT22" s="7"/>
      <c r="RZU22" s="7"/>
      <c r="RZV22" s="7"/>
      <c r="RZW22" s="7"/>
      <c r="RZX22" s="7"/>
      <c r="RZY22" s="7"/>
      <c r="RZZ22" s="7"/>
      <c r="SAA22" s="7"/>
      <c r="SAB22" s="7"/>
      <c r="SAC22" s="7"/>
      <c r="SAD22" s="7"/>
      <c r="SAE22" s="7"/>
      <c r="SAF22" s="7"/>
      <c r="SAG22" s="7"/>
      <c r="SAH22" s="7"/>
      <c r="SAI22" s="7"/>
      <c r="SAJ22" s="7"/>
      <c r="SAK22" s="7"/>
      <c r="SAL22" s="7"/>
      <c r="SAM22" s="7"/>
      <c r="SAN22" s="7"/>
      <c r="SAO22" s="7"/>
      <c r="SAP22" s="7"/>
      <c r="SAQ22" s="7"/>
      <c r="SAR22" s="7"/>
      <c r="SAS22" s="7"/>
      <c r="SAT22" s="7"/>
      <c r="SAU22" s="7"/>
      <c r="SAV22" s="7"/>
      <c r="SAW22" s="7"/>
      <c r="SAX22" s="7"/>
      <c r="SAY22" s="7"/>
      <c r="SAZ22" s="7"/>
      <c r="SBA22" s="7"/>
      <c r="SBB22" s="7"/>
      <c r="SBC22" s="7"/>
      <c r="SBD22" s="7"/>
      <c r="SBE22" s="7"/>
      <c r="SBF22" s="7"/>
      <c r="SBG22" s="7"/>
      <c r="SBH22" s="7"/>
      <c r="SBI22" s="7"/>
      <c r="SBJ22" s="7"/>
      <c r="SBK22" s="7"/>
      <c r="SBL22" s="7"/>
      <c r="SBM22" s="7"/>
      <c r="SBN22" s="7"/>
      <c r="SBO22" s="7"/>
      <c r="SBP22" s="7"/>
      <c r="SBQ22" s="7"/>
      <c r="SBR22" s="7"/>
      <c r="SBS22" s="7"/>
      <c r="SBT22" s="7"/>
      <c r="SBU22" s="7"/>
      <c r="SBV22" s="7"/>
      <c r="SBW22" s="7"/>
      <c r="SBX22" s="7"/>
      <c r="SBY22" s="7"/>
      <c r="SBZ22" s="7"/>
      <c r="SCA22" s="7"/>
      <c r="SCB22" s="7"/>
      <c r="SCC22" s="7"/>
      <c r="SCD22" s="7"/>
      <c r="SCE22" s="7"/>
      <c r="SCF22" s="7"/>
      <c r="SCG22" s="7"/>
      <c r="SCH22" s="7"/>
      <c r="SCI22" s="7"/>
      <c r="SCJ22" s="7"/>
      <c r="SCK22" s="7"/>
      <c r="SCL22" s="7"/>
      <c r="SCM22" s="7"/>
      <c r="SCN22" s="7"/>
      <c r="SCO22" s="7"/>
      <c r="SCP22" s="7"/>
      <c r="SCQ22" s="7"/>
      <c r="SCR22" s="7"/>
      <c r="SCS22" s="7"/>
      <c r="SCT22" s="7"/>
      <c r="SCU22" s="7"/>
      <c r="SCV22" s="7"/>
      <c r="SCW22" s="7"/>
      <c r="SCX22" s="7"/>
      <c r="SCY22" s="7"/>
      <c r="SCZ22" s="7"/>
      <c r="SDA22" s="7"/>
      <c r="SDB22" s="7"/>
      <c r="SDC22" s="7"/>
      <c r="SDD22" s="7"/>
      <c r="SDE22" s="7"/>
      <c r="SDF22" s="7"/>
      <c r="SDG22" s="7"/>
      <c r="SDH22" s="7"/>
      <c r="SDI22" s="7"/>
      <c r="SDJ22" s="7"/>
      <c r="SDK22" s="7"/>
      <c r="SDL22" s="7"/>
      <c r="SDM22" s="7"/>
      <c r="SDN22" s="7"/>
      <c r="SDO22" s="7"/>
      <c r="SDP22" s="7"/>
      <c r="SDQ22" s="7"/>
      <c r="SDR22" s="7"/>
      <c r="SDS22" s="7"/>
      <c r="SDT22" s="7"/>
      <c r="SDU22" s="7"/>
      <c r="SDV22" s="7"/>
      <c r="SDW22" s="7"/>
      <c r="SDX22" s="7"/>
      <c r="SDY22" s="7"/>
      <c r="SDZ22" s="7"/>
      <c r="SEA22" s="7"/>
      <c r="SEB22" s="7"/>
      <c r="SEC22" s="7"/>
      <c r="SED22" s="7"/>
      <c r="SEE22" s="7"/>
      <c r="SEF22" s="7"/>
      <c r="SEG22" s="7"/>
      <c r="SEH22" s="7"/>
      <c r="SEI22" s="7"/>
      <c r="SEJ22" s="7"/>
      <c r="SEK22" s="7"/>
      <c r="SEL22" s="7"/>
      <c r="SEM22" s="7"/>
      <c r="SEN22" s="7"/>
      <c r="SEO22" s="7"/>
      <c r="SEP22" s="7"/>
      <c r="SEQ22" s="7"/>
      <c r="SER22" s="7"/>
      <c r="SES22" s="7"/>
      <c r="SET22" s="7"/>
      <c r="SEU22" s="7"/>
      <c r="SEV22" s="7"/>
      <c r="SEW22" s="7"/>
      <c r="SEX22" s="7"/>
      <c r="SEY22" s="7"/>
      <c r="SEZ22" s="7"/>
      <c r="SFA22" s="7"/>
      <c r="SFB22" s="7"/>
      <c r="SFC22" s="7"/>
      <c r="SFD22" s="7"/>
      <c r="SFE22" s="7"/>
      <c r="SFF22" s="7"/>
      <c r="SFG22" s="7"/>
      <c r="SFH22" s="7"/>
      <c r="SFI22" s="7"/>
      <c r="SFJ22" s="7"/>
      <c r="SFK22" s="7"/>
      <c r="SFL22" s="7"/>
      <c r="SFM22" s="7"/>
      <c r="SFN22" s="7"/>
      <c r="SFO22" s="7"/>
      <c r="SFP22" s="7"/>
      <c r="SFQ22" s="7"/>
      <c r="SFR22" s="7"/>
      <c r="SFS22" s="7"/>
      <c r="SFT22" s="7"/>
      <c r="SFU22" s="7"/>
      <c r="SFV22" s="7"/>
      <c r="SFW22" s="7"/>
      <c r="SFX22" s="7"/>
      <c r="SFY22" s="7"/>
      <c r="SFZ22" s="7"/>
      <c r="SGA22" s="7"/>
      <c r="SGB22" s="7"/>
      <c r="SGC22" s="7"/>
      <c r="SGD22" s="7"/>
      <c r="SGE22" s="7"/>
      <c r="SGF22" s="7"/>
      <c r="SGG22" s="7"/>
      <c r="SGH22" s="7"/>
      <c r="SGI22" s="7"/>
      <c r="SGJ22" s="7"/>
      <c r="SGK22" s="7"/>
      <c r="SGL22" s="7"/>
      <c r="SGM22" s="7"/>
      <c r="SGN22" s="7"/>
      <c r="SGO22" s="7"/>
      <c r="SGP22" s="7"/>
      <c r="SGQ22" s="7"/>
      <c r="SGR22" s="7"/>
      <c r="SGS22" s="7"/>
      <c r="SGT22" s="7"/>
      <c r="SGU22" s="7"/>
      <c r="SGV22" s="7"/>
      <c r="SGW22" s="7"/>
      <c r="SGX22" s="7"/>
      <c r="SGY22" s="7"/>
      <c r="SGZ22" s="7"/>
      <c r="SHA22" s="7"/>
      <c r="SHB22" s="7"/>
      <c r="SHC22" s="7"/>
      <c r="SHD22" s="7"/>
      <c r="SHE22" s="7"/>
      <c r="SHF22" s="7"/>
      <c r="SHG22" s="7"/>
      <c r="SHH22" s="7"/>
      <c r="SHI22" s="7"/>
      <c r="SHJ22" s="7"/>
      <c r="SHK22" s="7"/>
      <c r="SHL22" s="7"/>
      <c r="SHM22" s="7"/>
      <c r="SHN22" s="7"/>
      <c r="SHO22" s="7"/>
      <c r="SHP22" s="7"/>
      <c r="SHQ22" s="7"/>
      <c r="SHR22" s="7"/>
      <c r="SHS22" s="7"/>
      <c r="SHT22" s="7"/>
      <c r="SHU22" s="7"/>
      <c r="SHV22" s="7"/>
      <c r="SHW22" s="7"/>
      <c r="SHX22" s="7"/>
      <c r="SHY22" s="7"/>
      <c r="SHZ22" s="7"/>
      <c r="SIA22" s="7"/>
      <c r="SIB22" s="7"/>
      <c r="SIC22" s="7"/>
      <c r="SID22" s="7"/>
      <c r="SIE22" s="7"/>
      <c r="SIF22" s="7"/>
      <c r="SIG22" s="7"/>
      <c r="SIH22" s="7"/>
      <c r="SII22" s="7"/>
      <c r="SIJ22" s="7"/>
      <c r="SIK22" s="7"/>
      <c r="SIL22" s="7"/>
      <c r="SIM22" s="7"/>
      <c r="SIN22" s="7"/>
      <c r="SIO22" s="7"/>
      <c r="SIP22" s="7"/>
      <c r="SIQ22" s="7"/>
      <c r="SIR22" s="7"/>
      <c r="SIS22" s="7"/>
      <c r="SIT22" s="7"/>
      <c r="SIU22" s="7"/>
      <c r="SIV22" s="7"/>
      <c r="SIW22" s="7"/>
      <c r="SIX22" s="7"/>
      <c r="SIY22" s="7"/>
      <c r="SIZ22" s="7"/>
      <c r="SJA22" s="7"/>
      <c r="SJB22" s="7"/>
      <c r="SJC22" s="7"/>
      <c r="SJD22" s="7"/>
      <c r="SJE22" s="7"/>
      <c r="SJF22" s="7"/>
      <c r="SJG22" s="7"/>
      <c r="SJH22" s="7"/>
      <c r="SJI22" s="7"/>
      <c r="SJJ22" s="7"/>
      <c r="SJK22" s="7"/>
      <c r="SJL22" s="7"/>
      <c r="SJM22" s="7"/>
      <c r="SJN22" s="7"/>
      <c r="SJO22" s="7"/>
      <c r="SJP22" s="7"/>
      <c r="SJQ22" s="7"/>
      <c r="SJR22" s="7"/>
      <c r="SJS22" s="7"/>
      <c r="SJT22" s="7"/>
      <c r="SJU22" s="7"/>
      <c r="SJV22" s="7"/>
      <c r="SJW22" s="7"/>
      <c r="SJX22" s="7"/>
      <c r="SJY22" s="7"/>
      <c r="SJZ22" s="7"/>
      <c r="SKA22" s="7"/>
      <c r="SKB22" s="7"/>
      <c r="SKC22" s="7"/>
      <c r="SKD22" s="7"/>
      <c r="SKE22" s="7"/>
      <c r="SKF22" s="7"/>
      <c r="SKG22" s="7"/>
      <c r="SKH22" s="7"/>
      <c r="SKI22" s="7"/>
      <c r="SKJ22" s="7"/>
      <c r="SKK22" s="7"/>
      <c r="SKL22" s="7"/>
      <c r="SKM22" s="7"/>
      <c r="SKN22" s="7"/>
      <c r="SKO22" s="7"/>
      <c r="SKP22" s="7"/>
      <c r="SKQ22" s="7"/>
      <c r="SKR22" s="7"/>
      <c r="SKS22" s="7"/>
      <c r="SKT22" s="7"/>
      <c r="SKU22" s="7"/>
      <c r="SKV22" s="7"/>
      <c r="SKW22" s="7"/>
      <c r="SKX22" s="7"/>
      <c r="SKY22" s="7"/>
      <c r="SKZ22" s="7"/>
      <c r="SLA22" s="7"/>
      <c r="SLB22" s="7"/>
      <c r="SLC22" s="7"/>
      <c r="SLD22" s="7"/>
      <c r="SLE22" s="7"/>
      <c r="SLF22" s="7"/>
      <c r="SLG22" s="7"/>
      <c r="SLH22" s="7"/>
      <c r="SLI22" s="7"/>
      <c r="SLJ22" s="7"/>
      <c r="SLK22" s="7"/>
      <c r="SLL22" s="7"/>
      <c r="SLM22" s="7"/>
      <c r="SLN22" s="7"/>
      <c r="SLO22" s="7"/>
      <c r="SLP22" s="7"/>
      <c r="SLQ22" s="7"/>
      <c r="SLR22" s="7"/>
      <c r="SLS22" s="7"/>
      <c r="SLT22" s="7"/>
      <c r="SLU22" s="7"/>
      <c r="SLV22" s="7"/>
      <c r="SLW22" s="7"/>
      <c r="SLX22" s="7"/>
      <c r="SLY22" s="7"/>
      <c r="SLZ22" s="7"/>
      <c r="SMA22" s="7"/>
      <c r="SMB22" s="7"/>
      <c r="SMC22" s="7"/>
      <c r="SMD22" s="7"/>
      <c r="SME22" s="7"/>
      <c r="SMF22" s="7"/>
      <c r="SMG22" s="7"/>
      <c r="SMH22" s="7"/>
      <c r="SMI22" s="7"/>
      <c r="SMJ22" s="7"/>
      <c r="SMK22" s="7"/>
      <c r="SML22" s="7"/>
      <c r="SMM22" s="7"/>
      <c r="SMN22" s="7"/>
      <c r="SMO22" s="7"/>
      <c r="SMP22" s="7"/>
      <c r="SMQ22" s="7"/>
      <c r="SMR22" s="7"/>
      <c r="SMS22" s="7"/>
      <c r="SMT22" s="7"/>
      <c r="SMU22" s="7"/>
      <c r="SMV22" s="7"/>
      <c r="SMW22" s="7"/>
      <c r="SMX22" s="7"/>
      <c r="SMY22" s="7"/>
      <c r="SMZ22" s="7"/>
      <c r="SNA22" s="7"/>
      <c r="SNB22" s="7"/>
      <c r="SNC22" s="7"/>
      <c r="SND22" s="7"/>
      <c r="SNE22" s="7"/>
      <c r="SNF22" s="7"/>
      <c r="SNG22" s="7"/>
      <c r="SNH22" s="7"/>
      <c r="SNI22" s="7"/>
      <c r="SNJ22" s="7"/>
      <c r="SNK22" s="7"/>
      <c r="SNL22" s="7"/>
      <c r="SNM22" s="7"/>
      <c r="SNN22" s="7"/>
      <c r="SNO22" s="7"/>
      <c r="SNP22" s="7"/>
      <c r="SNQ22" s="7"/>
      <c r="SNR22" s="7"/>
      <c r="SNS22" s="7"/>
      <c r="SNT22" s="7"/>
      <c r="SNU22" s="7"/>
      <c r="SNV22" s="7"/>
      <c r="SNW22" s="7"/>
      <c r="SNX22" s="7"/>
      <c r="SNY22" s="7"/>
      <c r="SNZ22" s="7"/>
      <c r="SOA22" s="7"/>
      <c r="SOB22" s="7"/>
      <c r="SOC22" s="7"/>
      <c r="SOD22" s="7"/>
      <c r="SOE22" s="7"/>
      <c r="SOF22" s="7"/>
      <c r="SOG22" s="7"/>
      <c r="SOH22" s="7"/>
      <c r="SOI22" s="7"/>
      <c r="SOJ22" s="7"/>
      <c r="SOK22" s="7"/>
      <c r="SOL22" s="7"/>
      <c r="SOM22" s="7"/>
      <c r="SON22" s="7"/>
      <c r="SOO22" s="7"/>
      <c r="SOP22" s="7"/>
      <c r="SOQ22" s="7"/>
      <c r="SOR22" s="7"/>
      <c r="SOS22" s="7"/>
      <c r="SOT22" s="7"/>
      <c r="SOU22" s="7"/>
      <c r="SOV22" s="7"/>
      <c r="SOW22" s="7"/>
      <c r="SOX22" s="7"/>
      <c r="SOY22" s="7"/>
      <c r="SOZ22" s="7"/>
      <c r="SPA22" s="7"/>
      <c r="SPB22" s="7"/>
      <c r="SPC22" s="7"/>
      <c r="SPD22" s="7"/>
      <c r="SPE22" s="7"/>
      <c r="SPF22" s="7"/>
      <c r="SPG22" s="7"/>
      <c r="SPH22" s="7"/>
      <c r="SPI22" s="7"/>
      <c r="SPJ22" s="7"/>
      <c r="SPK22" s="7"/>
      <c r="SPL22" s="7"/>
      <c r="SPM22" s="7"/>
      <c r="SPN22" s="7"/>
      <c r="SPO22" s="7"/>
      <c r="SPP22" s="7"/>
      <c r="SPQ22" s="7"/>
      <c r="SPR22" s="7"/>
      <c r="SPS22" s="7"/>
      <c r="SPT22" s="7"/>
      <c r="SPU22" s="7"/>
      <c r="SPV22" s="7"/>
      <c r="SPW22" s="7"/>
      <c r="SPX22" s="7"/>
      <c r="SPY22" s="7"/>
      <c r="SPZ22" s="7"/>
      <c r="SQA22" s="7"/>
      <c r="SQB22" s="7"/>
      <c r="SQC22" s="7"/>
      <c r="SQD22" s="7"/>
      <c r="SQE22" s="7"/>
      <c r="SQF22" s="7"/>
      <c r="SQG22" s="7"/>
      <c r="SQH22" s="7"/>
      <c r="SQI22" s="7"/>
      <c r="SQJ22" s="7"/>
      <c r="SQK22" s="7"/>
      <c r="SQL22" s="7"/>
      <c r="SQM22" s="7"/>
      <c r="SQN22" s="7"/>
      <c r="SQO22" s="7"/>
      <c r="SQP22" s="7"/>
      <c r="SQQ22" s="7"/>
      <c r="SQR22" s="7"/>
      <c r="SQS22" s="7"/>
      <c r="SQT22" s="7"/>
      <c r="SQU22" s="7"/>
      <c r="SQV22" s="7"/>
      <c r="SQW22" s="7"/>
      <c r="SQX22" s="7"/>
      <c r="SQY22" s="7"/>
      <c r="SQZ22" s="7"/>
      <c r="SRA22" s="7"/>
      <c r="SRB22" s="7"/>
      <c r="SRC22" s="7"/>
      <c r="SRD22" s="7"/>
      <c r="SRE22" s="7"/>
      <c r="SRF22" s="7"/>
      <c r="SRG22" s="7"/>
      <c r="SRH22" s="7"/>
      <c r="SRI22" s="7"/>
      <c r="SRJ22" s="7"/>
      <c r="SRK22" s="7"/>
      <c r="SRL22" s="7"/>
      <c r="SRM22" s="7"/>
      <c r="SRN22" s="7"/>
      <c r="SRO22" s="7"/>
      <c r="SRP22" s="7"/>
      <c r="SRQ22" s="7"/>
      <c r="SRR22" s="7"/>
      <c r="SRS22" s="7"/>
      <c r="SRT22" s="7"/>
      <c r="SRU22" s="7"/>
      <c r="SRV22" s="7"/>
      <c r="SRW22" s="7"/>
      <c r="SRX22" s="7"/>
      <c r="SRY22" s="7"/>
      <c r="SRZ22" s="7"/>
      <c r="SSA22" s="7"/>
      <c r="SSB22" s="7"/>
      <c r="SSC22" s="7"/>
      <c r="SSD22" s="7"/>
      <c r="SSE22" s="7"/>
      <c r="SSF22" s="7"/>
      <c r="SSG22" s="7"/>
      <c r="SSH22" s="7"/>
      <c r="SSI22" s="7"/>
      <c r="SSJ22" s="7"/>
      <c r="SSK22" s="7"/>
      <c r="SSL22" s="7"/>
      <c r="SSM22" s="7"/>
      <c r="SSN22" s="7"/>
      <c r="SSO22" s="7"/>
      <c r="SSP22" s="7"/>
      <c r="SSQ22" s="7"/>
      <c r="SSR22" s="7"/>
      <c r="SSS22" s="7"/>
      <c r="SST22" s="7"/>
      <c r="SSU22" s="7"/>
      <c r="SSV22" s="7"/>
      <c r="SSW22" s="7"/>
      <c r="SSX22" s="7"/>
      <c r="SSY22" s="7"/>
      <c r="SSZ22" s="7"/>
      <c r="STA22" s="7"/>
      <c r="STB22" s="7"/>
      <c r="STC22" s="7"/>
      <c r="STD22" s="7"/>
      <c r="STE22" s="7"/>
      <c r="STF22" s="7"/>
      <c r="STG22" s="7"/>
      <c r="STH22" s="7"/>
      <c r="STI22" s="7"/>
      <c r="STJ22" s="7"/>
      <c r="STK22" s="7"/>
      <c r="STL22" s="7"/>
      <c r="STM22" s="7"/>
      <c r="STN22" s="7"/>
      <c r="STO22" s="7"/>
      <c r="STP22" s="7"/>
      <c r="STQ22" s="7"/>
      <c r="STR22" s="7"/>
      <c r="STS22" s="7"/>
      <c r="STT22" s="7"/>
      <c r="STU22" s="7"/>
      <c r="STV22" s="7"/>
      <c r="STW22" s="7"/>
      <c r="STX22" s="7"/>
      <c r="STY22" s="7"/>
      <c r="STZ22" s="7"/>
      <c r="SUA22" s="7"/>
      <c r="SUB22" s="7"/>
      <c r="SUC22" s="7"/>
      <c r="SUD22" s="7"/>
      <c r="SUE22" s="7"/>
      <c r="SUF22" s="7"/>
      <c r="SUG22" s="7"/>
      <c r="SUH22" s="7"/>
      <c r="SUI22" s="7"/>
      <c r="SUJ22" s="7"/>
      <c r="SUK22" s="7"/>
      <c r="SUL22" s="7"/>
      <c r="SUM22" s="7"/>
      <c r="SUN22" s="7"/>
      <c r="SUO22" s="7"/>
      <c r="SUP22" s="7"/>
      <c r="SUQ22" s="7"/>
      <c r="SUR22" s="7"/>
      <c r="SUS22" s="7"/>
      <c r="SUT22" s="7"/>
      <c r="SUU22" s="7"/>
      <c r="SUV22" s="7"/>
      <c r="SUW22" s="7"/>
      <c r="SUX22" s="7"/>
      <c r="SUY22" s="7"/>
      <c r="SUZ22" s="7"/>
      <c r="SVA22" s="7"/>
      <c r="SVB22" s="7"/>
      <c r="SVC22" s="7"/>
      <c r="SVD22" s="7"/>
      <c r="SVE22" s="7"/>
      <c r="SVF22" s="7"/>
      <c r="SVG22" s="7"/>
      <c r="SVH22" s="7"/>
      <c r="SVI22" s="7"/>
      <c r="SVJ22" s="7"/>
      <c r="SVK22" s="7"/>
      <c r="SVL22" s="7"/>
      <c r="SVM22" s="7"/>
      <c r="SVN22" s="7"/>
      <c r="SVO22" s="7"/>
      <c r="SVP22" s="7"/>
      <c r="SVQ22" s="7"/>
      <c r="SVR22" s="7"/>
      <c r="SVS22" s="7"/>
      <c r="SVT22" s="7"/>
      <c r="SVU22" s="7"/>
      <c r="SVV22" s="7"/>
      <c r="SVW22" s="7"/>
      <c r="SVX22" s="7"/>
      <c r="SVY22" s="7"/>
      <c r="SVZ22" s="7"/>
      <c r="SWA22" s="7"/>
      <c r="SWB22" s="7"/>
      <c r="SWC22" s="7"/>
      <c r="SWD22" s="7"/>
      <c r="SWE22" s="7"/>
      <c r="SWF22" s="7"/>
      <c r="SWG22" s="7"/>
      <c r="SWH22" s="7"/>
      <c r="SWI22" s="7"/>
      <c r="SWJ22" s="7"/>
      <c r="SWK22" s="7"/>
      <c r="SWL22" s="7"/>
      <c r="SWM22" s="7"/>
      <c r="SWN22" s="7"/>
      <c r="SWO22" s="7"/>
      <c r="SWP22" s="7"/>
      <c r="SWQ22" s="7"/>
      <c r="SWR22" s="7"/>
      <c r="SWS22" s="7"/>
      <c r="SWT22" s="7"/>
      <c r="SWU22" s="7"/>
      <c r="SWV22" s="7"/>
      <c r="SWW22" s="7"/>
      <c r="SWX22" s="7"/>
      <c r="SWY22" s="7"/>
      <c r="SWZ22" s="7"/>
      <c r="SXA22" s="7"/>
      <c r="SXB22" s="7"/>
      <c r="SXC22" s="7"/>
      <c r="SXD22" s="7"/>
      <c r="SXE22" s="7"/>
      <c r="SXF22" s="7"/>
      <c r="SXG22" s="7"/>
      <c r="SXH22" s="7"/>
      <c r="SXI22" s="7"/>
      <c r="SXJ22" s="7"/>
      <c r="SXK22" s="7"/>
      <c r="SXL22" s="7"/>
      <c r="SXM22" s="7"/>
      <c r="SXN22" s="7"/>
      <c r="SXO22" s="7"/>
      <c r="SXP22" s="7"/>
      <c r="SXQ22" s="7"/>
      <c r="SXR22" s="7"/>
      <c r="SXS22" s="7"/>
      <c r="SXT22" s="7"/>
      <c r="SXU22" s="7"/>
      <c r="SXV22" s="7"/>
      <c r="SXW22" s="7"/>
      <c r="SXX22" s="7"/>
      <c r="SXY22" s="7"/>
      <c r="SXZ22" s="7"/>
      <c r="SYA22" s="7"/>
      <c r="SYB22" s="7"/>
      <c r="SYC22" s="7"/>
      <c r="SYD22" s="7"/>
      <c r="SYE22" s="7"/>
      <c r="SYF22" s="7"/>
      <c r="SYG22" s="7"/>
      <c r="SYH22" s="7"/>
      <c r="SYI22" s="7"/>
      <c r="SYJ22" s="7"/>
      <c r="SYK22" s="7"/>
      <c r="SYL22" s="7"/>
      <c r="SYM22" s="7"/>
      <c r="SYN22" s="7"/>
      <c r="SYO22" s="7"/>
      <c r="SYP22" s="7"/>
      <c r="SYQ22" s="7"/>
      <c r="SYR22" s="7"/>
      <c r="SYS22" s="7"/>
      <c r="SYT22" s="7"/>
      <c r="SYU22" s="7"/>
      <c r="SYV22" s="7"/>
      <c r="SYW22" s="7"/>
      <c r="SYX22" s="7"/>
      <c r="SYY22" s="7"/>
      <c r="SYZ22" s="7"/>
      <c r="SZA22" s="7"/>
      <c r="SZB22" s="7"/>
      <c r="SZC22" s="7"/>
      <c r="SZD22" s="7"/>
      <c r="SZE22" s="7"/>
      <c r="SZF22" s="7"/>
      <c r="SZG22" s="7"/>
      <c r="SZH22" s="7"/>
      <c r="SZI22" s="7"/>
      <c r="SZJ22" s="7"/>
      <c r="SZK22" s="7"/>
      <c r="SZL22" s="7"/>
      <c r="SZM22" s="7"/>
      <c r="SZN22" s="7"/>
      <c r="SZO22" s="7"/>
      <c r="SZP22" s="7"/>
      <c r="SZQ22" s="7"/>
      <c r="SZR22" s="7"/>
      <c r="SZS22" s="7"/>
      <c r="SZT22" s="7"/>
      <c r="SZU22" s="7"/>
      <c r="SZV22" s="7"/>
      <c r="SZW22" s="7"/>
      <c r="SZX22" s="7"/>
      <c r="SZY22" s="7"/>
      <c r="SZZ22" s="7"/>
      <c r="TAA22" s="7"/>
      <c r="TAB22" s="7"/>
      <c r="TAC22" s="7"/>
      <c r="TAD22" s="7"/>
      <c r="TAE22" s="7"/>
      <c r="TAF22" s="7"/>
      <c r="TAG22" s="7"/>
      <c r="TAH22" s="7"/>
      <c r="TAI22" s="7"/>
      <c r="TAJ22" s="7"/>
      <c r="TAK22" s="7"/>
      <c r="TAL22" s="7"/>
      <c r="TAM22" s="7"/>
      <c r="TAN22" s="7"/>
      <c r="TAO22" s="7"/>
      <c r="TAP22" s="7"/>
      <c r="TAQ22" s="7"/>
      <c r="TAR22" s="7"/>
      <c r="TAS22" s="7"/>
      <c r="TAT22" s="7"/>
      <c r="TAU22" s="7"/>
      <c r="TAV22" s="7"/>
      <c r="TAW22" s="7"/>
      <c r="TAX22" s="7"/>
      <c r="TAY22" s="7"/>
      <c r="TAZ22" s="7"/>
      <c r="TBA22" s="7"/>
      <c r="TBB22" s="7"/>
      <c r="TBC22" s="7"/>
      <c r="TBD22" s="7"/>
      <c r="TBE22" s="7"/>
      <c r="TBF22" s="7"/>
      <c r="TBG22" s="7"/>
      <c r="TBH22" s="7"/>
      <c r="TBI22" s="7"/>
      <c r="TBJ22" s="7"/>
      <c r="TBK22" s="7"/>
      <c r="TBL22" s="7"/>
      <c r="TBM22" s="7"/>
      <c r="TBN22" s="7"/>
      <c r="TBO22" s="7"/>
      <c r="TBP22" s="7"/>
      <c r="TBQ22" s="7"/>
      <c r="TBR22" s="7"/>
      <c r="TBS22" s="7"/>
      <c r="TBT22" s="7"/>
      <c r="TBU22" s="7"/>
      <c r="TBV22" s="7"/>
      <c r="TBW22" s="7"/>
      <c r="TBX22" s="7"/>
      <c r="TBY22" s="7"/>
      <c r="TBZ22" s="7"/>
      <c r="TCA22" s="7"/>
      <c r="TCB22" s="7"/>
      <c r="TCC22" s="7"/>
      <c r="TCD22" s="7"/>
      <c r="TCE22" s="7"/>
      <c r="TCF22" s="7"/>
      <c r="TCG22" s="7"/>
      <c r="TCH22" s="7"/>
      <c r="TCI22" s="7"/>
      <c r="TCJ22" s="7"/>
      <c r="TCK22" s="7"/>
      <c r="TCL22" s="7"/>
      <c r="TCM22" s="7"/>
      <c r="TCN22" s="7"/>
      <c r="TCO22" s="7"/>
      <c r="TCP22" s="7"/>
      <c r="TCQ22" s="7"/>
      <c r="TCR22" s="7"/>
      <c r="TCS22" s="7"/>
      <c r="TCT22" s="7"/>
      <c r="TCU22" s="7"/>
      <c r="TCV22" s="7"/>
      <c r="TCW22" s="7"/>
      <c r="TCX22" s="7"/>
      <c r="TCY22" s="7"/>
      <c r="TCZ22" s="7"/>
      <c r="TDA22" s="7"/>
      <c r="TDB22" s="7"/>
      <c r="TDC22" s="7"/>
      <c r="TDD22" s="7"/>
      <c r="TDE22" s="7"/>
      <c r="TDF22" s="7"/>
      <c r="TDG22" s="7"/>
      <c r="TDH22" s="7"/>
      <c r="TDI22" s="7"/>
      <c r="TDJ22" s="7"/>
      <c r="TDK22" s="7"/>
      <c r="TDL22" s="7"/>
      <c r="TDM22" s="7"/>
      <c r="TDN22" s="7"/>
      <c r="TDO22" s="7"/>
      <c r="TDP22" s="7"/>
      <c r="TDQ22" s="7"/>
      <c r="TDR22" s="7"/>
      <c r="TDS22" s="7"/>
      <c r="TDT22" s="7"/>
      <c r="TDU22" s="7"/>
      <c r="TDV22" s="7"/>
      <c r="TDW22" s="7"/>
      <c r="TDX22" s="7"/>
      <c r="TDY22" s="7"/>
      <c r="TDZ22" s="7"/>
      <c r="TEA22" s="7"/>
      <c r="TEB22" s="7"/>
      <c r="TEC22" s="7"/>
      <c r="TED22" s="7"/>
      <c r="TEE22" s="7"/>
      <c r="TEF22" s="7"/>
      <c r="TEG22" s="7"/>
      <c r="TEH22" s="7"/>
      <c r="TEI22" s="7"/>
      <c r="TEJ22" s="7"/>
      <c r="TEK22" s="7"/>
      <c r="TEL22" s="7"/>
      <c r="TEM22" s="7"/>
      <c r="TEN22" s="7"/>
      <c r="TEO22" s="7"/>
      <c r="TEP22" s="7"/>
      <c r="TEQ22" s="7"/>
      <c r="TER22" s="7"/>
      <c r="TES22" s="7"/>
      <c r="TET22" s="7"/>
      <c r="TEU22" s="7"/>
      <c r="TEV22" s="7"/>
      <c r="TEW22" s="7"/>
      <c r="TEX22" s="7"/>
      <c r="TEY22" s="7"/>
      <c r="TEZ22" s="7"/>
      <c r="TFA22" s="7"/>
      <c r="TFB22" s="7"/>
      <c r="TFC22" s="7"/>
      <c r="TFD22" s="7"/>
      <c r="TFE22" s="7"/>
      <c r="TFF22" s="7"/>
      <c r="TFG22" s="7"/>
      <c r="TFH22" s="7"/>
      <c r="TFI22" s="7"/>
      <c r="TFJ22" s="7"/>
      <c r="TFK22" s="7"/>
      <c r="TFL22" s="7"/>
      <c r="TFM22" s="7"/>
      <c r="TFN22" s="7"/>
      <c r="TFO22" s="7"/>
      <c r="TFP22" s="7"/>
      <c r="TFQ22" s="7"/>
      <c r="TFR22" s="7"/>
      <c r="TFS22" s="7"/>
      <c r="TFT22" s="7"/>
      <c r="TFU22" s="7"/>
      <c r="TFV22" s="7"/>
      <c r="TFW22" s="7"/>
      <c r="TFX22" s="7"/>
      <c r="TFY22" s="7"/>
      <c r="TFZ22" s="7"/>
      <c r="TGA22" s="7"/>
      <c r="TGB22" s="7"/>
      <c r="TGC22" s="7"/>
      <c r="TGD22" s="7"/>
      <c r="TGE22" s="7"/>
      <c r="TGF22" s="7"/>
      <c r="TGG22" s="7"/>
      <c r="TGH22" s="7"/>
      <c r="TGI22" s="7"/>
      <c r="TGJ22" s="7"/>
      <c r="TGK22" s="7"/>
      <c r="TGL22" s="7"/>
      <c r="TGM22" s="7"/>
      <c r="TGN22" s="7"/>
      <c r="TGO22" s="7"/>
      <c r="TGP22" s="7"/>
      <c r="TGQ22" s="7"/>
      <c r="TGR22" s="7"/>
      <c r="TGS22" s="7"/>
      <c r="TGT22" s="7"/>
      <c r="TGU22" s="7"/>
      <c r="TGV22" s="7"/>
      <c r="TGW22" s="7"/>
      <c r="TGX22" s="7"/>
      <c r="TGY22" s="7"/>
      <c r="TGZ22" s="7"/>
      <c r="THA22" s="7"/>
      <c r="THB22" s="7"/>
      <c r="THC22" s="7"/>
      <c r="THD22" s="7"/>
      <c r="THE22" s="7"/>
      <c r="THF22" s="7"/>
      <c r="THG22" s="7"/>
      <c r="THH22" s="7"/>
      <c r="THI22" s="7"/>
      <c r="THJ22" s="7"/>
      <c r="THK22" s="7"/>
      <c r="THL22" s="7"/>
      <c r="THM22" s="7"/>
      <c r="THN22" s="7"/>
      <c r="THO22" s="7"/>
      <c r="THP22" s="7"/>
      <c r="THQ22" s="7"/>
      <c r="THR22" s="7"/>
      <c r="THS22" s="7"/>
      <c r="THT22" s="7"/>
      <c r="THU22" s="7"/>
      <c r="THV22" s="7"/>
      <c r="THW22" s="7"/>
      <c r="THX22" s="7"/>
      <c r="THY22" s="7"/>
      <c r="THZ22" s="7"/>
      <c r="TIA22" s="7"/>
      <c r="TIB22" s="7"/>
      <c r="TIC22" s="7"/>
      <c r="TID22" s="7"/>
      <c r="TIE22" s="7"/>
      <c r="TIF22" s="7"/>
      <c r="TIG22" s="7"/>
      <c r="TIH22" s="7"/>
      <c r="TII22" s="7"/>
      <c r="TIJ22" s="7"/>
      <c r="TIK22" s="7"/>
      <c r="TIL22" s="7"/>
      <c r="TIM22" s="7"/>
      <c r="TIN22" s="7"/>
      <c r="TIO22" s="7"/>
      <c r="TIP22" s="7"/>
      <c r="TIQ22" s="7"/>
      <c r="TIR22" s="7"/>
      <c r="TIS22" s="7"/>
      <c r="TIT22" s="7"/>
      <c r="TIU22" s="7"/>
      <c r="TIV22" s="7"/>
      <c r="TIW22" s="7"/>
      <c r="TIX22" s="7"/>
      <c r="TIY22" s="7"/>
      <c r="TIZ22" s="7"/>
      <c r="TJA22" s="7"/>
      <c r="TJB22" s="7"/>
      <c r="TJC22" s="7"/>
      <c r="TJD22" s="7"/>
      <c r="TJE22" s="7"/>
      <c r="TJF22" s="7"/>
      <c r="TJG22" s="7"/>
      <c r="TJH22" s="7"/>
      <c r="TJI22" s="7"/>
      <c r="TJJ22" s="7"/>
      <c r="TJK22" s="7"/>
      <c r="TJL22" s="7"/>
      <c r="TJM22" s="7"/>
      <c r="TJN22" s="7"/>
      <c r="TJO22" s="7"/>
      <c r="TJP22" s="7"/>
      <c r="TJQ22" s="7"/>
      <c r="TJR22" s="7"/>
      <c r="TJS22" s="7"/>
      <c r="TJT22" s="7"/>
      <c r="TJU22" s="7"/>
      <c r="TJV22" s="7"/>
      <c r="TJW22" s="7"/>
      <c r="TJX22" s="7"/>
      <c r="TJY22" s="7"/>
      <c r="TJZ22" s="7"/>
      <c r="TKA22" s="7"/>
      <c r="TKB22" s="7"/>
      <c r="TKC22" s="7"/>
      <c r="TKD22" s="7"/>
      <c r="TKE22" s="7"/>
      <c r="TKF22" s="7"/>
      <c r="TKG22" s="7"/>
      <c r="TKH22" s="7"/>
      <c r="TKI22" s="7"/>
      <c r="TKJ22" s="7"/>
      <c r="TKK22" s="7"/>
      <c r="TKL22" s="7"/>
      <c r="TKM22" s="7"/>
      <c r="TKN22" s="7"/>
      <c r="TKO22" s="7"/>
      <c r="TKP22" s="7"/>
      <c r="TKQ22" s="7"/>
      <c r="TKR22" s="7"/>
      <c r="TKS22" s="7"/>
      <c r="TKT22" s="7"/>
      <c r="TKU22" s="7"/>
      <c r="TKV22" s="7"/>
      <c r="TKW22" s="7"/>
      <c r="TKX22" s="7"/>
      <c r="TKY22" s="7"/>
      <c r="TKZ22" s="7"/>
      <c r="TLA22" s="7"/>
      <c r="TLB22" s="7"/>
      <c r="TLC22" s="7"/>
      <c r="TLD22" s="7"/>
      <c r="TLE22" s="7"/>
      <c r="TLF22" s="7"/>
      <c r="TLG22" s="7"/>
      <c r="TLH22" s="7"/>
      <c r="TLI22" s="7"/>
      <c r="TLJ22" s="7"/>
      <c r="TLK22" s="7"/>
      <c r="TLL22" s="7"/>
      <c r="TLM22" s="7"/>
      <c r="TLN22" s="7"/>
      <c r="TLO22" s="7"/>
      <c r="TLP22" s="7"/>
      <c r="TLQ22" s="7"/>
      <c r="TLR22" s="7"/>
      <c r="TLS22" s="7"/>
      <c r="TLT22" s="7"/>
      <c r="TLU22" s="7"/>
      <c r="TLV22" s="7"/>
      <c r="TLW22" s="7"/>
      <c r="TLX22" s="7"/>
      <c r="TLY22" s="7"/>
      <c r="TLZ22" s="7"/>
      <c r="TMA22" s="7"/>
      <c r="TMB22" s="7"/>
      <c r="TMC22" s="7"/>
      <c r="TMD22" s="7"/>
      <c r="TME22" s="7"/>
      <c r="TMF22" s="7"/>
      <c r="TMG22" s="7"/>
      <c r="TMH22" s="7"/>
      <c r="TMI22" s="7"/>
      <c r="TMJ22" s="7"/>
      <c r="TMK22" s="7"/>
      <c r="TML22" s="7"/>
      <c r="TMM22" s="7"/>
      <c r="TMN22" s="7"/>
      <c r="TMO22" s="7"/>
      <c r="TMP22" s="7"/>
      <c r="TMQ22" s="7"/>
      <c r="TMR22" s="7"/>
      <c r="TMS22" s="7"/>
      <c r="TMT22" s="7"/>
      <c r="TMU22" s="7"/>
      <c r="TMV22" s="7"/>
      <c r="TMW22" s="7"/>
      <c r="TMX22" s="7"/>
      <c r="TMY22" s="7"/>
      <c r="TMZ22" s="7"/>
      <c r="TNA22" s="7"/>
      <c r="TNB22" s="7"/>
      <c r="TNC22" s="7"/>
      <c r="TND22" s="7"/>
      <c r="TNE22" s="7"/>
      <c r="TNF22" s="7"/>
      <c r="TNG22" s="7"/>
      <c r="TNH22" s="7"/>
      <c r="TNI22" s="7"/>
      <c r="TNJ22" s="7"/>
      <c r="TNK22" s="7"/>
      <c r="TNL22" s="7"/>
      <c r="TNM22" s="7"/>
      <c r="TNN22" s="7"/>
      <c r="TNO22" s="7"/>
      <c r="TNP22" s="7"/>
      <c r="TNQ22" s="7"/>
      <c r="TNR22" s="7"/>
      <c r="TNS22" s="7"/>
      <c r="TNT22" s="7"/>
      <c r="TNU22" s="7"/>
      <c r="TNV22" s="7"/>
      <c r="TNW22" s="7"/>
      <c r="TNX22" s="7"/>
      <c r="TNY22" s="7"/>
      <c r="TNZ22" s="7"/>
      <c r="TOA22" s="7"/>
      <c r="TOB22" s="7"/>
      <c r="TOC22" s="7"/>
      <c r="TOD22" s="7"/>
      <c r="TOE22" s="7"/>
      <c r="TOF22" s="7"/>
      <c r="TOG22" s="7"/>
      <c r="TOH22" s="7"/>
      <c r="TOI22" s="7"/>
      <c r="TOJ22" s="7"/>
      <c r="TOK22" s="7"/>
      <c r="TOL22" s="7"/>
      <c r="TOM22" s="7"/>
      <c r="TON22" s="7"/>
      <c r="TOO22" s="7"/>
      <c r="TOP22" s="7"/>
      <c r="TOQ22" s="7"/>
      <c r="TOR22" s="7"/>
      <c r="TOS22" s="7"/>
      <c r="TOT22" s="7"/>
      <c r="TOU22" s="7"/>
      <c r="TOV22" s="7"/>
      <c r="TOW22" s="7"/>
      <c r="TOX22" s="7"/>
      <c r="TOY22" s="7"/>
      <c r="TOZ22" s="7"/>
      <c r="TPA22" s="7"/>
      <c r="TPB22" s="7"/>
      <c r="TPC22" s="7"/>
      <c r="TPD22" s="7"/>
      <c r="TPE22" s="7"/>
      <c r="TPF22" s="7"/>
      <c r="TPG22" s="7"/>
      <c r="TPH22" s="7"/>
      <c r="TPI22" s="7"/>
      <c r="TPJ22" s="7"/>
      <c r="TPK22" s="7"/>
      <c r="TPL22" s="7"/>
      <c r="TPM22" s="7"/>
      <c r="TPN22" s="7"/>
      <c r="TPO22" s="7"/>
      <c r="TPP22" s="7"/>
      <c r="TPQ22" s="7"/>
      <c r="TPR22" s="7"/>
      <c r="TPS22" s="7"/>
      <c r="TPT22" s="7"/>
      <c r="TPU22" s="7"/>
      <c r="TPV22" s="7"/>
      <c r="TPW22" s="7"/>
      <c r="TPX22" s="7"/>
      <c r="TPY22" s="7"/>
      <c r="TPZ22" s="7"/>
      <c r="TQA22" s="7"/>
      <c r="TQB22" s="7"/>
      <c r="TQC22" s="7"/>
      <c r="TQD22" s="7"/>
      <c r="TQE22" s="7"/>
      <c r="TQF22" s="7"/>
      <c r="TQG22" s="7"/>
      <c r="TQH22" s="7"/>
      <c r="TQI22" s="7"/>
      <c r="TQJ22" s="7"/>
      <c r="TQK22" s="7"/>
      <c r="TQL22" s="7"/>
      <c r="TQM22" s="7"/>
      <c r="TQN22" s="7"/>
      <c r="TQO22" s="7"/>
      <c r="TQP22" s="7"/>
      <c r="TQQ22" s="7"/>
      <c r="TQR22" s="7"/>
      <c r="TQS22" s="7"/>
      <c r="TQT22" s="7"/>
      <c r="TQU22" s="7"/>
      <c r="TQV22" s="7"/>
      <c r="TQW22" s="7"/>
      <c r="TQX22" s="7"/>
      <c r="TQY22" s="7"/>
      <c r="TQZ22" s="7"/>
      <c r="TRA22" s="7"/>
      <c r="TRB22" s="7"/>
      <c r="TRC22" s="7"/>
      <c r="TRD22" s="7"/>
      <c r="TRE22" s="7"/>
      <c r="TRF22" s="7"/>
      <c r="TRG22" s="7"/>
      <c r="TRH22" s="7"/>
      <c r="TRI22" s="7"/>
      <c r="TRJ22" s="7"/>
      <c r="TRK22" s="7"/>
      <c r="TRL22" s="7"/>
      <c r="TRM22" s="7"/>
      <c r="TRN22" s="7"/>
      <c r="TRO22" s="7"/>
      <c r="TRP22" s="7"/>
      <c r="TRQ22" s="7"/>
      <c r="TRR22" s="7"/>
      <c r="TRS22" s="7"/>
      <c r="TRT22" s="7"/>
      <c r="TRU22" s="7"/>
      <c r="TRV22" s="7"/>
      <c r="TRW22" s="7"/>
      <c r="TRX22" s="7"/>
      <c r="TRY22" s="7"/>
      <c r="TRZ22" s="7"/>
      <c r="TSA22" s="7"/>
      <c r="TSB22" s="7"/>
      <c r="TSC22" s="7"/>
      <c r="TSD22" s="7"/>
      <c r="TSE22" s="7"/>
      <c r="TSF22" s="7"/>
      <c r="TSG22" s="7"/>
      <c r="TSH22" s="7"/>
      <c r="TSI22" s="7"/>
      <c r="TSJ22" s="7"/>
      <c r="TSK22" s="7"/>
      <c r="TSL22" s="7"/>
      <c r="TSM22" s="7"/>
      <c r="TSN22" s="7"/>
      <c r="TSO22" s="7"/>
      <c r="TSP22" s="7"/>
      <c r="TSQ22" s="7"/>
      <c r="TSR22" s="7"/>
      <c r="TSS22" s="7"/>
      <c r="TST22" s="7"/>
      <c r="TSU22" s="7"/>
      <c r="TSV22" s="7"/>
      <c r="TSW22" s="7"/>
      <c r="TSX22" s="7"/>
      <c r="TSY22" s="7"/>
      <c r="TSZ22" s="7"/>
      <c r="TTA22" s="7"/>
      <c r="TTB22" s="7"/>
      <c r="TTC22" s="7"/>
      <c r="TTD22" s="7"/>
      <c r="TTE22" s="7"/>
      <c r="TTF22" s="7"/>
      <c r="TTG22" s="7"/>
      <c r="TTH22" s="7"/>
      <c r="TTI22" s="7"/>
      <c r="TTJ22" s="7"/>
      <c r="TTK22" s="7"/>
      <c r="TTL22" s="7"/>
      <c r="TTM22" s="7"/>
      <c r="TTN22" s="7"/>
      <c r="TTO22" s="7"/>
      <c r="TTP22" s="7"/>
      <c r="TTQ22" s="7"/>
      <c r="TTR22" s="7"/>
      <c r="TTS22" s="7"/>
      <c r="TTT22" s="7"/>
      <c r="TTU22" s="7"/>
      <c r="TTV22" s="7"/>
      <c r="TTW22" s="7"/>
      <c r="TTX22" s="7"/>
      <c r="TTY22" s="7"/>
      <c r="TTZ22" s="7"/>
      <c r="TUA22" s="7"/>
      <c r="TUB22" s="7"/>
      <c r="TUC22" s="7"/>
      <c r="TUD22" s="7"/>
      <c r="TUE22" s="7"/>
      <c r="TUF22" s="7"/>
      <c r="TUG22" s="7"/>
      <c r="TUH22" s="7"/>
      <c r="TUI22" s="7"/>
      <c r="TUJ22" s="7"/>
      <c r="TUK22" s="7"/>
      <c r="TUL22" s="7"/>
      <c r="TUM22" s="7"/>
      <c r="TUN22" s="7"/>
      <c r="TUO22" s="7"/>
      <c r="TUP22" s="7"/>
      <c r="TUQ22" s="7"/>
      <c r="TUR22" s="7"/>
      <c r="TUS22" s="7"/>
      <c r="TUT22" s="7"/>
      <c r="TUU22" s="7"/>
      <c r="TUV22" s="7"/>
      <c r="TUW22" s="7"/>
      <c r="TUX22" s="7"/>
      <c r="TUY22" s="7"/>
      <c r="TUZ22" s="7"/>
      <c r="TVA22" s="7"/>
      <c r="TVB22" s="7"/>
      <c r="TVC22" s="7"/>
      <c r="TVD22" s="7"/>
      <c r="TVE22" s="7"/>
      <c r="TVF22" s="7"/>
      <c r="TVG22" s="7"/>
      <c r="TVH22" s="7"/>
      <c r="TVI22" s="7"/>
      <c r="TVJ22" s="7"/>
      <c r="TVK22" s="7"/>
      <c r="TVL22" s="7"/>
      <c r="TVM22" s="7"/>
      <c r="TVN22" s="7"/>
      <c r="TVO22" s="7"/>
      <c r="TVP22" s="7"/>
      <c r="TVQ22" s="7"/>
      <c r="TVR22" s="7"/>
      <c r="TVS22" s="7"/>
      <c r="TVT22" s="7"/>
      <c r="TVU22" s="7"/>
      <c r="TVV22" s="7"/>
      <c r="TVW22" s="7"/>
      <c r="TVX22" s="7"/>
      <c r="TVY22" s="7"/>
      <c r="TVZ22" s="7"/>
      <c r="TWA22" s="7"/>
      <c r="TWB22" s="7"/>
      <c r="TWC22" s="7"/>
      <c r="TWD22" s="7"/>
      <c r="TWE22" s="7"/>
      <c r="TWF22" s="7"/>
      <c r="TWG22" s="7"/>
      <c r="TWH22" s="7"/>
      <c r="TWI22" s="7"/>
      <c r="TWJ22" s="7"/>
      <c r="TWK22" s="7"/>
      <c r="TWL22" s="7"/>
      <c r="TWM22" s="7"/>
      <c r="TWN22" s="7"/>
      <c r="TWO22" s="7"/>
      <c r="TWP22" s="7"/>
      <c r="TWQ22" s="7"/>
      <c r="TWR22" s="7"/>
      <c r="TWS22" s="7"/>
      <c r="TWT22" s="7"/>
      <c r="TWU22" s="7"/>
      <c r="TWV22" s="7"/>
      <c r="TWW22" s="7"/>
      <c r="TWX22" s="7"/>
      <c r="TWY22" s="7"/>
      <c r="TWZ22" s="7"/>
      <c r="TXA22" s="7"/>
      <c r="TXB22" s="7"/>
      <c r="TXC22" s="7"/>
      <c r="TXD22" s="7"/>
      <c r="TXE22" s="7"/>
      <c r="TXF22" s="7"/>
      <c r="TXG22" s="7"/>
      <c r="TXH22" s="7"/>
      <c r="TXI22" s="7"/>
      <c r="TXJ22" s="7"/>
      <c r="TXK22" s="7"/>
      <c r="TXL22" s="7"/>
      <c r="TXM22" s="7"/>
      <c r="TXN22" s="7"/>
      <c r="TXO22" s="7"/>
      <c r="TXP22" s="7"/>
      <c r="TXQ22" s="7"/>
      <c r="TXR22" s="7"/>
      <c r="TXS22" s="7"/>
      <c r="TXT22" s="7"/>
      <c r="TXU22" s="7"/>
      <c r="TXV22" s="7"/>
      <c r="TXW22" s="7"/>
      <c r="TXX22" s="7"/>
      <c r="TXY22" s="7"/>
      <c r="TXZ22" s="7"/>
      <c r="TYA22" s="7"/>
      <c r="TYB22" s="7"/>
      <c r="TYC22" s="7"/>
      <c r="TYD22" s="7"/>
      <c r="TYE22" s="7"/>
      <c r="TYF22" s="7"/>
      <c r="TYG22" s="7"/>
      <c r="TYH22" s="7"/>
      <c r="TYI22" s="7"/>
      <c r="TYJ22" s="7"/>
      <c r="TYK22" s="7"/>
      <c r="TYL22" s="7"/>
      <c r="TYM22" s="7"/>
      <c r="TYN22" s="7"/>
      <c r="TYO22" s="7"/>
      <c r="TYP22" s="7"/>
      <c r="TYQ22" s="7"/>
      <c r="TYR22" s="7"/>
      <c r="TYS22" s="7"/>
      <c r="TYT22" s="7"/>
      <c r="TYU22" s="7"/>
      <c r="TYV22" s="7"/>
      <c r="TYW22" s="7"/>
      <c r="TYX22" s="7"/>
      <c r="TYY22" s="7"/>
      <c r="TYZ22" s="7"/>
      <c r="TZA22" s="7"/>
      <c r="TZB22" s="7"/>
      <c r="TZC22" s="7"/>
      <c r="TZD22" s="7"/>
      <c r="TZE22" s="7"/>
      <c r="TZF22" s="7"/>
      <c r="TZG22" s="7"/>
      <c r="TZH22" s="7"/>
      <c r="TZI22" s="7"/>
      <c r="TZJ22" s="7"/>
      <c r="TZK22" s="7"/>
      <c r="TZL22" s="7"/>
      <c r="TZM22" s="7"/>
      <c r="TZN22" s="7"/>
      <c r="TZO22" s="7"/>
      <c r="TZP22" s="7"/>
      <c r="TZQ22" s="7"/>
      <c r="TZR22" s="7"/>
      <c r="TZS22" s="7"/>
      <c r="TZT22" s="7"/>
      <c r="TZU22" s="7"/>
      <c r="TZV22" s="7"/>
      <c r="TZW22" s="7"/>
      <c r="TZX22" s="7"/>
      <c r="TZY22" s="7"/>
      <c r="TZZ22" s="7"/>
      <c r="UAA22" s="7"/>
      <c r="UAB22" s="7"/>
      <c r="UAC22" s="7"/>
      <c r="UAD22" s="7"/>
      <c r="UAE22" s="7"/>
      <c r="UAF22" s="7"/>
      <c r="UAG22" s="7"/>
      <c r="UAH22" s="7"/>
      <c r="UAI22" s="7"/>
      <c r="UAJ22" s="7"/>
      <c r="UAK22" s="7"/>
      <c r="UAL22" s="7"/>
      <c r="UAM22" s="7"/>
      <c r="UAN22" s="7"/>
      <c r="UAO22" s="7"/>
      <c r="UAP22" s="7"/>
      <c r="UAQ22" s="7"/>
      <c r="UAR22" s="7"/>
      <c r="UAS22" s="7"/>
      <c r="UAT22" s="7"/>
      <c r="UAU22" s="7"/>
      <c r="UAV22" s="7"/>
      <c r="UAW22" s="7"/>
      <c r="UAX22" s="7"/>
      <c r="UAY22" s="7"/>
      <c r="UAZ22" s="7"/>
      <c r="UBA22" s="7"/>
      <c r="UBB22" s="7"/>
      <c r="UBC22" s="7"/>
      <c r="UBD22" s="7"/>
      <c r="UBE22" s="7"/>
      <c r="UBF22" s="7"/>
      <c r="UBG22" s="7"/>
      <c r="UBH22" s="7"/>
      <c r="UBI22" s="7"/>
      <c r="UBJ22" s="7"/>
      <c r="UBK22" s="7"/>
      <c r="UBL22" s="7"/>
      <c r="UBM22" s="7"/>
      <c r="UBN22" s="7"/>
      <c r="UBO22" s="7"/>
      <c r="UBP22" s="7"/>
      <c r="UBQ22" s="7"/>
      <c r="UBR22" s="7"/>
      <c r="UBS22" s="7"/>
      <c r="UBT22" s="7"/>
      <c r="UBU22" s="7"/>
      <c r="UBV22" s="7"/>
      <c r="UBW22" s="7"/>
      <c r="UBX22" s="7"/>
      <c r="UBY22" s="7"/>
      <c r="UBZ22" s="7"/>
      <c r="UCA22" s="7"/>
      <c r="UCB22" s="7"/>
      <c r="UCC22" s="7"/>
      <c r="UCD22" s="7"/>
      <c r="UCE22" s="7"/>
      <c r="UCF22" s="7"/>
      <c r="UCG22" s="7"/>
      <c r="UCH22" s="7"/>
      <c r="UCI22" s="7"/>
      <c r="UCJ22" s="7"/>
      <c r="UCK22" s="7"/>
      <c r="UCL22" s="7"/>
      <c r="UCM22" s="7"/>
      <c r="UCN22" s="7"/>
      <c r="UCO22" s="7"/>
      <c r="UCP22" s="7"/>
      <c r="UCQ22" s="7"/>
      <c r="UCR22" s="7"/>
      <c r="UCS22" s="7"/>
      <c r="UCT22" s="7"/>
      <c r="UCU22" s="7"/>
      <c r="UCV22" s="7"/>
      <c r="UCW22" s="7"/>
      <c r="UCX22" s="7"/>
      <c r="UCY22" s="7"/>
      <c r="UCZ22" s="7"/>
      <c r="UDA22" s="7"/>
      <c r="UDB22" s="7"/>
      <c r="UDC22" s="7"/>
      <c r="UDD22" s="7"/>
      <c r="UDE22" s="7"/>
      <c r="UDF22" s="7"/>
      <c r="UDG22" s="7"/>
      <c r="UDH22" s="7"/>
      <c r="UDI22" s="7"/>
      <c r="UDJ22" s="7"/>
      <c r="UDK22" s="7"/>
      <c r="UDL22" s="7"/>
      <c r="UDM22" s="7"/>
      <c r="UDN22" s="7"/>
      <c r="UDO22" s="7"/>
      <c r="UDP22" s="7"/>
      <c r="UDQ22" s="7"/>
      <c r="UDR22" s="7"/>
      <c r="UDS22" s="7"/>
      <c r="UDT22" s="7"/>
      <c r="UDU22" s="7"/>
      <c r="UDV22" s="7"/>
      <c r="UDW22" s="7"/>
      <c r="UDX22" s="7"/>
      <c r="UDY22" s="7"/>
      <c r="UDZ22" s="7"/>
      <c r="UEA22" s="7"/>
      <c r="UEB22" s="7"/>
      <c r="UEC22" s="7"/>
      <c r="UED22" s="7"/>
      <c r="UEE22" s="7"/>
      <c r="UEF22" s="7"/>
      <c r="UEG22" s="7"/>
      <c r="UEH22" s="7"/>
      <c r="UEI22" s="7"/>
      <c r="UEJ22" s="7"/>
      <c r="UEK22" s="7"/>
      <c r="UEL22" s="7"/>
      <c r="UEM22" s="7"/>
      <c r="UEN22" s="7"/>
      <c r="UEO22" s="7"/>
      <c r="UEP22" s="7"/>
      <c r="UEQ22" s="7"/>
      <c r="UER22" s="7"/>
      <c r="UES22" s="7"/>
      <c r="UET22" s="7"/>
      <c r="UEU22" s="7"/>
      <c r="UEV22" s="7"/>
      <c r="UEW22" s="7"/>
      <c r="UEX22" s="7"/>
      <c r="UEY22" s="7"/>
      <c r="UEZ22" s="7"/>
      <c r="UFA22" s="7"/>
      <c r="UFB22" s="7"/>
      <c r="UFC22" s="7"/>
      <c r="UFD22" s="7"/>
      <c r="UFE22" s="7"/>
      <c r="UFF22" s="7"/>
      <c r="UFG22" s="7"/>
      <c r="UFH22" s="7"/>
      <c r="UFI22" s="7"/>
      <c r="UFJ22" s="7"/>
      <c r="UFK22" s="7"/>
      <c r="UFL22" s="7"/>
      <c r="UFM22" s="7"/>
      <c r="UFN22" s="7"/>
      <c r="UFO22" s="7"/>
      <c r="UFP22" s="7"/>
      <c r="UFQ22" s="7"/>
      <c r="UFR22" s="7"/>
      <c r="UFS22" s="7"/>
      <c r="UFT22" s="7"/>
      <c r="UFU22" s="7"/>
      <c r="UFV22" s="7"/>
      <c r="UFW22" s="7"/>
      <c r="UFX22" s="7"/>
      <c r="UFY22" s="7"/>
      <c r="UFZ22" s="7"/>
      <c r="UGA22" s="7"/>
      <c r="UGB22" s="7"/>
      <c r="UGC22" s="7"/>
      <c r="UGD22" s="7"/>
      <c r="UGE22" s="7"/>
      <c r="UGF22" s="7"/>
      <c r="UGG22" s="7"/>
      <c r="UGH22" s="7"/>
      <c r="UGI22" s="7"/>
      <c r="UGJ22" s="7"/>
      <c r="UGK22" s="7"/>
      <c r="UGL22" s="7"/>
      <c r="UGM22" s="7"/>
      <c r="UGN22" s="7"/>
      <c r="UGO22" s="7"/>
      <c r="UGP22" s="7"/>
      <c r="UGQ22" s="7"/>
      <c r="UGR22" s="7"/>
      <c r="UGS22" s="7"/>
      <c r="UGT22" s="7"/>
      <c r="UGU22" s="7"/>
      <c r="UGV22" s="7"/>
      <c r="UGW22" s="7"/>
      <c r="UGX22" s="7"/>
      <c r="UGY22" s="7"/>
      <c r="UGZ22" s="7"/>
      <c r="UHA22" s="7"/>
      <c r="UHB22" s="7"/>
      <c r="UHC22" s="7"/>
      <c r="UHD22" s="7"/>
      <c r="UHE22" s="7"/>
      <c r="UHF22" s="7"/>
      <c r="UHG22" s="7"/>
      <c r="UHH22" s="7"/>
      <c r="UHI22" s="7"/>
      <c r="UHJ22" s="7"/>
      <c r="UHK22" s="7"/>
      <c r="UHL22" s="7"/>
      <c r="UHM22" s="7"/>
      <c r="UHN22" s="7"/>
      <c r="UHO22" s="7"/>
      <c r="UHP22" s="7"/>
      <c r="UHQ22" s="7"/>
      <c r="UHR22" s="7"/>
      <c r="UHS22" s="7"/>
      <c r="UHT22" s="7"/>
      <c r="UHU22" s="7"/>
      <c r="UHV22" s="7"/>
      <c r="UHW22" s="7"/>
      <c r="UHX22" s="7"/>
      <c r="UHY22" s="7"/>
      <c r="UHZ22" s="7"/>
      <c r="UIA22" s="7"/>
      <c r="UIB22" s="7"/>
      <c r="UIC22" s="7"/>
      <c r="UID22" s="7"/>
      <c r="UIE22" s="7"/>
      <c r="UIF22" s="7"/>
      <c r="UIG22" s="7"/>
      <c r="UIH22" s="7"/>
      <c r="UII22" s="7"/>
      <c r="UIJ22" s="7"/>
      <c r="UIK22" s="7"/>
      <c r="UIL22" s="7"/>
      <c r="UIM22" s="7"/>
      <c r="UIN22" s="7"/>
      <c r="UIO22" s="7"/>
      <c r="UIP22" s="7"/>
      <c r="UIQ22" s="7"/>
      <c r="UIR22" s="7"/>
      <c r="UIS22" s="7"/>
      <c r="UIT22" s="7"/>
      <c r="UIU22" s="7"/>
      <c r="UIV22" s="7"/>
      <c r="UIW22" s="7"/>
      <c r="UIX22" s="7"/>
      <c r="UIY22" s="7"/>
      <c r="UIZ22" s="7"/>
      <c r="UJA22" s="7"/>
      <c r="UJB22" s="7"/>
      <c r="UJC22" s="7"/>
      <c r="UJD22" s="7"/>
      <c r="UJE22" s="7"/>
      <c r="UJF22" s="7"/>
      <c r="UJG22" s="7"/>
      <c r="UJH22" s="7"/>
      <c r="UJI22" s="7"/>
      <c r="UJJ22" s="7"/>
      <c r="UJK22" s="7"/>
      <c r="UJL22" s="7"/>
      <c r="UJM22" s="7"/>
      <c r="UJN22" s="7"/>
      <c r="UJO22" s="7"/>
      <c r="UJP22" s="7"/>
      <c r="UJQ22" s="7"/>
      <c r="UJR22" s="7"/>
      <c r="UJS22" s="7"/>
      <c r="UJT22" s="7"/>
      <c r="UJU22" s="7"/>
      <c r="UJV22" s="7"/>
      <c r="UJW22" s="7"/>
      <c r="UJX22" s="7"/>
      <c r="UJY22" s="7"/>
      <c r="UJZ22" s="7"/>
      <c r="UKA22" s="7"/>
      <c r="UKB22" s="7"/>
      <c r="UKC22" s="7"/>
      <c r="UKD22" s="7"/>
      <c r="UKE22" s="7"/>
      <c r="UKF22" s="7"/>
      <c r="UKG22" s="7"/>
      <c r="UKH22" s="7"/>
      <c r="UKI22" s="7"/>
      <c r="UKJ22" s="7"/>
      <c r="UKK22" s="7"/>
      <c r="UKL22" s="7"/>
      <c r="UKM22" s="7"/>
      <c r="UKN22" s="7"/>
      <c r="UKO22" s="7"/>
      <c r="UKP22" s="7"/>
      <c r="UKQ22" s="7"/>
      <c r="UKR22" s="7"/>
      <c r="UKS22" s="7"/>
      <c r="UKT22" s="7"/>
      <c r="UKU22" s="7"/>
      <c r="UKV22" s="7"/>
      <c r="UKW22" s="7"/>
      <c r="UKX22" s="7"/>
      <c r="UKY22" s="7"/>
      <c r="UKZ22" s="7"/>
      <c r="ULA22" s="7"/>
      <c r="ULB22" s="7"/>
      <c r="ULC22" s="7"/>
      <c r="ULD22" s="7"/>
      <c r="ULE22" s="7"/>
      <c r="ULF22" s="7"/>
      <c r="ULG22" s="7"/>
      <c r="ULH22" s="7"/>
      <c r="ULI22" s="7"/>
      <c r="ULJ22" s="7"/>
      <c r="ULK22" s="7"/>
      <c r="ULL22" s="7"/>
      <c r="ULM22" s="7"/>
      <c r="ULN22" s="7"/>
      <c r="ULO22" s="7"/>
      <c r="ULP22" s="7"/>
      <c r="ULQ22" s="7"/>
      <c r="ULR22" s="7"/>
      <c r="ULS22" s="7"/>
      <c r="ULT22" s="7"/>
      <c r="ULU22" s="7"/>
      <c r="ULV22" s="7"/>
      <c r="ULW22" s="7"/>
      <c r="ULX22" s="7"/>
      <c r="ULY22" s="7"/>
      <c r="ULZ22" s="7"/>
      <c r="UMA22" s="7"/>
      <c r="UMB22" s="7"/>
      <c r="UMC22" s="7"/>
      <c r="UMD22" s="7"/>
      <c r="UME22" s="7"/>
      <c r="UMF22" s="7"/>
      <c r="UMG22" s="7"/>
      <c r="UMH22" s="7"/>
      <c r="UMI22" s="7"/>
      <c r="UMJ22" s="7"/>
      <c r="UMK22" s="7"/>
      <c r="UML22" s="7"/>
      <c r="UMM22" s="7"/>
      <c r="UMN22" s="7"/>
      <c r="UMO22" s="7"/>
      <c r="UMP22" s="7"/>
      <c r="UMQ22" s="7"/>
      <c r="UMR22" s="7"/>
      <c r="UMS22" s="7"/>
      <c r="UMT22" s="7"/>
      <c r="UMU22" s="7"/>
      <c r="UMV22" s="7"/>
      <c r="UMW22" s="7"/>
      <c r="UMX22" s="7"/>
      <c r="UMY22" s="7"/>
      <c r="UMZ22" s="7"/>
      <c r="UNA22" s="7"/>
      <c r="UNB22" s="7"/>
      <c r="UNC22" s="7"/>
      <c r="UND22" s="7"/>
      <c r="UNE22" s="7"/>
      <c r="UNF22" s="7"/>
      <c r="UNG22" s="7"/>
      <c r="UNH22" s="7"/>
      <c r="UNI22" s="7"/>
      <c r="UNJ22" s="7"/>
      <c r="UNK22" s="7"/>
      <c r="UNL22" s="7"/>
      <c r="UNM22" s="7"/>
      <c r="UNN22" s="7"/>
      <c r="UNO22" s="7"/>
      <c r="UNP22" s="7"/>
      <c r="UNQ22" s="7"/>
      <c r="UNR22" s="7"/>
      <c r="UNS22" s="7"/>
      <c r="UNT22" s="7"/>
      <c r="UNU22" s="7"/>
      <c r="UNV22" s="7"/>
      <c r="UNW22" s="7"/>
      <c r="UNX22" s="7"/>
      <c r="UNY22" s="7"/>
      <c r="UNZ22" s="7"/>
      <c r="UOA22" s="7"/>
      <c r="UOB22" s="7"/>
      <c r="UOC22" s="7"/>
      <c r="UOD22" s="7"/>
      <c r="UOE22" s="7"/>
      <c r="UOF22" s="7"/>
      <c r="UOG22" s="7"/>
      <c r="UOH22" s="7"/>
      <c r="UOI22" s="7"/>
      <c r="UOJ22" s="7"/>
      <c r="UOK22" s="7"/>
      <c r="UOL22" s="7"/>
      <c r="UOM22" s="7"/>
      <c r="UON22" s="7"/>
      <c r="UOO22" s="7"/>
      <c r="UOP22" s="7"/>
      <c r="UOQ22" s="7"/>
      <c r="UOR22" s="7"/>
      <c r="UOS22" s="7"/>
      <c r="UOT22" s="7"/>
      <c r="UOU22" s="7"/>
      <c r="UOV22" s="7"/>
      <c r="UOW22" s="7"/>
      <c r="UOX22" s="7"/>
      <c r="UOY22" s="7"/>
      <c r="UOZ22" s="7"/>
      <c r="UPA22" s="7"/>
      <c r="UPB22" s="7"/>
      <c r="UPC22" s="7"/>
      <c r="UPD22" s="7"/>
      <c r="UPE22" s="7"/>
      <c r="UPF22" s="7"/>
      <c r="UPG22" s="7"/>
      <c r="UPH22" s="7"/>
      <c r="UPI22" s="7"/>
      <c r="UPJ22" s="7"/>
      <c r="UPK22" s="7"/>
      <c r="UPL22" s="7"/>
      <c r="UPM22" s="7"/>
      <c r="UPN22" s="7"/>
      <c r="UPO22" s="7"/>
      <c r="UPP22" s="7"/>
      <c r="UPQ22" s="7"/>
      <c r="UPR22" s="7"/>
      <c r="UPS22" s="7"/>
      <c r="UPT22" s="7"/>
      <c r="UPU22" s="7"/>
      <c r="UPV22" s="7"/>
      <c r="UPW22" s="7"/>
      <c r="UPX22" s="7"/>
      <c r="UPY22" s="7"/>
      <c r="UPZ22" s="7"/>
      <c r="UQA22" s="7"/>
      <c r="UQB22" s="7"/>
      <c r="UQC22" s="7"/>
      <c r="UQD22" s="7"/>
      <c r="UQE22" s="7"/>
      <c r="UQF22" s="7"/>
      <c r="UQG22" s="7"/>
      <c r="UQH22" s="7"/>
      <c r="UQI22" s="7"/>
      <c r="UQJ22" s="7"/>
      <c r="UQK22" s="7"/>
      <c r="UQL22" s="7"/>
      <c r="UQM22" s="7"/>
      <c r="UQN22" s="7"/>
      <c r="UQO22" s="7"/>
      <c r="UQP22" s="7"/>
      <c r="UQQ22" s="7"/>
      <c r="UQR22" s="7"/>
      <c r="UQS22" s="7"/>
      <c r="UQT22" s="7"/>
      <c r="UQU22" s="7"/>
      <c r="UQV22" s="7"/>
      <c r="UQW22" s="7"/>
      <c r="UQX22" s="7"/>
      <c r="UQY22" s="7"/>
      <c r="UQZ22" s="7"/>
      <c r="URA22" s="7"/>
      <c r="URB22" s="7"/>
      <c r="URC22" s="7"/>
      <c r="URD22" s="7"/>
      <c r="URE22" s="7"/>
      <c r="URF22" s="7"/>
      <c r="URG22" s="7"/>
      <c r="URH22" s="7"/>
      <c r="URI22" s="7"/>
      <c r="URJ22" s="7"/>
      <c r="URK22" s="7"/>
      <c r="URL22" s="7"/>
      <c r="URM22" s="7"/>
      <c r="URN22" s="7"/>
      <c r="URO22" s="7"/>
      <c r="URP22" s="7"/>
      <c r="URQ22" s="7"/>
      <c r="URR22" s="7"/>
      <c r="URS22" s="7"/>
      <c r="URT22" s="7"/>
      <c r="URU22" s="7"/>
      <c r="URV22" s="7"/>
      <c r="URW22" s="7"/>
      <c r="URX22" s="7"/>
      <c r="URY22" s="7"/>
      <c r="URZ22" s="7"/>
      <c r="USA22" s="7"/>
      <c r="USB22" s="7"/>
      <c r="USC22" s="7"/>
      <c r="USD22" s="7"/>
      <c r="USE22" s="7"/>
      <c r="USF22" s="7"/>
      <c r="USG22" s="7"/>
      <c r="USH22" s="7"/>
      <c r="USI22" s="7"/>
      <c r="USJ22" s="7"/>
      <c r="USK22" s="7"/>
      <c r="USL22" s="7"/>
      <c r="USM22" s="7"/>
      <c r="USN22" s="7"/>
      <c r="USO22" s="7"/>
      <c r="USP22" s="7"/>
      <c r="USQ22" s="7"/>
      <c r="USR22" s="7"/>
      <c r="USS22" s="7"/>
      <c r="UST22" s="7"/>
      <c r="USU22" s="7"/>
      <c r="USV22" s="7"/>
      <c r="USW22" s="7"/>
      <c r="USX22" s="7"/>
      <c r="USY22" s="7"/>
      <c r="USZ22" s="7"/>
      <c r="UTA22" s="7"/>
      <c r="UTB22" s="7"/>
      <c r="UTC22" s="7"/>
      <c r="UTD22" s="7"/>
      <c r="UTE22" s="7"/>
      <c r="UTF22" s="7"/>
      <c r="UTG22" s="7"/>
      <c r="UTH22" s="7"/>
      <c r="UTI22" s="7"/>
      <c r="UTJ22" s="7"/>
      <c r="UTK22" s="7"/>
      <c r="UTL22" s="7"/>
      <c r="UTM22" s="7"/>
      <c r="UTN22" s="7"/>
      <c r="UTO22" s="7"/>
      <c r="UTP22" s="7"/>
      <c r="UTQ22" s="7"/>
      <c r="UTR22" s="7"/>
      <c r="UTS22" s="7"/>
      <c r="UTT22" s="7"/>
      <c r="UTU22" s="7"/>
      <c r="UTV22" s="7"/>
      <c r="UTW22" s="7"/>
      <c r="UTX22" s="7"/>
      <c r="UTY22" s="7"/>
      <c r="UTZ22" s="7"/>
      <c r="UUA22" s="7"/>
      <c r="UUB22" s="7"/>
      <c r="UUC22" s="7"/>
      <c r="UUD22" s="7"/>
      <c r="UUE22" s="7"/>
      <c r="UUF22" s="7"/>
      <c r="UUG22" s="7"/>
      <c r="UUH22" s="7"/>
      <c r="UUI22" s="7"/>
      <c r="UUJ22" s="7"/>
      <c r="UUK22" s="7"/>
      <c r="UUL22" s="7"/>
      <c r="UUM22" s="7"/>
      <c r="UUN22" s="7"/>
      <c r="UUO22" s="7"/>
      <c r="UUP22" s="7"/>
      <c r="UUQ22" s="7"/>
      <c r="UUR22" s="7"/>
      <c r="UUS22" s="7"/>
      <c r="UUT22" s="7"/>
      <c r="UUU22" s="7"/>
      <c r="UUV22" s="7"/>
      <c r="UUW22" s="7"/>
      <c r="UUX22" s="7"/>
      <c r="UUY22" s="7"/>
      <c r="UUZ22" s="7"/>
      <c r="UVA22" s="7"/>
      <c r="UVB22" s="7"/>
      <c r="UVC22" s="7"/>
      <c r="UVD22" s="7"/>
      <c r="UVE22" s="7"/>
      <c r="UVF22" s="7"/>
      <c r="UVG22" s="7"/>
      <c r="UVH22" s="7"/>
      <c r="UVI22" s="7"/>
      <c r="UVJ22" s="7"/>
      <c r="UVK22" s="7"/>
      <c r="UVL22" s="7"/>
      <c r="UVM22" s="7"/>
      <c r="UVN22" s="7"/>
      <c r="UVO22" s="7"/>
      <c r="UVP22" s="7"/>
      <c r="UVQ22" s="7"/>
      <c r="UVR22" s="7"/>
      <c r="UVS22" s="7"/>
      <c r="UVT22" s="7"/>
      <c r="UVU22" s="7"/>
      <c r="UVV22" s="7"/>
      <c r="UVW22" s="7"/>
      <c r="UVX22" s="7"/>
      <c r="UVY22" s="7"/>
      <c r="UVZ22" s="7"/>
      <c r="UWA22" s="7"/>
      <c r="UWB22" s="7"/>
      <c r="UWC22" s="7"/>
      <c r="UWD22" s="7"/>
      <c r="UWE22" s="7"/>
      <c r="UWF22" s="7"/>
      <c r="UWG22" s="7"/>
      <c r="UWH22" s="7"/>
      <c r="UWI22" s="7"/>
      <c r="UWJ22" s="7"/>
      <c r="UWK22" s="7"/>
      <c r="UWL22" s="7"/>
      <c r="UWM22" s="7"/>
      <c r="UWN22" s="7"/>
      <c r="UWO22" s="7"/>
      <c r="UWP22" s="7"/>
      <c r="UWQ22" s="7"/>
      <c r="UWR22" s="7"/>
      <c r="UWS22" s="7"/>
      <c r="UWT22" s="7"/>
      <c r="UWU22" s="7"/>
      <c r="UWV22" s="7"/>
      <c r="UWW22" s="7"/>
      <c r="UWX22" s="7"/>
      <c r="UWY22" s="7"/>
      <c r="UWZ22" s="7"/>
      <c r="UXA22" s="7"/>
      <c r="UXB22" s="7"/>
      <c r="UXC22" s="7"/>
      <c r="UXD22" s="7"/>
      <c r="UXE22" s="7"/>
      <c r="UXF22" s="7"/>
      <c r="UXG22" s="7"/>
      <c r="UXH22" s="7"/>
      <c r="UXI22" s="7"/>
      <c r="UXJ22" s="7"/>
      <c r="UXK22" s="7"/>
      <c r="UXL22" s="7"/>
      <c r="UXM22" s="7"/>
      <c r="UXN22" s="7"/>
      <c r="UXO22" s="7"/>
      <c r="UXP22" s="7"/>
      <c r="UXQ22" s="7"/>
      <c r="UXR22" s="7"/>
      <c r="UXS22" s="7"/>
      <c r="UXT22" s="7"/>
      <c r="UXU22" s="7"/>
      <c r="UXV22" s="7"/>
      <c r="UXW22" s="7"/>
      <c r="UXX22" s="7"/>
      <c r="UXY22" s="7"/>
      <c r="UXZ22" s="7"/>
      <c r="UYA22" s="7"/>
      <c r="UYB22" s="7"/>
      <c r="UYC22" s="7"/>
      <c r="UYD22" s="7"/>
      <c r="UYE22" s="7"/>
      <c r="UYF22" s="7"/>
      <c r="UYG22" s="7"/>
      <c r="UYH22" s="7"/>
      <c r="UYI22" s="7"/>
      <c r="UYJ22" s="7"/>
      <c r="UYK22" s="7"/>
      <c r="UYL22" s="7"/>
      <c r="UYM22" s="7"/>
      <c r="UYN22" s="7"/>
      <c r="UYO22" s="7"/>
      <c r="UYP22" s="7"/>
      <c r="UYQ22" s="7"/>
      <c r="UYR22" s="7"/>
      <c r="UYS22" s="7"/>
      <c r="UYT22" s="7"/>
      <c r="UYU22" s="7"/>
      <c r="UYV22" s="7"/>
      <c r="UYW22" s="7"/>
      <c r="UYX22" s="7"/>
      <c r="UYY22" s="7"/>
      <c r="UYZ22" s="7"/>
      <c r="UZA22" s="7"/>
      <c r="UZB22" s="7"/>
      <c r="UZC22" s="7"/>
      <c r="UZD22" s="7"/>
      <c r="UZE22" s="7"/>
      <c r="UZF22" s="7"/>
      <c r="UZG22" s="7"/>
      <c r="UZH22" s="7"/>
      <c r="UZI22" s="7"/>
      <c r="UZJ22" s="7"/>
      <c r="UZK22" s="7"/>
      <c r="UZL22" s="7"/>
      <c r="UZM22" s="7"/>
      <c r="UZN22" s="7"/>
      <c r="UZO22" s="7"/>
      <c r="UZP22" s="7"/>
      <c r="UZQ22" s="7"/>
      <c r="UZR22" s="7"/>
      <c r="UZS22" s="7"/>
      <c r="UZT22" s="7"/>
      <c r="UZU22" s="7"/>
      <c r="UZV22" s="7"/>
      <c r="UZW22" s="7"/>
      <c r="UZX22" s="7"/>
      <c r="UZY22" s="7"/>
      <c r="UZZ22" s="7"/>
      <c r="VAA22" s="7"/>
      <c r="VAB22" s="7"/>
      <c r="VAC22" s="7"/>
      <c r="VAD22" s="7"/>
      <c r="VAE22" s="7"/>
      <c r="VAF22" s="7"/>
      <c r="VAG22" s="7"/>
      <c r="VAH22" s="7"/>
      <c r="VAI22" s="7"/>
      <c r="VAJ22" s="7"/>
      <c r="VAK22" s="7"/>
      <c r="VAL22" s="7"/>
      <c r="VAM22" s="7"/>
      <c r="VAN22" s="7"/>
      <c r="VAO22" s="7"/>
      <c r="VAP22" s="7"/>
      <c r="VAQ22" s="7"/>
      <c r="VAR22" s="7"/>
      <c r="VAS22" s="7"/>
      <c r="VAT22" s="7"/>
      <c r="VAU22" s="7"/>
      <c r="VAV22" s="7"/>
      <c r="VAW22" s="7"/>
      <c r="VAX22" s="7"/>
      <c r="VAY22" s="7"/>
      <c r="VAZ22" s="7"/>
      <c r="VBA22" s="7"/>
      <c r="VBB22" s="7"/>
      <c r="VBC22" s="7"/>
      <c r="VBD22" s="7"/>
      <c r="VBE22" s="7"/>
      <c r="VBF22" s="7"/>
      <c r="VBG22" s="7"/>
      <c r="VBH22" s="7"/>
      <c r="VBI22" s="7"/>
      <c r="VBJ22" s="7"/>
      <c r="VBK22" s="7"/>
      <c r="VBL22" s="7"/>
      <c r="VBM22" s="7"/>
      <c r="VBN22" s="7"/>
      <c r="VBO22" s="7"/>
      <c r="VBP22" s="7"/>
      <c r="VBQ22" s="7"/>
      <c r="VBR22" s="7"/>
      <c r="VBS22" s="7"/>
      <c r="VBT22" s="7"/>
      <c r="VBU22" s="7"/>
      <c r="VBV22" s="7"/>
      <c r="VBW22" s="7"/>
      <c r="VBX22" s="7"/>
      <c r="VBY22" s="7"/>
      <c r="VBZ22" s="7"/>
      <c r="VCA22" s="7"/>
      <c r="VCB22" s="7"/>
      <c r="VCC22" s="7"/>
      <c r="VCD22" s="7"/>
      <c r="VCE22" s="7"/>
      <c r="VCF22" s="7"/>
      <c r="VCG22" s="7"/>
      <c r="VCH22" s="7"/>
      <c r="VCI22" s="7"/>
      <c r="VCJ22" s="7"/>
      <c r="VCK22" s="7"/>
      <c r="VCL22" s="7"/>
      <c r="VCM22" s="7"/>
      <c r="VCN22" s="7"/>
      <c r="VCO22" s="7"/>
      <c r="VCP22" s="7"/>
      <c r="VCQ22" s="7"/>
      <c r="VCR22" s="7"/>
      <c r="VCS22" s="7"/>
      <c r="VCT22" s="7"/>
      <c r="VCU22" s="7"/>
      <c r="VCV22" s="7"/>
      <c r="VCW22" s="7"/>
      <c r="VCX22" s="7"/>
      <c r="VCY22" s="7"/>
      <c r="VCZ22" s="7"/>
      <c r="VDA22" s="7"/>
      <c r="VDB22" s="7"/>
      <c r="VDC22" s="7"/>
      <c r="VDD22" s="7"/>
      <c r="VDE22" s="7"/>
      <c r="VDF22" s="7"/>
      <c r="VDG22" s="7"/>
      <c r="VDH22" s="7"/>
      <c r="VDI22" s="7"/>
      <c r="VDJ22" s="7"/>
      <c r="VDK22" s="7"/>
      <c r="VDL22" s="7"/>
      <c r="VDM22" s="7"/>
      <c r="VDN22" s="7"/>
      <c r="VDO22" s="7"/>
      <c r="VDP22" s="7"/>
      <c r="VDQ22" s="7"/>
      <c r="VDR22" s="7"/>
      <c r="VDS22" s="7"/>
      <c r="VDT22" s="7"/>
      <c r="VDU22" s="7"/>
      <c r="VDV22" s="7"/>
      <c r="VDW22" s="7"/>
      <c r="VDX22" s="7"/>
      <c r="VDY22" s="7"/>
      <c r="VDZ22" s="7"/>
      <c r="VEA22" s="7"/>
      <c r="VEB22" s="7"/>
      <c r="VEC22" s="7"/>
      <c r="VED22" s="7"/>
      <c r="VEE22" s="7"/>
      <c r="VEF22" s="7"/>
      <c r="VEG22" s="7"/>
      <c r="VEH22" s="7"/>
      <c r="VEI22" s="7"/>
      <c r="VEJ22" s="7"/>
      <c r="VEK22" s="7"/>
      <c r="VEL22" s="7"/>
      <c r="VEM22" s="7"/>
      <c r="VEN22" s="7"/>
      <c r="VEO22" s="7"/>
      <c r="VEP22" s="7"/>
      <c r="VEQ22" s="7"/>
      <c r="VER22" s="7"/>
      <c r="VES22" s="7"/>
      <c r="VET22" s="7"/>
      <c r="VEU22" s="7"/>
      <c r="VEV22" s="7"/>
      <c r="VEW22" s="7"/>
      <c r="VEX22" s="7"/>
      <c r="VEY22" s="7"/>
      <c r="VEZ22" s="7"/>
      <c r="VFA22" s="7"/>
      <c r="VFB22" s="7"/>
      <c r="VFC22" s="7"/>
      <c r="VFD22" s="7"/>
      <c r="VFE22" s="7"/>
      <c r="VFF22" s="7"/>
      <c r="VFG22" s="7"/>
      <c r="VFH22" s="7"/>
      <c r="VFI22" s="7"/>
      <c r="VFJ22" s="7"/>
      <c r="VFK22" s="7"/>
      <c r="VFL22" s="7"/>
      <c r="VFM22" s="7"/>
      <c r="VFN22" s="7"/>
      <c r="VFO22" s="7"/>
      <c r="VFP22" s="7"/>
      <c r="VFQ22" s="7"/>
      <c r="VFR22" s="7"/>
      <c r="VFS22" s="7"/>
      <c r="VFT22" s="7"/>
      <c r="VFU22" s="7"/>
      <c r="VFV22" s="7"/>
      <c r="VFW22" s="7"/>
      <c r="VFX22" s="7"/>
      <c r="VFY22" s="7"/>
      <c r="VFZ22" s="7"/>
      <c r="VGA22" s="7"/>
      <c r="VGB22" s="7"/>
      <c r="VGC22" s="7"/>
      <c r="VGD22" s="7"/>
      <c r="VGE22" s="7"/>
      <c r="VGF22" s="7"/>
      <c r="VGG22" s="7"/>
      <c r="VGH22" s="7"/>
      <c r="VGI22" s="7"/>
      <c r="VGJ22" s="7"/>
      <c r="VGK22" s="7"/>
      <c r="VGL22" s="7"/>
      <c r="VGM22" s="7"/>
      <c r="VGN22" s="7"/>
      <c r="VGO22" s="7"/>
      <c r="VGP22" s="7"/>
      <c r="VGQ22" s="7"/>
      <c r="VGR22" s="7"/>
      <c r="VGS22" s="7"/>
      <c r="VGT22" s="7"/>
      <c r="VGU22" s="7"/>
      <c r="VGV22" s="7"/>
      <c r="VGW22" s="7"/>
      <c r="VGX22" s="7"/>
      <c r="VGY22" s="7"/>
      <c r="VGZ22" s="7"/>
      <c r="VHA22" s="7"/>
      <c r="VHB22" s="7"/>
      <c r="VHC22" s="7"/>
      <c r="VHD22" s="7"/>
      <c r="VHE22" s="7"/>
      <c r="VHF22" s="7"/>
      <c r="VHG22" s="7"/>
      <c r="VHH22" s="7"/>
      <c r="VHI22" s="7"/>
      <c r="VHJ22" s="7"/>
      <c r="VHK22" s="7"/>
      <c r="VHL22" s="7"/>
      <c r="VHM22" s="7"/>
      <c r="VHN22" s="7"/>
      <c r="VHO22" s="7"/>
      <c r="VHP22" s="7"/>
      <c r="VHQ22" s="7"/>
      <c r="VHR22" s="7"/>
      <c r="VHS22" s="7"/>
      <c r="VHT22" s="7"/>
      <c r="VHU22" s="7"/>
      <c r="VHV22" s="7"/>
      <c r="VHW22" s="7"/>
      <c r="VHX22" s="7"/>
      <c r="VHY22" s="7"/>
      <c r="VHZ22" s="7"/>
      <c r="VIA22" s="7"/>
      <c r="VIB22" s="7"/>
      <c r="VIC22" s="7"/>
      <c r="VID22" s="7"/>
      <c r="VIE22" s="7"/>
      <c r="VIF22" s="7"/>
      <c r="VIG22" s="7"/>
      <c r="VIH22" s="7"/>
      <c r="VII22" s="7"/>
      <c r="VIJ22" s="7"/>
      <c r="VIK22" s="7"/>
      <c r="VIL22" s="7"/>
      <c r="VIM22" s="7"/>
      <c r="VIN22" s="7"/>
      <c r="VIO22" s="7"/>
      <c r="VIP22" s="7"/>
      <c r="VIQ22" s="7"/>
      <c r="VIR22" s="7"/>
      <c r="VIS22" s="7"/>
      <c r="VIT22" s="7"/>
      <c r="VIU22" s="7"/>
      <c r="VIV22" s="7"/>
      <c r="VIW22" s="7"/>
      <c r="VIX22" s="7"/>
      <c r="VIY22" s="7"/>
      <c r="VIZ22" s="7"/>
      <c r="VJA22" s="7"/>
      <c r="VJB22" s="7"/>
      <c r="VJC22" s="7"/>
      <c r="VJD22" s="7"/>
      <c r="VJE22" s="7"/>
      <c r="VJF22" s="7"/>
      <c r="VJG22" s="7"/>
      <c r="VJH22" s="7"/>
      <c r="VJI22" s="7"/>
      <c r="VJJ22" s="7"/>
      <c r="VJK22" s="7"/>
      <c r="VJL22" s="7"/>
      <c r="VJM22" s="7"/>
      <c r="VJN22" s="7"/>
      <c r="VJO22" s="7"/>
      <c r="VJP22" s="7"/>
      <c r="VJQ22" s="7"/>
      <c r="VJR22" s="7"/>
      <c r="VJS22" s="7"/>
      <c r="VJT22" s="7"/>
      <c r="VJU22" s="7"/>
      <c r="VJV22" s="7"/>
      <c r="VJW22" s="7"/>
      <c r="VJX22" s="7"/>
      <c r="VJY22" s="7"/>
      <c r="VJZ22" s="7"/>
      <c r="VKA22" s="7"/>
      <c r="VKB22" s="7"/>
      <c r="VKC22" s="7"/>
      <c r="VKD22" s="7"/>
      <c r="VKE22" s="7"/>
      <c r="VKF22" s="7"/>
      <c r="VKG22" s="7"/>
      <c r="VKH22" s="7"/>
      <c r="VKI22" s="7"/>
      <c r="VKJ22" s="7"/>
      <c r="VKK22" s="7"/>
      <c r="VKL22" s="7"/>
      <c r="VKM22" s="7"/>
      <c r="VKN22" s="7"/>
      <c r="VKO22" s="7"/>
      <c r="VKP22" s="7"/>
      <c r="VKQ22" s="7"/>
      <c r="VKR22" s="7"/>
      <c r="VKS22" s="7"/>
      <c r="VKT22" s="7"/>
      <c r="VKU22" s="7"/>
      <c r="VKV22" s="7"/>
      <c r="VKW22" s="7"/>
      <c r="VKX22" s="7"/>
      <c r="VKY22" s="7"/>
      <c r="VKZ22" s="7"/>
      <c r="VLA22" s="7"/>
      <c r="VLB22" s="7"/>
      <c r="VLC22" s="7"/>
      <c r="VLD22" s="7"/>
      <c r="VLE22" s="7"/>
      <c r="VLF22" s="7"/>
      <c r="VLG22" s="7"/>
      <c r="VLH22" s="7"/>
      <c r="VLI22" s="7"/>
      <c r="VLJ22" s="7"/>
      <c r="VLK22" s="7"/>
      <c r="VLL22" s="7"/>
      <c r="VLM22" s="7"/>
      <c r="VLN22" s="7"/>
      <c r="VLO22" s="7"/>
      <c r="VLP22" s="7"/>
      <c r="VLQ22" s="7"/>
      <c r="VLR22" s="7"/>
      <c r="VLS22" s="7"/>
      <c r="VLT22" s="7"/>
      <c r="VLU22" s="7"/>
      <c r="VLV22" s="7"/>
      <c r="VLW22" s="7"/>
      <c r="VLX22" s="7"/>
      <c r="VLY22" s="7"/>
      <c r="VLZ22" s="7"/>
      <c r="VMA22" s="7"/>
      <c r="VMB22" s="7"/>
      <c r="VMC22" s="7"/>
      <c r="VMD22" s="7"/>
      <c r="VME22" s="7"/>
      <c r="VMF22" s="7"/>
      <c r="VMG22" s="7"/>
      <c r="VMH22" s="7"/>
      <c r="VMI22" s="7"/>
      <c r="VMJ22" s="7"/>
      <c r="VMK22" s="7"/>
      <c r="VML22" s="7"/>
      <c r="VMM22" s="7"/>
      <c r="VMN22" s="7"/>
      <c r="VMO22" s="7"/>
      <c r="VMP22" s="7"/>
      <c r="VMQ22" s="7"/>
      <c r="VMR22" s="7"/>
      <c r="VMS22" s="7"/>
      <c r="VMT22" s="7"/>
      <c r="VMU22" s="7"/>
      <c r="VMV22" s="7"/>
      <c r="VMW22" s="7"/>
      <c r="VMX22" s="7"/>
      <c r="VMY22" s="7"/>
      <c r="VMZ22" s="7"/>
      <c r="VNA22" s="7"/>
      <c r="VNB22" s="7"/>
      <c r="VNC22" s="7"/>
      <c r="VND22" s="7"/>
      <c r="VNE22" s="7"/>
      <c r="VNF22" s="7"/>
      <c r="VNG22" s="7"/>
      <c r="VNH22" s="7"/>
      <c r="VNI22" s="7"/>
      <c r="VNJ22" s="7"/>
      <c r="VNK22" s="7"/>
      <c r="VNL22" s="7"/>
      <c r="VNM22" s="7"/>
      <c r="VNN22" s="7"/>
      <c r="VNO22" s="7"/>
      <c r="VNP22" s="7"/>
      <c r="VNQ22" s="7"/>
      <c r="VNR22" s="7"/>
      <c r="VNS22" s="7"/>
      <c r="VNT22" s="7"/>
      <c r="VNU22" s="7"/>
      <c r="VNV22" s="7"/>
      <c r="VNW22" s="7"/>
      <c r="VNX22" s="7"/>
      <c r="VNY22" s="7"/>
      <c r="VNZ22" s="7"/>
      <c r="VOA22" s="7"/>
      <c r="VOB22" s="7"/>
      <c r="VOC22" s="7"/>
      <c r="VOD22" s="7"/>
      <c r="VOE22" s="7"/>
      <c r="VOF22" s="7"/>
      <c r="VOG22" s="7"/>
      <c r="VOH22" s="7"/>
      <c r="VOI22" s="7"/>
      <c r="VOJ22" s="7"/>
      <c r="VOK22" s="7"/>
      <c r="VOL22" s="7"/>
      <c r="VOM22" s="7"/>
      <c r="VON22" s="7"/>
      <c r="VOO22" s="7"/>
      <c r="VOP22" s="7"/>
      <c r="VOQ22" s="7"/>
      <c r="VOR22" s="7"/>
      <c r="VOS22" s="7"/>
      <c r="VOT22" s="7"/>
      <c r="VOU22" s="7"/>
      <c r="VOV22" s="7"/>
      <c r="VOW22" s="7"/>
      <c r="VOX22" s="7"/>
      <c r="VOY22" s="7"/>
      <c r="VOZ22" s="7"/>
      <c r="VPA22" s="7"/>
      <c r="VPB22" s="7"/>
      <c r="VPC22" s="7"/>
      <c r="VPD22" s="7"/>
      <c r="VPE22" s="7"/>
      <c r="VPF22" s="7"/>
      <c r="VPG22" s="7"/>
      <c r="VPH22" s="7"/>
      <c r="VPI22" s="7"/>
      <c r="VPJ22" s="7"/>
      <c r="VPK22" s="7"/>
      <c r="VPL22" s="7"/>
      <c r="VPM22" s="7"/>
      <c r="VPN22" s="7"/>
      <c r="VPO22" s="7"/>
      <c r="VPP22" s="7"/>
      <c r="VPQ22" s="7"/>
      <c r="VPR22" s="7"/>
      <c r="VPS22" s="7"/>
      <c r="VPT22" s="7"/>
      <c r="VPU22" s="7"/>
      <c r="VPV22" s="7"/>
      <c r="VPW22" s="7"/>
      <c r="VPX22" s="7"/>
      <c r="VPY22" s="7"/>
      <c r="VPZ22" s="7"/>
      <c r="VQA22" s="7"/>
      <c r="VQB22" s="7"/>
      <c r="VQC22" s="7"/>
      <c r="VQD22" s="7"/>
      <c r="VQE22" s="7"/>
      <c r="VQF22" s="7"/>
      <c r="VQG22" s="7"/>
      <c r="VQH22" s="7"/>
      <c r="VQI22" s="7"/>
      <c r="VQJ22" s="7"/>
      <c r="VQK22" s="7"/>
      <c r="VQL22" s="7"/>
      <c r="VQM22" s="7"/>
      <c r="VQN22" s="7"/>
      <c r="VQO22" s="7"/>
      <c r="VQP22" s="7"/>
      <c r="VQQ22" s="7"/>
      <c r="VQR22" s="7"/>
      <c r="VQS22" s="7"/>
      <c r="VQT22" s="7"/>
      <c r="VQU22" s="7"/>
      <c r="VQV22" s="7"/>
      <c r="VQW22" s="7"/>
      <c r="VQX22" s="7"/>
      <c r="VQY22" s="7"/>
      <c r="VQZ22" s="7"/>
      <c r="VRA22" s="7"/>
      <c r="VRB22" s="7"/>
      <c r="VRC22" s="7"/>
      <c r="VRD22" s="7"/>
      <c r="VRE22" s="7"/>
      <c r="VRF22" s="7"/>
      <c r="VRG22" s="7"/>
      <c r="VRH22" s="7"/>
      <c r="VRI22" s="7"/>
      <c r="VRJ22" s="7"/>
      <c r="VRK22" s="7"/>
      <c r="VRL22" s="7"/>
      <c r="VRM22" s="7"/>
      <c r="VRN22" s="7"/>
      <c r="VRO22" s="7"/>
      <c r="VRP22" s="7"/>
      <c r="VRQ22" s="7"/>
      <c r="VRR22" s="7"/>
      <c r="VRS22" s="7"/>
      <c r="VRT22" s="7"/>
      <c r="VRU22" s="7"/>
      <c r="VRV22" s="7"/>
      <c r="VRW22" s="7"/>
      <c r="VRX22" s="7"/>
      <c r="VRY22" s="7"/>
      <c r="VRZ22" s="7"/>
      <c r="VSA22" s="7"/>
      <c r="VSB22" s="7"/>
      <c r="VSC22" s="7"/>
      <c r="VSD22" s="7"/>
      <c r="VSE22" s="7"/>
      <c r="VSF22" s="7"/>
      <c r="VSG22" s="7"/>
      <c r="VSH22" s="7"/>
      <c r="VSI22" s="7"/>
      <c r="VSJ22" s="7"/>
      <c r="VSK22" s="7"/>
      <c r="VSL22" s="7"/>
      <c r="VSM22" s="7"/>
      <c r="VSN22" s="7"/>
      <c r="VSO22" s="7"/>
      <c r="VSP22" s="7"/>
      <c r="VSQ22" s="7"/>
      <c r="VSR22" s="7"/>
      <c r="VSS22" s="7"/>
      <c r="VST22" s="7"/>
      <c r="VSU22" s="7"/>
      <c r="VSV22" s="7"/>
      <c r="VSW22" s="7"/>
      <c r="VSX22" s="7"/>
      <c r="VSY22" s="7"/>
      <c r="VSZ22" s="7"/>
      <c r="VTA22" s="7"/>
      <c r="VTB22" s="7"/>
      <c r="VTC22" s="7"/>
      <c r="VTD22" s="7"/>
      <c r="VTE22" s="7"/>
      <c r="VTF22" s="7"/>
      <c r="VTG22" s="7"/>
      <c r="VTH22" s="7"/>
      <c r="VTI22" s="7"/>
      <c r="VTJ22" s="7"/>
      <c r="VTK22" s="7"/>
      <c r="VTL22" s="7"/>
      <c r="VTM22" s="7"/>
      <c r="VTN22" s="7"/>
      <c r="VTO22" s="7"/>
      <c r="VTP22" s="7"/>
      <c r="VTQ22" s="7"/>
      <c r="VTR22" s="7"/>
      <c r="VTS22" s="7"/>
      <c r="VTT22" s="7"/>
      <c r="VTU22" s="7"/>
      <c r="VTV22" s="7"/>
      <c r="VTW22" s="7"/>
      <c r="VTX22" s="7"/>
      <c r="VTY22" s="7"/>
      <c r="VTZ22" s="7"/>
      <c r="VUA22" s="7"/>
      <c r="VUB22" s="7"/>
      <c r="VUC22" s="7"/>
      <c r="VUD22" s="7"/>
      <c r="VUE22" s="7"/>
      <c r="VUF22" s="7"/>
      <c r="VUG22" s="7"/>
      <c r="VUH22" s="7"/>
      <c r="VUI22" s="7"/>
      <c r="VUJ22" s="7"/>
      <c r="VUK22" s="7"/>
      <c r="VUL22" s="7"/>
      <c r="VUM22" s="7"/>
      <c r="VUN22" s="7"/>
      <c r="VUO22" s="7"/>
      <c r="VUP22" s="7"/>
      <c r="VUQ22" s="7"/>
      <c r="VUR22" s="7"/>
      <c r="VUS22" s="7"/>
      <c r="VUT22" s="7"/>
      <c r="VUU22" s="7"/>
      <c r="VUV22" s="7"/>
      <c r="VUW22" s="7"/>
      <c r="VUX22" s="7"/>
      <c r="VUY22" s="7"/>
      <c r="VUZ22" s="7"/>
      <c r="VVA22" s="7"/>
      <c r="VVB22" s="7"/>
      <c r="VVC22" s="7"/>
      <c r="VVD22" s="7"/>
      <c r="VVE22" s="7"/>
      <c r="VVF22" s="7"/>
      <c r="VVG22" s="7"/>
      <c r="VVH22" s="7"/>
      <c r="VVI22" s="7"/>
      <c r="VVJ22" s="7"/>
      <c r="VVK22" s="7"/>
      <c r="VVL22" s="7"/>
      <c r="VVM22" s="7"/>
      <c r="VVN22" s="7"/>
      <c r="VVO22" s="7"/>
      <c r="VVP22" s="7"/>
      <c r="VVQ22" s="7"/>
      <c r="VVR22" s="7"/>
      <c r="VVS22" s="7"/>
      <c r="VVT22" s="7"/>
      <c r="VVU22" s="7"/>
      <c r="VVV22" s="7"/>
      <c r="VVW22" s="7"/>
      <c r="VVX22" s="7"/>
      <c r="VVY22" s="7"/>
      <c r="VVZ22" s="7"/>
      <c r="VWA22" s="7"/>
      <c r="VWB22" s="7"/>
      <c r="VWC22" s="7"/>
      <c r="VWD22" s="7"/>
      <c r="VWE22" s="7"/>
      <c r="VWF22" s="7"/>
      <c r="VWG22" s="7"/>
      <c r="VWH22" s="7"/>
      <c r="VWI22" s="7"/>
      <c r="VWJ22" s="7"/>
      <c r="VWK22" s="7"/>
      <c r="VWL22" s="7"/>
      <c r="VWM22" s="7"/>
      <c r="VWN22" s="7"/>
      <c r="VWO22" s="7"/>
      <c r="VWP22" s="7"/>
      <c r="VWQ22" s="7"/>
      <c r="VWR22" s="7"/>
      <c r="VWS22" s="7"/>
      <c r="VWT22" s="7"/>
      <c r="VWU22" s="7"/>
      <c r="VWV22" s="7"/>
      <c r="VWW22" s="7"/>
      <c r="VWX22" s="7"/>
      <c r="VWY22" s="7"/>
      <c r="VWZ22" s="7"/>
      <c r="VXA22" s="7"/>
      <c r="VXB22" s="7"/>
      <c r="VXC22" s="7"/>
      <c r="VXD22" s="7"/>
      <c r="VXE22" s="7"/>
      <c r="VXF22" s="7"/>
      <c r="VXG22" s="7"/>
      <c r="VXH22" s="7"/>
      <c r="VXI22" s="7"/>
      <c r="VXJ22" s="7"/>
      <c r="VXK22" s="7"/>
      <c r="VXL22" s="7"/>
      <c r="VXM22" s="7"/>
      <c r="VXN22" s="7"/>
      <c r="VXO22" s="7"/>
      <c r="VXP22" s="7"/>
      <c r="VXQ22" s="7"/>
      <c r="VXR22" s="7"/>
      <c r="VXS22" s="7"/>
      <c r="VXT22" s="7"/>
      <c r="VXU22" s="7"/>
      <c r="VXV22" s="7"/>
      <c r="VXW22" s="7"/>
      <c r="VXX22" s="7"/>
      <c r="VXY22" s="7"/>
      <c r="VXZ22" s="7"/>
      <c r="VYA22" s="7"/>
      <c r="VYB22" s="7"/>
      <c r="VYC22" s="7"/>
      <c r="VYD22" s="7"/>
      <c r="VYE22" s="7"/>
      <c r="VYF22" s="7"/>
      <c r="VYG22" s="7"/>
      <c r="VYH22" s="7"/>
      <c r="VYI22" s="7"/>
      <c r="VYJ22" s="7"/>
      <c r="VYK22" s="7"/>
      <c r="VYL22" s="7"/>
      <c r="VYM22" s="7"/>
      <c r="VYN22" s="7"/>
      <c r="VYO22" s="7"/>
      <c r="VYP22" s="7"/>
      <c r="VYQ22" s="7"/>
      <c r="VYR22" s="7"/>
      <c r="VYS22" s="7"/>
      <c r="VYT22" s="7"/>
      <c r="VYU22" s="7"/>
      <c r="VYV22" s="7"/>
      <c r="VYW22" s="7"/>
      <c r="VYX22" s="7"/>
      <c r="VYY22" s="7"/>
      <c r="VYZ22" s="7"/>
      <c r="VZA22" s="7"/>
      <c r="VZB22" s="7"/>
      <c r="VZC22" s="7"/>
      <c r="VZD22" s="7"/>
      <c r="VZE22" s="7"/>
      <c r="VZF22" s="7"/>
      <c r="VZG22" s="7"/>
      <c r="VZH22" s="7"/>
      <c r="VZI22" s="7"/>
      <c r="VZJ22" s="7"/>
      <c r="VZK22" s="7"/>
      <c r="VZL22" s="7"/>
      <c r="VZM22" s="7"/>
      <c r="VZN22" s="7"/>
      <c r="VZO22" s="7"/>
      <c r="VZP22" s="7"/>
      <c r="VZQ22" s="7"/>
      <c r="VZR22" s="7"/>
      <c r="VZS22" s="7"/>
      <c r="VZT22" s="7"/>
      <c r="VZU22" s="7"/>
      <c r="VZV22" s="7"/>
      <c r="VZW22" s="7"/>
      <c r="VZX22" s="7"/>
      <c r="VZY22" s="7"/>
      <c r="VZZ22" s="7"/>
      <c r="WAA22" s="7"/>
      <c r="WAB22" s="7"/>
      <c r="WAC22" s="7"/>
      <c r="WAD22" s="7"/>
      <c r="WAE22" s="7"/>
      <c r="WAF22" s="7"/>
      <c r="WAG22" s="7"/>
      <c r="WAH22" s="7"/>
      <c r="WAI22" s="7"/>
      <c r="WAJ22" s="7"/>
      <c r="WAK22" s="7"/>
      <c r="WAL22" s="7"/>
      <c r="WAM22" s="7"/>
      <c r="WAN22" s="7"/>
      <c r="WAO22" s="7"/>
      <c r="WAP22" s="7"/>
      <c r="WAQ22" s="7"/>
      <c r="WAR22" s="7"/>
      <c r="WAS22" s="7"/>
      <c r="WAT22" s="7"/>
      <c r="WAU22" s="7"/>
      <c r="WAV22" s="7"/>
      <c r="WAW22" s="7"/>
      <c r="WAX22" s="7"/>
      <c r="WAY22" s="7"/>
      <c r="WAZ22" s="7"/>
      <c r="WBA22" s="7"/>
      <c r="WBB22" s="7"/>
      <c r="WBC22" s="7"/>
      <c r="WBD22" s="7"/>
      <c r="WBE22" s="7"/>
      <c r="WBF22" s="7"/>
      <c r="WBG22" s="7"/>
      <c r="WBH22" s="7"/>
      <c r="WBI22" s="7"/>
      <c r="WBJ22" s="7"/>
      <c r="WBK22" s="7"/>
      <c r="WBL22" s="7"/>
      <c r="WBM22" s="7"/>
      <c r="WBN22" s="7"/>
      <c r="WBO22" s="7"/>
      <c r="WBP22" s="7"/>
      <c r="WBQ22" s="7"/>
      <c r="WBR22" s="7"/>
      <c r="WBS22" s="7"/>
      <c r="WBT22" s="7"/>
      <c r="WBU22" s="7"/>
      <c r="WBV22" s="7"/>
      <c r="WBW22" s="7"/>
      <c r="WBX22" s="7"/>
      <c r="WBY22" s="7"/>
      <c r="WBZ22" s="7"/>
      <c r="WCA22" s="7"/>
      <c r="WCB22" s="7"/>
      <c r="WCC22" s="7"/>
      <c r="WCD22" s="7"/>
      <c r="WCE22" s="7"/>
      <c r="WCF22" s="7"/>
      <c r="WCG22" s="7"/>
      <c r="WCH22" s="7"/>
      <c r="WCI22" s="7"/>
      <c r="WCJ22" s="7"/>
      <c r="WCK22" s="7"/>
      <c r="WCL22" s="7"/>
      <c r="WCM22" s="7"/>
      <c r="WCN22" s="7"/>
      <c r="WCO22" s="7"/>
      <c r="WCP22" s="7"/>
      <c r="WCQ22" s="7"/>
      <c r="WCR22" s="7"/>
      <c r="WCS22" s="7"/>
      <c r="WCT22" s="7"/>
      <c r="WCU22" s="7"/>
      <c r="WCV22" s="7"/>
      <c r="WCW22" s="7"/>
      <c r="WCX22" s="7"/>
      <c r="WCY22" s="7"/>
      <c r="WCZ22" s="7"/>
      <c r="WDA22" s="7"/>
      <c r="WDB22" s="7"/>
      <c r="WDC22" s="7"/>
      <c r="WDD22" s="7"/>
      <c r="WDE22" s="7"/>
      <c r="WDF22" s="7"/>
      <c r="WDG22" s="7"/>
      <c r="WDH22" s="7"/>
      <c r="WDI22" s="7"/>
      <c r="WDJ22" s="7"/>
      <c r="WDK22" s="7"/>
      <c r="WDL22" s="7"/>
      <c r="WDM22" s="7"/>
      <c r="WDN22" s="7"/>
      <c r="WDO22" s="7"/>
      <c r="WDP22" s="7"/>
      <c r="WDQ22" s="7"/>
      <c r="WDR22" s="7"/>
      <c r="WDS22" s="7"/>
      <c r="WDT22" s="7"/>
      <c r="WDU22" s="7"/>
      <c r="WDV22" s="7"/>
      <c r="WDW22" s="7"/>
      <c r="WDX22" s="7"/>
      <c r="WDY22" s="7"/>
      <c r="WDZ22" s="7"/>
      <c r="WEA22" s="7"/>
      <c r="WEB22" s="7"/>
      <c r="WEC22" s="7"/>
      <c r="WED22" s="7"/>
      <c r="WEE22" s="7"/>
      <c r="WEF22" s="7"/>
      <c r="WEG22" s="7"/>
      <c r="WEH22" s="7"/>
      <c r="WEI22" s="7"/>
      <c r="WEJ22" s="7"/>
      <c r="WEK22" s="7"/>
      <c r="WEL22" s="7"/>
      <c r="WEM22" s="7"/>
      <c r="WEN22" s="7"/>
      <c r="WEO22" s="7"/>
      <c r="WEP22" s="7"/>
      <c r="WEQ22" s="7"/>
      <c r="WER22" s="7"/>
      <c r="WES22" s="7"/>
      <c r="WET22" s="7"/>
      <c r="WEU22" s="7"/>
      <c r="WEV22" s="7"/>
      <c r="WEW22" s="7"/>
      <c r="WEX22" s="7"/>
      <c r="WEY22" s="7"/>
      <c r="WEZ22" s="7"/>
      <c r="WFA22" s="7"/>
      <c r="WFB22" s="7"/>
      <c r="WFC22" s="7"/>
      <c r="WFD22" s="7"/>
      <c r="WFE22" s="7"/>
      <c r="WFF22" s="7"/>
      <c r="WFG22" s="7"/>
      <c r="WFH22" s="7"/>
      <c r="WFI22" s="7"/>
      <c r="WFJ22" s="7"/>
      <c r="WFK22" s="7"/>
      <c r="WFL22" s="7"/>
      <c r="WFM22" s="7"/>
      <c r="WFN22" s="7"/>
      <c r="WFO22" s="7"/>
      <c r="WFP22" s="7"/>
      <c r="WFQ22" s="7"/>
      <c r="WFR22" s="7"/>
      <c r="WFS22" s="7"/>
      <c r="WFT22" s="7"/>
      <c r="WFU22" s="7"/>
      <c r="WFV22" s="7"/>
      <c r="WFW22" s="7"/>
      <c r="WFX22" s="7"/>
      <c r="WFY22" s="7"/>
      <c r="WFZ22" s="7"/>
      <c r="WGA22" s="7"/>
      <c r="WGB22" s="7"/>
      <c r="WGC22" s="7"/>
      <c r="WGD22" s="7"/>
      <c r="WGE22" s="7"/>
      <c r="WGF22" s="7"/>
      <c r="WGG22" s="7"/>
      <c r="WGH22" s="7"/>
      <c r="WGI22" s="7"/>
      <c r="WGJ22" s="7"/>
      <c r="WGK22" s="7"/>
      <c r="WGL22" s="7"/>
      <c r="WGM22" s="7"/>
      <c r="WGN22" s="7"/>
      <c r="WGO22" s="7"/>
      <c r="WGP22" s="7"/>
      <c r="WGQ22" s="7"/>
      <c r="WGR22" s="7"/>
      <c r="WGS22" s="7"/>
      <c r="WGT22" s="7"/>
      <c r="WGU22" s="7"/>
      <c r="WGV22" s="7"/>
      <c r="WGW22" s="7"/>
      <c r="WGX22" s="7"/>
      <c r="WGY22" s="7"/>
      <c r="WGZ22" s="7"/>
      <c r="WHA22" s="7"/>
      <c r="WHB22" s="7"/>
      <c r="WHC22" s="7"/>
      <c r="WHD22" s="7"/>
      <c r="WHE22" s="7"/>
      <c r="WHF22" s="7"/>
      <c r="WHG22" s="7"/>
      <c r="WHH22" s="7"/>
      <c r="WHI22" s="7"/>
      <c r="WHJ22" s="7"/>
      <c r="WHK22" s="7"/>
      <c r="WHL22" s="7"/>
      <c r="WHM22" s="7"/>
      <c r="WHN22" s="7"/>
      <c r="WHO22" s="7"/>
      <c r="WHP22" s="7"/>
      <c r="WHQ22" s="7"/>
      <c r="WHR22" s="7"/>
      <c r="WHS22" s="7"/>
      <c r="WHT22" s="7"/>
      <c r="WHU22" s="7"/>
      <c r="WHV22" s="7"/>
      <c r="WHW22" s="7"/>
      <c r="WHX22" s="7"/>
      <c r="WHY22" s="7"/>
      <c r="WHZ22" s="7"/>
      <c r="WIA22" s="7"/>
      <c r="WIB22" s="7"/>
      <c r="WIC22" s="7"/>
      <c r="WID22" s="7"/>
      <c r="WIE22" s="7"/>
      <c r="WIF22" s="7"/>
      <c r="WIG22" s="7"/>
      <c r="WIH22" s="7"/>
      <c r="WII22" s="7"/>
      <c r="WIJ22" s="7"/>
      <c r="WIK22" s="7"/>
      <c r="WIL22" s="7"/>
      <c r="WIM22" s="7"/>
      <c r="WIN22" s="7"/>
      <c r="WIO22" s="7"/>
      <c r="WIP22" s="7"/>
      <c r="WIQ22" s="7"/>
      <c r="WIR22" s="7"/>
      <c r="WIS22" s="7"/>
      <c r="WIT22" s="7"/>
      <c r="WIU22" s="7"/>
      <c r="WIV22" s="7"/>
      <c r="WIW22" s="7"/>
      <c r="WIX22" s="7"/>
      <c r="WIY22" s="7"/>
      <c r="WIZ22" s="7"/>
      <c r="WJA22" s="7"/>
      <c r="WJB22" s="7"/>
      <c r="WJC22" s="7"/>
      <c r="WJD22" s="7"/>
      <c r="WJE22" s="7"/>
      <c r="WJF22" s="7"/>
      <c r="WJG22" s="7"/>
      <c r="WJH22" s="7"/>
      <c r="WJI22" s="7"/>
      <c r="WJJ22" s="7"/>
      <c r="WJK22" s="7"/>
      <c r="WJL22" s="7"/>
      <c r="WJM22" s="7"/>
      <c r="WJN22" s="7"/>
      <c r="WJO22" s="7"/>
      <c r="WJP22" s="7"/>
      <c r="WJQ22" s="7"/>
      <c r="WJR22" s="7"/>
      <c r="WJS22" s="7"/>
      <c r="WJT22" s="7"/>
      <c r="WJU22" s="7"/>
      <c r="WJV22" s="7"/>
      <c r="WJW22" s="7"/>
      <c r="WJX22" s="7"/>
      <c r="WJY22" s="7"/>
      <c r="WJZ22" s="7"/>
      <c r="WKA22" s="7"/>
      <c r="WKB22" s="7"/>
      <c r="WKC22" s="7"/>
      <c r="WKD22" s="7"/>
      <c r="WKE22" s="7"/>
      <c r="WKF22" s="7"/>
      <c r="WKG22" s="7"/>
      <c r="WKH22" s="7"/>
      <c r="WKI22" s="7"/>
      <c r="WKJ22" s="7"/>
      <c r="WKK22" s="7"/>
      <c r="WKL22" s="7"/>
      <c r="WKM22" s="7"/>
      <c r="WKN22" s="7"/>
      <c r="WKO22" s="7"/>
      <c r="WKP22" s="7"/>
      <c r="WKQ22" s="7"/>
      <c r="WKR22" s="7"/>
      <c r="WKS22" s="7"/>
      <c r="WKT22" s="7"/>
      <c r="WKU22" s="7"/>
      <c r="WKV22" s="7"/>
      <c r="WKW22" s="7"/>
      <c r="WKX22" s="7"/>
      <c r="WKY22" s="7"/>
      <c r="WKZ22" s="7"/>
      <c r="WLA22" s="7"/>
      <c r="WLB22" s="7"/>
      <c r="WLC22" s="7"/>
      <c r="WLD22" s="7"/>
      <c r="WLE22" s="7"/>
      <c r="WLF22" s="7"/>
      <c r="WLG22" s="7"/>
      <c r="WLH22" s="7"/>
      <c r="WLI22" s="7"/>
      <c r="WLJ22" s="7"/>
      <c r="WLK22" s="7"/>
      <c r="WLL22" s="7"/>
      <c r="WLM22" s="7"/>
      <c r="WLN22" s="7"/>
      <c r="WLO22" s="7"/>
      <c r="WLP22" s="7"/>
      <c r="WLQ22" s="7"/>
      <c r="WLR22" s="7"/>
      <c r="WLS22" s="7"/>
      <c r="WLT22" s="7"/>
      <c r="WLU22" s="7"/>
      <c r="WLV22" s="7"/>
      <c r="WLW22" s="7"/>
      <c r="WLX22" s="7"/>
      <c r="WLY22" s="7"/>
      <c r="WLZ22" s="7"/>
      <c r="WMA22" s="7"/>
      <c r="WMB22" s="7"/>
      <c r="WMC22" s="7"/>
      <c r="WMD22" s="7"/>
      <c r="WME22" s="7"/>
      <c r="WMF22" s="7"/>
      <c r="WMG22" s="7"/>
      <c r="WMH22" s="7"/>
      <c r="WMI22" s="7"/>
      <c r="WMJ22" s="7"/>
      <c r="WMK22" s="7"/>
      <c r="WML22" s="7"/>
      <c r="WMM22" s="7"/>
      <c r="WMN22" s="7"/>
      <c r="WMO22" s="7"/>
      <c r="WMP22" s="7"/>
      <c r="WMQ22" s="7"/>
      <c r="WMR22" s="7"/>
      <c r="WMS22" s="7"/>
      <c r="WMT22" s="7"/>
      <c r="WMU22" s="7"/>
      <c r="WMV22" s="7"/>
      <c r="WMW22" s="7"/>
      <c r="WMX22" s="7"/>
      <c r="WMY22" s="7"/>
      <c r="WMZ22" s="7"/>
      <c r="WNA22" s="7"/>
      <c r="WNB22" s="7"/>
      <c r="WNC22" s="7"/>
      <c r="WND22" s="7"/>
      <c r="WNE22" s="7"/>
      <c r="WNF22" s="7"/>
      <c r="WNG22" s="7"/>
      <c r="WNH22" s="7"/>
      <c r="WNI22" s="7"/>
      <c r="WNJ22" s="7"/>
      <c r="WNK22" s="7"/>
      <c r="WNL22" s="7"/>
      <c r="WNM22" s="7"/>
      <c r="WNN22" s="7"/>
      <c r="WNO22" s="7"/>
      <c r="WNP22" s="7"/>
      <c r="WNQ22" s="7"/>
      <c r="WNR22" s="7"/>
      <c r="WNS22" s="7"/>
      <c r="WNT22" s="7"/>
      <c r="WNU22" s="7"/>
      <c r="WNV22" s="7"/>
      <c r="WNW22" s="7"/>
      <c r="WNX22" s="7"/>
      <c r="WNY22" s="7"/>
      <c r="WNZ22" s="7"/>
      <c r="WOA22" s="7"/>
      <c r="WOB22" s="7"/>
      <c r="WOC22" s="7"/>
      <c r="WOD22" s="7"/>
      <c r="WOE22" s="7"/>
      <c r="WOF22" s="7"/>
      <c r="WOG22" s="7"/>
      <c r="WOH22" s="7"/>
      <c r="WOI22" s="7"/>
      <c r="WOJ22" s="7"/>
      <c r="WOK22" s="7"/>
      <c r="WOL22" s="7"/>
      <c r="WOM22" s="7"/>
      <c r="WON22" s="7"/>
      <c r="WOO22" s="7"/>
      <c r="WOP22" s="7"/>
      <c r="WOQ22" s="7"/>
      <c r="WOR22" s="7"/>
      <c r="WOS22" s="7"/>
      <c r="WOT22" s="7"/>
      <c r="WOU22" s="7"/>
      <c r="WOV22" s="7"/>
      <c r="WOW22" s="7"/>
      <c r="WOX22" s="7"/>
      <c r="WOY22" s="7"/>
      <c r="WOZ22" s="7"/>
      <c r="WPA22" s="7"/>
      <c r="WPB22" s="7"/>
      <c r="WPC22" s="7"/>
      <c r="WPD22" s="7"/>
      <c r="WPE22" s="7"/>
      <c r="WPF22" s="7"/>
      <c r="WPG22" s="7"/>
      <c r="WPH22" s="7"/>
      <c r="WPI22" s="7"/>
      <c r="WPJ22" s="7"/>
      <c r="WPK22" s="7"/>
      <c r="WPL22" s="7"/>
      <c r="WPM22" s="7"/>
      <c r="WPN22" s="7"/>
      <c r="WPO22" s="7"/>
      <c r="WPP22" s="7"/>
      <c r="WPQ22" s="7"/>
      <c r="WPR22" s="7"/>
      <c r="WPS22" s="7"/>
      <c r="WPT22" s="7"/>
      <c r="WPU22" s="7"/>
      <c r="WPV22" s="7"/>
      <c r="WPW22" s="7"/>
      <c r="WPX22" s="7"/>
      <c r="WPY22" s="7"/>
      <c r="WPZ22" s="7"/>
      <c r="WQA22" s="7"/>
      <c r="WQB22" s="7"/>
      <c r="WQC22" s="7"/>
      <c r="WQD22" s="7"/>
      <c r="WQE22" s="7"/>
      <c r="WQF22" s="7"/>
      <c r="WQG22" s="7"/>
      <c r="WQH22" s="7"/>
      <c r="WQI22" s="7"/>
      <c r="WQJ22" s="7"/>
      <c r="WQK22" s="7"/>
      <c r="WQL22" s="7"/>
      <c r="WQM22" s="7"/>
      <c r="WQN22" s="7"/>
      <c r="WQO22" s="7"/>
      <c r="WQP22" s="7"/>
      <c r="WQQ22" s="7"/>
      <c r="WQR22" s="7"/>
      <c r="WQS22" s="7"/>
      <c r="WQT22" s="7"/>
      <c r="WQU22" s="7"/>
      <c r="WQV22" s="7"/>
      <c r="WQW22" s="7"/>
      <c r="WQX22" s="7"/>
      <c r="WQY22" s="7"/>
      <c r="WQZ22" s="7"/>
      <c r="WRA22" s="7"/>
      <c r="WRB22" s="7"/>
      <c r="WRC22" s="7"/>
      <c r="WRD22" s="7"/>
      <c r="WRE22" s="7"/>
      <c r="WRF22" s="7"/>
      <c r="WRG22" s="7"/>
      <c r="WRH22" s="7"/>
      <c r="WRI22" s="7"/>
      <c r="WRJ22" s="7"/>
      <c r="WRK22" s="7"/>
      <c r="WRL22" s="7"/>
      <c r="WRM22" s="7"/>
      <c r="WRN22" s="7"/>
      <c r="WRO22" s="7"/>
      <c r="WRP22" s="7"/>
      <c r="WRQ22" s="7"/>
      <c r="WRR22" s="7"/>
      <c r="WRS22" s="7"/>
      <c r="WRT22" s="7"/>
      <c r="WRU22" s="7"/>
      <c r="WRV22" s="7"/>
      <c r="WRW22" s="7"/>
      <c r="WRX22" s="7"/>
      <c r="WRY22" s="7"/>
      <c r="WRZ22" s="7"/>
      <c r="WSA22" s="7"/>
      <c r="WSB22" s="7"/>
      <c r="WSC22" s="7"/>
      <c r="WSD22" s="7"/>
      <c r="WSE22" s="7"/>
      <c r="WSF22" s="7"/>
      <c r="WSG22" s="7"/>
      <c r="WSH22" s="7"/>
      <c r="WSI22" s="7"/>
      <c r="WSJ22" s="7"/>
      <c r="WSK22" s="7"/>
      <c r="WSL22" s="7"/>
      <c r="WSM22" s="7"/>
      <c r="WSN22" s="7"/>
      <c r="WSO22" s="7"/>
      <c r="WSP22" s="7"/>
      <c r="WSQ22" s="7"/>
      <c r="WSR22" s="7"/>
      <c r="WSS22" s="7"/>
      <c r="WST22" s="7"/>
      <c r="WSU22" s="7"/>
      <c r="WSV22" s="7"/>
      <c r="WSW22" s="7"/>
      <c r="WSX22" s="7"/>
      <c r="WSY22" s="7"/>
      <c r="WSZ22" s="7"/>
      <c r="WTA22" s="7"/>
      <c r="WTB22" s="7"/>
      <c r="WTC22" s="7"/>
      <c r="WTD22" s="7"/>
      <c r="WTE22" s="7"/>
      <c r="WTF22" s="7"/>
      <c r="WTG22" s="7"/>
      <c r="WTH22" s="7"/>
      <c r="WTI22" s="7"/>
      <c r="WTJ22" s="7"/>
      <c r="WTK22" s="7"/>
      <c r="WTL22" s="7"/>
      <c r="WTM22" s="7"/>
      <c r="WTN22" s="7"/>
      <c r="WTO22" s="7"/>
      <c r="WTP22" s="7"/>
      <c r="WTQ22" s="7"/>
      <c r="WTR22" s="7"/>
      <c r="WTS22" s="7"/>
      <c r="WTT22" s="7"/>
      <c r="WTU22" s="7"/>
      <c r="WTV22" s="7"/>
      <c r="WTW22" s="7"/>
      <c r="WTX22" s="7"/>
      <c r="WTY22" s="7"/>
      <c r="WTZ22" s="7"/>
      <c r="WUA22" s="7"/>
      <c r="WUB22" s="7"/>
      <c r="WUC22" s="7"/>
      <c r="WUD22" s="7"/>
      <c r="WUE22" s="7"/>
      <c r="WUF22" s="7"/>
      <c r="WUG22" s="7"/>
      <c r="WUH22" s="7"/>
      <c r="WUI22" s="7"/>
      <c r="WUJ22" s="7"/>
      <c r="WUK22" s="7"/>
      <c r="WUL22" s="7"/>
      <c r="WUM22" s="7"/>
      <c r="WUN22" s="7"/>
      <c r="WUO22" s="7"/>
      <c r="WUP22" s="7"/>
      <c r="WUQ22" s="7"/>
      <c r="WUR22" s="7"/>
      <c r="WUS22" s="7"/>
      <c r="WUT22" s="7"/>
      <c r="WUU22" s="7"/>
      <c r="WUV22" s="7"/>
      <c r="WUW22" s="7"/>
      <c r="WUX22" s="7"/>
      <c r="WUY22" s="7"/>
      <c r="WUZ22" s="7"/>
      <c r="WVA22" s="7"/>
      <c r="WVB22" s="7"/>
      <c r="WVC22" s="7"/>
      <c r="WVD22" s="7"/>
      <c r="WVE22" s="7"/>
      <c r="WVF22" s="7"/>
      <c r="WVG22" s="7"/>
      <c r="WVH22" s="7"/>
      <c r="WVI22" s="7"/>
      <c r="WVJ22" s="7"/>
      <c r="WVK22" s="7"/>
      <c r="WVL22" s="7"/>
      <c r="WVM22" s="7"/>
      <c r="WVN22" s="7"/>
      <c r="WVO22" s="7"/>
      <c r="WVP22" s="7"/>
      <c r="WVQ22" s="7"/>
      <c r="WVR22" s="7"/>
      <c r="WVS22" s="7"/>
      <c r="WVT22" s="7"/>
      <c r="WVU22" s="7"/>
      <c r="WVV22" s="7"/>
      <c r="WVW22" s="7"/>
      <c r="WVX22" s="7"/>
      <c r="WVY22" s="7"/>
      <c r="WVZ22" s="7"/>
      <c r="WWA22" s="7"/>
      <c r="WWB22" s="7"/>
      <c r="WWC22" s="7"/>
      <c r="WWD22" s="7"/>
      <c r="WWE22" s="7"/>
      <c r="WWF22" s="7"/>
      <c r="WWG22" s="7"/>
      <c r="WWH22" s="7"/>
      <c r="WWI22" s="7"/>
      <c r="WWJ22" s="7"/>
      <c r="WWK22" s="7"/>
      <c r="WWL22" s="7"/>
      <c r="WWM22" s="7"/>
      <c r="WWN22" s="7"/>
      <c r="WWO22" s="7"/>
      <c r="WWP22" s="7"/>
      <c r="WWQ22" s="7"/>
      <c r="WWR22" s="7"/>
      <c r="WWS22" s="7"/>
      <c r="WWT22" s="7"/>
      <c r="WWU22" s="7"/>
      <c r="WWV22" s="7"/>
      <c r="WWW22" s="7"/>
      <c r="WWX22" s="7"/>
      <c r="WWY22" s="7"/>
      <c r="WWZ22" s="7"/>
      <c r="WXA22" s="7"/>
      <c r="WXB22" s="7"/>
      <c r="WXC22" s="7"/>
      <c r="WXD22" s="7"/>
      <c r="WXE22" s="7"/>
      <c r="WXF22" s="7"/>
      <c r="WXG22" s="7"/>
      <c r="WXH22" s="7"/>
      <c r="WXI22" s="7"/>
      <c r="WXJ22" s="7"/>
      <c r="WXK22" s="7"/>
      <c r="WXL22" s="7"/>
      <c r="WXM22" s="7"/>
      <c r="WXN22" s="7"/>
      <c r="WXO22" s="7"/>
      <c r="WXP22" s="7"/>
      <c r="WXQ22" s="7"/>
      <c r="WXR22" s="7"/>
      <c r="WXS22" s="7"/>
      <c r="WXT22" s="7"/>
      <c r="WXU22" s="7"/>
      <c r="WXV22" s="7"/>
      <c r="WXW22" s="7"/>
      <c r="WXX22" s="7"/>
      <c r="WXY22" s="7"/>
      <c r="WXZ22" s="7"/>
      <c r="WYA22" s="7"/>
      <c r="WYB22" s="7"/>
      <c r="WYC22" s="7"/>
      <c r="WYD22" s="7"/>
      <c r="WYE22" s="7"/>
      <c r="WYF22" s="7"/>
      <c r="WYG22" s="7"/>
      <c r="WYH22" s="7"/>
      <c r="WYI22" s="7"/>
      <c r="WYJ22" s="7"/>
      <c r="WYK22" s="7"/>
      <c r="WYL22" s="7"/>
      <c r="WYM22" s="7"/>
      <c r="WYN22" s="7"/>
      <c r="WYO22" s="7"/>
      <c r="WYP22" s="7"/>
      <c r="WYQ22" s="7"/>
      <c r="WYR22" s="7"/>
      <c r="WYS22" s="7"/>
      <c r="WYT22" s="7"/>
      <c r="WYU22" s="7"/>
      <c r="WYV22" s="7"/>
      <c r="WYW22" s="7"/>
      <c r="WYX22" s="7"/>
      <c r="WYY22" s="7"/>
      <c r="WYZ22" s="7"/>
      <c r="WZA22" s="7"/>
      <c r="WZB22" s="7"/>
      <c r="WZC22" s="7"/>
      <c r="WZD22" s="7"/>
      <c r="WZE22" s="7"/>
      <c r="WZF22" s="7"/>
      <c r="WZG22" s="7"/>
      <c r="WZH22" s="7"/>
      <c r="WZI22" s="7"/>
      <c r="WZJ22" s="7"/>
      <c r="WZK22" s="7"/>
      <c r="WZL22" s="7"/>
      <c r="WZM22" s="7"/>
      <c r="WZN22" s="7"/>
      <c r="WZO22" s="7"/>
      <c r="WZP22" s="7"/>
      <c r="WZQ22" s="7"/>
      <c r="WZR22" s="7"/>
      <c r="WZS22" s="7"/>
      <c r="WZT22" s="7"/>
      <c r="WZU22" s="7"/>
      <c r="WZV22" s="7"/>
      <c r="WZW22" s="7"/>
      <c r="WZX22" s="7"/>
      <c r="WZY22" s="7"/>
      <c r="WZZ22" s="7"/>
      <c r="XAA22" s="7"/>
      <c r="XAB22" s="7"/>
      <c r="XAC22" s="7"/>
      <c r="XAD22" s="7"/>
      <c r="XAE22" s="7"/>
      <c r="XAF22" s="7"/>
      <c r="XAG22" s="7"/>
      <c r="XAH22" s="7"/>
      <c r="XAI22" s="7"/>
      <c r="XAJ22" s="7"/>
      <c r="XAK22" s="7"/>
      <c r="XAL22" s="7"/>
      <c r="XAM22" s="7"/>
      <c r="XAN22" s="7"/>
      <c r="XAO22" s="7"/>
      <c r="XAP22" s="7"/>
      <c r="XAQ22" s="7"/>
      <c r="XAR22" s="7"/>
      <c r="XAS22" s="7"/>
      <c r="XAT22" s="7"/>
      <c r="XAU22" s="7"/>
      <c r="XAV22" s="7"/>
      <c r="XAW22" s="7"/>
      <c r="XAX22" s="7"/>
      <c r="XAY22" s="7"/>
      <c r="XAZ22" s="7"/>
      <c r="XBA22" s="7"/>
      <c r="XBB22" s="7"/>
      <c r="XBC22" s="7"/>
      <c r="XBD22" s="7"/>
      <c r="XBE22" s="7"/>
      <c r="XBF22" s="7"/>
      <c r="XBG22" s="7"/>
      <c r="XBH22" s="7"/>
      <c r="XBI22" s="7"/>
      <c r="XBJ22" s="7"/>
      <c r="XBK22" s="7"/>
      <c r="XBL22" s="7"/>
      <c r="XBM22" s="7"/>
      <c r="XBN22" s="7"/>
      <c r="XBO22" s="7"/>
      <c r="XBP22" s="7"/>
      <c r="XBQ22" s="7"/>
      <c r="XBR22" s="7"/>
      <c r="XBS22" s="7"/>
      <c r="XBT22" s="7"/>
      <c r="XBU22" s="7"/>
      <c r="XBV22" s="7"/>
      <c r="XBW22" s="7"/>
      <c r="XBX22" s="7"/>
      <c r="XBY22" s="7"/>
      <c r="XBZ22" s="7"/>
      <c r="XCA22" s="7"/>
      <c r="XCB22" s="7"/>
      <c r="XCC22" s="7"/>
      <c r="XCD22" s="7"/>
      <c r="XCE22" s="7"/>
      <c r="XCF22" s="7"/>
      <c r="XCG22" s="7"/>
      <c r="XCH22" s="7"/>
      <c r="XCI22" s="7"/>
      <c r="XCJ22" s="7"/>
      <c r="XCK22" s="7"/>
      <c r="XCL22" s="7"/>
      <c r="XCM22" s="7"/>
      <c r="XCN22" s="7"/>
      <c r="XCO22" s="7"/>
      <c r="XCP22" s="7"/>
      <c r="XCQ22" s="7"/>
      <c r="XCR22" s="7"/>
      <c r="XCS22" s="7"/>
      <c r="XCT22" s="7"/>
      <c r="XCU22" s="7"/>
      <c r="XCV22" s="7"/>
      <c r="XCW22" s="7"/>
      <c r="XCX22" s="7"/>
      <c r="XCY22" s="7"/>
      <c r="XCZ22" s="7"/>
      <c r="XDA22" s="7"/>
      <c r="XDB22" s="7"/>
      <c r="XDC22" s="7"/>
      <c r="XDD22" s="7"/>
      <c r="XDE22" s="7"/>
      <c r="XDF22" s="7"/>
      <c r="XDG22" s="7"/>
      <c r="XDH22" s="7"/>
      <c r="XDI22" s="7"/>
      <c r="XDJ22" s="7"/>
      <c r="XDK22" s="7"/>
      <c r="XDL22" s="7"/>
      <c r="XDM22" s="7"/>
      <c r="XDN22" s="7"/>
      <c r="XDO22" s="7"/>
      <c r="XDP22" s="7"/>
      <c r="XDQ22" s="7"/>
      <c r="XDR22" s="7"/>
      <c r="XDS22" s="7"/>
      <c r="XDT22" s="7"/>
      <c r="XDU22" s="7"/>
      <c r="XDV22" s="7"/>
      <c r="XDW22" s="7"/>
      <c r="XDX22" s="7"/>
      <c r="XDY22" s="7"/>
      <c r="XDZ22" s="7"/>
      <c r="XEA22" s="7"/>
      <c r="XEB22" s="7"/>
      <c r="XEC22" s="7"/>
      <c r="XED22" s="7"/>
      <c r="XEE22" s="7"/>
      <c r="XEF22" s="7"/>
      <c r="XEG22" s="7"/>
      <c r="XEH22" s="7"/>
      <c r="XEI22" s="7"/>
      <c r="XEJ22" s="7"/>
      <c r="XEK22" s="7"/>
      <c r="XEL22" s="7"/>
      <c r="XEM22" s="7"/>
      <c r="XEN22" s="7"/>
      <c r="XEO22" s="7"/>
      <c r="XEP22" s="7"/>
      <c r="XEQ22" s="7"/>
      <c r="XER22" s="7"/>
      <c r="XES22" s="7"/>
      <c r="XET22" s="7"/>
      <c r="XEU22" s="7"/>
      <c r="XEV22" s="7"/>
      <c r="XEW22" s="7"/>
      <c r="XEX22" s="7"/>
      <c r="XEY22" s="7"/>
      <c r="XEZ22" s="7"/>
      <c r="XFA22" s="7"/>
      <c r="XFB22" s="7"/>
      <c r="XFC22" s="7"/>
    </row>
    <row r="23" spans="1:16383" s="76" customFormat="1" ht="15" x14ac:dyDescent="0.25">
      <c r="A23" s="6" t="s">
        <v>66</v>
      </c>
      <c r="B23" s="41" t="s">
        <v>53</v>
      </c>
      <c r="C23" s="85">
        <v>3</v>
      </c>
      <c r="D23" s="86">
        <v>79</v>
      </c>
      <c r="E23" s="86">
        <v>117</v>
      </c>
      <c r="F23" s="86">
        <v>139</v>
      </c>
      <c r="G23" s="86">
        <v>165</v>
      </c>
      <c r="H23" s="86">
        <v>180</v>
      </c>
      <c r="I23" s="86">
        <v>197</v>
      </c>
      <c r="J23" s="86">
        <v>225</v>
      </c>
      <c r="K23" s="86">
        <v>253</v>
      </c>
      <c r="L23" s="85">
        <v>2</v>
      </c>
      <c r="M23" s="86">
        <v>281</v>
      </c>
      <c r="N23" s="86">
        <v>309</v>
      </c>
      <c r="O23" s="86">
        <v>337</v>
      </c>
      <c r="P23" s="86">
        <v>365</v>
      </c>
      <c r="Q23" s="86">
        <v>393</v>
      </c>
      <c r="R23" s="86">
        <v>421</v>
      </c>
      <c r="S23" s="86">
        <v>449</v>
      </c>
      <c r="T23" s="86">
        <v>477</v>
      </c>
      <c r="U23" s="86">
        <v>492.5</v>
      </c>
      <c r="V23" s="86">
        <v>506.25</v>
      </c>
      <c r="W23" s="86">
        <v>520</v>
      </c>
      <c r="X23" s="86">
        <v>533.75</v>
      </c>
      <c r="Y23" s="86">
        <v>547.5</v>
      </c>
      <c r="Z23" s="86">
        <v>561.25</v>
      </c>
      <c r="AA23" s="86">
        <v>575</v>
      </c>
      <c r="AB23" s="86">
        <v>588.75</v>
      </c>
      <c r="AC23" s="86">
        <v>602.5</v>
      </c>
      <c r="AD23" s="86">
        <v>611.25</v>
      </c>
      <c r="AE23" s="86">
        <v>620</v>
      </c>
      <c r="AF23" s="86">
        <v>628.75</v>
      </c>
      <c r="AG23" s="86">
        <v>637.5</v>
      </c>
      <c r="AH23" s="86">
        <v>646.25</v>
      </c>
      <c r="AI23" s="86">
        <v>645</v>
      </c>
      <c r="AJ23" s="86">
        <v>645</v>
      </c>
      <c r="AK23" s="86">
        <v>645</v>
      </c>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7"/>
      <c r="IN23" s="7"/>
      <c r="IO23" s="7"/>
      <c r="IP23" s="7"/>
      <c r="IQ23" s="7"/>
      <c r="IR23" s="7"/>
      <c r="IS23" s="7"/>
      <c r="IT23" s="7"/>
      <c r="IU23" s="7"/>
      <c r="IV23" s="7"/>
      <c r="IW23" s="7"/>
      <c r="IX23" s="7"/>
      <c r="IY23" s="7"/>
      <c r="IZ23" s="7"/>
      <c r="JA23" s="7"/>
      <c r="JB23" s="7"/>
      <c r="JC23" s="7"/>
      <c r="JD23" s="7"/>
      <c r="JE23" s="7"/>
      <c r="JF23" s="7"/>
      <c r="JG23" s="7"/>
      <c r="JH23" s="7"/>
      <c r="JI23" s="7"/>
      <c r="JJ23" s="7"/>
      <c r="JK23" s="7"/>
      <c r="JL23" s="7"/>
      <c r="JM23" s="7"/>
      <c r="JN23" s="7"/>
      <c r="JO23" s="7"/>
      <c r="JP23" s="7"/>
      <c r="JQ23" s="7"/>
      <c r="JR23" s="7"/>
      <c r="JS23" s="7"/>
      <c r="JT23" s="7"/>
      <c r="JU23" s="7"/>
      <c r="JV23" s="7"/>
      <c r="JW23" s="7"/>
      <c r="JX23" s="7"/>
      <c r="JY23" s="7"/>
      <c r="JZ23" s="7"/>
      <c r="KA23" s="7"/>
      <c r="KB23" s="7"/>
      <c r="KC23" s="7"/>
      <c r="KD23" s="7"/>
      <c r="KE23" s="7"/>
      <c r="KF23" s="7"/>
      <c r="KG23" s="7"/>
      <c r="KH23" s="7"/>
      <c r="KI23" s="7"/>
      <c r="KJ23" s="7"/>
      <c r="KK23" s="7"/>
      <c r="KL23" s="7"/>
      <c r="KM23" s="7"/>
      <c r="KN23" s="7"/>
      <c r="KO23" s="7"/>
      <c r="KP23" s="7"/>
      <c r="KQ23" s="7"/>
      <c r="KR23" s="7"/>
      <c r="KS23" s="7"/>
      <c r="KT23" s="7"/>
      <c r="KU23" s="7"/>
      <c r="KV23" s="7"/>
      <c r="KW23" s="7"/>
      <c r="KX23" s="7"/>
      <c r="KY23" s="7"/>
      <c r="KZ23" s="7"/>
      <c r="LA23" s="7"/>
      <c r="LB23" s="7"/>
      <c r="LC23" s="7"/>
      <c r="LD23" s="7"/>
      <c r="LE23" s="7"/>
      <c r="LF23" s="7"/>
      <c r="LG23" s="7"/>
      <c r="LH23" s="7"/>
      <c r="LI23" s="7"/>
      <c r="LJ23" s="7"/>
      <c r="LK23" s="7"/>
      <c r="LL23" s="7"/>
      <c r="LM23" s="7"/>
      <c r="LN23" s="7"/>
      <c r="LO23" s="7"/>
      <c r="LP23" s="7"/>
      <c r="LQ23" s="7"/>
      <c r="LR23" s="7"/>
      <c r="LS23" s="7"/>
      <c r="LT23" s="7"/>
      <c r="LU23" s="7"/>
      <c r="LV23" s="7"/>
      <c r="LW23" s="7"/>
      <c r="LX23" s="7"/>
      <c r="LY23" s="7"/>
      <c r="LZ23" s="7"/>
      <c r="MA23" s="7"/>
      <c r="MB23" s="7"/>
      <c r="MC23" s="7"/>
      <c r="MD23" s="7"/>
      <c r="ME23" s="7"/>
      <c r="MF23" s="7"/>
      <c r="MG23" s="7"/>
      <c r="MH23" s="7"/>
      <c r="MI23" s="7"/>
      <c r="MJ23" s="7"/>
      <c r="MK23" s="7"/>
      <c r="ML23" s="7"/>
      <c r="MM23" s="7"/>
      <c r="MN23" s="7"/>
      <c r="MO23" s="7"/>
      <c r="MP23" s="7"/>
      <c r="MQ23" s="7"/>
      <c r="MR23" s="7"/>
      <c r="MS23" s="7"/>
      <c r="MT23" s="7"/>
      <c r="MU23" s="7"/>
      <c r="MV23" s="7"/>
      <c r="MW23" s="7"/>
      <c r="MX23" s="7"/>
      <c r="MY23" s="7"/>
      <c r="MZ23" s="7"/>
      <c r="NA23" s="7"/>
      <c r="NB23" s="7"/>
      <c r="NC23" s="7"/>
      <c r="ND23" s="7"/>
      <c r="NE23" s="7"/>
      <c r="NF23" s="7"/>
      <c r="NG23" s="7"/>
      <c r="NH23" s="7"/>
      <c r="NI23" s="7"/>
      <c r="NJ23" s="7"/>
      <c r="NK23" s="7"/>
      <c r="NL23" s="7"/>
      <c r="NM23" s="7"/>
      <c r="NN23" s="7"/>
      <c r="NO23" s="7"/>
      <c r="NP23" s="7"/>
      <c r="NQ23" s="7"/>
      <c r="NR23" s="7"/>
      <c r="NS23" s="7"/>
      <c r="NT23" s="7"/>
      <c r="NU23" s="7"/>
      <c r="NV23" s="7"/>
      <c r="NW23" s="7"/>
      <c r="NX23" s="7"/>
      <c r="NY23" s="7"/>
      <c r="NZ23" s="7"/>
      <c r="OA23" s="7"/>
      <c r="OB23" s="7"/>
      <c r="OC23" s="7"/>
      <c r="OD23" s="7"/>
      <c r="OE23" s="7"/>
      <c r="OF23" s="7"/>
      <c r="OG23" s="7"/>
      <c r="OH23" s="7"/>
      <c r="OI23" s="7"/>
      <c r="OJ23" s="7"/>
      <c r="OK23" s="7"/>
      <c r="OL23" s="7"/>
      <c r="OM23" s="7"/>
      <c r="ON23" s="7"/>
      <c r="OO23" s="7"/>
      <c r="OP23" s="7"/>
      <c r="OQ23" s="7"/>
      <c r="OR23" s="7"/>
      <c r="OS23" s="7"/>
      <c r="OT23" s="7"/>
      <c r="OU23" s="7"/>
      <c r="OV23" s="7"/>
      <c r="OW23" s="7"/>
      <c r="OX23" s="7"/>
      <c r="OY23" s="7"/>
      <c r="OZ23" s="7"/>
      <c r="PA23" s="7"/>
      <c r="PB23" s="7"/>
      <c r="PC23" s="7"/>
      <c r="PD23" s="7"/>
      <c r="PE23" s="7"/>
      <c r="PF23" s="7"/>
      <c r="PG23" s="7"/>
      <c r="PH23" s="7"/>
      <c r="PI23" s="7"/>
      <c r="PJ23" s="7"/>
      <c r="PK23" s="7"/>
      <c r="PL23" s="7"/>
      <c r="PM23" s="7"/>
      <c r="PN23" s="7"/>
      <c r="PO23" s="7"/>
      <c r="PP23" s="7"/>
      <c r="PQ23" s="7"/>
      <c r="PR23" s="7"/>
      <c r="PS23" s="7"/>
      <c r="PT23" s="7"/>
      <c r="PU23" s="7"/>
      <c r="PV23" s="7"/>
      <c r="PW23" s="7"/>
      <c r="PX23" s="7"/>
      <c r="PY23" s="7"/>
      <c r="PZ23" s="7"/>
      <c r="QA23" s="7"/>
      <c r="QB23" s="7"/>
      <c r="QC23" s="7"/>
      <c r="QD23" s="7"/>
      <c r="QE23" s="7"/>
      <c r="QF23" s="7"/>
      <c r="QG23" s="7"/>
      <c r="QH23" s="7"/>
      <c r="QI23" s="7"/>
      <c r="QJ23" s="7"/>
      <c r="QK23" s="7"/>
      <c r="QL23" s="7"/>
      <c r="QM23" s="7"/>
      <c r="QN23" s="7"/>
      <c r="QO23" s="7"/>
      <c r="QP23" s="7"/>
      <c r="QQ23" s="7"/>
      <c r="QR23" s="7"/>
      <c r="QS23" s="7"/>
      <c r="QT23" s="7"/>
      <c r="QU23" s="7"/>
      <c r="QV23" s="7"/>
      <c r="QW23" s="7"/>
      <c r="QX23" s="7"/>
      <c r="QY23" s="7"/>
      <c r="QZ23" s="7"/>
      <c r="RA23" s="7"/>
      <c r="RB23" s="7"/>
      <c r="RC23" s="7"/>
      <c r="RD23" s="7"/>
      <c r="RE23" s="7"/>
      <c r="RF23" s="7"/>
      <c r="RG23" s="7"/>
      <c r="RH23" s="7"/>
      <c r="RI23" s="7"/>
      <c r="RJ23" s="7"/>
      <c r="RK23" s="7"/>
      <c r="RL23" s="7"/>
      <c r="RM23" s="7"/>
      <c r="RN23" s="7"/>
      <c r="RO23" s="7"/>
      <c r="RP23" s="7"/>
      <c r="RQ23" s="7"/>
      <c r="RR23" s="7"/>
      <c r="RS23" s="7"/>
      <c r="RT23" s="7"/>
      <c r="RU23" s="7"/>
      <c r="RV23" s="7"/>
      <c r="RW23" s="7"/>
      <c r="RX23" s="7"/>
      <c r="RY23" s="7"/>
      <c r="RZ23" s="7"/>
      <c r="SA23" s="7"/>
      <c r="SB23" s="7"/>
      <c r="SC23" s="7"/>
      <c r="SD23" s="7"/>
      <c r="SE23" s="7"/>
      <c r="SF23" s="7"/>
      <c r="SG23" s="7"/>
      <c r="SH23" s="7"/>
      <c r="SI23" s="7"/>
      <c r="SJ23" s="7"/>
      <c r="SK23" s="7"/>
      <c r="SL23" s="7"/>
      <c r="SM23" s="7"/>
      <c r="SN23" s="7"/>
      <c r="SO23" s="7"/>
      <c r="SP23" s="7"/>
      <c r="SQ23" s="7"/>
      <c r="SR23" s="7"/>
      <c r="SS23" s="7"/>
      <c r="ST23" s="7"/>
      <c r="SU23" s="7"/>
      <c r="SV23" s="7"/>
      <c r="SW23" s="7"/>
      <c r="SX23" s="7"/>
      <c r="SY23" s="7"/>
      <c r="SZ23" s="7"/>
      <c r="TA23" s="7"/>
      <c r="TB23" s="7"/>
      <c r="TC23" s="7"/>
      <c r="TD23" s="7"/>
      <c r="TE23" s="7"/>
      <c r="TF23" s="7"/>
      <c r="TG23" s="7"/>
      <c r="TH23" s="7"/>
      <c r="TI23" s="7"/>
      <c r="TJ23" s="7"/>
      <c r="TK23" s="7"/>
      <c r="TL23" s="7"/>
      <c r="TM23" s="7"/>
      <c r="TN23" s="7"/>
      <c r="TO23" s="7"/>
      <c r="TP23" s="7"/>
      <c r="TQ23" s="7"/>
      <c r="TR23" s="7"/>
      <c r="TS23" s="7"/>
      <c r="TT23" s="7"/>
      <c r="TU23" s="7"/>
      <c r="TV23" s="7"/>
      <c r="TW23" s="7"/>
      <c r="TX23" s="7"/>
      <c r="TY23" s="7"/>
      <c r="TZ23" s="7"/>
      <c r="UA23" s="7"/>
      <c r="UB23" s="7"/>
      <c r="UC23" s="7"/>
      <c r="UD23" s="7"/>
      <c r="UE23" s="7"/>
      <c r="UF23" s="7"/>
      <c r="UG23" s="7"/>
      <c r="UH23" s="7"/>
      <c r="UI23" s="7"/>
      <c r="UJ23" s="7"/>
      <c r="UK23" s="7"/>
      <c r="UL23" s="7"/>
      <c r="UM23" s="7"/>
      <c r="UN23" s="7"/>
      <c r="UO23" s="7"/>
      <c r="UP23" s="7"/>
      <c r="UQ23" s="7"/>
      <c r="UR23" s="7"/>
      <c r="US23" s="7"/>
      <c r="UT23" s="7"/>
      <c r="UU23" s="7"/>
      <c r="UV23" s="7"/>
      <c r="UW23" s="7"/>
      <c r="UX23" s="7"/>
      <c r="UY23" s="7"/>
      <c r="UZ23" s="7"/>
      <c r="VA23" s="7"/>
      <c r="VB23" s="7"/>
      <c r="VC23" s="7"/>
      <c r="VD23" s="7"/>
      <c r="VE23" s="7"/>
      <c r="VF23" s="7"/>
      <c r="VG23" s="7"/>
      <c r="VH23" s="7"/>
      <c r="VI23" s="7"/>
      <c r="VJ23" s="7"/>
      <c r="VK23" s="7"/>
      <c r="VL23" s="7"/>
      <c r="VM23" s="7"/>
      <c r="VN23" s="7"/>
      <c r="VO23" s="7"/>
      <c r="VP23" s="7"/>
      <c r="VQ23" s="7"/>
      <c r="VR23" s="7"/>
      <c r="VS23" s="7"/>
      <c r="VT23" s="7"/>
      <c r="VU23" s="7"/>
      <c r="VV23" s="7"/>
      <c r="VW23" s="7"/>
      <c r="VX23" s="7"/>
      <c r="VY23" s="7"/>
      <c r="VZ23" s="7"/>
      <c r="WA23" s="7"/>
      <c r="WB23" s="7"/>
      <c r="WC23" s="7"/>
      <c r="WD23" s="7"/>
      <c r="WE23" s="7"/>
      <c r="WF23" s="7"/>
      <c r="WG23" s="7"/>
      <c r="WH23" s="7"/>
      <c r="WI23" s="7"/>
      <c r="WJ23" s="7"/>
      <c r="WK23" s="7"/>
      <c r="WL23" s="7"/>
      <c r="WM23" s="7"/>
      <c r="WN23" s="7"/>
      <c r="WO23" s="7"/>
      <c r="WP23" s="7"/>
      <c r="WQ23" s="7"/>
      <c r="WR23" s="7"/>
      <c r="WS23" s="7"/>
      <c r="WT23" s="7"/>
      <c r="WU23" s="7"/>
      <c r="WV23" s="7"/>
      <c r="WW23" s="7"/>
      <c r="WX23" s="7"/>
      <c r="WY23" s="7"/>
      <c r="WZ23" s="7"/>
      <c r="XA23" s="7"/>
      <c r="XB23" s="7"/>
      <c r="XC23" s="7"/>
      <c r="XD23" s="7"/>
      <c r="XE23" s="7"/>
      <c r="XF23" s="7"/>
      <c r="XG23" s="7"/>
      <c r="XH23" s="7"/>
      <c r="XI23" s="7"/>
      <c r="XJ23" s="7"/>
      <c r="XK23" s="7"/>
      <c r="XL23" s="7"/>
      <c r="XM23" s="7"/>
      <c r="XN23" s="7"/>
      <c r="XO23" s="7"/>
      <c r="XP23" s="7"/>
      <c r="XQ23" s="7"/>
      <c r="XR23" s="7"/>
      <c r="XS23" s="7"/>
      <c r="XT23" s="7"/>
      <c r="XU23" s="7"/>
      <c r="XV23" s="7"/>
      <c r="XW23" s="7"/>
      <c r="XX23" s="7"/>
      <c r="XY23" s="7"/>
      <c r="XZ23" s="7"/>
      <c r="YA23" s="7"/>
      <c r="YB23" s="7"/>
      <c r="YC23" s="7"/>
      <c r="YD23" s="7"/>
      <c r="YE23" s="7"/>
      <c r="YF23" s="7"/>
      <c r="YG23" s="7"/>
      <c r="YH23" s="7"/>
      <c r="YI23" s="7"/>
      <c r="YJ23" s="7"/>
      <c r="YK23" s="7"/>
      <c r="YL23" s="7"/>
      <c r="YM23" s="7"/>
      <c r="YN23" s="7"/>
      <c r="YO23" s="7"/>
      <c r="YP23" s="7"/>
      <c r="YQ23" s="7"/>
      <c r="YR23" s="7"/>
      <c r="YS23" s="7"/>
      <c r="YT23" s="7"/>
      <c r="YU23" s="7"/>
      <c r="YV23" s="7"/>
      <c r="YW23" s="7"/>
      <c r="YX23" s="7"/>
      <c r="YY23" s="7"/>
      <c r="YZ23" s="7"/>
      <c r="ZA23" s="7"/>
      <c r="ZB23" s="7"/>
      <c r="ZC23" s="7"/>
      <c r="ZD23" s="7"/>
      <c r="ZE23" s="7"/>
      <c r="ZF23" s="7"/>
      <c r="ZG23" s="7"/>
      <c r="ZH23" s="7"/>
      <c r="ZI23" s="7"/>
      <c r="ZJ23" s="7"/>
      <c r="ZK23" s="7"/>
      <c r="ZL23" s="7"/>
      <c r="ZM23" s="7"/>
      <c r="ZN23" s="7"/>
      <c r="ZO23" s="7"/>
      <c r="ZP23" s="7"/>
      <c r="ZQ23" s="7"/>
      <c r="ZR23" s="7"/>
      <c r="ZS23" s="7"/>
      <c r="ZT23" s="7"/>
      <c r="ZU23" s="7"/>
      <c r="ZV23" s="7"/>
      <c r="ZW23" s="7"/>
      <c r="ZX23" s="7"/>
      <c r="ZY23" s="7"/>
      <c r="ZZ23" s="7"/>
      <c r="AAA23" s="7"/>
      <c r="AAB23" s="7"/>
      <c r="AAC23" s="7"/>
      <c r="AAD23" s="7"/>
      <c r="AAE23" s="7"/>
      <c r="AAF23" s="7"/>
      <c r="AAG23" s="7"/>
      <c r="AAH23" s="7"/>
      <c r="AAI23" s="7"/>
      <c r="AAJ23" s="7"/>
      <c r="AAK23" s="7"/>
      <c r="AAL23" s="7"/>
      <c r="AAM23" s="7"/>
      <c r="AAN23" s="7"/>
      <c r="AAO23" s="7"/>
      <c r="AAP23" s="7"/>
      <c r="AAQ23" s="7"/>
      <c r="AAR23" s="7"/>
      <c r="AAS23" s="7"/>
      <c r="AAT23" s="7"/>
      <c r="AAU23" s="7"/>
      <c r="AAV23" s="7"/>
      <c r="AAW23" s="7"/>
      <c r="AAX23" s="7"/>
      <c r="AAY23" s="7"/>
      <c r="AAZ23" s="7"/>
      <c r="ABA23" s="7"/>
      <c r="ABB23" s="7"/>
      <c r="ABC23" s="7"/>
      <c r="ABD23" s="7"/>
      <c r="ABE23" s="7"/>
      <c r="ABF23" s="7"/>
      <c r="ABG23" s="7"/>
      <c r="ABH23" s="7"/>
      <c r="ABI23" s="7"/>
      <c r="ABJ23" s="7"/>
      <c r="ABK23" s="7"/>
      <c r="ABL23" s="7"/>
      <c r="ABM23" s="7"/>
      <c r="ABN23" s="7"/>
      <c r="ABO23" s="7"/>
      <c r="ABP23" s="7"/>
      <c r="ABQ23" s="7"/>
      <c r="ABR23" s="7"/>
      <c r="ABS23" s="7"/>
      <c r="ABT23" s="7"/>
      <c r="ABU23" s="7"/>
      <c r="ABV23" s="7"/>
      <c r="ABW23" s="7"/>
      <c r="ABX23" s="7"/>
      <c r="ABY23" s="7"/>
      <c r="ABZ23" s="7"/>
      <c r="ACA23" s="7"/>
      <c r="ACB23" s="7"/>
      <c r="ACC23" s="7"/>
      <c r="ACD23" s="7"/>
      <c r="ACE23" s="7"/>
      <c r="ACF23" s="7"/>
      <c r="ACG23" s="7"/>
      <c r="ACH23" s="7"/>
      <c r="ACI23" s="7"/>
      <c r="ACJ23" s="7"/>
      <c r="ACK23" s="7"/>
      <c r="ACL23" s="7"/>
      <c r="ACM23" s="7"/>
      <c r="ACN23" s="7"/>
      <c r="ACO23" s="7"/>
      <c r="ACP23" s="7"/>
      <c r="ACQ23" s="7"/>
      <c r="ACR23" s="7"/>
      <c r="ACS23" s="7"/>
      <c r="ACT23" s="7"/>
      <c r="ACU23" s="7"/>
      <c r="ACV23" s="7"/>
      <c r="ACW23" s="7"/>
      <c r="ACX23" s="7"/>
      <c r="ACY23" s="7"/>
      <c r="ACZ23" s="7"/>
      <c r="ADA23" s="7"/>
      <c r="ADB23" s="7"/>
      <c r="ADC23" s="7"/>
      <c r="ADD23" s="7"/>
      <c r="ADE23" s="7"/>
      <c r="ADF23" s="7"/>
      <c r="ADG23" s="7"/>
      <c r="ADH23" s="7"/>
      <c r="ADI23" s="7"/>
      <c r="ADJ23" s="7"/>
      <c r="ADK23" s="7"/>
      <c r="ADL23" s="7"/>
      <c r="ADM23" s="7"/>
      <c r="ADN23" s="7"/>
      <c r="ADO23" s="7"/>
      <c r="ADP23" s="7"/>
      <c r="ADQ23" s="7"/>
      <c r="ADR23" s="7"/>
      <c r="ADS23" s="7"/>
      <c r="ADT23" s="7"/>
      <c r="ADU23" s="7"/>
      <c r="ADV23" s="7"/>
      <c r="ADW23" s="7"/>
      <c r="ADX23" s="7"/>
      <c r="ADY23" s="7"/>
      <c r="ADZ23" s="7"/>
      <c r="AEA23" s="7"/>
      <c r="AEB23" s="7"/>
      <c r="AEC23" s="7"/>
      <c r="AED23" s="7"/>
      <c r="AEE23" s="7"/>
      <c r="AEF23" s="7"/>
      <c r="AEG23" s="7"/>
      <c r="AEH23" s="7"/>
      <c r="AEI23" s="7"/>
      <c r="AEJ23" s="7"/>
      <c r="AEK23" s="7"/>
      <c r="AEL23" s="7"/>
      <c r="AEM23" s="7"/>
      <c r="AEN23" s="7"/>
      <c r="AEO23" s="7"/>
      <c r="AEP23" s="7"/>
      <c r="AEQ23" s="7"/>
      <c r="AER23" s="7"/>
      <c r="AES23" s="7"/>
      <c r="AET23" s="7"/>
      <c r="AEU23" s="7"/>
      <c r="AEV23" s="7"/>
      <c r="AEW23" s="7"/>
      <c r="AEX23" s="7"/>
      <c r="AEY23" s="7"/>
      <c r="AEZ23" s="7"/>
      <c r="AFA23" s="7"/>
      <c r="AFB23" s="7"/>
      <c r="AFC23" s="7"/>
      <c r="AFD23" s="7"/>
      <c r="AFE23" s="7"/>
      <c r="AFF23" s="7"/>
      <c r="AFG23" s="7"/>
      <c r="AFH23" s="7"/>
      <c r="AFI23" s="7"/>
      <c r="AFJ23" s="7"/>
      <c r="AFK23" s="7"/>
      <c r="AFL23" s="7"/>
      <c r="AFM23" s="7"/>
      <c r="AFN23" s="7"/>
      <c r="AFO23" s="7"/>
      <c r="AFP23" s="7"/>
      <c r="AFQ23" s="7"/>
      <c r="AFR23" s="7"/>
      <c r="AFS23" s="7"/>
      <c r="AFT23" s="7"/>
      <c r="AFU23" s="7"/>
      <c r="AFV23" s="7"/>
      <c r="AFW23" s="7"/>
      <c r="AFX23" s="7"/>
      <c r="AFY23" s="7"/>
      <c r="AFZ23" s="7"/>
      <c r="AGA23" s="7"/>
      <c r="AGB23" s="7"/>
      <c r="AGC23" s="7"/>
      <c r="AGD23" s="7"/>
      <c r="AGE23" s="7"/>
      <c r="AGF23" s="7"/>
      <c r="AGG23" s="7"/>
      <c r="AGH23" s="7"/>
      <c r="AGI23" s="7"/>
      <c r="AGJ23" s="7"/>
      <c r="AGK23" s="7"/>
      <c r="AGL23" s="7"/>
      <c r="AGM23" s="7"/>
      <c r="AGN23" s="7"/>
      <c r="AGO23" s="7"/>
      <c r="AGP23" s="7"/>
      <c r="AGQ23" s="7"/>
      <c r="AGR23" s="7"/>
      <c r="AGS23" s="7"/>
      <c r="AGT23" s="7"/>
      <c r="AGU23" s="7"/>
      <c r="AGV23" s="7"/>
      <c r="AGW23" s="7"/>
      <c r="AGX23" s="7"/>
      <c r="AGY23" s="7"/>
      <c r="AGZ23" s="7"/>
      <c r="AHA23" s="7"/>
      <c r="AHB23" s="7"/>
      <c r="AHC23" s="7"/>
      <c r="AHD23" s="7"/>
      <c r="AHE23" s="7"/>
      <c r="AHF23" s="7"/>
      <c r="AHG23" s="7"/>
      <c r="AHH23" s="7"/>
      <c r="AHI23" s="7"/>
      <c r="AHJ23" s="7"/>
      <c r="AHK23" s="7"/>
      <c r="AHL23" s="7"/>
      <c r="AHM23" s="7"/>
      <c r="AHN23" s="7"/>
      <c r="AHO23" s="7"/>
      <c r="AHP23" s="7"/>
      <c r="AHQ23" s="7"/>
      <c r="AHR23" s="7"/>
      <c r="AHS23" s="7"/>
      <c r="AHT23" s="7"/>
      <c r="AHU23" s="7"/>
      <c r="AHV23" s="7"/>
      <c r="AHW23" s="7"/>
      <c r="AHX23" s="7"/>
      <c r="AHY23" s="7"/>
      <c r="AHZ23" s="7"/>
      <c r="AIA23" s="7"/>
      <c r="AIB23" s="7"/>
      <c r="AIC23" s="7"/>
      <c r="AID23" s="7"/>
      <c r="AIE23" s="7"/>
      <c r="AIF23" s="7"/>
      <c r="AIG23" s="7"/>
      <c r="AIH23" s="7"/>
      <c r="AII23" s="7"/>
      <c r="AIJ23" s="7"/>
      <c r="AIK23" s="7"/>
      <c r="AIL23" s="7"/>
      <c r="AIM23" s="7"/>
      <c r="AIN23" s="7"/>
      <c r="AIO23" s="7"/>
      <c r="AIP23" s="7"/>
      <c r="AIQ23" s="7"/>
      <c r="AIR23" s="7"/>
      <c r="AIS23" s="7"/>
      <c r="AIT23" s="7"/>
      <c r="AIU23" s="7"/>
      <c r="AIV23" s="7"/>
      <c r="AIW23" s="7"/>
      <c r="AIX23" s="7"/>
      <c r="AIY23" s="7"/>
      <c r="AIZ23" s="7"/>
      <c r="AJA23" s="7"/>
      <c r="AJB23" s="7"/>
      <c r="AJC23" s="7"/>
      <c r="AJD23" s="7"/>
      <c r="AJE23" s="7"/>
      <c r="AJF23" s="7"/>
      <c r="AJG23" s="7"/>
      <c r="AJH23" s="7"/>
      <c r="AJI23" s="7"/>
      <c r="AJJ23" s="7"/>
      <c r="AJK23" s="7"/>
      <c r="AJL23" s="7"/>
      <c r="AJM23" s="7"/>
      <c r="AJN23" s="7"/>
      <c r="AJO23" s="7"/>
      <c r="AJP23" s="7"/>
      <c r="AJQ23" s="7"/>
      <c r="AJR23" s="7"/>
      <c r="AJS23" s="7"/>
      <c r="AJT23" s="7"/>
      <c r="AJU23" s="7"/>
      <c r="AJV23" s="7"/>
      <c r="AJW23" s="7"/>
      <c r="AJX23" s="7"/>
      <c r="AJY23" s="7"/>
      <c r="AJZ23" s="7"/>
      <c r="AKA23" s="7"/>
      <c r="AKB23" s="7"/>
      <c r="AKC23" s="7"/>
      <c r="AKD23" s="7"/>
      <c r="AKE23" s="7"/>
      <c r="AKF23" s="7"/>
      <c r="AKG23" s="7"/>
      <c r="AKH23" s="7"/>
      <c r="AKI23" s="7"/>
      <c r="AKJ23" s="7"/>
      <c r="AKK23" s="7"/>
      <c r="AKL23" s="7"/>
      <c r="AKM23" s="7"/>
      <c r="AKN23" s="7"/>
      <c r="AKO23" s="7"/>
      <c r="AKP23" s="7"/>
      <c r="AKQ23" s="7"/>
      <c r="AKR23" s="7"/>
      <c r="AKS23" s="7"/>
      <c r="AKT23" s="7"/>
      <c r="AKU23" s="7"/>
      <c r="AKV23" s="7"/>
      <c r="AKW23" s="7"/>
      <c r="AKX23" s="7"/>
      <c r="AKY23" s="7"/>
      <c r="AKZ23" s="7"/>
      <c r="ALA23" s="7"/>
      <c r="ALB23" s="7"/>
      <c r="ALC23" s="7"/>
      <c r="ALD23" s="7"/>
      <c r="ALE23" s="7"/>
      <c r="ALF23" s="7"/>
      <c r="ALG23" s="7"/>
      <c r="ALH23" s="7"/>
      <c r="ALI23" s="7"/>
      <c r="ALJ23" s="7"/>
      <c r="ALK23" s="7"/>
      <c r="ALL23" s="7"/>
      <c r="ALM23" s="7"/>
      <c r="ALN23" s="7"/>
      <c r="ALO23" s="7"/>
      <c r="ALP23" s="7"/>
      <c r="ALQ23" s="7"/>
      <c r="ALR23" s="7"/>
      <c r="ALS23" s="7"/>
      <c r="ALT23" s="7"/>
      <c r="ALU23" s="7"/>
      <c r="ALV23" s="7"/>
      <c r="ALW23" s="7"/>
      <c r="ALX23" s="7"/>
      <c r="ALY23" s="7"/>
      <c r="ALZ23" s="7"/>
      <c r="AMA23" s="7"/>
      <c r="AMB23" s="7"/>
      <c r="AMC23" s="7"/>
      <c r="AMD23" s="7"/>
      <c r="AME23" s="7"/>
      <c r="AMF23" s="7"/>
      <c r="AMG23" s="7"/>
      <c r="AMH23" s="7"/>
      <c r="AMI23" s="7"/>
      <c r="AMJ23" s="7"/>
      <c r="AMK23" s="7"/>
      <c r="AML23" s="7"/>
      <c r="AMM23" s="7"/>
      <c r="AMN23" s="7"/>
      <c r="AMO23" s="7"/>
      <c r="AMP23" s="7"/>
      <c r="AMQ23" s="7"/>
      <c r="AMR23" s="7"/>
      <c r="AMS23" s="7"/>
      <c r="AMT23" s="7"/>
      <c r="AMU23" s="7"/>
      <c r="AMV23" s="7"/>
      <c r="AMW23" s="7"/>
      <c r="AMX23" s="7"/>
      <c r="AMY23" s="7"/>
      <c r="AMZ23" s="7"/>
      <c r="ANA23" s="7"/>
      <c r="ANB23" s="7"/>
      <c r="ANC23" s="7"/>
      <c r="AND23" s="7"/>
      <c r="ANE23" s="7"/>
      <c r="ANF23" s="7"/>
      <c r="ANG23" s="7"/>
      <c r="ANH23" s="7"/>
      <c r="ANI23" s="7"/>
      <c r="ANJ23" s="7"/>
      <c r="ANK23" s="7"/>
      <c r="ANL23" s="7"/>
      <c r="ANM23" s="7"/>
      <c r="ANN23" s="7"/>
      <c r="ANO23" s="7"/>
      <c r="ANP23" s="7"/>
      <c r="ANQ23" s="7"/>
      <c r="ANR23" s="7"/>
      <c r="ANS23" s="7"/>
      <c r="ANT23" s="7"/>
      <c r="ANU23" s="7"/>
      <c r="ANV23" s="7"/>
      <c r="ANW23" s="7"/>
      <c r="ANX23" s="7"/>
      <c r="ANY23" s="7"/>
      <c r="ANZ23" s="7"/>
      <c r="AOA23" s="7"/>
      <c r="AOB23" s="7"/>
      <c r="AOC23" s="7"/>
      <c r="AOD23" s="7"/>
      <c r="AOE23" s="7"/>
      <c r="AOF23" s="7"/>
      <c r="AOG23" s="7"/>
      <c r="AOH23" s="7"/>
      <c r="AOI23" s="7"/>
      <c r="AOJ23" s="7"/>
      <c r="AOK23" s="7"/>
      <c r="AOL23" s="7"/>
      <c r="AOM23" s="7"/>
      <c r="AON23" s="7"/>
      <c r="AOO23" s="7"/>
      <c r="AOP23" s="7"/>
      <c r="AOQ23" s="7"/>
      <c r="AOR23" s="7"/>
      <c r="AOS23" s="7"/>
      <c r="AOT23" s="7"/>
      <c r="AOU23" s="7"/>
      <c r="AOV23" s="7"/>
      <c r="AOW23" s="7"/>
      <c r="AOX23" s="7"/>
      <c r="AOY23" s="7"/>
      <c r="AOZ23" s="7"/>
      <c r="APA23" s="7"/>
      <c r="APB23" s="7"/>
      <c r="APC23" s="7"/>
      <c r="APD23" s="7"/>
      <c r="APE23" s="7"/>
      <c r="APF23" s="7"/>
      <c r="APG23" s="7"/>
      <c r="APH23" s="7"/>
      <c r="API23" s="7"/>
      <c r="APJ23" s="7"/>
      <c r="APK23" s="7"/>
      <c r="APL23" s="7"/>
      <c r="APM23" s="7"/>
      <c r="APN23" s="7"/>
      <c r="APO23" s="7"/>
      <c r="APP23" s="7"/>
      <c r="APQ23" s="7"/>
      <c r="APR23" s="7"/>
      <c r="APS23" s="7"/>
      <c r="APT23" s="7"/>
      <c r="APU23" s="7"/>
      <c r="APV23" s="7"/>
      <c r="APW23" s="7"/>
      <c r="APX23" s="7"/>
      <c r="APY23" s="7"/>
      <c r="APZ23" s="7"/>
      <c r="AQA23" s="7"/>
      <c r="AQB23" s="7"/>
      <c r="AQC23" s="7"/>
      <c r="AQD23" s="7"/>
      <c r="AQE23" s="7"/>
      <c r="AQF23" s="7"/>
      <c r="AQG23" s="7"/>
      <c r="AQH23" s="7"/>
      <c r="AQI23" s="7"/>
      <c r="AQJ23" s="7"/>
      <c r="AQK23" s="7"/>
      <c r="AQL23" s="7"/>
      <c r="AQM23" s="7"/>
      <c r="AQN23" s="7"/>
      <c r="AQO23" s="7"/>
      <c r="AQP23" s="7"/>
      <c r="AQQ23" s="7"/>
      <c r="AQR23" s="7"/>
      <c r="AQS23" s="7"/>
      <c r="AQT23" s="7"/>
      <c r="AQU23" s="7"/>
      <c r="AQV23" s="7"/>
      <c r="AQW23" s="7"/>
      <c r="AQX23" s="7"/>
      <c r="AQY23" s="7"/>
      <c r="AQZ23" s="7"/>
      <c r="ARA23" s="7"/>
      <c r="ARB23" s="7"/>
      <c r="ARC23" s="7"/>
      <c r="ARD23" s="7"/>
      <c r="ARE23" s="7"/>
      <c r="ARF23" s="7"/>
      <c r="ARG23" s="7"/>
      <c r="ARH23" s="7"/>
      <c r="ARI23" s="7"/>
      <c r="ARJ23" s="7"/>
      <c r="ARK23" s="7"/>
      <c r="ARL23" s="7"/>
      <c r="ARM23" s="7"/>
      <c r="ARN23" s="7"/>
      <c r="ARO23" s="7"/>
      <c r="ARP23" s="7"/>
      <c r="ARQ23" s="7"/>
      <c r="ARR23" s="7"/>
      <c r="ARS23" s="7"/>
      <c r="ART23" s="7"/>
      <c r="ARU23" s="7"/>
      <c r="ARV23" s="7"/>
      <c r="ARW23" s="7"/>
      <c r="ARX23" s="7"/>
      <c r="ARY23" s="7"/>
      <c r="ARZ23" s="7"/>
      <c r="ASA23" s="7"/>
      <c r="ASB23" s="7"/>
      <c r="ASC23" s="7"/>
      <c r="ASD23" s="7"/>
      <c r="ASE23" s="7"/>
      <c r="ASF23" s="7"/>
      <c r="ASG23" s="7"/>
      <c r="ASH23" s="7"/>
      <c r="ASI23" s="7"/>
      <c r="ASJ23" s="7"/>
      <c r="ASK23" s="7"/>
      <c r="ASL23" s="7"/>
      <c r="ASM23" s="7"/>
      <c r="ASN23" s="7"/>
      <c r="ASO23" s="7"/>
      <c r="ASP23" s="7"/>
      <c r="ASQ23" s="7"/>
      <c r="ASR23" s="7"/>
      <c r="ASS23" s="7"/>
      <c r="AST23" s="7"/>
      <c r="ASU23" s="7"/>
      <c r="ASV23" s="7"/>
      <c r="ASW23" s="7"/>
      <c r="ASX23" s="7"/>
      <c r="ASY23" s="7"/>
      <c r="ASZ23" s="7"/>
      <c r="ATA23" s="7"/>
      <c r="ATB23" s="7"/>
      <c r="ATC23" s="7"/>
      <c r="ATD23" s="7"/>
      <c r="ATE23" s="7"/>
      <c r="ATF23" s="7"/>
      <c r="ATG23" s="7"/>
      <c r="ATH23" s="7"/>
      <c r="ATI23" s="7"/>
      <c r="ATJ23" s="7"/>
      <c r="ATK23" s="7"/>
      <c r="ATL23" s="7"/>
      <c r="ATM23" s="7"/>
      <c r="ATN23" s="7"/>
      <c r="ATO23" s="7"/>
      <c r="ATP23" s="7"/>
      <c r="ATQ23" s="7"/>
      <c r="ATR23" s="7"/>
      <c r="ATS23" s="7"/>
      <c r="ATT23" s="7"/>
      <c r="ATU23" s="7"/>
      <c r="ATV23" s="7"/>
      <c r="ATW23" s="7"/>
      <c r="ATX23" s="7"/>
      <c r="ATY23" s="7"/>
      <c r="ATZ23" s="7"/>
      <c r="AUA23" s="7"/>
      <c r="AUB23" s="7"/>
      <c r="AUC23" s="7"/>
      <c r="AUD23" s="7"/>
      <c r="AUE23" s="7"/>
      <c r="AUF23" s="7"/>
      <c r="AUG23" s="7"/>
      <c r="AUH23" s="7"/>
      <c r="AUI23" s="7"/>
      <c r="AUJ23" s="7"/>
      <c r="AUK23" s="7"/>
      <c r="AUL23" s="7"/>
      <c r="AUM23" s="7"/>
      <c r="AUN23" s="7"/>
      <c r="AUO23" s="7"/>
      <c r="AUP23" s="7"/>
      <c r="AUQ23" s="7"/>
      <c r="AUR23" s="7"/>
      <c r="AUS23" s="7"/>
      <c r="AUT23" s="7"/>
      <c r="AUU23" s="7"/>
      <c r="AUV23" s="7"/>
      <c r="AUW23" s="7"/>
      <c r="AUX23" s="7"/>
      <c r="AUY23" s="7"/>
      <c r="AUZ23" s="7"/>
      <c r="AVA23" s="7"/>
      <c r="AVB23" s="7"/>
      <c r="AVC23" s="7"/>
      <c r="AVD23" s="7"/>
      <c r="AVE23" s="7"/>
      <c r="AVF23" s="7"/>
      <c r="AVG23" s="7"/>
      <c r="AVH23" s="7"/>
      <c r="AVI23" s="7"/>
      <c r="AVJ23" s="7"/>
      <c r="AVK23" s="7"/>
      <c r="AVL23" s="7"/>
      <c r="AVM23" s="7"/>
      <c r="AVN23" s="7"/>
      <c r="AVO23" s="7"/>
      <c r="AVP23" s="7"/>
      <c r="AVQ23" s="7"/>
      <c r="AVR23" s="7"/>
      <c r="AVS23" s="7"/>
      <c r="AVT23" s="7"/>
      <c r="AVU23" s="7"/>
      <c r="AVV23" s="7"/>
      <c r="AVW23" s="7"/>
      <c r="AVX23" s="7"/>
      <c r="AVY23" s="7"/>
      <c r="AVZ23" s="7"/>
      <c r="AWA23" s="7"/>
      <c r="AWB23" s="7"/>
      <c r="AWC23" s="7"/>
      <c r="AWD23" s="7"/>
      <c r="AWE23" s="7"/>
      <c r="AWF23" s="7"/>
      <c r="AWG23" s="7"/>
      <c r="AWH23" s="7"/>
      <c r="AWI23" s="7"/>
      <c r="AWJ23" s="7"/>
      <c r="AWK23" s="7"/>
      <c r="AWL23" s="7"/>
      <c r="AWM23" s="7"/>
      <c r="AWN23" s="7"/>
      <c r="AWO23" s="7"/>
      <c r="AWP23" s="7"/>
      <c r="AWQ23" s="7"/>
      <c r="AWR23" s="7"/>
      <c r="AWS23" s="7"/>
      <c r="AWT23" s="7"/>
      <c r="AWU23" s="7"/>
      <c r="AWV23" s="7"/>
      <c r="AWW23" s="7"/>
      <c r="AWX23" s="7"/>
      <c r="AWY23" s="7"/>
      <c r="AWZ23" s="7"/>
      <c r="AXA23" s="7"/>
      <c r="AXB23" s="7"/>
      <c r="AXC23" s="7"/>
      <c r="AXD23" s="7"/>
      <c r="AXE23" s="7"/>
      <c r="AXF23" s="7"/>
      <c r="AXG23" s="7"/>
      <c r="AXH23" s="7"/>
      <c r="AXI23" s="7"/>
      <c r="AXJ23" s="7"/>
      <c r="AXK23" s="7"/>
      <c r="AXL23" s="7"/>
      <c r="AXM23" s="7"/>
      <c r="AXN23" s="7"/>
      <c r="AXO23" s="7"/>
      <c r="AXP23" s="7"/>
      <c r="AXQ23" s="7"/>
      <c r="AXR23" s="7"/>
      <c r="AXS23" s="7"/>
      <c r="AXT23" s="7"/>
      <c r="AXU23" s="7"/>
      <c r="AXV23" s="7"/>
      <c r="AXW23" s="7"/>
      <c r="AXX23" s="7"/>
      <c r="AXY23" s="7"/>
      <c r="AXZ23" s="7"/>
      <c r="AYA23" s="7"/>
      <c r="AYB23" s="7"/>
      <c r="AYC23" s="7"/>
      <c r="AYD23" s="7"/>
      <c r="AYE23" s="7"/>
      <c r="AYF23" s="7"/>
      <c r="AYG23" s="7"/>
      <c r="AYH23" s="7"/>
      <c r="AYI23" s="7"/>
      <c r="AYJ23" s="7"/>
      <c r="AYK23" s="7"/>
      <c r="AYL23" s="7"/>
      <c r="AYM23" s="7"/>
      <c r="AYN23" s="7"/>
      <c r="AYO23" s="7"/>
      <c r="AYP23" s="7"/>
      <c r="AYQ23" s="7"/>
      <c r="AYR23" s="7"/>
      <c r="AYS23" s="7"/>
      <c r="AYT23" s="7"/>
      <c r="AYU23" s="7"/>
      <c r="AYV23" s="7"/>
      <c r="AYW23" s="7"/>
      <c r="AYX23" s="7"/>
      <c r="AYY23" s="7"/>
      <c r="AYZ23" s="7"/>
      <c r="AZA23" s="7"/>
      <c r="AZB23" s="7"/>
      <c r="AZC23" s="7"/>
      <c r="AZD23" s="7"/>
      <c r="AZE23" s="7"/>
      <c r="AZF23" s="7"/>
      <c r="AZG23" s="7"/>
      <c r="AZH23" s="7"/>
      <c r="AZI23" s="7"/>
      <c r="AZJ23" s="7"/>
      <c r="AZK23" s="7"/>
      <c r="AZL23" s="7"/>
      <c r="AZM23" s="7"/>
      <c r="AZN23" s="7"/>
      <c r="AZO23" s="7"/>
      <c r="AZP23" s="7"/>
      <c r="AZQ23" s="7"/>
      <c r="AZR23" s="7"/>
      <c r="AZS23" s="7"/>
      <c r="AZT23" s="7"/>
      <c r="AZU23" s="7"/>
      <c r="AZV23" s="7"/>
      <c r="AZW23" s="7"/>
      <c r="AZX23" s="7"/>
      <c r="AZY23" s="7"/>
      <c r="AZZ23" s="7"/>
      <c r="BAA23" s="7"/>
      <c r="BAB23" s="7"/>
      <c r="BAC23" s="7"/>
      <c r="BAD23" s="7"/>
      <c r="BAE23" s="7"/>
      <c r="BAF23" s="7"/>
      <c r="BAG23" s="7"/>
      <c r="BAH23" s="7"/>
      <c r="BAI23" s="7"/>
      <c r="BAJ23" s="7"/>
      <c r="BAK23" s="7"/>
      <c r="BAL23" s="7"/>
      <c r="BAM23" s="7"/>
      <c r="BAN23" s="7"/>
      <c r="BAO23" s="7"/>
      <c r="BAP23" s="7"/>
      <c r="BAQ23" s="7"/>
      <c r="BAR23" s="7"/>
      <c r="BAS23" s="7"/>
      <c r="BAT23" s="7"/>
      <c r="BAU23" s="7"/>
      <c r="BAV23" s="7"/>
      <c r="BAW23" s="7"/>
      <c r="BAX23" s="7"/>
      <c r="BAY23" s="7"/>
      <c r="BAZ23" s="7"/>
      <c r="BBA23" s="7"/>
      <c r="BBB23" s="7"/>
      <c r="BBC23" s="7"/>
      <c r="BBD23" s="7"/>
      <c r="BBE23" s="7"/>
      <c r="BBF23" s="7"/>
      <c r="BBG23" s="7"/>
      <c r="BBH23" s="7"/>
      <c r="BBI23" s="7"/>
      <c r="BBJ23" s="7"/>
      <c r="BBK23" s="7"/>
      <c r="BBL23" s="7"/>
      <c r="BBM23" s="7"/>
      <c r="BBN23" s="7"/>
      <c r="BBO23" s="7"/>
      <c r="BBP23" s="7"/>
      <c r="BBQ23" s="7"/>
      <c r="BBR23" s="7"/>
      <c r="BBS23" s="7"/>
      <c r="BBT23" s="7"/>
      <c r="BBU23" s="7"/>
      <c r="BBV23" s="7"/>
      <c r="BBW23" s="7"/>
      <c r="BBX23" s="7"/>
      <c r="BBY23" s="7"/>
      <c r="BBZ23" s="7"/>
      <c r="BCA23" s="7"/>
      <c r="BCB23" s="7"/>
      <c r="BCC23" s="7"/>
      <c r="BCD23" s="7"/>
      <c r="BCE23" s="7"/>
      <c r="BCF23" s="7"/>
      <c r="BCG23" s="7"/>
      <c r="BCH23" s="7"/>
      <c r="BCI23" s="7"/>
      <c r="BCJ23" s="7"/>
      <c r="BCK23" s="7"/>
      <c r="BCL23" s="7"/>
      <c r="BCM23" s="7"/>
      <c r="BCN23" s="7"/>
      <c r="BCO23" s="7"/>
      <c r="BCP23" s="7"/>
      <c r="BCQ23" s="7"/>
      <c r="BCR23" s="7"/>
      <c r="BCS23" s="7"/>
      <c r="BCT23" s="7"/>
      <c r="BCU23" s="7"/>
      <c r="BCV23" s="7"/>
      <c r="BCW23" s="7"/>
      <c r="BCX23" s="7"/>
      <c r="BCY23" s="7"/>
      <c r="BCZ23" s="7"/>
      <c r="BDA23" s="7"/>
      <c r="BDB23" s="7"/>
      <c r="BDC23" s="7"/>
      <c r="BDD23" s="7"/>
      <c r="BDE23" s="7"/>
      <c r="BDF23" s="7"/>
      <c r="BDG23" s="7"/>
      <c r="BDH23" s="7"/>
      <c r="BDI23" s="7"/>
      <c r="BDJ23" s="7"/>
      <c r="BDK23" s="7"/>
      <c r="BDL23" s="7"/>
      <c r="BDM23" s="7"/>
      <c r="BDN23" s="7"/>
      <c r="BDO23" s="7"/>
      <c r="BDP23" s="7"/>
      <c r="BDQ23" s="7"/>
      <c r="BDR23" s="7"/>
      <c r="BDS23" s="7"/>
      <c r="BDT23" s="7"/>
      <c r="BDU23" s="7"/>
      <c r="BDV23" s="7"/>
      <c r="BDW23" s="7"/>
      <c r="BDX23" s="7"/>
      <c r="BDY23" s="7"/>
      <c r="BDZ23" s="7"/>
      <c r="BEA23" s="7"/>
      <c r="BEB23" s="7"/>
      <c r="BEC23" s="7"/>
      <c r="BED23" s="7"/>
      <c r="BEE23" s="7"/>
      <c r="BEF23" s="7"/>
      <c r="BEG23" s="7"/>
      <c r="BEH23" s="7"/>
      <c r="BEI23" s="7"/>
      <c r="BEJ23" s="7"/>
      <c r="BEK23" s="7"/>
      <c r="BEL23" s="7"/>
      <c r="BEM23" s="7"/>
      <c r="BEN23" s="7"/>
      <c r="BEO23" s="7"/>
      <c r="BEP23" s="7"/>
      <c r="BEQ23" s="7"/>
      <c r="BER23" s="7"/>
      <c r="BES23" s="7"/>
      <c r="BET23" s="7"/>
      <c r="BEU23" s="7"/>
      <c r="BEV23" s="7"/>
      <c r="BEW23" s="7"/>
      <c r="BEX23" s="7"/>
      <c r="BEY23" s="7"/>
      <c r="BEZ23" s="7"/>
      <c r="BFA23" s="7"/>
      <c r="BFB23" s="7"/>
      <c r="BFC23" s="7"/>
      <c r="BFD23" s="7"/>
      <c r="BFE23" s="7"/>
      <c r="BFF23" s="7"/>
      <c r="BFG23" s="7"/>
      <c r="BFH23" s="7"/>
      <c r="BFI23" s="7"/>
      <c r="BFJ23" s="7"/>
      <c r="BFK23" s="7"/>
      <c r="BFL23" s="7"/>
      <c r="BFM23" s="7"/>
      <c r="BFN23" s="7"/>
      <c r="BFO23" s="7"/>
      <c r="BFP23" s="7"/>
      <c r="BFQ23" s="7"/>
      <c r="BFR23" s="7"/>
      <c r="BFS23" s="7"/>
      <c r="BFT23" s="7"/>
      <c r="BFU23" s="7"/>
      <c r="BFV23" s="7"/>
      <c r="BFW23" s="7"/>
      <c r="BFX23" s="7"/>
      <c r="BFY23" s="7"/>
      <c r="BFZ23" s="7"/>
      <c r="BGA23" s="7"/>
      <c r="BGB23" s="7"/>
      <c r="BGC23" s="7"/>
      <c r="BGD23" s="7"/>
      <c r="BGE23" s="7"/>
      <c r="BGF23" s="7"/>
      <c r="BGG23" s="7"/>
      <c r="BGH23" s="7"/>
      <c r="BGI23" s="7"/>
      <c r="BGJ23" s="7"/>
      <c r="BGK23" s="7"/>
      <c r="BGL23" s="7"/>
      <c r="BGM23" s="7"/>
      <c r="BGN23" s="7"/>
      <c r="BGO23" s="7"/>
      <c r="BGP23" s="7"/>
      <c r="BGQ23" s="7"/>
      <c r="BGR23" s="7"/>
      <c r="BGS23" s="7"/>
      <c r="BGT23" s="7"/>
      <c r="BGU23" s="7"/>
      <c r="BGV23" s="7"/>
      <c r="BGW23" s="7"/>
      <c r="BGX23" s="7"/>
      <c r="BGY23" s="7"/>
      <c r="BGZ23" s="7"/>
      <c r="BHA23" s="7"/>
      <c r="BHB23" s="7"/>
      <c r="BHC23" s="7"/>
      <c r="BHD23" s="7"/>
      <c r="BHE23" s="7"/>
      <c r="BHF23" s="7"/>
      <c r="BHG23" s="7"/>
      <c r="BHH23" s="7"/>
      <c r="BHI23" s="7"/>
      <c r="BHJ23" s="7"/>
      <c r="BHK23" s="7"/>
      <c r="BHL23" s="7"/>
      <c r="BHM23" s="7"/>
      <c r="BHN23" s="7"/>
      <c r="BHO23" s="7"/>
      <c r="BHP23" s="7"/>
      <c r="BHQ23" s="7"/>
      <c r="BHR23" s="7"/>
      <c r="BHS23" s="7"/>
      <c r="BHT23" s="7"/>
      <c r="BHU23" s="7"/>
      <c r="BHV23" s="7"/>
      <c r="BHW23" s="7"/>
      <c r="BHX23" s="7"/>
      <c r="BHY23" s="7"/>
      <c r="BHZ23" s="7"/>
      <c r="BIA23" s="7"/>
      <c r="BIB23" s="7"/>
      <c r="BIC23" s="7"/>
      <c r="BID23" s="7"/>
      <c r="BIE23" s="7"/>
      <c r="BIF23" s="7"/>
      <c r="BIG23" s="7"/>
      <c r="BIH23" s="7"/>
      <c r="BII23" s="7"/>
      <c r="BIJ23" s="7"/>
      <c r="BIK23" s="7"/>
      <c r="BIL23" s="7"/>
      <c r="BIM23" s="7"/>
      <c r="BIN23" s="7"/>
      <c r="BIO23" s="7"/>
      <c r="BIP23" s="7"/>
      <c r="BIQ23" s="7"/>
      <c r="BIR23" s="7"/>
      <c r="BIS23" s="7"/>
      <c r="BIT23" s="7"/>
      <c r="BIU23" s="7"/>
      <c r="BIV23" s="7"/>
      <c r="BIW23" s="7"/>
      <c r="BIX23" s="7"/>
      <c r="BIY23" s="7"/>
      <c r="BIZ23" s="7"/>
      <c r="BJA23" s="7"/>
      <c r="BJB23" s="7"/>
      <c r="BJC23" s="7"/>
      <c r="BJD23" s="7"/>
      <c r="BJE23" s="7"/>
      <c r="BJF23" s="7"/>
      <c r="BJG23" s="7"/>
      <c r="BJH23" s="7"/>
      <c r="BJI23" s="7"/>
      <c r="BJJ23" s="7"/>
      <c r="BJK23" s="7"/>
      <c r="BJL23" s="7"/>
      <c r="BJM23" s="7"/>
      <c r="BJN23" s="7"/>
      <c r="BJO23" s="7"/>
      <c r="BJP23" s="7"/>
      <c r="BJQ23" s="7"/>
      <c r="BJR23" s="7"/>
      <c r="BJS23" s="7"/>
      <c r="BJT23" s="7"/>
      <c r="BJU23" s="7"/>
      <c r="BJV23" s="7"/>
      <c r="BJW23" s="7"/>
      <c r="BJX23" s="7"/>
      <c r="BJY23" s="7"/>
      <c r="BJZ23" s="7"/>
      <c r="BKA23" s="7"/>
      <c r="BKB23" s="7"/>
      <c r="BKC23" s="7"/>
      <c r="BKD23" s="7"/>
      <c r="BKE23" s="7"/>
      <c r="BKF23" s="7"/>
      <c r="BKG23" s="7"/>
      <c r="BKH23" s="7"/>
      <c r="BKI23" s="7"/>
      <c r="BKJ23" s="7"/>
      <c r="BKK23" s="7"/>
      <c r="BKL23" s="7"/>
      <c r="BKM23" s="7"/>
      <c r="BKN23" s="7"/>
      <c r="BKO23" s="7"/>
      <c r="BKP23" s="7"/>
      <c r="BKQ23" s="7"/>
      <c r="BKR23" s="7"/>
      <c r="BKS23" s="7"/>
      <c r="BKT23" s="7"/>
      <c r="BKU23" s="7"/>
      <c r="BKV23" s="7"/>
      <c r="BKW23" s="7"/>
      <c r="BKX23" s="7"/>
      <c r="BKY23" s="7"/>
      <c r="BKZ23" s="7"/>
      <c r="BLA23" s="7"/>
      <c r="BLB23" s="7"/>
      <c r="BLC23" s="7"/>
      <c r="BLD23" s="7"/>
      <c r="BLE23" s="7"/>
      <c r="BLF23" s="7"/>
      <c r="BLG23" s="7"/>
      <c r="BLH23" s="7"/>
      <c r="BLI23" s="7"/>
      <c r="BLJ23" s="7"/>
      <c r="BLK23" s="7"/>
      <c r="BLL23" s="7"/>
      <c r="BLM23" s="7"/>
      <c r="BLN23" s="7"/>
      <c r="BLO23" s="7"/>
      <c r="BLP23" s="7"/>
      <c r="BLQ23" s="7"/>
      <c r="BLR23" s="7"/>
      <c r="BLS23" s="7"/>
      <c r="BLT23" s="7"/>
      <c r="BLU23" s="7"/>
      <c r="BLV23" s="7"/>
      <c r="BLW23" s="7"/>
      <c r="BLX23" s="7"/>
      <c r="BLY23" s="7"/>
      <c r="BLZ23" s="7"/>
      <c r="BMA23" s="7"/>
      <c r="BMB23" s="7"/>
      <c r="BMC23" s="7"/>
      <c r="BMD23" s="7"/>
      <c r="BME23" s="7"/>
      <c r="BMF23" s="7"/>
      <c r="BMG23" s="7"/>
      <c r="BMH23" s="7"/>
      <c r="BMI23" s="7"/>
      <c r="BMJ23" s="7"/>
      <c r="BMK23" s="7"/>
      <c r="BML23" s="7"/>
      <c r="BMM23" s="7"/>
      <c r="BMN23" s="7"/>
      <c r="BMO23" s="7"/>
      <c r="BMP23" s="7"/>
      <c r="BMQ23" s="7"/>
      <c r="BMR23" s="7"/>
      <c r="BMS23" s="7"/>
      <c r="BMT23" s="7"/>
      <c r="BMU23" s="7"/>
      <c r="BMV23" s="7"/>
      <c r="BMW23" s="7"/>
      <c r="BMX23" s="7"/>
      <c r="BMY23" s="7"/>
      <c r="BMZ23" s="7"/>
      <c r="BNA23" s="7"/>
      <c r="BNB23" s="7"/>
      <c r="BNC23" s="7"/>
      <c r="BND23" s="7"/>
      <c r="BNE23" s="7"/>
      <c r="BNF23" s="7"/>
      <c r="BNG23" s="7"/>
      <c r="BNH23" s="7"/>
      <c r="BNI23" s="7"/>
      <c r="BNJ23" s="7"/>
      <c r="BNK23" s="7"/>
      <c r="BNL23" s="7"/>
      <c r="BNM23" s="7"/>
      <c r="BNN23" s="7"/>
      <c r="BNO23" s="7"/>
      <c r="BNP23" s="7"/>
      <c r="BNQ23" s="7"/>
      <c r="BNR23" s="7"/>
      <c r="BNS23" s="7"/>
      <c r="BNT23" s="7"/>
      <c r="BNU23" s="7"/>
      <c r="BNV23" s="7"/>
      <c r="BNW23" s="7"/>
      <c r="BNX23" s="7"/>
      <c r="BNY23" s="7"/>
      <c r="BNZ23" s="7"/>
      <c r="BOA23" s="7"/>
      <c r="BOB23" s="7"/>
      <c r="BOC23" s="7"/>
      <c r="BOD23" s="7"/>
      <c r="BOE23" s="7"/>
      <c r="BOF23" s="7"/>
      <c r="BOG23" s="7"/>
      <c r="BOH23" s="7"/>
      <c r="BOI23" s="7"/>
      <c r="BOJ23" s="7"/>
      <c r="BOK23" s="7"/>
      <c r="BOL23" s="7"/>
      <c r="BOM23" s="7"/>
      <c r="BON23" s="7"/>
      <c r="BOO23" s="7"/>
      <c r="BOP23" s="7"/>
      <c r="BOQ23" s="7"/>
      <c r="BOR23" s="7"/>
      <c r="BOS23" s="7"/>
      <c r="BOT23" s="7"/>
      <c r="BOU23" s="7"/>
      <c r="BOV23" s="7"/>
      <c r="BOW23" s="7"/>
      <c r="BOX23" s="7"/>
      <c r="BOY23" s="7"/>
      <c r="BOZ23" s="7"/>
      <c r="BPA23" s="7"/>
      <c r="BPB23" s="7"/>
      <c r="BPC23" s="7"/>
      <c r="BPD23" s="7"/>
      <c r="BPE23" s="7"/>
      <c r="BPF23" s="7"/>
      <c r="BPG23" s="7"/>
      <c r="BPH23" s="7"/>
      <c r="BPI23" s="7"/>
      <c r="BPJ23" s="7"/>
      <c r="BPK23" s="7"/>
      <c r="BPL23" s="7"/>
      <c r="BPM23" s="7"/>
      <c r="BPN23" s="7"/>
      <c r="BPO23" s="7"/>
      <c r="BPP23" s="7"/>
      <c r="BPQ23" s="7"/>
      <c r="BPR23" s="7"/>
      <c r="BPS23" s="7"/>
      <c r="BPT23" s="7"/>
      <c r="BPU23" s="7"/>
      <c r="BPV23" s="7"/>
      <c r="BPW23" s="7"/>
      <c r="BPX23" s="7"/>
      <c r="BPY23" s="7"/>
      <c r="BPZ23" s="7"/>
      <c r="BQA23" s="7"/>
      <c r="BQB23" s="7"/>
      <c r="BQC23" s="7"/>
      <c r="BQD23" s="7"/>
      <c r="BQE23" s="7"/>
      <c r="BQF23" s="7"/>
      <c r="BQG23" s="7"/>
      <c r="BQH23" s="7"/>
      <c r="BQI23" s="7"/>
      <c r="BQJ23" s="7"/>
      <c r="BQK23" s="7"/>
      <c r="BQL23" s="7"/>
      <c r="BQM23" s="7"/>
      <c r="BQN23" s="7"/>
      <c r="BQO23" s="7"/>
      <c r="BQP23" s="7"/>
      <c r="BQQ23" s="7"/>
      <c r="BQR23" s="7"/>
      <c r="BQS23" s="7"/>
      <c r="BQT23" s="7"/>
      <c r="BQU23" s="7"/>
      <c r="BQV23" s="7"/>
      <c r="BQW23" s="7"/>
      <c r="BQX23" s="7"/>
      <c r="BQY23" s="7"/>
      <c r="BQZ23" s="7"/>
      <c r="BRA23" s="7"/>
      <c r="BRB23" s="7"/>
      <c r="BRC23" s="7"/>
      <c r="BRD23" s="7"/>
      <c r="BRE23" s="7"/>
      <c r="BRF23" s="7"/>
      <c r="BRG23" s="7"/>
      <c r="BRH23" s="7"/>
      <c r="BRI23" s="7"/>
      <c r="BRJ23" s="7"/>
      <c r="BRK23" s="7"/>
      <c r="BRL23" s="7"/>
      <c r="BRM23" s="7"/>
      <c r="BRN23" s="7"/>
      <c r="BRO23" s="7"/>
      <c r="BRP23" s="7"/>
      <c r="BRQ23" s="7"/>
      <c r="BRR23" s="7"/>
      <c r="BRS23" s="7"/>
      <c r="BRT23" s="7"/>
      <c r="BRU23" s="7"/>
      <c r="BRV23" s="7"/>
      <c r="BRW23" s="7"/>
      <c r="BRX23" s="7"/>
      <c r="BRY23" s="7"/>
      <c r="BRZ23" s="7"/>
      <c r="BSA23" s="7"/>
      <c r="BSB23" s="7"/>
      <c r="BSC23" s="7"/>
      <c r="BSD23" s="7"/>
      <c r="BSE23" s="7"/>
      <c r="BSF23" s="7"/>
      <c r="BSG23" s="7"/>
      <c r="BSH23" s="7"/>
      <c r="BSI23" s="7"/>
      <c r="BSJ23" s="7"/>
      <c r="BSK23" s="7"/>
      <c r="BSL23" s="7"/>
      <c r="BSM23" s="7"/>
      <c r="BSN23" s="7"/>
      <c r="BSO23" s="7"/>
      <c r="BSP23" s="7"/>
      <c r="BSQ23" s="7"/>
      <c r="BSR23" s="7"/>
      <c r="BSS23" s="7"/>
      <c r="BST23" s="7"/>
      <c r="BSU23" s="7"/>
      <c r="BSV23" s="7"/>
      <c r="BSW23" s="7"/>
      <c r="BSX23" s="7"/>
      <c r="BSY23" s="7"/>
      <c r="BSZ23" s="7"/>
      <c r="BTA23" s="7"/>
      <c r="BTB23" s="7"/>
      <c r="BTC23" s="7"/>
      <c r="BTD23" s="7"/>
      <c r="BTE23" s="7"/>
      <c r="BTF23" s="7"/>
      <c r="BTG23" s="7"/>
      <c r="BTH23" s="7"/>
      <c r="BTI23" s="7"/>
      <c r="BTJ23" s="7"/>
      <c r="BTK23" s="7"/>
      <c r="BTL23" s="7"/>
      <c r="BTM23" s="7"/>
      <c r="BTN23" s="7"/>
      <c r="BTO23" s="7"/>
      <c r="BTP23" s="7"/>
      <c r="BTQ23" s="7"/>
      <c r="BTR23" s="7"/>
      <c r="BTS23" s="7"/>
      <c r="BTT23" s="7"/>
      <c r="BTU23" s="7"/>
      <c r="BTV23" s="7"/>
      <c r="BTW23" s="7"/>
      <c r="BTX23" s="7"/>
      <c r="BTY23" s="7"/>
      <c r="BTZ23" s="7"/>
      <c r="BUA23" s="7"/>
      <c r="BUB23" s="7"/>
      <c r="BUC23" s="7"/>
      <c r="BUD23" s="7"/>
      <c r="BUE23" s="7"/>
      <c r="BUF23" s="7"/>
      <c r="BUG23" s="7"/>
      <c r="BUH23" s="7"/>
      <c r="BUI23" s="7"/>
      <c r="BUJ23" s="7"/>
      <c r="BUK23" s="7"/>
      <c r="BUL23" s="7"/>
      <c r="BUM23" s="7"/>
      <c r="BUN23" s="7"/>
      <c r="BUO23" s="7"/>
      <c r="BUP23" s="7"/>
      <c r="BUQ23" s="7"/>
      <c r="BUR23" s="7"/>
      <c r="BUS23" s="7"/>
      <c r="BUT23" s="7"/>
      <c r="BUU23" s="7"/>
      <c r="BUV23" s="7"/>
      <c r="BUW23" s="7"/>
      <c r="BUX23" s="7"/>
      <c r="BUY23" s="7"/>
      <c r="BUZ23" s="7"/>
      <c r="BVA23" s="7"/>
      <c r="BVB23" s="7"/>
      <c r="BVC23" s="7"/>
      <c r="BVD23" s="7"/>
      <c r="BVE23" s="7"/>
      <c r="BVF23" s="7"/>
      <c r="BVG23" s="7"/>
      <c r="BVH23" s="7"/>
      <c r="BVI23" s="7"/>
      <c r="BVJ23" s="7"/>
      <c r="BVK23" s="7"/>
      <c r="BVL23" s="7"/>
      <c r="BVM23" s="7"/>
      <c r="BVN23" s="7"/>
      <c r="BVO23" s="7"/>
      <c r="BVP23" s="7"/>
      <c r="BVQ23" s="7"/>
      <c r="BVR23" s="7"/>
      <c r="BVS23" s="7"/>
      <c r="BVT23" s="7"/>
      <c r="BVU23" s="7"/>
      <c r="BVV23" s="7"/>
      <c r="BVW23" s="7"/>
      <c r="BVX23" s="7"/>
      <c r="BVY23" s="7"/>
      <c r="BVZ23" s="7"/>
      <c r="BWA23" s="7"/>
      <c r="BWB23" s="7"/>
      <c r="BWC23" s="7"/>
      <c r="BWD23" s="7"/>
      <c r="BWE23" s="7"/>
      <c r="BWF23" s="7"/>
      <c r="BWG23" s="7"/>
      <c r="BWH23" s="7"/>
      <c r="BWI23" s="7"/>
      <c r="BWJ23" s="7"/>
      <c r="BWK23" s="7"/>
      <c r="BWL23" s="7"/>
      <c r="BWM23" s="7"/>
      <c r="BWN23" s="7"/>
      <c r="BWO23" s="7"/>
      <c r="BWP23" s="7"/>
      <c r="BWQ23" s="7"/>
      <c r="BWR23" s="7"/>
      <c r="BWS23" s="7"/>
      <c r="BWT23" s="7"/>
      <c r="BWU23" s="7"/>
      <c r="BWV23" s="7"/>
      <c r="BWW23" s="7"/>
      <c r="BWX23" s="7"/>
      <c r="BWY23" s="7"/>
      <c r="BWZ23" s="7"/>
      <c r="BXA23" s="7"/>
      <c r="BXB23" s="7"/>
      <c r="BXC23" s="7"/>
      <c r="BXD23" s="7"/>
      <c r="BXE23" s="7"/>
      <c r="BXF23" s="7"/>
      <c r="BXG23" s="7"/>
      <c r="BXH23" s="7"/>
      <c r="BXI23" s="7"/>
      <c r="BXJ23" s="7"/>
      <c r="BXK23" s="7"/>
      <c r="BXL23" s="7"/>
      <c r="BXM23" s="7"/>
      <c r="BXN23" s="7"/>
      <c r="BXO23" s="7"/>
      <c r="BXP23" s="7"/>
      <c r="BXQ23" s="7"/>
      <c r="BXR23" s="7"/>
      <c r="BXS23" s="7"/>
      <c r="BXT23" s="7"/>
      <c r="BXU23" s="7"/>
      <c r="BXV23" s="7"/>
      <c r="BXW23" s="7"/>
      <c r="BXX23" s="7"/>
      <c r="BXY23" s="7"/>
      <c r="BXZ23" s="7"/>
      <c r="BYA23" s="7"/>
      <c r="BYB23" s="7"/>
      <c r="BYC23" s="7"/>
      <c r="BYD23" s="7"/>
      <c r="BYE23" s="7"/>
      <c r="BYF23" s="7"/>
      <c r="BYG23" s="7"/>
      <c r="BYH23" s="7"/>
      <c r="BYI23" s="7"/>
      <c r="BYJ23" s="7"/>
      <c r="BYK23" s="7"/>
      <c r="BYL23" s="7"/>
      <c r="BYM23" s="7"/>
      <c r="BYN23" s="7"/>
      <c r="BYO23" s="7"/>
      <c r="BYP23" s="7"/>
      <c r="BYQ23" s="7"/>
      <c r="BYR23" s="7"/>
      <c r="BYS23" s="7"/>
      <c r="BYT23" s="7"/>
      <c r="BYU23" s="7"/>
      <c r="BYV23" s="7"/>
      <c r="BYW23" s="7"/>
      <c r="BYX23" s="7"/>
      <c r="BYY23" s="7"/>
      <c r="BYZ23" s="7"/>
      <c r="BZA23" s="7"/>
      <c r="BZB23" s="7"/>
      <c r="BZC23" s="7"/>
      <c r="BZD23" s="7"/>
      <c r="BZE23" s="7"/>
      <c r="BZF23" s="7"/>
      <c r="BZG23" s="7"/>
      <c r="BZH23" s="7"/>
      <c r="BZI23" s="7"/>
      <c r="BZJ23" s="7"/>
      <c r="BZK23" s="7"/>
      <c r="BZL23" s="7"/>
      <c r="BZM23" s="7"/>
      <c r="BZN23" s="7"/>
      <c r="BZO23" s="7"/>
      <c r="BZP23" s="7"/>
      <c r="BZQ23" s="7"/>
      <c r="BZR23" s="7"/>
      <c r="BZS23" s="7"/>
      <c r="BZT23" s="7"/>
      <c r="BZU23" s="7"/>
      <c r="BZV23" s="7"/>
      <c r="BZW23" s="7"/>
      <c r="BZX23" s="7"/>
      <c r="BZY23" s="7"/>
      <c r="BZZ23" s="7"/>
      <c r="CAA23" s="7"/>
      <c r="CAB23" s="7"/>
      <c r="CAC23" s="7"/>
      <c r="CAD23" s="7"/>
      <c r="CAE23" s="7"/>
      <c r="CAF23" s="7"/>
      <c r="CAG23" s="7"/>
      <c r="CAH23" s="7"/>
      <c r="CAI23" s="7"/>
      <c r="CAJ23" s="7"/>
      <c r="CAK23" s="7"/>
      <c r="CAL23" s="7"/>
      <c r="CAM23" s="7"/>
      <c r="CAN23" s="7"/>
      <c r="CAO23" s="7"/>
      <c r="CAP23" s="7"/>
      <c r="CAQ23" s="7"/>
      <c r="CAR23" s="7"/>
      <c r="CAS23" s="7"/>
      <c r="CAT23" s="7"/>
      <c r="CAU23" s="7"/>
      <c r="CAV23" s="7"/>
      <c r="CAW23" s="7"/>
      <c r="CAX23" s="7"/>
      <c r="CAY23" s="7"/>
      <c r="CAZ23" s="7"/>
      <c r="CBA23" s="7"/>
      <c r="CBB23" s="7"/>
      <c r="CBC23" s="7"/>
      <c r="CBD23" s="7"/>
      <c r="CBE23" s="7"/>
      <c r="CBF23" s="7"/>
      <c r="CBG23" s="7"/>
      <c r="CBH23" s="7"/>
      <c r="CBI23" s="7"/>
      <c r="CBJ23" s="7"/>
      <c r="CBK23" s="7"/>
      <c r="CBL23" s="7"/>
      <c r="CBM23" s="7"/>
      <c r="CBN23" s="7"/>
      <c r="CBO23" s="7"/>
      <c r="CBP23" s="7"/>
      <c r="CBQ23" s="7"/>
      <c r="CBR23" s="7"/>
      <c r="CBS23" s="7"/>
      <c r="CBT23" s="7"/>
      <c r="CBU23" s="7"/>
      <c r="CBV23" s="7"/>
      <c r="CBW23" s="7"/>
      <c r="CBX23" s="7"/>
      <c r="CBY23" s="7"/>
      <c r="CBZ23" s="7"/>
      <c r="CCA23" s="7"/>
      <c r="CCB23" s="7"/>
      <c r="CCC23" s="7"/>
      <c r="CCD23" s="7"/>
      <c r="CCE23" s="7"/>
      <c r="CCF23" s="7"/>
      <c r="CCG23" s="7"/>
      <c r="CCH23" s="7"/>
      <c r="CCI23" s="7"/>
      <c r="CCJ23" s="7"/>
      <c r="CCK23" s="7"/>
      <c r="CCL23" s="7"/>
      <c r="CCM23" s="7"/>
      <c r="CCN23" s="7"/>
      <c r="CCO23" s="7"/>
      <c r="CCP23" s="7"/>
      <c r="CCQ23" s="7"/>
      <c r="CCR23" s="7"/>
      <c r="CCS23" s="7"/>
      <c r="CCT23" s="7"/>
      <c r="CCU23" s="7"/>
      <c r="CCV23" s="7"/>
      <c r="CCW23" s="7"/>
      <c r="CCX23" s="7"/>
      <c r="CCY23" s="7"/>
      <c r="CCZ23" s="7"/>
      <c r="CDA23" s="7"/>
      <c r="CDB23" s="7"/>
      <c r="CDC23" s="7"/>
      <c r="CDD23" s="7"/>
      <c r="CDE23" s="7"/>
      <c r="CDF23" s="7"/>
      <c r="CDG23" s="7"/>
      <c r="CDH23" s="7"/>
      <c r="CDI23" s="7"/>
      <c r="CDJ23" s="7"/>
      <c r="CDK23" s="7"/>
      <c r="CDL23" s="7"/>
      <c r="CDM23" s="7"/>
      <c r="CDN23" s="7"/>
      <c r="CDO23" s="7"/>
      <c r="CDP23" s="7"/>
      <c r="CDQ23" s="7"/>
      <c r="CDR23" s="7"/>
      <c r="CDS23" s="7"/>
      <c r="CDT23" s="7"/>
      <c r="CDU23" s="7"/>
      <c r="CDV23" s="7"/>
      <c r="CDW23" s="7"/>
      <c r="CDX23" s="7"/>
      <c r="CDY23" s="7"/>
      <c r="CDZ23" s="7"/>
      <c r="CEA23" s="7"/>
      <c r="CEB23" s="7"/>
      <c r="CEC23" s="7"/>
      <c r="CED23" s="7"/>
      <c r="CEE23" s="7"/>
      <c r="CEF23" s="7"/>
      <c r="CEG23" s="7"/>
      <c r="CEH23" s="7"/>
      <c r="CEI23" s="7"/>
      <c r="CEJ23" s="7"/>
      <c r="CEK23" s="7"/>
      <c r="CEL23" s="7"/>
      <c r="CEM23" s="7"/>
      <c r="CEN23" s="7"/>
      <c r="CEO23" s="7"/>
      <c r="CEP23" s="7"/>
      <c r="CEQ23" s="7"/>
      <c r="CER23" s="7"/>
      <c r="CES23" s="7"/>
      <c r="CET23" s="7"/>
      <c r="CEU23" s="7"/>
      <c r="CEV23" s="7"/>
      <c r="CEW23" s="7"/>
      <c r="CEX23" s="7"/>
      <c r="CEY23" s="7"/>
      <c r="CEZ23" s="7"/>
      <c r="CFA23" s="7"/>
      <c r="CFB23" s="7"/>
      <c r="CFC23" s="7"/>
      <c r="CFD23" s="7"/>
      <c r="CFE23" s="7"/>
      <c r="CFF23" s="7"/>
      <c r="CFG23" s="7"/>
      <c r="CFH23" s="7"/>
      <c r="CFI23" s="7"/>
      <c r="CFJ23" s="7"/>
      <c r="CFK23" s="7"/>
      <c r="CFL23" s="7"/>
      <c r="CFM23" s="7"/>
      <c r="CFN23" s="7"/>
      <c r="CFO23" s="7"/>
      <c r="CFP23" s="7"/>
      <c r="CFQ23" s="7"/>
      <c r="CFR23" s="7"/>
      <c r="CFS23" s="7"/>
      <c r="CFT23" s="7"/>
      <c r="CFU23" s="7"/>
      <c r="CFV23" s="7"/>
      <c r="CFW23" s="7"/>
      <c r="CFX23" s="7"/>
      <c r="CFY23" s="7"/>
      <c r="CFZ23" s="7"/>
      <c r="CGA23" s="7"/>
      <c r="CGB23" s="7"/>
      <c r="CGC23" s="7"/>
      <c r="CGD23" s="7"/>
      <c r="CGE23" s="7"/>
      <c r="CGF23" s="7"/>
      <c r="CGG23" s="7"/>
      <c r="CGH23" s="7"/>
      <c r="CGI23" s="7"/>
      <c r="CGJ23" s="7"/>
      <c r="CGK23" s="7"/>
      <c r="CGL23" s="7"/>
      <c r="CGM23" s="7"/>
      <c r="CGN23" s="7"/>
      <c r="CGO23" s="7"/>
      <c r="CGP23" s="7"/>
      <c r="CGQ23" s="7"/>
      <c r="CGR23" s="7"/>
      <c r="CGS23" s="7"/>
      <c r="CGT23" s="7"/>
      <c r="CGU23" s="7"/>
      <c r="CGV23" s="7"/>
      <c r="CGW23" s="7"/>
      <c r="CGX23" s="7"/>
      <c r="CGY23" s="7"/>
      <c r="CGZ23" s="7"/>
      <c r="CHA23" s="7"/>
      <c r="CHB23" s="7"/>
      <c r="CHC23" s="7"/>
      <c r="CHD23" s="7"/>
      <c r="CHE23" s="7"/>
      <c r="CHF23" s="7"/>
      <c r="CHG23" s="7"/>
      <c r="CHH23" s="7"/>
      <c r="CHI23" s="7"/>
      <c r="CHJ23" s="7"/>
      <c r="CHK23" s="7"/>
      <c r="CHL23" s="7"/>
      <c r="CHM23" s="7"/>
      <c r="CHN23" s="7"/>
      <c r="CHO23" s="7"/>
      <c r="CHP23" s="7"/>
      <c r="CHQ23" s="7"/>
      <c r="CHR23" s="7"/>
      <c r="CHS23" s="7"/>
      <c r="CHT23" s="7"/>
      <c r="CHU23" s="7"/>
      <c r="CHV23" s="7"/>
      <c r="CHW23" s="7"/>
      <c r="CHX23" s="7"/>
      <c r="CHY23" s="7"/>
      <c r="CHZ23" s="7"/>
      <c r="CIA23" s="7"/>
      <c r="CIB23" s="7"/>
      <c r="CIC23" s="7"/>
      <c r="CID23" s="7"/>
      <c r="CIE23" s="7"/>
      <c r="CIF23" s="7"/>
      <c r="CIG23" s="7"/>
      <c r="CIH23" s="7"/>
      <c r="CII23" s="7"/>
      <c r="CIJ23" s="7"/>
      <c r="CIK23" s="7"/>
      <c r="CIL23" s="7"/>
      <c r="CIM23" s="7"/>
      <c r="CIN23" s="7"/>
      <c r="CIO23" s="7"/>
      <c r="CIP23" s="7"/>
      <c r="CIQ23" s="7"/>
      <c r="CIR23" s="7"/>
      <c r="CIS23" s="7"/>
      <c r="CIT23" s="7"/>
      <c r="CIU23" s="7"/>
      <c r="CIV23" s="7"/>
      <c r="CIW23" s="7"/>
      <c r="CIX23" s="7"/>
      <c r="CIY23" s="7"/>
      <c r="CIZ23" s="7"/>
      <c r="CJA23" s="7"/>
      <c r="CJB23" s="7"/>
      <c r="CJC23" s="7"/>
      <c r="CJD23" s="7"/>
      <c r="CJE23" s="7"/>
      <c r="CJF23" s="7"/>
      <c r="CJG23" s="7"/>
      <c r="CJH23" s="7"/>
      <c r="CJI23" s="7"/>
      <c r="CJJ23" s="7"/>
      <c r="CJK23" s="7"/>
      <c r="CJL23" s="7"/>
      <c r="CJM23" s="7"/>
      <c r="CJN23" s="7"/>
      <c r="CJO23" s="7"/>
      <c r="CJP23" s="7"/>
      <c r="CJQ23" s="7"/>
      <c r="CJR23" s="7"/>
      <c r="CJS23" s="7"/>
      <c r="CJT23" s="7"/>
      <c r="CJU23" s="7"/>
      <c r="CJV23" s="7"/>
      <c r="CJW23" s="7"/>
      <c r="CJX23" s="7"/>
      <c r="CJY23" s="7"/>
      <c r="CJZ23" s="7"/>
      <c r="CKA23" s="7"/>
      <c r="CKB23" s="7"/>
      <c r="CKC23" s="7"/>
      <c r="CKD23" s="7"/>
      <c r="CKE23" s="7"/>
      <c r="CKF23" s="7"/>
      <c r="CKG23" s="7"/>
      <c r="CKH23" s="7"/>
      <c r="CKI23" s="7"/>
      <c r="CKJ23" s="7"/>
      <c r="CKK23" s="7"/>
      <c r="CKL23" s="7"/>
      <c r="CKM23" s="7"/>
      <c r="CKN23" s="7"/>
      <c r="CKO23" s="7"/>
      <c r="CKP23" s="7"/>
      <c r="CKQ23" s="7"/>
      <c r="CKR23" s="7"/>
      <c r="CKS23" s="7"/>
      <c r="CKT23" s="7"/>
      <c r="CKU23" s="7"/>
      <c r="CKV23" s="7"/>
      <c r="CKW23" s="7"/>
      <c r="CKX23" s="7"/>
      <c r="CKY23" s="7"/>
      <c r="CKZ23" s="7"/>
      <c r="CLA23" s="7"/>
      <c r="CLB23" s="7"/>
      <c r="CLC23" s="7"/>
      <c r="CLD23" s="7"/>
      <c r="CLE23" s="7"/>
      <c r="CLF23" s="7"/>
      <c r="CLG23" s="7"/>
      <c r="CLH23" s="7"/>
      <c r="CLI23" s="7"/>
      <c r="CLJ23" s="7"/>
      <c r="CLK23" s="7"/>
      <c r="CLL23" s="7"/>
      <c r="CLM23" s="7"/>
      <c r="CLN23" s="7"/>
      <c r="CLO23" s="7"/>
      <c r="CLP23" s="7"/>
      <c r="CLQ23" s="7"/>
      <c r="CLR23" s="7"/>
      <c r="CLS23" s="7"/>
      <c r="CLT23" s="7"/>
      <c r="CLU23" s="7"/>
      <c r="CLV23" s="7"/>
      <c r="CLW23" s="7"/>
      <c r="CLX23" s="7"/>
      <c r="CLY23" s="7"/>
      <c r="CLZ23" s="7"/>
      <c r="CMA23" s="7"/>
      <c r="CMB23" s="7"/>
      <c r="CMC23" s="7"/>
      <c r="CMD23" s="7"/>
      <c r="CME23" s="7"/>
      <c r="CMF23" s="7"/>
      <c r="CMG23" s="7"/>
      <c r="CMH23" s="7"/>
      <c r="CMI23" s="7"/>
      <c r="CMJ23" s="7"/>
      <c r="CMK23" s="7"/>
      <c r="CML23" s="7"/>
      <c r="CMM23" s="7"/>
      <c r="CMN23" s="7"/>
      <c r="CMO23" s="7"/>
      <c r="CMP23" s="7"/>
      <c r="CMQ23" s="7"/>
      <c r="CMR23" s="7"/>
      <c r="CMS23" s="7"/>
      <c r="CMT23" s="7"/>
      <c r="CMU23" s="7"/>
      <c r="CMV23" s="7"/>
      <c r="CMW23" s="7"/>
      <c r="CMX23" s="7"/>
      <c r="CMY23" s="7"/>
      <c r="CMZ23" s="7"/>
      <c r="CNA23" s="7"/>
      <c r="CNB23" s="7"/>
      <c r="CNC23" s="7"/>
      <c r="CND23" s="7"/>
      <c r="CNE23" s="7"/>
      <c r="CNF23" s="7"/>
      <c r="CNG23" s="7"/>
      <c r="CNH23" s="7"/>
      <c r="CNI23" s="7"/>
      <c r="CNJ23" s="7"/>
      <c r="CNK23" s="7"/>
      <c r="CNL23" s="7"/>
      <c r="CNM23" s="7"/>
      <c r="CNN23" s="7"/>
      <c r="CNO23" s="7"/>
      <c r="CNP23" s="7"/>
      <c r="CNQ23" s="7"/>
      <c r="CNR23" s="7"/>
      <c r="CNS23" s="7"/>
      <c r="CNT23" s="7"/>
      <c r="CNU23" s="7"/>
      <c r="CNV23" s="7"/>
      <c r="CNW23" s="7"/>
      <c r="CNX23" s="7"/>
      <c r="CNY23" s="7"/>
      <c r="CNZ23" s="7"/>
      <c r="COA23" s="7"/>
      <c r="COB23" s="7"/>
      <c r="COC23" s="7"/>
      <c r="COD23" s="7"/>
      <c r="COE23" s="7"/>
      <c r="COF23" s="7"/>
      <c r="COG23" s="7"/>
      <c r="COH23" s="7"/>
      <c r="COI23" s="7"/>
      <c r="COJ23" s="7"/>
      <c r="COK23" s="7"/>
      <c r="COL23" s="7"/>
      <c r="COM23" s="7"/>
      <c r="CON23" s="7"/>
      <c r="COO23" s="7"/>
      <c r="COP23" s="7"/>
      <c r="COQ23" s="7"/>
      <c r="COR23" s="7"/>
      <c r="COS23" s="7"/>
      <c r="COT23" s="7"/>
      <c r="COU23" s="7"/>
      <c r="COV23" s="7"/>
      <c r="COW23" s="7"/>
      <c r="COX23" s="7"/>
      <c r="COY23" s="7"/>
      <c r="COZ23" s="7"/>
      <c r="CPA23" s="7"/>
      <c r="CPB23" s="7"/>
      <c r="CPC23" s="7"/>
      <c r="CPD23" s="7"/>
      <c r="CPE23" s="7"/>
      <c r="CPF23" s="7"/>
      <c r="CPG23" s="7"/>
      <c r="CPH23" s="7"/>
      <c r="CPI23" s="7"/>
      <c r="CPJ23" s="7"/>
      <c r="CPK23" s="7"/>
      <c r="CPL23" s="7"/>
      <c r="CPM23" s="7"/>
      <c r="CPN23" s="7"/>
      <c r="CPO23" s="7"/>
      <c r="CPP23" s="7"/>
      <c r="CPQ23" s="7"/>
      <c r="CPR23" s="7"/>
      <c r="CPS23" s="7"/>
      <c r="CPT23" s="7"/>
      <c r="CPU23" s="7"/>
      <c r="CPV23" s="7"/>
      <c r="CPW23" s="7"/>
      <c r="CPX23" s="7"/>
      <c r="CPY23" s="7"/>
      <c r="CPZ23" s="7"/>
      <c r="CQA23" s="7"/>
      <c r="CQB23" s="7"/>
      <c r="CQC23" s="7"/>
      <c r="CQD23" s="7"/>
      <c r="CQE23" s="7"/>
      <c r="CQF23" s="7"/>
      <c r="CQG23" s="7"/>
      <c r="CQH23" s="7"/>
      <c r="CQI23" s="7"/>
      <c r="CQJ23" s="7"/>
      <c r="CQK23" s="7"/>
      <c r="CQL23" s="7"/>
      <c r="CQM23" s="7"/>
      <c r="CQN23" s="7"/>
      <c r="CQO23" s="7"/>
      <c r="CQP23" s="7"/>
      <c r="CQQ23" s="7"/>
      <c r="CQR23" s="7"/>
      <c r="CQS23" s="7"/>
      <c r="CQT23" s="7"/>
      <c r="CQU23" s="7"/>
      <c r="CQV23" s="7"/>
      <c r="CQW23" s="7"/>
      <c r="CQX23" s="7"/>
      <c r="CQY23" s="7"/>
      <c r="CQZ23" s="7"/>
      <c r="CRA23" s="7"/>
      <c r="CRB23" s="7"/>
      <c r="CRC23" s="7"/>
      <c r="CRD23" s="7"/>
      <c r="CRE23" s="7"/>
      <c r="CRF23" s="7"/>
      <c r="CRG23" s="7"/>
      <c r="CRH23" s="7"/>
      <c r="CRI23" s="7"/>
      <c r="CRJ23" s="7"/>
      <c r="CRK23" s="7"/>
      <c r="CRL23" s="7"/>
      <c r="CRM23" s="7"/>
      <c r="CRN23" s="7"/>
      <c r="CRO23" s="7"/>
      <c r="CRP23" s="7"/>
      <c r="CRQ23" s="7"/>
      <c r="CRR23" s="7"/>
      <c r="CRS23" s="7"/>
      <c r="CRT23" s="7"/>
      <c r="CRU23" s="7"/>
      <c r="CRV23" s="7"/>
      <c r="CRW23" s="7"/>
      <c r="CRX23" s="7"/>
      <c r="CRY23" s="7"/>
      <c r="CRZ23" s="7"/>
      <c r="CSA23" s="7"/>
      <c r="CSB23" s="7"/>
      <c r="CSC23" s="7"/>
      <c r="CSD23" s="7"/>
      <c r="CSE23" s="7"/>
      <c r="CSF23" s="7"/>
      <c r="CSG23" s="7"/>
      <c r="CSH23" s="7"/>
      <c r="CSI23" s="7"/>
      <c r="CSJ23" s="7"/>
      <c r="CSK23" s="7"/>
      <c r="CSL23" s="7"/>
      <c r="CSM23" s="7"/>
      <c r="CSN23" s="7"/>
      <c r="CSO23" s="7"/>
      <c r="CSP23" s="7"/>
      <c r="CSQ23" s="7"/>
      <c r="CSR23" s="7"/>
      <c r="CSS23" s="7"/>
      <c r="CST23" s="7"/>
      <c r="CSU23" s="7"/>
      <c r="CSV23" s="7"/>
      <c r="CSW23" s="7"/>
      <c r="CSX23" s="7"/>
      <c r="CSY23" s="7"/>
      <c r="CSZ23" s="7"/>
      <c r="CTA23" s="7"/>
      <c r="CTB23" s="7"/>
      <c r="CTC23" s="7"/>
      <c r="CTD23" s="7"/>
      <c r="CTE23" s="7"/>
      <c r="CTF23" s="7"/>
      <c r="CTG23" s="7"/>
      <c r="CTH23" s="7"/>
      <c r="CTI23" s="7"/>
      <c r="CTJ23" s="7"/>
      <c r="CTK23" s="7"/>
      <c r="CTL23" s="7"/>
      <c r="CTM23" s="7"/>
      <c r="CTN23" s="7"/>
      <c r="CTO23" s="7"/>
      <c r="CTP23" s="7"/>
      <c r="CTQ23" s="7"/>
      <c r="CTR23" s="7"/>
      <c r="CTS23" s="7"/>
      <c r="CTT23" s="7"/>
      <c r="CTU23" s="7"/>
      <c r="CTV23" s="7"/>
      <c r="CTW23" s="7"/>
      <c r="CTX23" s="7"/>
      <c r="CTY23" s="7"/>
      <c r="CTZ23" s="7"/>
      <c r="CUA23" s="7"/>
      <c r="CUB23" s="7"/>
      <c r="CUC23" s="7"/>
      <c r="CUD23" s="7"/>
      <c r="CUE23" s="7"/>
      <c r="CUF23" s="7"/>
      <c r="CUG23" s="7"/>
      <c r="CUH23" s="7"/>
      <c r="CUI23" s="7"/>
      <c r="CUJ23" s="7"/>
      <c r="CUK23" s="7"/>
      <c r="CUL23" s="7"/>
      <c r="CUM23" s="7"/>
      <c r="CUN23" s="7"/>
      <c r="CUO23" s="7"/>
      <c r="CUP23" s="7"/>
      <c r="CUQ23" s="7"/>
      <c r="CUR23" s="7"/>
      <c r="CUS23" s="7"/>
      <c r="CUT23" s="7"/>
      <c r="CUU23" s="7"/>
      <c r="CUV23" s="7"/>
      <c r="CUW23" s="7"/>
      <c r="CUX23" s="7"/>
      <c r="CUY23" s="7"/>
      <c r="CUZ23" s="7"/>
      <c r="CVA23" s="7"/>
      <c r="CVB23" s="7"/>
      <c r="CVC23" s="7"/>
      <c r="CVD23" s="7"/>
      <c r="CVE23" s="7"/>
      <c r="CVF23" s="7"/>
      <c r="CVG23" s="7"/>
      <c r="CVH23" s="7"/>
      <c r="CVI23" s="7"/>
      <c r="CVJ23" s="7"/>
      <c r="CVK23" s="7"/>
      <c r="CVL23" s="7"/>
      <c r="CVM23" s="7"/>
      <c r="CVN23" s="7"/>
      <c r="CVO23" s="7"/>
      <c r="CVP23" s="7"/>
      <c r="CVQ23" s="7"/>
      <c r="CVR23" s="7"/>
      <c r="CVS23" s="7"/>
      <c r="CVT23" s="7"/>
      <c r="CVU23" s="7"/>
      <c r="CVV23" s="7"/>
      <c r="CVW23" s="7"/>
      <c r="CVX23" s="7"/>
      <c r="CVY23" s="7"/>
      <c r="CVZ23" s="7"/>
      <c r="CWA23" s="7"/>
      <c r="CWB23" s="7"/>
      <c r="CWC23" s="7"/>
      <c r="CWD23" s="7"/>
      <c r="CWE23" s="7"/>
      <c r="CWF23" s="7"/>
      <c r="CWG23" s="7"/>
      <c r="CWH23" s="7"/>
      <c r="CWI23" s="7"/>
      <c r="CWJ23" s="7"/>
      <c r="CWK23" s="7"/>
      <c r="CWL23" s="7"/>
      <c r="CWM23" s="7"/>
      <c r="CWN23" s="7"/>
      <c r="CWO23" s="7"/>
      <c r="CWP23" s="7"/>
      <c r="CWQ23" s="7"/>
      <c r="CWR23" s="7"/>
      <c r="CWS23" s="7"/>
      <c r="CWT23" s="7"/>
      <c r="CWU23" s="7"/>
      <c r="CWV23" s="7"/>
      <c r="CWW23" s="7"/>
      <c r="CWX23" s="7"/>
      <c r="CWY23" s="7"/>
      <c r="CWZ23" s="7"/>
      <c r="CXA23" s="7"/>
      <c r="CXB23" s="7"/>
      <c r="CXC23" s="7"/>
      <c r="CXD23" s="7"/>
      <c r="CXE23" s="7"/>
      <c r="CXF23" s="7"/>
      <c r="CXG23" s="7"/>
      <c r="CXH23" s="7"/>
      <c r="CXI23" s="7"/>
      <c r="CXJ23" s="7"/>
      <c r="CXK23" s="7"/>
      <c r="CXL23" s="7"/>
      <c r="CXM23" s="7"/>
      <c r="CXN23" s="7"/>
      <c r="CXO23" s="7"/>
      <c r="CXP23" s="7"/>
      <c r="CXQ23" s="7"/>
      <c r="CXR23" s="7"/>
      <c r="CXS23" s="7"/>
      <c r="CXT23" s="7"/>
      <c r="CXU23" s="7"/>
      <c r="CXV23" s="7"/>
      <c r="CXW23" s="7"/>
      <c r="CXX23" s="7"/>
      <c r="CXY23" s="7"/>
      <c r="CXZ23" s="7"/>
      <c r="CYA23" s="7"/>
      <c r="CYB23" s="7"/>
      <c r="CYC23" s="7"/>
      <c r="CYD23" s="7"/>
      <c r="CYE23" s="7"/>
      <c r="CYF23" s="7"/>
      <c r="CYG23" s="7"/>
      <c r="CYH23" s="7"/>
      <c r="CYI23" s="7"/>
      <c r="CYJ23" s="7"/>
      <c r="CYK23" s="7"/>
      <c r="CYL23" s="7"/>
      <c r="CYM23" s="7"/>
      <c r="CYN23" s="7"/>
      <c r="CYO23" s="7"/>
      <c r="CYP23" s="7"/>
      <c r="CYQ23" s="7"/>
      <c r="CYR23" s="7"/>
      <c r="CYS23" s="7"/>
      <c r="CYT23" s="7"/>
      <c r="CYU23" s="7"/>
      <c r="CYV23" s="7"/>
      <c r="CYW23" s="7"/>
      <c r="CYX23" s="7"/>
      <c r="CYY23" s="7"/>
      <c r="CYZ23" s="7"/>
      <c r="CZA23" s="7"/>
      <c r="CZB23" s="7"/>
      <c r="CZC23" s="7"/>
      <c r="CZD23" s="7"/>
      <c r="CZE23" s="7"/>
      <c r="CZF23" s="7"/>
      <c r="CZG23" s="7"/>
      <c r="CZH23" s="7"/>
      <c r="CZI23" s="7"/>
      <c r="CZJ23" s="7"/>
      <c r="CZK23" s="7"/>
      <c r="CZL23" s="7"/>
      <c r="CZM23" s="7"/>
      <c r="CZN23" s="7"/>
      <c r="CZO23" s="7"/>
      <c r="CZP23" s="7"/>
      <c r="CZQ23" s="7"/>
      <c r="CZR23" s="7"/>
      <c r="CZS23" s="7"/>
      <c r="CZT23" s="7"/>
      <c r="CZU23" s="7"/>
      <c r="CZV23" s="7"/>
      <c r="CZW23" s="7"/>
      <c r="CZX23" s="7"/>
      <c r="CZY23" s="7"/>
      <c r="CZZ23" s="7"/>
      <c r="DAA23" s="7"/>
      <c r="DAB23" s="7"/>
      <c r="DAC23" s="7"/>
      <c r="DAD23" s="7"/>
      <c r="DAE23" s="7"/>
      <c r="DAF23" s="7"/>
      <c r="DAG23" s="7"/>
      <c r="DAH23" s="7"/>
      <c r="DAI23" s="7"/>
      <c r="DAJ23" s="7"/>
      <c r="DAK23" s="7"/>
      <c r="DAL23" s="7"/>
      <c r="DAM23" s="7"/>
      <c r="DAN23" s="7"/>
      <c r="DAO23" s="7"/>
      <c r="DAP23" s="7"/>
      <c r="DAQ23" s="7"/>
      <c r="DAR23" s="7"/>
      <c r="DAS23" s="7"/>
      <c r="DAT23" s="7"/>
      <c r="DAU23" s="7"/>
      <c r="DAV23" s="7"/>
      <c r="DAW23" s="7"/>
      <c r="DAX23" s="7"/>
      <c r="DAY23" s="7"/>
      <c r="DAZ23" s="7"/>
      <c r="DBA23" s="7"/>
      <c r="DBB23" s="7"/>
      <c r="DBC23" s="7"/>
      <c r="DBD23" s="7"/>
      <c r="DBE23" s="7"/>
      <c r="DBF23" s="7"/>
      <c r="DBG23" s="7"/>
      <c r="DBH23" s="7"/>
      <c r="DBI23" s="7"/>
      <c r="DBJ23" s="7"/>
      <c r="DBK23" s="7"/>
      <c r="DBL23" s="7"/>
      <c r="DBM23" s="7"/>
      <c r="DBN23" s="7"/>
      <c r="DBO23" s="7"/>
      <c r="DBP23" s="7"/>
      <c r="DBQ23" s="7"/>
      <c r="DBR23" s="7"/>
      <c r="DBS23" s="7"/>
      <c r="DBT23" s="7"/>
      <c r="DBU23" s="7"/>
      <c r="DBV23" s="7"/>
      <c r="DBW23" s="7"/>
      <c r="DBX23" s="7"/>
      <c r="DBY23" s="7"/>
      <c r="DBZ23" s="7"/>
      <c r="DCA23" s="7"/>
      <c r="DCB23" s="7"/>
      <c r="DCC23" s="7"/>
      <c r="DCD23" s="7"/>
      <c r="DCE23" s="7"/>
      <c r="DCF23" s="7"/>
      <c r="DCG23" s="7"/>
      <c r="DCH23" s="7"/>
      <c r="DCI23" s="7"/>
      <c r="DCJ23" s="7"/>
      <c r="DCK23" s="7"/>
      <c r="DCL23" s="7"/>
      <c r="DCM23" s="7"/>
      <c r="DCN23" s="7"/>
      <c r="DCO23" s="7"/>
      <c r="DCP23" s="7"/>
      <c r="DCQ23" s="7"/>
      <c r="DCR23" s="7"/>
      <c r="DCS23" s="7"/>
      <c r="DCT23" s="7"/>
      <c r="DCU23" s="7"/>
      <c r="DCV23" s="7"/>
      <c r="DCW23" s="7"/>
      <c r="DCX23" s="7"/>
      <c r="DCY23" s="7"/>
      <c r="DCZ23" s="7"/>
      <c r="DDA23" s="7"/>
      <c r="DDB23" s="7"/>
      <c r="DDC23" s="7"/>
      <c r="DDD23" s="7"/>
      <c r="DDE23" s="7"/>
      <c r="DDF23" s="7"/>
      <c r="DDG23" s="7"/>
      <c r="DDH23" s="7"/>
      <c r="DDI23" s="7"/>
      <c r="DDJ23" s="7"/>
      <c r="DDK23" s="7"/>
      <c r="DDL23" s="7"/>
      <c r="DDM23" s="7"/>
      <c r="DDN23" s="7"/>
      <c r="DDO23" s="7"/>
      <c r="DDP23" s="7"/>
      <c r="DDQ23" s="7"/>
      <c r="DDR23" s="7"/>
      <c r="DDS23" s="7"/>
      <c r="DDT23" s="7"/>
      <c r="DDU23" s="7"/>
      <c r="DDV23" s="7"/>
      <c r="DDW23" s="7"/>
      <c r="DDX23" s="7"/>
      <c r="DDY23" s="7"/>
      <c r="DDZ23" s="7"/>
      <c r="DEA23" s="7"/>
      <c r="DEB23" s="7"/>
      <c r="DEC23" s="7"/>
      <c r="DED23" s="7"/>
      <c r="DEE23" s="7"/>
      <c r="DEF23" s="7"/>
      <c r="DEG23" s="7"/>
      <c r="DEH23" s="7"/>
      <c r="DEI23" s="7"/>
      <c r="DEJ23" s="7"/>
      <c r="DEK23" s="7"/>
      <c r="DEL23" s="7"/>
      <c r="DEM23" s="7"/>
      <c r="DEN23" s="7"/>
      <c r="DEO23" s="7"/>
      <c r="DEP23" s="7"/>
      <c r="DEQ23" s="7"/>
      <c r="DER23" s="7"/>
      <c r="DES23" s="7"/>
      <c r="DET23" s="7"/>
      <c r="DEU23" s="7"/>
      <c r="DEV23" s="7"/>
      <c r="DEW23" s="7"/>
      <c r="DEX23" s="7"/>
      <c r="DEY23" s="7"/>
      <c r="DEZ23" s="7"/>
      <c r="DFA23" s="7"/>
      <c r="DFB23" s="7"/>
      <c r="DFC23" s="7"/>
      <c r="DFD23" s="7"/>
      <c r="DFE23" s="7"/>
      <c r="DFF23" s="7"/>
      <c r="DFG23" s="7"/>
      <c r="DFH23" s="7"/>
      <c r="DFI23" s="7"/>
      <c r="DFJ23" s="7"/>
      <c r="DFK23" s="7"/>
      <c r="DFL23" s="7"/>
      <c r="DFM23" s="7"/>
      <c r="DFN23" s="7"/>
      <c r="DFO23" s="7"/>
      <c r="DFP23" s="7"/>
      <c r="DFQ23" s="7"/>
      <c r="DFR23" s="7"/>
      <c r="DFS23" s="7"/>
      <c r="DFT23" s="7"/>
      <c r="DFU23" s="7"/>
      <c r="DFV23" s="7"/>
      <c r="DFW23" s="7"/>
      <c r="DFX23" s="7"/>
      <c r="DFY23" s="7"/>
      <c r="DFZ23" s="7"/>
      <c r="DGA23" s="7"/>
      <c r="DGB23" s="7"/>
      <c r="DGC23" s="7"/>
      <c r="DGD23" s="7"/>
      <c r="DGE23" s="7"/>
      <c r="DGF23" s="7"/>
      <c r="DGG23" s="7"/>
      <c r="DGH23" s="7"/>
      <c r="DGI23" s="7"/>
      <c r="DGJ23" s="7"/>
      <c r="DGK23" s="7"/>
      <c r="DGL23" s="7"/>
      <c r="DGM23" s="7"/>
      <c r="DGN23" s="7"/>
      <c r="DGO23" s="7"/>
      <c r="DGP23" s="7"/>
      <c r="DGQ23" s="7"/>
      <c r="DGR23" s="7"/>
      <c r="DGS23" s="7"/>
      <c r="DGT23" s="7"/>
      <c r="DGU23" s="7"/>
      <c r="DGV23" s="7"/>
      <c r="DGW23" s="7"/>
      <c r="DGX23" s="7"/>
      <c r="DGY23" s="7"/>
      <c r="DGZ23" s="7"/>
      <c r="DHA23" s="7"/>
      <c r="DHB23" s="7"/>
      <c r="DHC23" s="7"/>
      <c r="DHD23" s="7"/>
      <c r="DHE23" s="7"/>
      <c r="DHF23" s="7"/>
      <c r="DHG23" s="7"/>
      <c r="DHH23" s="7"/>
      <c r="DHI23" s="7"/>
      <c r="DHJ23" s="7"/>
      <c r="DHK23" s="7"/>
      <c r="DHL23" s="7"/>
      <c r="DHM23" s="7"/>
      <c r="DHN23" s="7"/>
      <c r="DHO23" s="7"/>
      <c r="DHP23" s="7"/>
      <c r="DHQ23" s="7"/>
      <c r="DHR23" s="7"/>
      <c r="DHS23" s="7"/>
      <c r="DHT23" s="7"/>
      <c r="DHU23" s="7"/>
      <c r="DHV23" s="7"/>
      <c r="DHW23" s="7"/>
      <c r="DHX23" s="7"/>
      <c r="DHY23" s="7"/>
      <c r="DHZ23" s="7"/>
      <c r="DIA23" s="7"/>
      <c r="DIB23" s="7"/>
      <c r="DIC23" s="7"/>
      <c r="DID23" s="7"/>
      <c r="DIE23" s="7"/>
      <c r="DIF23" s="7"/>
      <c r="DIG23" s="7"/>
      <c r="DIH23" s="7"/>
      <c r="DII23" s="7"/>
      <c r="DIJ23" s="7"/>
      <c r="DIK23" s="7"/>
      <c r="DIL23" s="7"/>
      <c r="DIM23" s="7"/>
      <c r="DIN23" s="7"/>
      <c r="DIO23" s="7"/>
      <c r="DIP23" s="7"/>
      <c r="DIQ23" s="7"/>
      <c r="DIR23" s="7"/>
      <c r="DIS23" s="7"/>
      <c r="DIT23" s="7"/>
      <c r="DIU23" s="7"/>
      <c r="DIV23" s="7"/>
      <c r="DIW23" s="7"/>
      <c r="DIX23" s="7"/>
      <c r="DIY23" s="7"/>
      <c r="DIZ23" s="7"/>
      <c r="DJA23" s="7"/>
      <c r="DJB23" s="7"/>
      <c r="DJC23" s="7"/>
      <c r="DJD23" s="7"/>
      <c r="DJE23" s="7"/>
      <c r="DJF23" s="7"/>
      <c r="DJG23" s="7"/>
      <c r="DJH23" s="7"/>
      <c r="DJI23" s="7"/>
      <c r="DJJ23" s="7"/>
      <c r="DJK23" s="7"/>
      <c r="DJL23" s="7"/>
      <c r="DJM23" s="7"/>
      <c r="DJN23" s="7"/>
      <c r="DJO23" s="7"/>
      <c r="DJP23" s="7"/>
      <c r="DJQ23" s="7"/>
      <c r="DJR23" s="7"/>
      <c r="DJS23" s="7"/>
      <c r="DJT23" s="7"/>
      <c r="DJU23" s="7"/>
      <c r="DJV23" s="7"/>
      <c r="DJW23" s="7"/>
      <c r="DJX23" s="7"/>
      <c r="DJY23" s="7"/>
      <c r="DJZ23" s="7"/>
      <c r="DKA23" s="7"/>
      <c r="DKB23" s="7"/>
      <c r="DKC23" s="7"/>
      <c r="DKD23" s="7"/>
      <c r="DKE23" s="7"/>
      <c r="DKF23" s="7"/>
      <c r="DKG23" s="7"/>
      <c r="DKH23" s="7"/>
      <c r="DKI23" s="7"/>
      <c r="DKJ23" s="7"/>
      <c r="DKK23" s="7"/>
      <c r="DKL23" s="7"/>
      <c r="DKM23" s="7"/>
      <c r="DKN23" s="7"/>
      <c r="DKO23" s="7"/>
      <c r="DKP23" s="7"/>
      <c r="DKQ23" s="7"/>
      <c r="DKR23" s="7"/>
      <c r="DKS23" s="7"/>
      <c r="DKT23" s="7"/>
      <c r="DKU23" s="7"/>
      <c r="DKV23" s="7"/>
      <c r="DKW23" s="7"/>
      <c r="DKX23" s="7"/>
      <c r="DKY23" s="7"/>
      <c r="DKZ23" s="7"/>
      <c r="DLA23" s="7"/>
      <c r="DLB23" s="7"/>
      <c r="DLC23" s="7"/>
      <c r="DLD23" s="7"/>
      <c r="DLE23" s="7"/>
      <c r="DLF23" s="7"/>
      <c r="DLG23" s="7"/>
      <c r="DLH23" s="7"/>
      <c r="DLI23" s="7"/>
      <c r="DLJ23" s="7"/>
      <c r="DLK23" s="7"/>
      <c r="DLL23" s="7"/>
      <c r="DLM23" s="7"/>
      <c r="DLN23" s="7"/>
      <c r="DLO23" s="7"/>
      <c r="DLP23" s="7"/>
      <c r="DLQ23" s="7"/>
      <c r="DLR23" s="7"/>
      <c r="DLS23" s="7"/>
      <c r="DLT23" s="7"/>
      <c r="DLU23" s="7"/>
      <c r="DLV23" s="7"/>
      <c r="DLW23" s="7"/>
      <c r="DLX23" s="7"/>
      <c r="DLY23" s="7"/>
      <c r="DLZ23" s="7"/>
      <c r="DMA23" s="7"/>
      <c r="DMB23" s="7"/>
      <c r="DMC23" s="7"/>
      <c r="DMD23" s="7"/>
      <c r="DME23" s="7"/>
      <c r="DMF23" s="7"/>
      <c r="DMG23" s="7"/>
      <c r="DMH23" s="7"/>
      <c r="DMI23" s="7"/>
      <c r="DMJ23" s="7"/>
      <c r="DMK23" s="7"/>
      <c r="DML23" s="7"/>
      <c r="DMM23" s="7"/>
      <c r="DMN23" s="7"/>
      <c r="DMO23" s="7"/>
      <c r="DMP23" s="7"/>
      <c r="DMQ23" s="7"/>
      <c r="DMR23" s="7"/>
      <c r="DMS23" s="7"/>
      <c r="DMT23" s="7"/>
      <c r="DMU23" s="7"/>
      <c r="DMV23" s="7"/>
      <c r="DMW23" s="7"/>
      <c r="DMX23" s="7"/>
      <c r="DMY23" s="7"/>
      <c r="DMZ23" s="7"/>
      <c r="DNA23" s="7"/>
      <c r="DNB23" s="7"/>
      <c r="DNC23" s="7"/>
      <c r="DND23" s="7"/>
      <c r="DNE23" s="7"/>
      <c r="DNF23" s="7"/>
      <c r="DNG23" s="7"/>
      <c r="DNH23" s="7"/>
      <c r="DNI23" s="7"/>
      <c r="DNJ23" s="7"/>
      <c r="DNK23" s="7"/>
      <c r="DNL23" s="7"/>
      <c r="DNM23" s="7"/>
      <c r="DNN23" s="7"/>
      <c r="DNO23" s="7"/>
      <c r="DNP23" s="7"/>
      <c r="DNQ23" s="7"/>
      <c r="DNR23" s="7"/>
      <c r="DNS23" s="7"/>
      <c r="DNT23" s="7"/>
      <c r="DNU23" s="7"/>
      <c r="DNV23" s="7"/>
      <c r="DNW23" s="7"/>
      <c r="DNX23" s="7"/>
      <c r="DNY23" s="7"/>
      <c r="DNZ23" s="7"/>
      <c r="DOA23" s="7"/>
      <c r="DOB23" s="7"/>
      <c r="DOC23" s="7"/>
      <c r="DOD23" s="7"/>
      <c r="DOE23" s="7"/>
      <c r="DOF23" s="7"/>
      <c r="DOG23" s="7"/>
      <c r="DOH23" s="7"/>
      <c r="DOI23" s="7"/>
      <c r="DOJ23" s="7"/>
      <c r="DOK23" s="7"/>
      <c r="DOL23" s="7"/>
      <c r="DOM23" s="7"/>
      <c r="DON23" s="7"/>
      <c r="DOO23" s="7"/>
      <c r="DOP23" s="7"/>
      <c r="DOQ23" s="7"/>
      <c r="DOR23" s="7"/>
      <c r="DOS23" s="7"/>
      <c r="DOT23" s="7"/>
      <c r="DOU23" s="7"/>
      <c r="DOV23" s="7"/>
      <c r="DOW23" s="7"/>
      <c r="DOX23" s="7"/>
      <c r="DOY23" s="7"/>
      <c r="DOZ23" s="7"/>
      <c r="DPA23" s="7"/>
      <c r="DPB23" s="7"/>
      <c r="DPC23" s="7"/>
      <c r="DPD23" s="7"/>
      <c r="DPE23" s="7"/>
      <c r="DPF23" s="7"/>
      <c r="DPG23" s="7"/>
      <c r="DPH23" s="7"/>
      <c r="DPI23" s="7"/>
      <c r="DPJ23" s="7"/>
      <c r="DPK23" s="7"/>
      <c r="DPL23" s="7"/>
      <c r="DPM23" s="7"/>
      <c r="DPN23" s="7"/>
      <c r="DPO23" s="7"/>
      <c r="DPP23" s="7"/>
      <c r="DPQ23" s="7"/>
      <c r="DPR23" s="7"/>
      <c r="DPS23" s="7"/>
      <c r="DPT23" s="7"/>
      <c r="DPU23" s="7"/>
      <c r="DPV23" s="7"/>
      <c r="DPW23" s="7"/>
      <c r="DPX23" s="7"/>
      <c r="DPY23" s="7"/>
      <c r="DPZ23" s="7"/>
      <c r="DQA23" s="7"/>
      <c r="DQB23" s="7"/>
      <c r="DQC23" s="7"/>
      <c r="DQD23" s="7"/>
      <c r="DQE23" s="7"/>
      <c r="DQF23" s="7"/>
      <c r="DQG23" s="7"/>
      <c r="DQH23" s="7"/>
      <c r="DQI23" s="7"/>
      <c r="DQJ23" s="7"/>
      <c r="DQK23" s="7"/>
      <c r="DQL23" s="7"/>
      <c r="DQM23" s="7"/>
      <c r="DQN23" s="7"/>
      <c r="DQO23" s="7"/>
      <c r="DQP23" s="7"/>
      <c r="DQQ23" s="7"/>
      <c r="DQR23" s="7"/>
      <c r="DQS23" s="7"/>
      <c r="DQT23" s="7"/>
      <c r="DQU23" s="7"/>
      <c r="DQV23" s="7"/>
      <c r="DQW23" s="7"/>
      <c r="DQX23" s="7"/>
      <c r="DQY23" s="7"/>
      <c r="DQZ23" s="7"/>
      <c r="DRA23" s="7"/>
      <c r="DRB23" s="7"/>
      <c r="DRC23" s="7"/>
      <c r="DRD23" s="7"/>
      <c r="DRE23" s="7"/>
      <c r="DRF23" s="7"/>
      <c r="DRG23" s="7"/>
      <c r="DRH23" s="7"/>
      <c r="DRI23" s="7"/>
      <c r="DRJ23" s="7"/>
      <c r="DRK23" s="7"/>
      <c r="DRL23" s="7"/>
      <c r="DRM23" s="7"/>
      <c r="DRN23" s="7"/>
      <c r="DRO23" s="7"/>
      <c r="DRP23" s="7"/>
      <c r="DRQ23" s="7"/>
      <c r="DRR23" s="7"/>
      <c r="DRS23" s="7"/>
      <c r="DRT23" s="7"/>
      <c r="DRU23" s="7"/>
      <c r="DRV23" s="7"/>
      <c r="DRW23" s="7"/>
      <c r="DRX23" s="7"/>
      <c r="DRY23" s="7"/>
      <c r="DRZ23" s="7"/>
      <c r="DSA23" s="7"/>
      <c r="DSB23" s="7"/>
      <c r="DSC23" s="7"/>
      <c r="DSD23" s="7"/>
      <c r="DSE23" s="7"/>
      <c r="DSF23" s="7"/>
      <c r="DSG23" s="7"/>
      <c r="DSH23" s="7"/>
      <c r="DSI23" s="7"/>
      <c r="DSJ23" s="7"/>
      <c r="DSK23" s="7"/>
      <c r="DSL23" s="7"/>
      <c r="DSM23" s="7"/>
      <c r="DSN23" s="7"/>
      <c r="DSO23" s="7"/>
      <c r="DSP23" s="7"/>
      <c r="DSQ23" s="7"/>
      <c r="DSR23" s="7"/>
      <c r="DSS23" s="7"/>
      <c r="DST23" s="7"/>
      <c r="DSU23" s="7"/>
      <c r="DSV23" s="7"/>
      <c r="DSW23" s="7"/>
      <c r="DSX23" s="7"/>
      <c r="DSY23" s="7"/>
      <c r="DSZ23" s="7"/>
      <c r="DTA23" s="7"/>
      <c r="DTB23" s="7"/>
      <c r="DTC23" s="7"/>
      <c r="DTD23" s="7"/>
      <c r="DTE23" s="7"/>
      <c r="DTF23" s="7"/>
      <c r="DTG23" s="7"/>
      <c r="DTH23" s="7"/>
      <c r="DTI23" s="7"/>
      <c r="DTJ23" s="7"/>
      <c r="DTK23" s="7"/>
      <c r="DTL23" s="7"/>
      <c r="DTM23" s="7"/>
      <c r="DTN23" s="7"/>
      <c r="DTO23" s="7"/>
      <c r="DTP23" s="7"/>
      <c r="DTQ23" s="7"/>
      <c r="DTR23" s="7"/>
      <c r="DTS23" s="7"/>
      <c r="DTT23" s="7"/>
      <c r="DTU23" s="7"/>
      <c r="DTV23" s="7"/>
      <c r="DTW23" s="7"/>
      <c r="DTX23" s="7"/>
      <c r="DTY23" s="7"/>
      <c r="DTZ23" s="7"/>
      <c r="DUA23" s="7"/>
      <c r="DUB23" s="7"/>
      <c r="DUC23" s="7"/>
      <c r="DUD23" s="7"/>
      <c r="DUE23" s="7"/>
      <c r="DUF23" s="7"/>
      <c r="DUG23" s="7"/>
      <c r="DUH23" s="7"/>
      <c r="DUI23" s="7"/>
      <c r="DUJ23" s="7"/>
      <c r="DUK23" s="7"/>
      <c r="DUL23" s="7"/>
      <c r="DUM23" s="7"/>
      <c r="DUN23" s="7"/>
      <c r="DUO23" s="7"/>
      <c r="DUP23" s="7"/>
      <c r="DUQ23" s="7"/>
      <c r="DUR23" s="7"/>
      <c r="DUS23" s="7"/>
      <c r="DUT23" s="7"/>
      <c r="DUU23" s="7"/>
      <c r="DUV23" s="7"/>
      <c r="DUW23" s="7"/>
      <c r="DUX23" s="7"/>
      <c r="DUY23" s="7"/>
      <c r="DUZ23" s="7"/>
      <c r="DVA23" s="7"/>
      <c r="DVB23" s="7"/>
      <c r="DVC23" s="7"/>
      <c r="DVD23" s="7"/>
      <c r="DVE23" s="7"/>
      <c r="DVF23" s="7"/>
      <c r="DVG23" s="7"/>
      <c r="DVH23" s="7"/>
      <c r="DVI23" s="7"/>
      <c r="DVJ23" s="7"/>
      <c r="DVK23" s="7"/>
      <c r="DVL23" s="7"/>
      <c r="DVM23" s="7"/>
      <c r="DVN23" s="7"/>
      <c r="DVO23" s="7"/>
      <c r="DVP23" s="7"/>
      <c r="DVQ23" s="7"/>
      <c r="DVR23" s="7"/>
      <c r="DVS23" s="7"/>
      <c r="DVT23" s="7"/>
      <c r="DVU23" s="7"/>
      <c r="DVV23" s="7"/>
      <c r="DVW23" s="7"/>
      <c r="DVX23" s="7"/>
      <c r="DVY23" s="7"/>
      <c r="DVZ23" s="7"/>
      <c r="DWA23" s="7"/>
      <c r="DWB23" s="7"/>
      <c r="DWC23" s="7"/>
      <c r="DWD23" s="7"/>
      <c r="DWE23" s="7"/>
      <c r="DWF23" s="7"/>
      <c r="DWG23" s="7"/>
      <c r="DWH23" s="7"/>
      <c r="DWI23" s="7"/>
      <c r="DWJ23" s="7"/>
      <c r="DWK23" s="7"/>
      <c r="DWL23" s="7"/>
      <c r="DWM23" s="7"/>
      <c r="DWN23" s="7"/>
      <c r="DWO23" s="7"/>
      <c r="DWP23" s="7"/>
      <c r="DWQ23" s="7"/>
      <c r="DWR23" s="7"/>
      <c r="DWS23" s="7"/>
      <c r="DWT23" s="7"/>
      <c r="DWU23" s="7"/>
      <c r="DWV23" s="7"/>
      <c r="DWW23" s="7"/>
      <c r="DWX23" s="7"/>
      <c r="DWY23" s="7"/>
      <c r="DWZ23" s="7"/>
      <c r="DXA23" s="7"/>
      <c r="DXB23" s="7"/>
      <c r="DXC23" s="7"/>
      <c r="DXD23" s="7"/>
      <c r="DXE23" s="7"/>
      <c r="DXF23" s="7"/>
      <c r="DXG23" s="7"/>
      <c r="DXH23" s="7"/>
      <c r="DXI23" s="7"/>
      <c r="DXJ23" s="7"/>
      <c r="DXK23" s="7"/>
      <c r="DXL23" s="7"/>
      <c r="DXM23" s="7"/>
      <c r="DXN23" s="7"/>
      <c r="DXO23" s="7"/>
      <c r="DXP23" s="7"/>
      <c r="DXQ23" s="7"/>
      <c r="DXR23" s="7"/>
      <c r="DXS23" s="7"/>
      <c r="DXT23" s="7"/>
      <c r="DXU23" s="7"/>
      <c r="DXV23" s="7"/>
      <c r="DXW23" s="7"/>
      <c r="DXX23" s="7"/>
      <c r="DXY23" s="7"/>
      <c r="DXZ23" s="7"/>
      <c r="DYA23" s="7"/>
      <c r="DYB23" s="7"/>
      <c r="DYC23" s="7"/>
      <c r="DYD23" s="7"/>
      <c r="DYE23" s="7"/>
      <c r="DYF23" s="7"/>
      <c r="DYG23" s="7"/>
      <c r="DYH23" s="7"/>
      <c r="DYI23" s="7"/>
      <c r="DYJ23" s="7"/>
      <c r="DYK23" s="7"/>
      <c r="DYL23" s="7"/>
      <c r="DYM23" s="7"/>
      <c r="DYN23" s="7"/>
      <c r="DYO23" s="7"/>
      <c r="DYP23" s="7"/>
      <c r="DYQ23" s="7"/>
      <c r="DYR23" s="7"/>
      <c r="DYS23" s="7"/>
      <c r="DYT23" s="7"/>
      <c r="DYU23" s="7"/>
      <c r="DYV23" s="7"/>
      <c r="DYW23" s="7"/>
      <c r="DYX23" s="7"/>
      <c r="DYY23" s="7"/>
      <c r="DYZ23" s="7"/>
      <c r="DZA23" s="7"/>
      <c r="DZB23" s="7"/>
      <c r="DZC23" s="7"/>
      <c r="DZD23" s="7"/>
      <c r="DZE23" s="7"/>
      <c r="DZF23" s="7"/>
      <c r="DZG23" s="7"/>
      <c r="DZH23" s="7"/>
      <c r="DZI23" s="7"/>
      <c r="DZJ23" s="7"/>
      <c r="DZK23" s="7"/>
      <c r="DZL23" s="7"/>
      <c r="DZM23" s="7"/>
      <c r="DZN23" s="7"/>
      <c r="DZO23" s="7"/>
      <c r="DZP23" s="7"/>
      <c r="DZQ23" s="7"/>
      <c r="DZR23" s="7"/>
      <c r="DZS23" s="7"/>
      <c r="DZT23" s="7"/>
      <c r="DZU23" s="7"/>
      <c r="DZV23" s="7"/>
      <c r="DZW23" s="7"/>
      <c r="DZX23" s="7"/>
      <c r="DZY23" s="7"/>
      <c r="DZZ23" s="7"/>
      <c r="EAA23" s="7"/>
      <c r="EAB23" s="7"/>
      <c r="EAC23" s="7"/>
      <c r="EAD23" s="7"/>
      <c r="EAE23" s="7"/>
      <c r="EAF23" s="7"/>
      <c r="EAG23" s="7"/>
      <c r="EAH23" s="7"/>
      <c r="EAI23" s="7"/>
      <c r="EAJ23" s="7"/>
      <c r="EAK23" s="7"/>
      <c r="EAL23" s="7"/>
      <c r="EAM23" s="7"/>
      <c r="EAN23" s="7"/>
      <c r="EAO23" s="7"/>
      <c r="EAP23" s="7"/>
      <c r="EAQ23" s="7"/>
      <c r="EAR23" s="7"/>
      <c r="EAS23" s="7"/>
      <c r="EAT23" s="7"/>
      <c r="EAU23" s="7"/>
      <c r="EAV23" s="7"/>
      <c r="EAW23" s="7"/>
      <c r="EAX23" s="7"/>
      <c r="EAY23" s="7"/>
      <c r="EAZ23" s="7"/>
      <c r="EBA23" s="7"/>
      <c r="EBB23" s="7"/>
      <c r="EBC23" s="7"/>
      <c r="EBD23" s="7"/>
      <c r="EBE23" s="7"/>
      <c r="EBF23" s="7"/>
      <c r="EBG23" s="7"/>
      <c r="EBH23" s="7"/>
      <c r="EBI23" s="7"/>
      <c r="EBJ23" s="7"/>
      <c r="EBK23" s="7"/>
      <c r="EBL23" s="7"/>
      <c r="EBM23" s="7"/>
      <c r="EBN23" s="7"/>
      <c r="EBO23" s="7"/>
      <c r="EBP23" s="7"/>
      <c r="EBQ23" s="7"/>
      <c r="EBR23" s="7"/>
      <c r="EBS23" s="7"/>
      <c r="EBT23" s="7"/>
      <c r="EBU23" s="7"/>
      <c r="EBV23" s="7"/>
      <c r="EBW23" s="7"/>
      <c r="EBX23" s="7"/>
      <c r="EBY23" s="7"/>
      <c r="EBZ23" s="7"/>
      <c r="ECA23" s="7"/>
      <c r="ECB23" s="7"/>
      <c r="ECC23" s="7"/>
      <c r="ECD23" s="7"/>
      <c r="ECE23" s="7"/>
      <c r="ECF23" s="7"/>
      <c r="ECG23" s="7"/>
      <c r="ECH23" s="7"/>
      <c r="ECI23" s="7"/>
      <c r="ECJ23" s="7"/>
      <c r="ECK23" s="7"/>
      <c r="ECL23" s="7"/>
      <c r="ECM23" s="7"/>
      <c r="ECN23" s="7"/>
      <c r="ECO23" s="7"/>
      <c r="ECP23" s="7"/>
      <c r="ECQ23" s="7"/>
      <c r="ECR23" s="7"/>
      <c r="ECS23" s="7"/>
      <c r="ECT23" s="7"/>
      <c r="ECU23" s="7"/>
      <c r="ECV23" s="7"/>
      <c r="ECW23" s="7"/>
      <c r="ECX23" s="7"/>
      <c r="ECY23" s="7"/>
      <c r="ECZ23" s="7"/>
      <c r="EDA23" s="7"/>
      <c r="EDB23" s="7"/>
      <c r="EDC23" s="7"/>
      <c r="EDD23" s="7"/>
      <c r="EDE23" s="7"/>
      <c r="EDF23" s="7"/>
      <c r="EDG23" s="7"/>
      <c r="EDH23" s="7"/>
      <c r="EDI23" s="7"/>
      <c r="EDJ23" s="7"/>
      <c r="EDK23" s="7"/>
      <c r="EDL23" s="7"/>
      <c r="EDM23" s="7"/>
      <c r="EDN23" s="7"/>
      <c r="EDO23" s="7"/>
      <c r="EDP23" s="7"/>
      <c r="EDQ23" s="7"/>
      <c r="EDR23" s="7"/>
      <c r="EDS23" s="7"/>
      <c r="EDT23" s="7"/>
      <c r="EDU23" s="7"/>
      <c r="EDV23" s="7"/>
      <c r="EDW23" s="7"/>
      <c r="EDX23" s="7"/>
      <c r="EDY23" s="7"/>
      <c r="EDZ23" s="7"/>
      <c r="EEA23" s="7"/>
      <c r="EEB23" s="7"/>
      <c r="EEC23" s="7"/>
      <c r="EED23" s="7"/>
      <c r="EEE23" s="7"/>
      <c r="EEF23" s="7"/>
      <c r="EEG23" s="7"/>
      <c r="EEH23" s="7"/>
      <c r="EEI23" s="7"/>
      <c r="EEJ23" s="7"/>
      <c r="EEK23" s="7"/>
      <c r="EEL23" s="7"/>
      <c r="EEM23" s="7"/>
      <c r="EEN23" s="7"/>
      <c r="EEO23" s="7"/>
      <c r="EEP23" s="7"/>
      <c r="EEQ23" s="7"/>
      <c r="EER23" s="7"/>
      <c r="EES23" s="7"/>
      <c r="EET23" s="7"/>
      <c r="EEU23" s="7"/>
      <c r="EEV23" s="7"/>
      <c r="EEW23" s="7"/>
      <c r="EEX23" s="7"/>
      <c r="EEY23" s="7"/>
      <c r="EEZ23" s="7"/>
      <c r="EFA23" s="7"/>
      <c r="EFB23" s="7"/>
      <c r="EFC23" s="7"/>
      <c r="EFD23" s="7"/>
      <c r="EFE23" s="7"/>
      <c r="EFF23" s="7"/>
      <c r="EFG23" s="7"/>
      <c r="EFH23" s="7"/>
      <c r="EFI23" s="7"/>
      <c r="EFJ23" s="7"/>
      <c r="EFK23" s="7"/>
      <c r="EFL23" s="7"/>
      <c r="EFM23" s="7"/>
      <c r="EFN23" s="7"/>
      <c r="EFO23" s="7"/>
      <c r="EFP23" s="7"/>
      <c r="EFQ23" s="7"/>
      <c r="EFR23" s="7"/>
      <c r="EFS23" s="7"/>
      <c r="EFT23" s="7"/>
      <c r="EFU23" s="7"/>
      <c r="EFV23" s="7"/>
      <c r="EFW23" s="7"/>
      <c r="EFX23" s="7"/>
      <c r="EFY23" s="7"/>
      <c r="EFZ23" s="7"/>
      <c r="EGA23" s="7"/>
      <c r="EGB23" s="7"/>
      <c r="EGC23" s="7"/>
      <c r="EGD23" s="7"/>
      <c r="EGE23" s="7"/>
      <c r="EGF23" s="7"/>
      <c r="EGG23" s="7"/>
      <c r="EGH23" s="7"/>
      <c r="EGI23" s="7"/>
      <c r="EGJ23" s="7"/>
      <c r="EGK23" s="7"/>
      <c r="EGL23" s="7"/>
      <c r="EGM23" s="7"/>
      <c r="EGN23" s="7"/>
      <c r="EGO23" s="7"/>
      <c r="EGP23" s="7"/>
      <c r="EGQ23" s="7"/>
      <c r="EGR23" s="7"/>
      <c r="EGS23" s="7"/>
      <c r="EGT23" s="7"/>
      <c r="EGU23" s="7"/>
      <c r="EGV23" s="7"/>
      <c r="EGW23" s="7"/>
      <c r="EGX23" s="7"/>
      <c r="EGY23" s="7"/>
      <c r="EGZ23" s="7"/>
      <c r="EHA23" s="7"/>
      <c r="EHB23" s="7"/>
      <c r="EHC23" s="7"/>
      <c r="EHD23" s="7"/>
      <c r="EHE23" s="7"/>
      <c r="EHF23" s="7"/>
      <c r="EHG23" s="7"/>
      <c r="EHH23" s="7"/>
      <c r="EHI23" s="7"/>
      <c r="EHJ23" s="7"/>
      <c r="EHK23" s="7"/>
      <c r="EHL23" s="7"/>
      <c r="EHM23" s="7"/>
      <c r="EHN23" s="7"/>
      <c r="EHO23" s="7"/>
      <c r="EHP23" s="7"/>
      <c r="EHQ23" s="7"/>
      <c r="EHR23" s="7"/>
      <c r="EHS23" s="7"/>
      <c r="EHT23" s="7"/>
      <c r="EHU23" s="7"/>
      <c r="EHV23" s="7"/>
      <c r="EHW23" s="7"/>
      <c r="EHX23" s="7"/>
      <c r="EHY23" s="7"/>
      <c r="EHZ23" s="7"/>
      <c r="EIA23" s="7"/>
      <c r="EIB23" s="7"/>
      <c r="EIC23" s="7"/>
      <c r="EID23" s="7"/>
      <c r="EIE23" s="7"/>
      <c r="EIF23" s="7"/>
      <c r="EIG23" s="7"/>
      <c r="EIH23" s="7"/>
      <c r="EII23" s="7"/>
      <c r="EIJ23" s="7"/>
      <c r="EIK23" s="7"/>
      <c r="EIL23" s="7"/>
      <c r="EIM23" s="7"/>
      <c r="EIN23" s="7"/>
      <c r="EIO23" s="7"/>
      <c r="EIP23" s="7"/>
      <c r="EIQ23" s="7"/>
      <c r="EIR23" s="7"/>
      <c r="EIS23" s="7"/>
      <c r="EIT23" s="7"/>
      <c r="EIU23" s="7"/>
      <c r="EIV23" s="7"/>
      <c r="EIW23" s="7"/>
      <c r="EIX23" s="7"/>
      <c r="EIY23" s="7"/>
      <c r="EIZ23" s="7"/>
      <c r="EJA23" s="7"/>
      <c r="EJB23" s="7"/>
      <c r="EJC23" s="7"/>
      <c r="EJD23" s="7"/>
      <c r="EJE23" s="7"/>
      <c r="EJF23" s="7"/>
      <c r="EJG23" s="7"/>
      <c r="EJH23" s="7"/>
      <c r="EJI23" s="7"/>
      <c r="EJJ23" s="7"/>
      <c r="EJK23" s="7"/>
      <c r="EJL23" s="7"/>
      <c r="EJM23" s="7"/>
      <c r="EJN23" s="7"/>
      <c r="EJO23" s="7"/>
      <c r="EJP23" s="7"/>
      <c r="EJQ23" s="7"/>
      <c r="EJR23" s="7"/>
      <c r="EJS23" s="7"/>
      <c r="EJT23" s="7"/>
      <c r="EJU23" s="7"/>
      <c r="EJV23" s="7"/>
      <c r="EJW23" s="7"/>
      <c r="EJX23" s="7"/>
      <c r="EJY23" s="7"/>
      <c r="EJZ23" s="7"/>
      <c r="EKA23" s="7"/>
      <c r="EKB23" s="7"/>
      <c r="EKC23" s="7"/>
      <c r="EKD23" s="7"/>
      <c r="EKE23" s="7"/>
      <c r="EKF23" s="7"/>
      <c r="EKG23" s="7"/>
      <c r="EKH23" s="7"/>
      <c r="EKI23" s="7"/>
      <c r="EKJ23" s="7"/>
      <c r="EKK23" s="7"/>
      <c r="EKL23" s="7"/>
      <c r="EKM23" s="7"/>
      <c r="EKN23" s="7"/>
      <c r="EKO23" s="7"/>
      <c r="EKP23" s="7"/>
      <c r="EKQ23" s="7"/>
      <c r="EKR23" s="7"/>
      <c r="EKS23" s="7"/>
      <c r="EKT23" s="7"/>
      <c r="EKU23" s="7"/>
      <c r="EKV23" s="7"/>
      <c r="EKW23" s="7"/>
      <c r="EKX23" s="7"/>
      <c r="EKY23" s="7"/>
      <c r="EKZ23" s="7"/>
      <c r="ELA23" s="7"/>
      <c r="ELB23" s="7"/>
      <c r="ELC23" s="7"/>
      <c r="ELD23" s="7"/>
      <c r="ELE23" s="7"/>
      <c r="ELF23" s="7"/>
      <c r="ELG23" s="7"/>
      <c r="ELH23" s="7"/>
      <c r="ELI23" s="7"/>
      <c r="ELJ23" s="7"/>
      <c r="ELK23" s="7"/>
      <c r="ELL23" s="7"/>
      <c r="ELM23" s="7"/>
      <c r="ELN23" s="7"/>
      <c r="ELO23" s="7"/>
      <c r="ELP23" s="7"/>
      <c r="ELQ23" s="7"/>
      <c r="ELR23" s="7"/>
      <c r="ELS23" s="7"/>
      <c r="ELT23" s="7"/>
      <c r="ELU23" s="7"/>
      <c r="ELV23" s="7"/>
      <c r="ELW23" s="7"/>
      <c r="ELX23" s="7"/>
      <c r="ELY23" s="7"/>
      <c r="ELZ23" s="7"/>
      <c r="EMA23" s="7"/>
      <c r="EMB23" s="7"/>
      <c r="EMC23" s="7"/>
      <c r="EMD23" s="7"/>
      <c r="EME23" s="7"/>
      <c r="EMF23" s="7"/>
      <c r="EMG23" s="7"/>
      <c r="EMH23" s="7"/>
      <c r="EMI23" s="7"/>
      <c r="EMJ23" s="7"/>
      <c r="EMK23" s="7"/>
      <c r="EML23" s="7"/>
      <c r="EMM23" s="7"/>
      <c r="EMN23" s="7"/>
      <c r="EMO23" s="7"/>
      <c r="EMP23" s="7"/>
      <c r="EMQ23" s="7"/>
      <c r="EMR23" s="7"/>
      <c r="EMS23" s="7"/>
      <c r="EMT23" s="7"/>
      <c r="EMU23" s="7"/>
      <c r="EMV23" s="7"/>
      <c r="EMW23" s="7"/>
      <c r="EMX23" s="7"/>
      <c r="EMY23" s="7"/>
      <c r="EMZ23" s="7"/>
      <c r="ENA23" s="7"/>
      <c r="ENB23" s="7"/>
      <c r="ENC23" s="7"/>
      <c r="END23" s="7"/>
      <c r="ENE23" s="7"/>
      <c r="ENF23" s="7"/>
      <c r="ENG23" s="7"/>
      <c r="ENH23" s="7"/>
      <c r="ENI23" s="7"/>
      <c r="ENJ23" s="7"/>
      <c r="ENK23" s="7"/>
      <c r="ENL23" s="7"/>
      <c r="ENM23" s="7"/>
      <c r="ENN23" s="7"/>
      <c r="ENO23" s="7"/>
      <c r="ENP23" s="7"/>
      <c r="ENQ23" s="7"/>
      <c r="ENR23" s="7"/>
      <c r="ENS23" s="7"/>
      <c r="ENT23" s="7"/>
      <c r="ENU23" s="7"/>
      <c r="ENV23" s="7"/>
      <c r="ENW23" s="7"/>
      <c r="ENX23" s="7"/>
      <c r="ENY23" s="7"/>
      <c r="ENZ23" s="7"/>
      <c r="EOA23" s="7"/>
      <c r="EOB23" s="7"/>
      <c r="EOC23" s="7"/>
      <c r="EOD23" s="7"/>
      <c r="EOE23" s="7"/>
      <c r="EOF23" s="7"/>
      <c r="EOG23" s="7"/>
      <c r="EOH23" s="7"/>
      <c r="EOI23" s="7"/>
      <c r="EOJ23" s="7"/>
      <c r="EOK23" s="7"/>
      <c r="EOL23" s="7"/>
      <c r="EOM23" s="7"/>
      <c r="EON23" s="7"/>
      <c r="EOO23" s="7"/>
      <c r="EOP23" s="7"/>
      <c r="EOQ23" s="7"/>
      <c r="EOR23" s="7"/>
      <c r="EOS23" s="7"/>
      <c r="EOT23" s="7"/>
      <c r="EOU23" s="7"/>
      <c r="EOV23" s="7"/>
      <c r="EOW23" s="7"/>
      <c r="EOX23" s="7"/>
      <c r="EOY23" s="7"/>
      <c r="EOZ23" s="7"/>
      <c r="EPA23" s="7"/>
      <c r="EPB23" s="7"/>
      <c r="EPC23" s="7"/>
      <c r="EPD23" s="7"/>
      <c r="EPE23" s="7"/>
      <c r="EPF23" s="7"/>
      <c r="EPG23" s="7"/>
      <c r="EPH23" s="7"/>
      <c r="EPI23" s="7"/>
      <c r="EPJ23" s="7"/>
      <c r="EPK23" s="7"/>
      <c r="EPL23" s="7"/>
      <c r="EPM23" s="7"/>
      <c r="EPN23" s="7"/>
      <c r="EPO23" s="7"/>
      <c r="EPP23" s="7"/>
      <c r="EPQ23" s="7"/>
      <c r="EPR23" s="7"/>
      <c r="EPS23" s="7"/>
      <c r="EPT23" s="7"/>
      <c r="EPU23" s="7"/>
      <c r="EPV23" s="7"/>
      <c r="EPW23" s="7"/>
      <c r="EPX23" s="7"/>
      <c r="EPY23" s="7"/>
      <c r="EPZ23" s="7"/>
      <c r="EQA23" s="7"/>
      <c r="EQB23" s="7"/>
      <c r="EQC23" s="7"/>
      <c r="EQD23" s="7"/>
      <c r="EQE23" s="7"/>
      <c r="EQF23" s="7"/>
      <c r="EQG23" s="7"/>
      <c r="EQH23" s="7"/>
      <c r="EQI23" s="7"/>
      <c r="EQJ23" s="7"/>
      <c r="EQK23" s="7"/>
      <c r="EQL23" s="7"/>
      <c r="EQM23" s="7"/>
      <c r="EQN23" s="7"/>
      <c r="EQO23" s="7"/>
      <c r="EQP23" s="7"/>
      <c r="EQQ23" s="7"/>
      <c r="EQR23" s="7"/>
      <c r="EQS23" s="7"/>
      <c r="EQT23" s="7"/>
      <c r="EQU23" s="7"/>
      <c r="EQV23" s="7"/>
      <c r="EQW23" s="7"/>
      <c r="EQX23" s="7"/>
      <c r="EQY23" s="7"/>
      <c r="EQZ23" s="7"/>
      <c r="ERA23" s="7"/>
      <c r="ERB23" s="7"/>
      <c r="ERC23" s="7"/>
      <c r="ERD23" s="7"/>
      <c r="ERE23" s="7"/>
      <c r="ERF23" s="7"/>
      <c r="ERG23" s="7"/>
      <c r="ERH23" s="7"/>
      <c r="ERI23" s="7"/>
      <c r="ERJ23" s="7"/>
      <c r="ERK23" s="7"/>
      <c r="ERL23" s="7"/>
      <c r="ERM23" s="7"/>
      <c r="ERN23" s="7"/>
      <c r="ERO23" s="7"/>
      <c r="ERP23" s="7"/>
      <c r="ERQ23" s="7"/>
      <c r="ERR23" s="7"/>
      <c r="ERS23" s="7"/>
      <c r="ERT23" s="7"/>
      <c r="ERU23" s="7"/>
      <c r="ERV23" s="7"/>
      <c r="ERW23" s="7"/>
      <c r="ERX23" s="7"/>
      <c r="ERY23" s="7"/>
      <c r="ERZ23" s="7"/>
      <c r="ESA23" s="7"/>
      <c r="ESB23" s="7"/>
      <c r="ESC23" s="7"/>
      <c r="ESD23" s="7"/>
      <c r="ESE23" s="7"/>
      <c r="ESF23" s="7"/>
      <c r="ESG23" s="7"/>
      <c r="ESH23" s="7"/>
      <c r="ESI23" s="7"/>
      <c r="ESJ23" s="7"/>
      <c r="ESK23" s="7"/>
      <c r="ESL23" s="7"/>
      <c r="ESM23" s="7"/>
      <c r="ESN23" s="7"/>
      <c r="ESO23" s="7"/>
      <c r="ESP23" s="7"/>
      <c r="ESQ23" s="7"/>
      <c r="ESR23" s="7"/>
      <c r="ESS23" s="7"/>
      <c r="EST23" s="7"/>
      <c r="ESU23" s="7"/>
      <c r="ESV23" s="7"/>
      <c r="ESW23" s="7"/>
      <c r="ESX23" s="7"/>
      <c r="ESY23" s="7"/>
      <c r="ESZ23" s="7"/>
      <c r="ETA23" s="7"/>
      <c r="ETB23" s="7"/>
      <c r="ETC23" s="7"/>
      <c r="ETD23" s="7"/>
      <c r="ETE23" s="7"/>
      <c r="ETF23" s="7"/>
      <c r="ETG23" s="7"/>
      <c r="ETH23" s="7"/>
      <c r="ETI23" s="7"/>
      <c r="ETJ23" s="7"/>
      <c r="ETK23" s="7"/>
      <c r="ETL23" s="7"/>
      <c r="ETM23" s="7"/>
      <c r="ETN23" s="7"/>
      <c r="ETO23" s="7"/>
      <c r="ETP23" s="7"/>
      <c r="ETQ23" s="7"/>
      <c r="ETR23" s="7"/>
      <c r="ETS23" s="7"/>
      <c r="ETT23" s="7"/>
      <c r="ETU23" s="7"/>
      <c r="ETV23" s="7"/>
      <c r="ETW23" s="7"/>
      <c r="ETX23" s="7"/>
      <c r="ETY23" s="7"/>
      <c r="ETZ23" s="7"/>
      <c r="EUA23" s="7"/>
      <c r="EUB23" s="7"/>
      <c r="EUC23" s="7"/>
      <c r="EUD23" s="7"/>
      <c r="EUE23" s="7"/>
      <c r="EUF23" s="7"/>
      <c r="EUG23" s="7"/>
      <c r="EUH23" s="7"/>
      <c r="EUI23" s="7"/>
      <c r="EUJ23" s="7"/>
      <c r="EUK23" s="7"/>
      <c r="EUL23" s="7"/>
      <c r="EUM23" s="7"/>
      <c r="EUN23" s="7"/>
      <c r="EUO23" s="7"/>
      <c r="EUP23" s="7"/>
      <c r="EUQ23" s="7"/>
      <c r="EUR23" s="7"/>
      <c r="EUS23" s="7"/>
      <c r="EUT23" s="7"/>
      <c r="EUU23" s="7"/>
      <c r="EUV23" s="7"/>
      <c r="EUW23" s="7"/>
      <c r="EUX23" s="7"/>
      <c r="EUY23" s="7"/>
      <c r="EUZ23" s="7"/>
      <c r="EVA23" s="7"/>
      <c r="EVB23" s="7"/>
      <c r="EVC23" s="7"/>
      <c r="EVD23" s="7"/>
      <c r="EVE23" s="7"/>
      <c r="EVF23" s="7"/>
      <c r="EVG23" s="7"/>
      <c r="EVH23" s="7"/>
      <c r="EVI23" s="7"/>
      <c r="EVJ23" s="7"/>
      <c r="EVK23" s="7"/>
      <c r="EVL23" s="7"/>
      <c r="EVM23" s="7"/>
      <c r="EVN23" s="7"/>
      <c r="EVO23" s="7"/>
      <c r="EVP23" s="7"/>
      <c r="EVQ23" s="7"/>
      <c r="EVR23" s="7"/>
      <c r="EVS23" s="7"/>
      <c r="EVT23" s="7"/>
      <c r="EVU23" s="7"/>
      <c r="EVV23" s="7"/>
      <c r="EVW23" s="7"/>
      <c r="EVX23" s="7"/>
      <c r="EVY23" s="7"/>
      <c r="EVZ23" s="7"/>
      <c r="EWA23" s="7"/>
      <c r="EWB23" s="7"/>
      <c r="EWC23" s="7"/>
      <c r="EWD23" s="7"/>
      <c r="EWE23" s="7"/>
      <c r="EWF23" s="7"/>
      <c r="EWG23" s="7"/>
      <c r="EWH23" s="7"/>
      <c r="EWI23" s="7"/>
      <c r="EWJ23" s="7"/>
      <c r="EWK23" s="7"/>
      <c r="EWL23" s="7"/>
      <c r="EWM23" s="7"/>
      <c r="EWN23" s="7"/>
      <c r="EWO23" s="7"/>
      <c r="EWP23" s="7"/>
      <c r="EWQ23" s="7"/>
      <c r="EWR23" s="7"/>
      <c r="EWS23" s="7"/>
      <c r="EWT23" s="7"/>
      <c r="EWU23" s="7"/>
      <c r="EWV23" s="7"/>
      <c r="EWW23" s="7"/>
      <c r="EWX23" s="7"/>
      <c r="EWY23" s="7"/>
      <c r="EWZ23" s="7"/>
      <c r="EXA23" s="7"/>
      <c r="EXB23" s="7"/>
      <c r="EXC23" s="7"/>
      <c r="EXD23" s="7"/>
      <c r="EXE23" s="7"/>
      <c r="EXF23" s="7"/>
      <c r="EXG23" s="7"/>
      <c r="EXH23" s="7"/>
      <c r="EXI23" s="7"/>
      <c r="EXJ23" s="7"/>
      <c r="EXK23" s="7"/>
      <c r="EXL23" s="7"/>
      <c r="EXM23" s="7"/>
      <c r="EXN23" s="7"/>
      <c r="EXO23" s="7"/>
      <c r="EXP23" s="7"/>
      <c r="EXQ23" s="7"/>
      <c r="EXR23" s="7"/>
      <c r="EXS23" s="7"/>
      <c r="EXT23" s="7"/>
      <c r="EXU23" s="7"/>
      <c r="EXV23" s="7"/>
      <c r="EXW23" s="7"/>
      <c r="EXX23" s="7"/>
      <c r="EXY23" s="7"/>
      <c r="EXZ23" s="7"/>
      <c r="EYA23" s="7"/>
      <c r="EYB23" s="7"/>
      <c r="EYC23" s="7"/>
      <c r="EYD23" s="7"/>
      <c r="EYE23" s="7"/>
      <c r="EYF23" s="7"/>
      <c r="EYG23" s="7"/>
      <c r="EYH23" s="7"/>
      <c r="EYI23" s="7"/>
      <c r="EYJ23" s="7"/>
      <c r="EYK23" s="7"/>
      <c r="EYL23" s="7"/>
      <c r="EYM23" s="7"/>
      <c r="EYN23" s="7"/>
      <c r="EYO23" s="7"/>
      <c r="EYP23" s="7"/>
      <c r="EYQ23" s="7"/>
      <c r="EYR23" s="7"/>
      <c r="EYS23" s="7"/>
      <c r="EYT23" s="7"/>
      <c r="EYU23" s="7"/>
      <c r="EYV23" s="7"/>
      <c r="EYW23" s="7"/>
      <c r="EYX23" s="7"/>
      <c r="EYY23" s="7"/>
      <c r="EYZ23" s="7"/>
      <c r="EZA23" s="7"/>
      <c r="EZB23" s="7"/>
      <c r="EZC23" s="7"/>
      <c r="EZD23" s="7"/>
      <c r="EZE23" s="7"/>
      <c r="EZF23" s="7"/>
      <c r="EZG23" s="7"/>
      <c r="EZH23" s="7"/>
      <c r="EZI23" s="7"/>
      <c r="EZJ23" s="7"/>
      <c r="EZK23" s="7"/>
      <c r="EZL23" s="7"/>
      <c r="EZM23" s="7"/>
      <c r="EZN23" s="7"/>
      <c r="EZO23" s="7"/>
      <c r="EZP23" s="7"/>
      <c r="EZQ23" s="7"/>
      <c r="EZR23" s="7"/>
      <c r="EZS23" s="7"/>
      <c r="EZT23" s="7"/>
      <c r="EZU23" s="7"/>
      <c r="EZV23" s="7"/>
      <c r="EZW23" s="7"/>
      <c r="EZX23" s="7"/>
      <c r="EZY23" s="7"/>
      <c r="EZZ23" s="7"/>
      <c r="FAA23" s="7"/>
      <c r="FAB23" s="7"/>
      <c r="FAC23" s="7"/>
      <c r="FAD23" s="7"/>
      <c r="FAE23" s="7"/>
      <c r="FAF23" s="7"/>
      <c r="FAG23" s="7"/>
      <c r="FAH23" s="7"/>
      <c r="FAI23" s="7"/>
      <c r="FAJ23" s="7"/>
      <c r="FAK23" s="7"/>
      <c r="FAL23" s="7"/>
      <c r="FAM23" s="7"/>
      <c r="FAN23" s="7"/>
      <c r="FAO23" s="7"/>
      <c r="FAP23" s="7"/>
      <c r="FAQ23" s="7"/>
      <c r="FAR23" s="7"/>
      <c r="FAS23" s="7"/>
      <c r="FAT23" s="7"/>
      <c r="FAU23" s="7"/>
      <c r="FAV23" s="7"/>
      <c r="FAW23" s="7"/>
      <c r="FAX23" s="7"/>
      <c r="FAY23" s="7"/>
      <c r="FAZ23" s="7"/>
      <c r="FBA23" s="7"/>
      <c r="FBB23" s="7"/>
      <c r="FBC23" s="7"/>
      <c r="FBD23" s="7"/>
      <c r="FBE23" s="7"/>
      <c r="FBF23" s="7"/>
      <c r="FBG23" s="7"/>
      <c r="FBH23" s="7"/>
      <c r="FBI23" s="7"/>
      <c r="FBJ23" s="7"/>
      <c r="FBK23" s="7"/>
      <c r="FBL23" s="7"/>
      <c r="FBM23" s="7"/>
      <c r="FBN23" s="7"/>
      <c r="FBO23" s="7"/>
      <c r="FBP23" s="7"/>
      <c r="FBQ23" s="7"/>
      <c r="FBR23" s="7"/>
      <c r="FBS23" s="7"/>
      <c r="FBT23" s="7"/>
      <c r="FBU23" s="7"/>
      <c r="FBV23" s="7"/>
      <c r="FBW23" s="7"/>
      <c r="FBX23" s="7"/>
      <c r="FBY23" s="7"/>
      <c r="FBZ23" s="7"/>
      <c r="FCA23" s="7"/>
      <c r="FCB23" s="7"/>
      <c r="FCC23" s="7"/>
      <c r="FCD23" s="7"/>
      <c r="FCE23" s="7"/>
      <c r="FCF23" s="7"/>
      <c r="FCG23" s="7"/>
      <c r="FCH23" s="7"/>
      <c r="FCI23" s="7"/>
      <c r="FCJ23" s="7"/>
      <c r="FCK23" s="7"/>
      <c r="FCL23" s="7"/>
      <c r="FCM23" s="7"/>
      <c r="FCN23" s="7"/>
      <c r="FCO23" s="7"/>
      <c r="FCP23" s="7"/>
      <c r="FCQ23" s="7"/>
      <c r="FCR23" s="7"/>
      <c r="FCS23" s="7"/>
      <c r="FCT23" s="7"/>
      <c r="FCU23" s="7"/>
      <c r="FCV23" s="7"/>
      <c r="FCW23" s="7"/>
      <c r="FCX23" s="7"/>
      <c r="FCY23" s="7"/>
      <c r="FCZ23" s="7"/>
      <c r="FDA23" s="7"/>
      <c r="FDB23" s="7"/>
      <c r="FDC23" s="7"/>
      <c r="FDD23" s="7"/>
      <c r="FDE23" s="7"/>
      <c r="FDF23" s="7"/>
      <c r="FDG23" s="7"/>
      <c r="FDH23" s="7"/>
      <c r="FDI23" s="7"/>
      <c r="FDJ23" s="7"/>
      <c r="FDK23" s="7"/>
      <c r="FDL23" s="7"/>
      <c r="FDM23" s="7"/>
      <c r="FDN23" s="7"/>
      <c r="FDO23" s="7"/>
      <c r="FDP23" s="7"/>
      <c r="FDQ23" s="7"/>
      <c r="FDR23" s="7"/>
      <c r="FDS23" s="7"/>
      <c r="FDT23" s="7"/>
      <c r="FDU23" s="7"/>
      <c r="FDV23" s="7"/>
      <c r="FDW23" s="7"/>
      <c r="FDX23" s="7"/>
      <c r="FDY23" s="7"/>
      <c r="FDZ23" s="7"/>
      <c r="FEA23" s="7"/>
      <c r="FEB23" s="7"/>
      <c r="FEC23" s="7"/>
      <c r="FED23" s="7"/>
      <c r="FEE23" s="7"/>
      <c r="FEF23" s="7"/>
      <c r="FEG23" s="7"/>
      <c r="FEH23" s="7"/>
      <c r="FEI23" s="7"/>
      <c r="FEJ23" s="7"/>
      <c r="FEK23" s="7"/>
      <c r="FEL23" s="7"/>
      <c r="FEM23" s="7"/>
      <c r="FEN23" s="7"/>
      <c r="FEO23" s="7"/>
      <c r="FEP23" s="7"/>
      <c r="FEQ23" s="7"/>
      <c r="FER23" s="7"/>
      <c r="FES23" s="7"/>
      <c r="FET23" s="7"/>
      <c r="FEU23" s="7"/>
      <c r="FEV23" s="7"/>
      <c r="FEW23" s="7"/>
      <c r="FEX23" s="7"/>
      <c r="FEY23" s="7"/>
      <c r="FEZ23" s="7"/>
      <c r="FFA23" s="7"/>
      <c r="FFB23" s="7"/>
      <c r="FFC23" s="7"/>
      <c r="FFD23" s="7"/>
      <c r="FFE23" s="7"/>
      <c r="FFF23" s="7"/>
      <c r="FFG23" s="7"/>
      <c r="FFH23" s="7"/>
      <c r="FFI23" s="7"/>
      <c r="FFJ23" s="7"/>
      <c r="FFK23" s="7"/>
      <c r="FFL23" s="7"/>
      <c r="FFM23" s="7"/>
      <c r="FFN23" s="7"/>
      <c r="FFO23" s="7"/>
      <c r="FFP23" s="7"/>
      <c r="FFQ23" s="7"/>
      <c r="FFR23" s="7"/>
      <c r="FFS23" s="7"/>
      <c r="FFT23" s="7"/>
      <c r="FFU23" s="7"/>
      <c r="FFV23" s="7"/>
      <c r="FFW23" s="7"/>
      <c r="FFX23" s="7"/>
      <c r="FFY23" s="7"/>
      <c r="FFZ23" s="7"/>
      <c r="FGA23" s="7"/>
      <c r="FGB23" s="7"/>
      <c r="FGC23" s="7"/>
      <c r="FGD23" s="7"/>
      <c r="FGE23" s="7"/>
      <c r="FGF23" s="7"/>
      <c r="FGG23" s="7"/>
      <c r="FGH23" s="7"/>
      <c r="FGI23" s="7"/>
      <c r="FGJ23" s="7"/>
      <c r="FGK23" s="7"/>
      <c r="FGL23" s="7"/>
      <c r="FGM23" s="7"/>
      <c r="FGN23" s="7"/>
      <c r="FGO23" s="7"/>
      <c r="FGP23" s="7"/>
      <c r="FGQ23" s="7"/>
      <c r="FGR23" s="7"/>
      <c r="FGS23" s="7"/>
      <c r="FGT23" s="7"/>
      <c r="FGU23" s="7"/>
      <c r="FGV23" s="7"/>
      <c r="FGW23" s="7"/>
      <c r="FGX23" s="7"/>
      <c r="FGY23" s="7"/>
      <c r="FGZ23" s="7"/>
      <c r="FHA23" s="7"/>
      <c r="FHB23" s="7"/>
      <c r="FHC23" s="7"/>
      <c r="FHD23" s="7"/>
      <c r="FHE23" s="7"/>
      <c r="FHF23" s="7"/>
      <c r="FHG23" s="7"/>
      <c r="FHH23" s="7"/>
      <c r="FHI23" s="7"/>
      <c r="FHJ23" s="7"/>
      <c r="FHK23" s="7"/>
      <c r="FHL23" s="7"/>
      <c r="FHM23" s="7"/>
      <c r="FHN23" s="7"/>
      <c r="FHO23" s="7"/>
      <c r="FHP23" s="7"/>
      <c r="FHQ23" s="7"/>
      <c r="FHR23" s="7"/>
      <c r="FHS23" s="7"/>
      <c r="FHT23" s="7"/>
      <c r="FHU23" s="7"/>
      <c r="FHV23" s="7"/>
      <c r="FHW23" s="7"/>
      <c r="FHX23" s="7"/>
      <c r="FHY23" s="7"/>
      <c r="FHZ23" s="7"/>
      <c r="FIA23" s="7"/>
      <c r="FIB23" s="7"/>
      <c r="FIC23" s="7"/>
      <c r="FID23" s="7"/>
      <c r="FIE23" s="7"/>
      <c r="FIF23" s="7"/>
      <c r="FIG23" s="7"/>
      <c r="FIH23" s="7"/>
      <c r="FII23" s="7"/>
      <c r="FIJ23" s="7"/>
      <c r="FIK23" s="7"/>
      <c r="FIL23" s="7"/>
      <c r="FIM23" s="7"/>
      <c r="FIN23" s="7"/>
      <c r="FIO23" s="7"/>
      <c r="FIP23" s="7"/>
      <c r="FIQ23" s="7"/>
      <c r="FIR23" s="7"/>
      <c r="FIS23" s="7"/>
      <c r="FIT23" s="7"/>
      <c r="FIU23" s="7"/>
      <c r="FIV23" s="7"/>
      <c r="FIW23" s="7"/>
      <c r="FIX23" s="7"/>
      <c r="FIY23" s="7"/>
      <c r="FIZ23" s="7"/>
      <c r="FJA23" s="7"/>
      <c r="FJB23" s="7"/>
      <c r="FJC23" s="7"/>
      <c r="FJD23" s="7"/>
      <c r="FJE23" s="7"/>
      <c r="FJF23" s="7"/>
      <c r="FJG23" s="7"/>
      <c r="FJH23" s="7"/>
      <c r="FJI23" s="7"/>
      <c r="FJJ23" s="7"/>
      <c r="FJK23" s="7"/>
      <c r="FJL23" s="7"/>
      <c r="FJM23" s="7"/>
      <c r="FJN23" s="7"/>
      <c r="FJO23" s="7"/>
      <c r="FJP23" s="7"/>
      <c r="FJQ23" s="7"/>
      <c r="FJR23" s="7"/>
      <c r="FJS23" s="7"/>
      <c r="FJT23" s="7"/>
      <c r="FJU23" s="7"/>
      <c r="FJV23" s="7"/>
      <c r="FJW23" s="7"/>
      <c r="FJX23" s="7"/>
      <c r="FJY23" s="7"/>
      <c r="FJZ23" s="7"/>
      <c r="FKA23" s="7"/>
      <c r="FKB23" s="7"/>
      <c r="FKC23" s="7"/>
      <c r="FKD23" s="7"/>
      <c r="FKE23" s="7"/>
      <c r="FKF23" s="7"/>
      <c r="FKG23" s="7"/>
      <c r="FKH23" s="7"/>
      <c r="FKI23" s="7"/>
      <c r="FKJ23" s="7"/>
      <c r="FKK23" s="7"/>
      <c r="FKL23" s="7"/>
      <c r="FKM23" s="7"/>
      <c r="FKN23" s="7"/>
      <c r="FKO23" s="7"/>
      <c r="FKP23" s="7"/>
      <c r="FKQ23" s="7"/>
      <c r="FKR23" s="7"/>
      <c r="FKS23" s="7"/>
      <c r="FKT23" s="7"/>
      <c r="FKU23" s="7"/>
      <c r="FKV23" s="7"/>
      <c r="FKW23" s="7"/>
      <c r="FKX23" s="7"/>
      <c r="FKY23" s="7"/>
      <c r="FKZ23" s="7"/>
      <c r="FLA23" s="7"/>
      <c r="FLB23" s="7"/>
      <c r="FLC23" s="7"/>
      <c r="FLD23" s="7"/>
      <c r="FLE23" s="7"/>
      <c r="FLF23" s="7"/>
      <c r="FLG23" s="7"/>
      <c r="FLH23" s="7"/>
      <c r="FLI23" s="7"/>
      <c r="FLJ23" s="7"/>
      <c r="FLK23" s="7"/>
      <c r="FLL23" s="7"/>
      <c r="FLM23" s="7"/>
      <c r="FLN23" s="7"/>
      <c r="FLO23" s="7"/>
      <c r="FLP23" s="7"/>
      <c r="FLQ23" s="7"/>
      <c r="FLR23" s="7"/>
      <c r="FLS23" s="7"/>
      <c r="FLT23" s="7"/>
      <c r="FLU23" s="7"/>
      <c r="FLV23" s="7"/>
      <c r="FLW23" s="7"/>
      <c r="FLX23" s="7"/>
      <c r="FLY23" s="7"/>
      <c r="FLZ23" s="7"/>
      <c r="FMA23" s="7"/>
      <c r="FMB23" s="7"/>
      <c r="FMC23" s="7"/>
      <c r="FMD23" s="7"/>
      <c r="FME23" s="7"/>
      <c r="FMF23" s="7"/>
      <c r="FMG23" s="7"/>
      <c r="FMH23" s="7"/>
      <c r="FMI23" s="7"/>
      <c r="FMJ23" s="7"/>
      <c r="FMK23" s="7"/>
      <c r="FML23" s="7"/>
      <c r="FMM23" s="7"/>
      <c r="FMN23" s="7"/>
      <c r="FMO23" s="7"/>
      <c r="FMP23" s="7"/>
      <c r="FMQ23" s="7"/>
      <c r="FMR23" s="7"/>
      <c r="FMS23" s="7"/>
      <c r="FMT23" s="7"/>
      <c r="FMU23" s="7"/>
      <c r="FMV23" s="7"/>
      <c r="FMW23" s="7"/>
      <c r="FMX23" s="7"/>
      <c r="FMY23" s="7"/>
      <c r="FMZ23" s="7"/>
      <c r="FNA23" s="7"/>
      <c r="FNB23" s="7"/>
      <c r="FNC23" s="7"/>
      <c r="FND23" s="7"/>
      <c r="FNE23" s="7"/>
      <c r="FNF23" s="7"/>
      <c r="FNG23" s="7"/>
      <c r="FNH23" s="7"/>
      <c r="FNI23" s="7"/>
      <c r="FNJ23" s="7"/>
      <c r="FNK23" s="7"/>
      <c r="FNL23" s="7"/>
      <c r="FNM23" s="7"/>
      <c r="FNN23" s="7"/>
      <c r="FNO23" s="7"/>
      <c r="FNP23" s="7"/>
      <c r="FNQ23" s="7"/>
      <c r="FNR23" s="7"/>
      <c r="FNS23" s="7"/>
      <c r="FNT23" s="7"/>
      <c r="FNU23" s="7"/>
      <c r="FNV23" s="7"/>
      <c r="FNW23" s="7"/>
      <c r="FNX23" s="7"/>
      <c r="FNY23" s="7"/>
      <c r="FNZ23" s="7"/>
      <c r="FOA23" s="7"/>
      <c r="FOB23" s="7"/>
      <c r="FOC23" s="7"/>
      <c r="FOD23" s="7"/>
      <c r="FOE23" s="7"/>
      <c r="FOF23" s="7"/>
      <c r="FOG23" s="7"/>
      <c r="FOH23" s="7"/>
      <c r="FOI23" s="7"/>
      <c r="FOJ23" s="7"/>
      <c r="FOK23" s="7"/>
      <c r="FOL23" s="7"/>
      <c r="FOM23" s="7"/>
      <c r="FON23" s="7"/>
      <c r="FOO23" s="7"/>
      <c r="FOP23" s="7"/>
      <c r="FOQ23" s="7"/>
      <c r="FOR23" s="7"/>
      <c r="FOS23" s="7"/>
      <c r="FOT23" s="7"/>
      <c r="FOU23" s="7"/>
      <c r="FOV23" s="7"/>
      <c r="FOW23" s="7"/>
      <c r="FOX23" s="7"/>
      <c r="FOY23" s="7"/>
      <c r="FOZ23" s="7"/>
      <c r="FPA23" s="7"/>
      <c r="FPB23" s="7"/>
      <c r="FPC23" s="7"/>
      <c r="FPD23" s="7"/>
      <c r="FPE23" s="7"/>
      <c r="FPF23" s="7"/>
      <c r="FPG23" s="7"/>
      <c r="FPH23" s="7"/>
      <c r="FPI23" s="7"/>
      <c r="FPJ23" s="7"/>
      <c r="FPK23" s="7"/>
      <c r="FPL23" s="7"/>
      <c r="FPM23" s="7"/>
      <c r="FPN23" s="7"/>
      <c r="FPO23" s="7"/>
      <c r="FPP23" s="7"/>
      <c r="FPQ23" s="7"/>
      <c r="FPR23" s="7"/>
      <c r="FPS23" s="7"/>
      <c r="FPT23" s="7"/>
      <c r="FPU23" s="7"/>
      <c r="FPV23" s="7"/>
      <c r="FPW23" s="7"/>
      <c r="FPX23" s="7"/>
      <c r="FPY23" s="7"/>
      <c r="FPZ23" s="7"/>
      <c r="FQA23" s="7"/>
      <c r="FQB23" s="7"/>
      <c r="FQC23" s="7"/>
      <c r="FQD23" s="7"/>
      <c r="FQE23" s="7"/>
      <c r="FQF23" s="7"/>
      <c r="FQG23" s="7"/>
      <c r="FQH23" s="7"/>
      <c r="FQI23" s="7"/>
      <c r="FQJ23" s="7"/>
      <c r="FQK23" s="7"/>
      <c r="FQL23" s="7"/>
      <c r="FQM23" s="7"/>
      <c r="FQN23" s="7"/>
      <c r="FQO23" s="7"/>
      <c r="FQP23" s="7"/>
      <c r="FQQ23" s="7"/>
      <c r="FQR23" s="7"/>
      <c r="FQS23" s="7"/>
      <c r="FQT23" s="7"/>
      <c r="FQU23" s="7"/>
      <c r="FQV23" s="7"/>
      <c r="FQW23" s="7"/>
      <c r="FQX23" s="7"/>
      <c r="FQY23" s="7"/>
      <c r="FQZ23" s="7"/>
      <c r="FRA23" s="7"/>
      <c r="FRB23" s="7"/>
      <c r="FRC23" s="7"/>
      <c r="FRD23" s="7"/>
      <c r="FRE23" s="7"/>
      <c r="FRF23" s="7"/>
      <c r="FRG23" s="7"/>
      <c r="FRH23" s="7"/>
      <c r="FRI23" s="7"/>
      <c r="FRJ23" s="7"/>
      <c r="FRK23" s="7"/>
      <c r="FRL23" s="7"/>
      <c r="FRM23" s="7"/>
      <c r="FRN23" s="7"/>
      <c r="FRO23" s="7"/>
      <c r="FRP23" s="7"/>
      <c r="FRQ23" s="7"/>
      <c r="FRR23" s="7"/>
      <c r="FRS23" s="7"/>
      <c r="FRT23" s="7"/>
      <c r="FRU23" s="7"/>
      <c r="FRV23" s="7"/>
      <c r="FRW23" s="7"/>
      <c r="FRX23" s="7"/>
      <c r="FRY23" s="7"/>
      <c r="FRZ23" s="7"/>
      <c r="FSA23" s="7"/>
      <c r="FSB23" s="7"/>
      <c r="FSC23" s="7"/>
      <c r="FSD23" s="7"/>
      <c r="FSE23" s="7"/>
      <c r="FSF23" s="7"/>
      <c r="FSG23" s="7"/>
      <c r="FSH23" s="7"/>
      <c r="FSI23" s="7"/>
      <c r="FSJ23" s="7"/>
      <c r="FSK23" s="7"/>
      <c r="FSL23" s="7"/>
      <c r="FSM23" s="7"/>
      <c r="FSN23" s="7"/>
      <c r="FSO23" s="7"/>
      <c r="FSP23" s="7"/>
      <c r="FSQ23" s="7"/>
      <c r="FSR23" s="7"/>
      <c r="FSS23" s="7"/>
      <c r="FST23" s="7"/>
      <c r="FSU23" s="7"/>
      <c r="FSV23" s="7"/>
      <c r="FSW23" s="7"/>
      <c r="FSX23" s="7"/>
      <c r="FSY23" s="7"/>
      <c r="FSZ23" s="7"/>
      <c r="FTA23" s="7"/>
      <c r="FTB23" s="7"/>
      <c r="FTC23" s="7"/>
      <c r="FTD23" s="7"/>
      <c r="FTE23" s="7"/>
      <c r="FTF23" s="7"/>
      <c r="FTG23" s="7"/>
      <c r="FTH23" s="7"/>
      <c r="FTI23" s="7"/>
      <c r="FTJ23" s="7"/>
      <c r="FTK23" s="7"/>
      <c r="FTL23" s="7"/>
      <c r="FTM23" s="7"/>
      <c r="FTN23" s="7"/>
      <c r="FTO23" s="7"/>
      <c r="FTP23" s="7"/>
      <c r="FTQ23" s="7"/>
      <c r="FTR23" s="7"/>
      <c r="FTS23" s="7"/>
      <c r="FTT23" s="7"/>
      <c r="FTU23" s="7"/>
      <c r="FTV23" s="7"/>
      <c r="FTW23" s="7"/>
      <c r="FTX23" s="7"/>
      <c r="FTY23" s="7"/>
      <c r="FTZ23" s="7"/>
      <c r="FUA23" s="7"/>
      <c r="FUB23" s="7"/>
      <c r="FUC23" s="7"/>
      <c r="FUD23" s="7"/>
      <c r="FUE23" s="7"/>
      <c r="FUF23" s="7"/>
      <c r="FUG23" s="7"/>
      <c r="FUH23" s="7"/>
      <c r="FUI23" s="7"/>
      <c r="FUJ23" s="7"/>
      <c r="FUK23" s="7"/>
      <c r="FUL23" s="7"/>
      <c r="FUM23" s="7"/>
      <c r="FUN23" s="7"/>
      <c r="FUO23" s="7"/>
      <c r="FUP23" s="7"/>
      <c r="FUQ23" s="7"/>
      <c r="FUR23" s="7"/>
      <c r="FUS23" s="7"/>
      <c r="FUT23" s="7"/>
      <c r="FUU23" s="7"/>
      <c r="FUV23" s="7"/>
      <c r="FUW23" s="7"/>
      <c r="FUX23" s="7"/>
      <c r="FUY23" s="7"/>
      <c r="FUZ23" s="7"/>
      <c r="FVA23" s="7"/>
      <c r="FVB23" s="7"/>
      <c r="FVC23" s="7"/>
      <c r="FVD23" s="7"/>
      <c r="FVE23" s="7"/>
      <c r="FVF23" s="7"/>
      <c r="FVG23" s="7"/>
      <c r="FVH23" s="7"/>
      <c r="FVI23" s="7"/>
      <c r="FVJ23" s="7"/>
      <c r="FVK23" s="7"/>
      <c r="FVL23" s="7"/>
      <c r="FVM23" s="7"/>
      <c r="FVN23" s="7"/>
      <c r="FVO23" s="7"/>
      <c r="FVP23" s="7"/>
      <c r="FVQ23" s="7"/>
      <c r="FVR23" s="7"/>
      <c r="FVS23" s="7"/>
      <c r="FVT23" s="7"/>
      <c r="FVU23" s="7"/>
      <c r="FVV23" s="7"/>
      <c r="FVW23" s="7"/>
      <c r="FVX23" s="7"/>
      <c r="FVY23" s="7"/>
      <c r="FVZ23" s="7"/>
      <c r="FWA23" s="7"/>
      <c r="FWB23" s="7"/>
      <c r="FWC23" s="7"/>
      <c r="FWD23" s="7"/>
      <c r="FWE23" s="7"/>
      <c r="FWF23" s="7"/>
      <c r="FWG23" s="7"/>
      <c r="FWH23" s="7"/>
      <c r="FWI23" s="7"/>
      <c r="FWJ23" s="7"/>
      <c r="FWK23" s="7"/>
      <c r="FWL23" s="7"/>
      <c r="FWM23" s="7"/>
      <c r="FWN23" s="7"/>
      <c r="FWO23" s="7"/>
      <c r="FWP23" s="7"/>
      <c r="FWQ23" s="7"/>
      <c r="FWR23" s="7"/>
      <c r="FWS23" s="7"/>
      <c r="FWT23" s="7"/>
      <c r="FWU23" s="7"/>
      <c r="FWV23" s="7"/>
      <c r="FWW23" s="7"/>
      <c r="FWX23" s="7"/>
      <c r="FWY23" s="7"/>
      <c r="FWZ23" s="7"/>
      <c r="FXA23" s="7"/>
      <c r="FXB23" s="7"/>
      <c r="FXC23" s="7"/>
      <c r="FXD23" s="7"/>
      <c r="FXE23" s="7"/>
      <c r="FXF23" s="7"/>
      <c r="FXG23" s="7"/>
      <c r="FXH23" s="7"/>
      <c r="FXI23" s="7"/>
      <c r="FXJ23" s="7"/>
      <c r="FXK23" s="7"/>
      <c r="FXL23" s="7"/>
      <c r="FXM23" s="7"/>
      <c r="FXN23" s="7"/>
      <c r="FXO23" s="7"/>
      <c r="FXP23" s="7"/>
      <c r="FXQ23" s="7"/>
      <c r="FXR23" s="7"/>
      <c r="FXS23" s="7"/>
      <c r="FXT23" s="7"/>
      <c r="FXU23" s="7"/>
      <c r="FXV23" s="7"/>
      <c r="FXW23" s="7"/>
      <c r="FXX23" s="7"/>
      <c r="FXY23" s="7"/>
      <c r="FXZ23" s="7"/>
      <c r="FYA23" s="7"/>
      <c r="FYB23" s="7"/>
      <c r="FYC23" s="7"/>
      <c r="FYD23" s="7"/>
      <c r="FYE23" s="7"/>
      <c r="FYF23" s="7"/>
      <c r="FYG23" s="7"/>
      <c r="FYH23" s="7"/>
      <c r="FYI23" s="7"/>
      <c r="FYJ23" s="7"/>
      <c r="FYK23" s="7"/>
      <c r="FYL23" s="7"/>
      <c r="FYM23" s="7"/>
      <c r="FYN23" s="7"/>
      <c r="FYO23" s="7"/>
      <c r="FYP23" s="7"/>
      <c r="FYQ23" s="7"/>
      <c r="FYR23" s="7"/>
      <c r="FYS23" s="7"/>
      <c r="FYT23" s="7"/>
      <c r="FYU23" s="7"/>
      <c r="FYV23" s="7"/>
      <c r="FYW23" s="7"/>
      <c r="FYX23" s="7"/>
      <c r="FYY23" s="7"/>
      <c r="FYZ23" s="7"/>
      <c r="FZA23" s="7"/>
      <c r="FZB23" s="7"/>
      <c r="FZC23" s="7"/>
      <c r="FZD23" s="7"/>
      <c r="FZE23" s="7"/>
      <c r="FZF23" s="7"/>
      <c r="FZG23" s="7"/>
      <c r="FZH23" s="7"/>
      <c r="FZI23" s="7"/>
      <c r="FZJ23" s="7"/>
      <c r="FZK23" s="7"/>
      <c r="FZL23" s="7"/>
      <c r="FZM23" s="7"/>
      <c r="FZN23" s="7"/>
      <c r="FZO23" s="7"/>
      <c r="FZP23" s="7"/>
      <c r="FZQ23" s="7"/>
      <c r="FZR23" s="7"/>
      <c r="FZS23" s="7"/>
      <c r="FZT23" s="7"/>
      <c r="FZU23" s="7"/>
      <c r="FZV23" s="7"/>
      <c r="FZW23" s="7"/>
      <c r="FZX23" s="7"/>
      <c r="FZY23" s="7"/>
      <c r="FZZ23" s="7"/>
      <c r="GAA23" s="7"/>
      <c r="GAB23" s="7"/>
      <c r="GAC23" s="7"/>
      <c r="GAD23" s="7"/>
      <c r="GAE23" s="7"/>
      <c r="GAF23" s="7"/>
      <c r="GAG23" s="7"/>
      <c r="GAH23" s="7"/>
      <c r="GAI23" s="7"/>
      <c r="GAJ23" s="7"/>
      <c r="GAK23" s="7"/>
      <c r="GAL23" s="7"/>
      <c r="GAM23" s="7"/>
      <c r="GAN23" s="7"/>
      <c r="GAO23" s="7"/>
      <c r="GAP23" s="7"/>
      <c r="GAQ23" s="7"/>
      <c r="GAR23" s="7"/>
      <c r="GAS23" s="7"/>
      <c r="GAT23" s="7"/>
      <c r="GAU23" s="7"/>
      <c r="GAV23" s="7"/>
      <c r="GAW23" s="7"/>
      <c r="GAX23" s="7"/>
      <c r="GAY23" s="7"/>
      <c r="GAZ23" s="7"/>
      <c r="GBA23" s="7"/>
      <c r="GBB23" s="7"/>
      <c r="GBC23" s="7"/>
      <c r="GBD23" s="7"/>
      <c r="GBE23" s="7"/>
      <c r="GBF23" s="7"/>
      <c r="GBG23" s="7"/>
      <c r="GBH23" s="7"/>
      <c r="GBI23" s="7"/>
      <c r="GBJ23" s="7"/>
      <c r="GBK23" s="7"/>
      <c r="GBL23" s="7"/>
      <c r="GBM23" s="7"/>
      <c r="GBN23" s="7"/>
      <c r="GBO23" s="7"/>
      <c r="GBP23" s="7"/>
      <c r="GBQ23" s="7"/>
      <c r="GBR23" s="7"/>
      <c r="GBS23" s="7"/>
      <c r="GBT23" s="7"/>
      <c r="GBU23" s="7"/>
      <c r="GBV23" s="7"/>
      <c r="GBW23" s="7"/>
      <c r="GBX23" s="7"/>
      <c r="GBY23" s="7"/>
      <c r="GBZ23" s="7"/>
      <c r="GCA23" s="7"/>
      <c r="GCB23" s="7"/>
      <c r="GCC23" s="7"/>
      <c r="GCD23" s="7"/>
      <c r="GCE23" s="7"/>
      <c r="GCF23" s="7"/>
      <c r="GCG23" s="7"/>
      <c r="GCH23" s="7"/>
      <c r="GCI23" s="7"/>
      <c r="GCJ23" s="7"/>
      <c r="GCK23" s="7"/>
      <c r="GCL23" s="7"/>
      <c r="GCM23" s="7"/>
      <c r="GCN23" s="7"/>
      <c r="GCO23" s="7"/>
      <c r="GCP23" s="7"/>
      <c r="GCQ23" s="7"/>
      <c r="GCR23" s="7"/>
      <c r="GCS23" s="7"/>
      <c r="GCT23" s="7"/>
      <c r="GCU23" s="7"/>
      <c r="GCV23" s="7"/>
      <c r="GCW23" s="7"/>
      <c r="GCX23" s="7"/>
      <c r="GCY23" s="7"/>
      <c r="GCZ23" s="7"/>
      <c r="GDA23" s="7"/>
      <c r="GDB23" s="7"/>
      <c r="GDC23" s="7"/>
      <c r="GDD23" s="7"/>
      <c r="GDE23" s="7"/>
      <c r="GDF23" s="7"/>
      <c r="GDG23" s="7"/>
      <c r="GDH23" s="7"/>
      <c r="GDI23" s="7"/>
      <c r="GDJ23" s="7"/>
      <c r="GDK23" s="7"/>
      <c r="GDL23" s="7"/>
      <c r="GDM23" s="7"/>
      <c r="GDN23" s="7"/>
      <c r="GDO23" s="7"/>
      <c r="GDP23" s="7"/>
      <c r="GDQ23" s="7"/>
      <c r="GDR23" s="7"/>
      <c r="GDS23" s="7"/>
      <c r="GDT23" s="7"/>
      <c r="GDU23" s="7"/>
      <c r="GDV23" s="7"/>
      <c r="GDW23" s="7"/>
      <c r="GDX23" s="7"/>
      <c r="GDY23" s="7"/>
      <c r="GDZ23" s="7"/>
      <c r="GEA23" s="7"/>
      <c r="GEB23" s="7"/>
      <c r="GEC23" s="7"/>
      <c r="GED23" s="7"/>
      <c r="GEE23" s="7"/>
      <c r="GEF23" s="7"/>
      <c r="GEG23" s="7"/>
      <c r="GEH23" s="7"/>
      <c r="GEI23" s="7"/>
      <c r="GEJ23" s="7"/>
      <c r="GEK23" s="7"/>
      <c r="GEL23" s="7"/>
      <c r="GEM23" s="7"/>
      <c r="GEN23" s="7"/>
      <c r="GEO23" s="7"/>
      <c r="GEP23" s="7"/>
      <c r="GEQ23" s="7"/>
      <c r="GER23" s="7"/>
      <c r="GES23" s="7"/>
      <c r="GET23" s="7"/>
      <c r="GEU23" s="7"/>
      <c r="GEV23" s="7"/>
      <c r="GEW23" s="7"/>
      <c r="GEX23" s="7"/>
      <c r="GEY23" s="7"/>
      <c r="GEZ23" s="7"/>
      <c r="GFA23" s="7"/>
      <c r="GFB23" s="7"/>
      <c r="GFC23" s="7"/>
      <c r="GFD23" s="7"/>
      <c r="GFE23" s="7"/>
      <c r="GFF23" s="7"/>
      <c r="GFG23" s="7"/>
      <c r="GFH23" s="7"/>
      <c r="GFI23" s="7"/>
      <c r="GFJ23" s="7"/>
      <c r="GFK23" s="7"/>
      <c r="GFL23" s="7"/>
      <c r="GFM23" s="7"/>
      <c r="GFN23" s="7"/>
      <c r="GFO23" s="7"/>
      <c r="GFP23" s="7"/>
      <c r="GFQ23" s="7"/>
      <c r="GFR23" s="7"/>
      <c r="GFS23" s="7"/>
      <c r="GFT23" s="7"/>
      <c r="GFU23" s="7"/>
      <c r="GFV23" s="7"/>
      <c r="GFW23" s="7"/>
      <c r="GFX23" s="7"/>
      <c r="GFY23" s="7"/>
      <c r="GFZ23" s="7"/>
      <c r="GGA23" s="7"/>
      <c r="GGB23" s="7"/>
      <c r="GGC23" s="7"/>
      <c r="GGD23" s="7"/>
      <c r="GGE23" s="7"/>
      <c r="GGF23" s="7"/>
      <c r="GGG23" s="7"/>
      <c r="GGH23" s="7"/>
      <c r="GGI23" s="7"/>
      <c r="GGJ23" s="7"/>
      <c r="GGK23" s="7"/>
      <c r="GGL23" s="7"/>
      <c r="GGM23" s="7"/>
      <c r="GGN23" s="7"/>
      <c r="GGO23" s="7"/>
      <c r="GGP23" s="7"/>
      <c r="GGQ23" s="7"/>
      <c r="GGR23" s="7"/>
      <c r="GGS23" s="7"/>
      <c r="GGT23" s="7"/>
      <c r="GGU23" s="7"/>
      <c r="GGV23" s="7"/>
      <c r="GGW23" s="7"/>
      <c r="GGX23" s="7"/>
      <c r="GGY23" s="7"/>
      <c r="GGZ23" s="7"/>
      <c r="GHA23" s="7"/>
      <c r="GHB23" s="7"/>
      <c r="GHC23" s="7"/>
      <c r="GHD23" s="7"/>
      <c r="GHE23" s="7"/>
      <c r="GHF23" s="7"/>
      <c r="GHG23" s="7"/>
      <c r="GHH23" s="7"/>
      <c r="GHI23" s="7"/>
      <c r="GHJ23" s="7"/>
      <c r="GHK23" s="7"/>
      <c r="GHL23" s="7"/>
      <c r="GHM23" s="7"/>
      <c r="GHN23" s="7"/>
      <c r="GHO23" s="7"/>
      <c r="GHP23" s="7"/>
      <c r="GHQ23" s="7"/>
      <c r="GHR23" s="7"/>
      <c r="GHS23" s="7"/>
      <c r="GHT23" s="7"/>
      <c r="GHU23" s="7"/>
      <c r="GHV23" s="7"/>
      <c r="GHW23" s="7"/>
      <c r="GHX23" s="7"/>
      <c r="GHY23" s="7"/>
      <c r="GHZ23" s="7"/>
      <c r="GIA23" s="7"/>
      <c r="GIB23" s="7"/>
      <c r="GIC23" s="7"/>
      <c r="GID23" s="7"/>
      <c r="GIE23" s="7"/>
      <c r="GIF23" s="7"/>
      <c r="GIG23" s="7"/>
      <c r="GIH23" s="7"/>
      <c r="GII23" s="7"/>
      <c r="GIJ23" s="7"/>
      <c r="GIK23" s="7"/>
      <c r="GIL23" s="7"/>
      <c r="GIM23" s="7"/>
      <c r="GIN23" s="7"/>
      <c r="GIO23" s="7"/>
      <c r="GIP23" s="7"/>
      <c r="GIQ23" s="7"/>
      <c r="GIR23" s="7"/>
      <c r="GIS23" s="7"/>
      <c r="GIT23" s="7"/>
      <c r="GIU23" s="7"/>
      <c r="GIV23" s="7"/>
      <c r="GIW23" s="7"/>
      <c r="GIX23" s="7"/>
      <c r="GIY23" s="7"/>
      <c r="GIZ23" s="7"/>
      <c r="GJA23" s="7"/>
      <c r="GJB23" s="7"/>
      <c r="GJC23" s="7"/>
      <c r="GJD23" s="7"/>
      <c r="GJE23" s="7"/>
      <c r="GJF23" s="7"/>
      <c r="GJG23" s="7"/>
      <c r="GJH23" s="7"/>
      <c r="GJI23" s="7"/>
      <c r="GJJ23" s="7"/>
      <c r="GJK23" s="7"/>
      <c r="GJL23" s="7"/>
      <c r="GJM23" s="7"/>
      <c r="GJN23" s="7"/>
      <c r="GJO23" s="7"/>
      <c r="GJP23" s="7"/>
      <c r="GJQ23" s="7"/>
      <c r="GJR23" s="7"/>
      <c r="GJS23" s="7"/>
      <c r="GJT23" s="7"/>
      <c r="GJU23" s="7"/>
      <c r="GJV23" s="7"/>
      <c r="GJW23" s="7"/>
      <c r="GJX23" s="7"/>
      <c r="GJY23" s="7"/>
      <c r="GJZ23" s="7"/>
      <c r="GKA23" s="7"/>
      <c r="GKB23" s="7"/>
      <c r="GKC23" s="7"/>
      <c r="GKD23" s="7"/>
      <c r="GKE23" s="7"/>
      <c r="GKF23" s="7"/>
      <c r="GKG23" s="7"/>
      <c r="GKH23" s="7"/>
      <c r="GKI23" s="7"/>
      <c r="GKJ23" s="7"/>
      <c r="GKK23" s="7"/>
      <c r="GKL23" s="7"/>
      <c r="GKM23" s="7"/>
      <c r="GKN23" s="7"/>
      <c r="GKO23" s="7"/>
      <c r="GKP23" s="7"/>
      <c r="GKQ23" s="7"/>
      <c r="GKR23" s="7"/>
      <c r="GKS23" s="7"/>
      <c r="GKT23" s="7"/>
      <c r="GKU23" s="7"/>
      <c r="GKV23" s="7"/>
      <c r="GKW23" s="7"/>
      <c r="GKX23" s="7"/>
      <c r="GKY23" s="7"/>
      <c r="GKZ23" s="7"/>
      <c r="GLA23" s="7"/>
      <c r="GLB23" s="7"/>
      <c r="GLC23" s="7"/>
      <c r="GLD23" s="7"/>
      <c r="GLE23" s="7"/>
      <c r="GLF23" s="7"/>
      <c r="GLG23" s="7"/>
      <c r="GLH23" s="7"/>
      <c r="GLI23" s="7"/>
      <c r="GLJ23" s="7"/>
      <c r="GLK23" s="7"/>
      <c r="GLL23" s="7"/>
      <c r="GLM23" s="7"/>
      <c r="GLN23" s="7"/>
      <c r="GLO23" s="7"/>
      <c r="GLP23" s="7"/>
      <c r="GLQ23" s="7"/>
      <c r="GLR23" s="7"/>
      <c r="GLS23" s="7"/>
      <c r="GLT23" s="7"/>
      <c r="GLU23" s="7"/>
      <c r="GLV23" s="7"/>
      <c r="GLW23" s="7"/>
      <c r="GLX23" s="7"/>
      <c r="GLY23" s="7"/>
      <c r="GLZ23" s="7"/>
      <c r="GMA23" s="7"/>
      <c r="GMB23" s="7"/>
      <c r="GMC23" s="7"/>
      <c r="GMD23" s="7"/>
      <c r="GME23" s="7"/>
      <c r="GMF23" s="7"/>
      <c r="GMG23" s="7"/>
      <c r="GMH23" s="7"/>
      <c r="GMI23" s="7"/>
      <c r="GMJ23" s="7"/>
      <c r="GMK23" s="7"/>
      <c r="GML23" s="7"/>
      <c r="GMM23" s="7"/>
      <c r="GMN23" s="7"/>
      <c r="GMO23" s="7"/>
      <c r="GMP23" s="7"/>
      <c r="GMQ23" s="7"/>
      <c r="GMR23" s="7"/>
      <c r="GMS23" s="7"/>
      <c r="GMT23" s="7"/>
      <c r="GMU23" s="7"/>
      <c r="GMV23" s="7"/>
      <c r="GMW23" s="7"/>
      <c r="GMX23" s="7"/>
      <c r="GMY23" s="7"/>
      <c r="GMZ23" s="7"/>
      <c r="GNA23" s="7"/>
      <c r="GNB23" s="7"/>
      <c r="GNC23" s="7"/>
      <c r="GND23" s="7"/>
      <c r="GNE23" s="7"/>
      <c r="GNF23" s="7"/>
      <c r="GNG23" s="7"/>
      <c r="GNH23" s="7"/>
      <c r="GNI23" s="7"/>
      <c r="GNJ23" s="7"/>
      <c r="GNK23" s="7"/>
      <c r="GNL23" s="7"/>
      <c r="GNM23" s="7"/>
      <c r="GNN23" s="7"/>
      <c r="GNO23" s="7"/>
      <c r="GNP23" s="7"/>
      <c r="GNQ23" s="7"/>
      <c r="GNR23" s="7"/>
      <c r="GNS23" s="7"/>
      <c r="GNT23" s="7"/>
      <c r="GNU23" s="7"/>
      <c r="GNV23" s="7"/>
      <c r="GNW23" s="7"/>
      <c r="GNX23" s="7"/>
      <c r="GNY23" s="7"/>
      <c r="GNZ23" s="7"/>
      <c r="GOA23" s="7"/>
      <c r="GOB23" s="7"/>
      <c r="GOC23" s="7"/>
      <c r="GOD23" s="7"/>
      <c r="GOE23" s="7"/>
      <c r="GOF23" s="7"/>
      <c r="GOG23" s="7"/>
      <c r="GOH23" s="7"/>
      <c r="GOI23" s="7"/>
      <c r="GOJ23" s="7"/>
      <c r="GOK23" s="7"/>
      <c r="GOL23" s="7"/>
      <c r="GOM23" s="7"/>
      <c r="GON23" s="7"/>
      <c r="GOO23" s="7"/>
      <c r="GOP23" s="7"/>
      <c r="GOQ23" s="7"/>
      <c r="GOR23" s="7"/>
      <c r="GOS23" s="7"/>
      <c r="GOT23" s="7"/>
      <c r="GOU23" s="7"/>
      <c r="GOV23" s="7"/>
      <c r="GOW23" s="7"/>
      <c r="GOX23" s="7"/>
      <c r="GOY23" s="7"/>
      <c r="GOZ23" s="7"/>
      <c r="GPA23" s="7"/>
      <c r="GPB23" s="7"/>
      <c r="GPC23" s="7"/>
      <c r="GPD23" s="7"/>
      <c r="GPE23" s="7"/>
      <c r="GPF23" s="7"/>
      <c r="GPG23" s="7"/>
      <c r="GPH23" s="7"/>
      <c r="GPI23" s="7"/>
      <c r="GPJ23" s="7"/>
      <c r="GPK23" s="7"/>
      <c r="GPL23" s="7"/>
      <c r="GPM23" s="7"/>
      <c r="GPN23" s="7"/>
      <c r="GPO23" s="7"/>
      <c r="GPP23" s="7"/>
      <c r="GPQ23" s="7"/>
      <c r="GPR23" s="7"/>
      <c r="GPS23" s="7"/>
      <c r="GPT23" s="7"/>
      <c r="GPU23" s="7"/>
      <c r="GPV23" s="7"/>
      <c r="GPW23" s="7"/>
      <c r="GPX23" s="7"/>
      <c r="GPY23" s="7"/>
      <c r="GPZ23" s="7"/>
      <c r="GQA23" s="7"/>
      <c r="GQB23" s="7"/>
      <c r="GQC23" s="7"/>
      <c r="GQD23" s="7"/>
      <c r="GQE23" s="7"/>
      <c r="GQF23" s="7"/>
      <c r="GQG23" s="7"/>
      <c r="GQH23" s="7"/>
      <c r="GQI23" s="7"/>
      <c r="GQJ23" s="7"/>
      <c r="GQK23" s="7"/>
      <c r="GQL23" s="7"/>
      <c r="GQM23" s="7"/>
      <c r="GQN23" s="7"/>
      <c r="GQO23" s="7"/>
      <c r="GQP23" s="7"/>
      <c r="GQQ23" s="7"/>
      <c r="GQR23" s="7"/>
      <c r="GQS23" s="7"/>
      <c r="GQT23" s="7"/>
      <c r="GQU23" s="7"/>
      <c r="GQV23" s="7"/>
      <c r="GQW23" s="7"/>
      <c r="GQX23" s="7"/>
      <c r="GQY23" s="7"/>
      <c r="GQZ23" s="7"/>
      <c r="GRA23" s="7"/>
      <c r="GRB23" s="7"/>
      <c r="GRC23" s="7"/>
      <c r="GRD23" s="7"/>
      <c r="GRE23" s="7"/>
      <c r="GRF23" s="7"/>
      <c r="GRG23" s="7"/>
      <c r="GRH23" s="7"/>
      <c r="GRI23" s="7"/>
      <c r="GRJ23" s="7"/>
      <c r="GRK23" s="7"/>
      <c r="GRL23" s="7"/>
      <c r="GRM23" s="7"/>
      <c r="GRN23" s="7"/>
      <c r="GRO23" s="7"/>
      <c r="GRP23" s="7"/>
      <c r="GRQ23" s="7"/>
      <c r="GRR23" s="7"/>
      <c r="GRS23" s="7"/>
      <c r="GRT23" s="7"/>
      <c r="GRU23" s="7"/>
      <c r="GRV23" s="7"/>
      <c r="GRW23" s="7"/>
      <c r="GRX23" s="7"/>
      <c r="GRY23" s="7"/>
      <c r="GRZ23" s="7"/>
      <c r="GSA23" s="7"/>
      <c r="GSB23" s="7"/>
      <c r="GSC23" s="7"/>
      <c r="GSD23" s="7"/>
      <c r="GSE23" s="7"/>
      <c r="GSF23" s="7"/>
      <c r="GSG23" s="7"/>
      <c r="GSH23" s="7"/>
      <c r="GSI23" s="7"/>
      <c r="GSJ23" s="7"/>
      <c r="GSK23" s="7"/>
      <c r="GSL23" s="7"/>
      <c r="GSM23" s="7"/>
      <c r="GSN23" s="7"/>
      <c r="GSO23" s="7"/>
      <c r="GSP23" s="7"/>
      <c r="GSQ23" s="7"/>
      <c r="GSR23" s="7"/>
      <c r="GSS23" s="7"/>
      <c r="GST23" s="7"/>
      <c r="GSU23" s="7"/>
      <c r="GSV23" s="7"/>
      <c r="GSW23" s="7"/>
      <c r="GSX23" s="7"/>
      <c r="GSY23" s="7"/>
      <c r="GSZ23" s="7"/>
      <c r="GTA23" s="7"/>
      <c r="GTB23" s="7"/>
      <c r="GTC23" s="7"/>
      <c r="GTD23" s="7"/>
      <c r="GTE23" s="7"/>
      <c r="GTF23" s="7"/>
      <c r="GTG23" s="7"/>
      <c r="GTH23" s="7"/>
      <c r="GTI23" s="7"/>
      <c r="GTJ23" s="7"/>
      <c r="GTK23" s="7"/>
      <c r="GTL23" s="7"/>
      <c r="GTM23" s="7"/>
      <c r="GTN23" s="7"/>
      <c r="GTO23" s="7"/>
      <c r="GTP23" s="7"/>
      <c r="GTQ23" s="7"/>
      <c r="GTR23" s="7"/>
      <c r="GTS23" s="7"/>
      <c r="GTT23" s="7"/>
      <c r="GTU23" s="7"/>
      <c r="GTV23" s="7"/>
      <c r="GTW23" s="7"/>
      <c r="GTX23" s="7"/>
      <c r="GTY23" s="7"/>
      <c r="GTZ23" s="7"/>
      <c r="GUA23" s="7"/>
      <c r="GUB23" s="7"/>
      <c r="GUC23" s="7"/>
      <c r="GUD23" s="7"/>
      <c r="GUE23" s="7"/>
      <c r="GUF23" s="7"/>
      <c r="GUG23" s="7"/>
      <c r="GUH23" s="7"/>
      <c r="GUI23" s="7"/>
      <c r="GUJ23" s="7"/>
      <c r="GUK23" s="7"/>
      <c r="GUL23" s="7"/>
      <c r="GUM23" s="7"/>
      <c r="GUN23" s="7"/>
      <c r="GUO23" s="7"/>
      <c r="GUP23" s="7"/>
      <c r="GUQ23" s="7"/>
      <c r="GUR23" s="7"/>
      <c r="GUS23" s="7"/>
      <c r="GUT23" s="7"/>
      <c r="GUU23" s="7"/>
      <c r="GUV23" s="7"/>
      <c r="GUW23" s="7"/>
      <c r="GUX23" s="7"/>
      <c r="GUY23" s="7"/>
      <c r="GUZ23" s="7"/>
      <c r="GVA23" s="7"/>
      <c r="GVB23" s="7"/>
      <c r="GVC23" s="7"/>
      <c r="GVD23" s="7"/>
      <c r="GVE23" s="7"/>
      <c r="GVF23" s="7"/>
      <c r="GVG23" s="7"/>
      <c r="GVH23" s="7"/>
      <c r="GVI23" s="7"/>
      <c r="GVJ23" s="7"/>
      <c r="GVK23" s="7"/>
      <c r="GVL23" s="7"/>
      <c r="GVM23" s="7"/>
      <c r="GVN23" s="7"/>
      <c r="GVO23" s="7"/>
      <c r="GVP23" s="7"/>
      <c r="GVQ23" s="7"/>
      <c r="GVR23" s="7"/>
      <c r="GVS23" s="7"/>
      <c r="GVT23" s="7"/>
      <c r="GVU23" s="7"/>
      <c r="GVV23" s="7"/>
      <c r="GVW23" s="7"/>
      <c r="GVX23" s="7"/>
      <c r="GVY23" s="7"/>
      <c r="GVZ23" s="7"/>
      <c r="GWA23" s="7"/>
      <c r="GWB23" s="7"/>
      <c r="GWC23" s="7"/>
      <c r="GWD23" s="7"/>
      <c r="GWE23" s="7"/>
      <c r="GWF23" s="7"/>
      <c r="GWG23" s="7"/>
      <c r="GWH23" s="7"/>
      <c r="GWI23" s="7"/>
      <c r="GWJ23" s="7"/>
      <c r="GWK23" s="7"/>
      <c r="GWL23" s="7"/>
      <c r="GWM23" s="7"/>
      <c r="GWN23" s="7"/>
      <c r="GWO23" s="7"/>
      <c r="GWP23" s="7"/>
      <c r="GWQ23" s="7"/>
      <c r="GWR23" s="7"/>
      <c r="GWS23" s="7"/>
      <c r="GWT23" s="7"/>
      <c r="GWU23" s="7"/>
      <c r="GWV23" s="7"/>
      <c r="GWW23" s="7"/>
      <c r="GWX23" s="7"/>
      <c r="GWY23" s="7"/>
      <c r="GWZ23" s="7"/>
      <c r="GXA23" s="7"/>
      <c r="GXB23" s="7"/>
      <c r="GXC23" s="7"/>
      <c r="GXD23" s="7"/>
      <c r="GXE23" s="7"/>
      <c r="GXF23" s="7"/>
      <c r="GXG23" s="7"/>
      <c r="GXH23" s="7"/>
      <c r="GXI23" s="7"/>
      <c r="GXJ23" s="7"/>
      <c r="GXK23" s="7"/>
      <c r="GXL23" s="7"/>
      <c r="GXM23" s="7"/>
      <c r="GXN23" s="7"/>
      <c r="GXO23" s="7"/>
      <c r="GXP23" s="7"/>
      <c r="GXQ23" s="7"/>
      <c r="GXR23" s="7"/>
      <c r="GXS23" s="7"/>
      <c r="GXT23" s="7"/>
      <c r="GXU23" s="7"/>
      <c r="GXV23" s="7"/>
      <c r="GXW23" s="7"/>
      <c r="GXX23" s="7"/>
      <c r="GXY23" s="7"/>
      <c r="GXZ23" s="7"/>
      <c r="GYA23" s="7"/>
      <c r="GYB23" s="7"/>
      <c r="GYC23" s="7"/>
      <c r="GYD23" s="7"/>
      <c r="GYE23" s="7"/>
      <c r="GYF23" s="7"/>
      <c r="GYG23" s="7"/>
      <c r="GYH23" s="7"/>
      <c r="GYI23" s="7"/>
      <c r="GYJ23" s="7"/>
      <c r="GYK23" s="7"/>
      <c r="GYL23" s="7"/>
      <c r="GYM23" s="7"/>
      <c r="GYN23" s="7"/>
      <c r="GYO23" s="7"/>
      <c r="GYP23" s="7"/>
      <c r="GYQ23" s="7"/>
      <c r="GYR23" s="7"/>
      <c r="GYS23" s="7"/>
      <c r="GYT23" s="7"/>
      <c r="GYU23" s="7"/>
      <c r="GYV23" s="7"/>
      <c r="GYW23" s="7"/>
      <c r="GYX23" s="7"/>
      <c r="GYY23" s="7"/>
      <c r="GYZ23" s="7"/>
      <c r="GZA23" s="7"/>
      <c r="GZB23" s="7"/>
      <c r="GZC23" s="7"/>
      <c r="GZD23" s="7"/>
      <c r="GZE23" s="7"/>
      <c r="GZF23" s="7"/>
      <c r="GZG23" s="7"/>
      <c r="GZH23" s="7"/>
      <c r="GZI23" s="7"/>
      <c r="GZJ23" s="7"/>
      <c r="GZK23" s="7"/>
      <c r="GZL23" s="7"/>
      <c r="GZM23" s="7"/>
      <c r="GZN23" s="7"/>
      <c r="GZO23" s="7"/>
      <c r="GZP23" s="7"/>
      <c r="GZQ23" s="7"/>
      <c r="GZR23" s="7"/>
      <c r="GZS23" s="7"/>
      <c r="GZT23" s="7"/>
      <c r="GZU23" s="7"/>
      <c r="GZV23" s="7"/>
      <c r="GZW23" s="7"/>
      <c r="GZX23" s="7"/>
      <c r="GZY23" s="7"/>
      <c r="GZZ23" s="7"/>
      <c r="HAA23" s="7"/>
      <c r="HAB23" s="7"/>
      <c r="HAC23" s="7"/>
      <c r="HAD23" s="7"/>
      <c r="HAE23" s="7"/>
      <c r="HAF23" s="7"/>
      <c r="HAG23" s="7"/>
      <c r="HAH23" s="7"/>
      <c r="HAI23" s="7"/>
      <c r="HAJ23" s="7"/>
      <c r="HAK23" s="7"/>
      <c r="HAL23" s="7"/>
      <c r="HAM23" s="7"/>
      <c r="HAN23" s="7"/>
      <c r="HAO23" s="7"/>
      <c r="HAP23" s="7"/>
      <c r="HAQ23" s="7"/>
      <c r="HAR23" s="7"/>
      <c r="HAS23" s="7"/>
      <c r="HAT23" s="7"/>
      <c r="HAU23" s="7"/>
      <c r="HAV23" s="7"/>
      <c r="HAW23" s="7"/>
      <c r="HAX23" s="7"/>
      <c r="HAY23" s="7"/>
      <c r="HAZ23" s="7"/>
      <c r="HBA23" s="7"/>
      <c r="HBB23" s="7"/>
      <c r="HBC23" s="7"/>
      <c r="HBD23" s="7"/>
      <c r="HBE23" s="7"/>
      <c r="HBF23" s="7"/>
      <c r="HBG23" s="7"/>
      <c r="HBH23" s="7"/>
      <c r="HBI23" s="7"/>
      <c r="HBJ23" s="7"/>
      <c r="HBK23" s="7"/>
      <c r="HBL23" s="7"/>
      <c r="HBM23" s="7"/>
      <c r="HBN23" s="7"/>
      <c r="HBO23" s="7"/>
      <c r="HBP23" s="7"/>
      <c r="HBQ23" s="7"/>
      <c r="HBR23" s="7"/>
      <c r="HBS23" s="7"/>
      <c r="HBT23" s="7"/>
      <c r="HBU23" s="7"/>
      <c r="HBV23" s="7"/>
      <c r="HBW23" s="7"/>
      <c r="HBX23" s="7"/>
      <c r="HBY23" s="7"/>
      <c r="HBZ23" s="7"/>
      <c r="HCA23" s="7"/>
      <c r="HCB23" s="7"/>
      <c r="HCC23" s="7"/>
      <c r="HCD23" s="7"/>
      <c r="HCE23" s="7"/>
      <c r="HCF23" s="7"/>
      <c r="HCG23" s="7"/>
      <c r="HCH23" s="7"/>
      <c r="HCI23" s="7"/>
      <c r="HCJ23" s="7"/>
      <c r="HCK23" s="7"/>
      <c r="HCL23" s="7"/>
      <c r="HCM23" s="7"/>
      <c r="HCN23" s="7"/>
      <c r="HCO23" s="7"/>
      <c r="HCP23" s="7"/>
      <c r="HCQ23" s="7"/>
      <c r="HCR23" s="7"/>
      <c r="HCS23" s="7"/>
      <c r="HCT23" s="7"/>
      <c r="HCU23" s="7"/>
      <c r="HCV23" s="7"/>
      <c r="HCW23" s="7"/>
      <c r="HCX23" s="7"/>
      <c r="HCY23" s="7"/>
      <c r="HCZ23" s="7"/>
      <c r="HDA23" s="7"/>
      <c r="HDB23" s="7"/>
      <c r="HDC23" s="7"/>
      <c r="HDD23" s="7"/>
      <c r="HDE23" s="7"/>
      <c r="HDF23" s="7"/>
      <c r="HDG23" s="7"/>
      <c r="HDH23" s="7"/>
      <c r="HDI23" s="7"/>
      <c r="HDJ23" s="7"/>
      <c r="HDK23" s="7"/>
      <c r="HDL23" s="7"/>
      <c r="HDM23" s="7"/>
      <c r="HDN23" s="7"/>
      <c r="HDO23" s="7"/>
      <c r="HDP23" s="7"/>
      <c r="HDQ23" s="7"/>
      <c r="HDR23" s="7"/>
      <c r="HDS23" s="7"/>
      <c r="HDT23" s="7"/>
      <c r="HDU23" s="7"/>
      <c r="HDV23" s="7"/>
      <c r="HDW23" s="7"/>
      <c r="HDX23" s="7"/>
      <c r="HDY23" s="7"/>
      <c r="HDZ23" s="7"/>
      <c r="HEA23" s="7"/>
      <c r="HEB23" s="7"/>
      <c r="HEC23" s="7"/>
      <c r="HED23" s="7"/>
      <c r="HEE23" s="7"/>
      <c r="HEF23" s="7"/>
      <c r="HEG23" s="7"/>
      <c r="HEH23" s="7"/>
      <c r="HEI23" s="7"/>
      <c r="HEJ23" s="7"/>
      <c r="HEK23" s="7"/>
      <c r="HEL23" s="7"/>
      <c r="HEM23" s="7"/>
      <c r="HEN23" s="7"/>
      <c r="HEO23" s="7"/>
      <c r="HEP23" s="7"/>
      <c r="HEQ23" s="7"/>
      <c r="HER23" s="7"/>
      <c r="HES23" s="7"/>
      <c r="HET23" s="7"/>
      <c r="HEU23" s="7"/>
      <c r="HEV23" s="7"/>
      <c r="HEW23" s="7"/>
      <c r="HEX23" s="7"/>
      <c r="HEY23" s="7"/>
      <c r="HEZ23" s="7"/>
      <c r="HFA23" s="7"/>
      <c r="HFB23" s="7"/>
      <c r="HFC23" s="7"/>
      <c r="HFD23" s="7"/>
      <c r="HFE23" s="7"/>
      <c r="HFF23" s="7"/>
      <c r="HFG23" s="7"/>
      <c r="HFH23" s="7"/>
      <c r="HFI23" s="7"/>
      <c r="HFJ23" s="7"/>
      <c r="HFK23" s="7"/>
      <c r="HFL23" s="7"/>
      <c r="HFM23" s="7"/>
      <c r="HFN23" s="7"/>
      <c r="HFO23" s="7"/>
      <c r="HFP23" s="7"/>
      <c r="HFQ23" s="7"/>
      <c r="HFR23" s="7"/>
      <c r="HFS23" s="7"/>
      <c r="HFT23" s="7"/>
      <c r="HFU23" s="7"/>
      <c r="HFV23" s="7"/>
      <c r="HFW23" s="7"/>
      <c r="HFX23" s="7"/>
      <c r="HFY23" s="7"/>
      <c r="HFZ23" s="7"/>
      <c r="HGA23" s="7"/>
      <c r="HGB23" s="7"/>
      <c r="HGC23" s="7"/>
      <c r="HGD23" s="7"/>
      <c r="HGE23" s="7"/>
      <c r="HGF23" s="7"/>
      <c r="HGG23" s="7"/>
      <c r="HGH23" s="7"/>
      <c r="HGI23" s="7"/>
      <c r="HGJ23" s="7"/>
      <c r="HGK23" s="7"/>
      <c r="HGL23" s="7"/>
      <c r="HGM23" s="7"/>
      <c r="HGN23" s="7"/>
      <c r="HGO23" s="7"/>
      <c r="HGP23" s="7"/>
      <c r="HGQ23" s="7"/>
      <c r="HGR23" s="7"/>
      <c r="HGS23" s="7"/>
      <c r="HGT23" s="7"/>
      <c r="HGU23" s="7"/>
      <c r="HGV23" s="7"/>
      <c r="HGW23" s="7"/>
      <c r="HGX23" s="7"/>
      <c r="HGY23" s="7"/>
      <c r="HGZ23" s="7"/>
      <c r="HHA23" s="7"/>
      <c r="HHB23" s="7"/>
      <c r="HHC23" s="7"/>
      <c r="HHD23" s="7"/>
      <c r="HHE23" s="7"/>
      <c r="HHF23" s="7"/>
      <c r="HHG23" s="7"/>
      <c r="HHH23" s="7"/>
      <c r="HHI23" s="7"/>
      <c r="HHJ23" s="7"/>
      <c r="HHK23" s="7"/>
      <c r="HHL23" s="7"/>
      <c r="HHM23" s="7"/>
      <c r="HHN23" s="7"/>
      <c r="HHO23" s="7"/>
      <c r="HHP23" s="7"/>
      <c r="HHQ23" s="7"/>
      <c r="HHR23" s="7"/>
      <c r="HHS23" s="7"/>
      <c r="HHT23" s="7"/>
      <c r="HHU23" s="7"/>
      <c r="HHV23" s="7"/>
      <c r="HHW23" s="7"/>
      <c r="HHX23" s="7"/>
      <c r="HHY23" s="7"/>
      <c r="HHZ23" s="7"/>
      <c r="HIA23" s="7"/>
      <c r="HIB23" s="7"/>
      <c r="HIC23" s="7"/>
      <c r="HID23" s="7"/>
      <c r="HIE23" s="7"/>
      <c r="HIF23" s="7"/>
      <c r="HIG23" s="7"/>
      <c r="HIH23" s="7"/>
      <c r="HII23" s="7"/>
      <c r="HIJ23" s="7"/>
      <c r="HIK23" s="7"/>
      <c r="HIL23" s="7"/>
      <c r="HIM23" s="7"/>
      <c r="HIN23" s="7"/>
      <c r="HIO23" s="7"/>
      <c r="HIP23" s="7"/>
      <c r="HIQ23" s="7"/>
      <c r="HIR23" s="7"/>
      <c r="HIS23" s="7"/>
      <c r="HIT23" s="7"/>
      <c r="HIU23" s="7"/>
      <c r="HIV23" s="7"/>
      <c r="HIW23" s="7"/>
      <c r="HIX23" s="7"/>
      <c r="HIY23" s="7"/>
      <c r="HIZ23" s="7"/>
      <c r="HJA23" s="7"/>
      <c r="HJB23" s="7"/>
      <c r="HJC23" s="7"/>
      <c r="HJD23" s="7"/>
      <c r="HJE23" s="7"/>
      <c r="HJF23" s="7"/>
      <c r="HJG23" s="7"/>
      <c r="HJH23" s="7"/>
      <c r="HJI23" s="7"/>
      <c r="HJJ23" s="7"/>
      <c r="HJK23" s="7"/>
      <c r="HJL23" s="7"/>
      <c r="HJM23" s="7"/>
      <c r="HJN23" s="7"/>
      <c r="HJO23" s="7"/>
      <c r="HJP23" s="7"/>
      <c r="HJQ23" s="7"/>
      <c r="HJR23" s="7"/>
      <c r="HJS23" s="7"/>
      <c r="HJT23" s="7"/>
      <c r="HJU23" s="7"/>
      <c r="HJV23" s="7"/>
      <c r="HJW23" s="7"/>
      <c r="HJX23" s="7"/>
      <c r="HJY23" s="7"/>
      <c r="HJZ23" s="7"/>
      <c r="HKA23" s="7"/>
      <c r="HKB23" s="7"/>
      <c r="HKC23" s="7"/>
      <c r="HKD23" s="7"/>
      <c r="HKE23" s="7"/>
      <c r="HKF23" s="7"/>
      <c r="HKG23" s="7"/>
      <c r="HKH23" s="7"/>
      <c r="HKI23" s="7"/>
      <c r="HKJ23" s="7"/>
      <c r="HKK23" s="7"/>
      <c r="HKL23" s="7"/>
      <c r="HKM23" s="7"/>
      <c r="HKN23" s="7"/>
      <c r="HKO23" s="7"/>
      <c r="HKP23" s="7"/>
      <c r="HKQ23" s="7"/>
      <c r="HKR23" s="7"/>
      <c r="HKS23" s="7"/>
      <c r="HKT23" s="7"/>
      <c r="HKU23" s="7"/>
      <c r="HKV23" s="7"/>
      <c r="HKW23" s="7"/>
      <c r="HKX23" s="7"/>
      <c r="HKY23" s="7"/>
      <c r="HKZ23" s="7"/>
      <c r="HLA23" s="7"/>
      <c r="HLB23" s="7"/>
      <c r="HLC23" s="7"/>
      <c r="HLD23" s="7"/>
      <c r="HLE23" s="7"/>
      <c r="HLF23" s="7"/>
      <c r="HLG23" s="7"/>
      <c r="HLH23" s="7"/>
      <c r="HLI23" s="7"/>
      <c r="HLJ23" s="7"/>
      <c r="HLK23" s="7"/>
      <c r="HLL23" s="7"/>
      <c r="HLM23" s="7"/>
      <c r="HLN23" s="7"/>
      <c r="HLO23" s="7"/>
      <c r="HLP23" s="7"/>
      <c r="HLQ23" s="7"/>
      <c r="HLR23" s="7"/>
      <c r="HLS23" s="7"/>
      <c r="HLT23" s="7"/>
      <c r="HLU23" s="7"/>
      <c r="HLV23" s="7"/>
      <c r="HLW23" s="7"/>
      <c r="HLX23" s="7"/>
      <c r="HLY23" s="7"/>
      <c r="HLZ23" s="7"/>
      <c r="HMA23" s="7"/>
      <c r="HMB23" s="7"/>
      <c r="HMC23" s="7"/>
      <c r="HMD23" s="7"/>
      <c r="HME23" s="7"/>
      <c r="HMF23" s="7"/>
      <c r="HMG23" s="7"/>
      <c r="HMH23" s="7"/>
      <c r="HMI23" s="7"/>
      <c r="HMJ23" s="7"/>
      <c r="HMK23" s="7"/>
      <c r="HML23" s="7"/>
      <c r="HMM23" s="7"/>
      <c r="HMN23" s="7"/>
      <c r="HMO23" s="7"/>
      <c r="HMP23" s="7"/>
      <c r="HMQ23" s="7"/>
      <c r="HMR23" s="7"/>
      <c r="HMS23" s="7"/>
      <c r="HMT23" s="7"/>
      <c r="HMU23" s="7"/>
      <c r="HMV23" s="7"/>
      <c r="HMW23" s="7"/>
      <c r="HMX23" s="7"/>
      <c r="HMY23" s="7"/>
      <c r="HMZ23" s="7"/>
      <c r="HNA23" s="7"/>
      <c r="HNB23" s="7"/>
      <c r="HNC23" s="7"/>
      <c r="HND23" s="7"/>
      <c r="HNE23" s="7"/>
      <c r="HNF23" s="7"/>
      <c r="HNG23" s="7"/>
      <c r="HNH23" s="7"/>
      <c r="HNI23" s="7"/>
      <c r="HNJ23" s="7"/>
      <c r="HNK23" s="7"/>
      <c r="HNL23" s="7"/>
      <c r="HNM23" s="7"/>
      <c r="HNN23" s="7"/>
      <c r="HNO23" s="7"/>
      <c r="HNP23" s="7"/>
      <c r="HNQ23" s="7"/>
      <c r="HNR23" s="7"/>
      <c r="HNS23" s="7"/>
      <c r="HNT23" s="7"/>
      <c r="HNU23" s="7"/>
      <c r="HNV23" s="7"/>
      <c r="HNW23" s="7"/>
      <c r="HNX23" s="7"/>
      <c r="HNY23" s="7"/>
      <c r="HNZ23" s="7"/>
      <c r="HOA23" s="7"/>
      <c r="HOB23" s="7"/>
      <c r="HOC23" s="7"/>
      <c r="HOD23" s="7"/>
      <c r="HOE23" s="7"/>
      <c r="HOF23" s="7"/>
      <c r="HOG23" s="7"/>
      <c r="HOH23" s="7"/>
      <c r="HOI23" s="7"/>
      <c r="HOJ23" s="7"/>
      <c r="HOK23" s="7"/>
      <c r="HOL23" s="7"/>
      <c r="HOM23" s="7"/>
      <c r="HON23" s="7"/>
      <c r="HOO23" s="7"/>
      <c r="HOP23" s="7"/>
      <c r="HOQ23" s="7"/>
      <c r="HOR23" s="7"/>
      <c r="HOS23" s="7"/>
      <c r="HOT23" s="7"/>
      <c r="HOU23" s="7"/>
      <c r="HOV23" s="7"/>
      <c r="HOW23" s="7"/>
      <c r="HOX23" s="7"/>
      <c r="HOY23" s="7"/>
      <c r="HOZ23" s="7"/>
      <c r="HPA23" s="7"/>
      <c r="HPB23" s="7"/>
      <c r="HPC23" s="7"/>
      <c r="HPD23" s="7"/>
      <c r="HPE23" s="7"/>
      <c r="HPF23" s="7"/>
      <c r="HPG23" s="7"/>
      <c r="HPH23" s="7"/>
      <c r="HPI23" s="7"/>
      <c r="HPJ23" s="7"/>
      <c r="HPK23" s="7"/>
      <c r="HPL23" s="7"/>
      <c r="HPM23" s="7"/>
      <c r="HPN23" s="7"/>
      <c r="HPO23" s="7"/>
      <c r="HPP23" s="7"/>
      <c r="HPQ23" s="7"/>
      <c r="HPR23" s="7"/>
      <c r="HPS23" s="7"/>
      <c r="HPT23" s="7"/>
      <c r="HPU23" s="7"/>
      <c r="HPV23" s="7"/>
      <c r="HPW23" s="7"/>
      <c r="HPX23" s="7"/>
      <c r="HPY23" s="7"/>
      <c r="HPZ23" s="7"/>
      <c r="HQA23" s="7"/>
      <c r="HQB23" s="7"/>
      <c r="HQC23" s="7"/>
      <c r="HQD23" s="7"/>
      <c r="HQE23" s="7"/>
      <c r="HQF23" s="7"/>
      <c r="HQG23" s="7"/>
      <c r="HQH23" s="7"/>
      <c r="HQI23" s="7"/>
      <c r="HQJ23" s="7"/>
      <c r="HQK23" s="7"/>
      <c r="HQL23" s="7"/>
      <c r="HQM23" s="7"/>
      <c r="HQN23" s="7"/>
      <c r="HQO23" s="7"/>
      <c r="HQP23" s="7"/>
      <c r="HQQ23" s="7"/>
      <c r="HQR23" s="7"/>
      <c r="HQS23" s="7"/>
      <c r="HQT23" s="7"/>
      <c r="HQU23" s="7"/>
      <c r="HQV23" s="7"/>
      <c r="HQW23" s="7"/>
      <c r="HQX23" s="7"/>
      <c r="HQY23" s="7"/>
      <c r="HQZ23" s="7"/>
      <c r="HRA23" s="7"/>
      <c r="HRB23" s="7"/>
      <c r="HRC23" s="7"/>
      <c r="HRD23" s="7"/>
      <c r="HRE23" s="7"/>
      <c r="HRF23" s="7"/>
      <c r="HRG23" s="7"/>
      <c r="HRH23" s="7"/>
      <c r="HRI23" s="7"/>
      <c r="HRJ23" s="7"/>
      <c r="HRK23" s="7"/>
      <c r="HRL23" s="7"/>
      <c r="HRM23" s="7"/>
      <c r="HRN23" s="7"/>
      <c r="HRO23" s="7"/>
      <c r="HRP23" s="7"/>
      <c r="HRQ23" s="7"/>
      <c r="HRR23" s="7"/>
      <c r="HRS23" s="7"/>
      <c r="HRT23" s="7"/>
      <c r="HRU23" s="7"/>
      <c r="HRV23" s="7"/>
      <c r="HRW23" s="7"/>
      <c r="HRX23" s="7"/>
      <c r="HRY23" s="7"/>
      <c r="HRZ23" s="7"/>
      <c r="HSA23" s="7"/>
      <c r="HSB23" s="7"/>
      <c r="HSC23" s="7"/>
      <c r="HSD23" s="7"/>
      <c r="HSE23" s="7"/>
      <c r="HSF23" s="7"/>
      <c r="HSG23" s="7"/>
      <c r="HSH23" s="7"/>
      <c r="HSI23" s="7"/>
      <c r="HSJ23" s="7"/>
      <c r="HSK23" s="7"/>
      <c r="HSL23" s="7"/>
      <c r="HSM23" s="7"/>
      <c r="HSN23" s="7"/>
      <c r="HSO23" s="7"/>
      <c r="HSP23" s="7"/>
      <c r="HSQ23" s="7"/>
      <c r="HSR23" s="7"/>
      <c r="HSS23" s="7"/>
      <c r="HST23" s="7"/>
      <c r="HSU23" s="7"/>
      <c r="HSV23" s="7"/>
      <c r="HSW23" s="7"/>
      <c r="HSX23" s="7"/>
      <c r="HSY23" s="7"/>
      <c r="HSZ23" s="7"/>
      <c r="HTA23" s="7"/>
      <c r="HTB23" s="7"/>
      <c r="HTC23" s="7"/>
      <c r="HTD23" s="7"/>
      <c r="HTE23" s="7"/>
      <c r="HTF23" s="7"/>
      <c r="HTG23" s="7"/>
      <c r="HTH23" s="7"/>
      <c r="HTI23" s="7"/>
      <c r="HTJ23" s="7"/>
      <c r="HTK23" s="7"/>
      <c r="HTL23" s="7"/>
      <c r="HTM23" s="7"/>
      <c r="HTN23" s="7"/>
      <c r="HTO23" s="7"/>
      <c r="HTP23" s="7"/>
      <c r="HTQ23" s="7"/>
      <c r="HTR23" s="7"/>
      <c r="HTS23" s="7"/>
      <c r="HTT23" s="7"/>
      <c r="HTU23" s="7"/>
      <c r="HTV23" s="7"/>
      <c r="HTW23" s="7"/>
      <c r="HTX23" s="7"/>
      <c r="HTY23" s="7"/>
      <c r="HTZ23" s="7"/>
      <c r="HUA23" s="7"/>
      <c r="HUB23" s="7"/>
      <c r="HUC23" s="7"/>
      <c r="HUD23" s="7"/>
      <c r="HUE23" s="7"/>
      <c r="HUF23" s="7"/>
      <c r="HUG23" s="7"/>
      <c r="HUH23" s="7"/>
      <c r="HUI23" s="7"/>
      <c r="HUJ23" s="7"/>
      <c r="HUK23" s="7"/>
      <c r="HUL23" s="7"/>
      <c r="HUM23" s="7"/>
      <c r="HUN23" s="7"/>
      <c r="HUO23" s="7"/>
      <c r="HUP23" s="7"/>
      <c r="HUQ23" s="7"/>
      <c r="HUR23" s="7"/>
      <c r="HUS23" s="7"/>
      <c r="HUT23" s="7"/>
      <c r="HUU23" s="7"/>
      <c r="HUV23" s="7"/>
      <c r="HUW23" s="7"/>
      <c r="HUX23" s="7"/>
      <c r="HUY23" s="7"/>
      <c r="HUZ23" s="7"/>
      <c r="HVA23" s="7"/>
      <c r="HVB23" s="7"/>
      <c r="HVC23" s="7"/>
      <c r="HVD23" s="7"/>
      <c r="HVE23" s="7"/>
      <c r="HVF23" s="7"/>
      <c r="HVG23" s="7"/>
      <c r="HVH23" s="7"/>
      <c r="HVI23" s="7"/>
      <c r="HVJ23" s="7"/>
      <c r="HVK23" s="7"/>
      <c r="HVL23" s="7"/>
      <c r="HVM23" s="7"/>
      <c r="HVN23" s="7"/>
      <c r="HVO23" s="7"/>
      <c r="HVP23" s="7"/>
      <c r="HVQ23" s="7"/>
      <c r="HVR23" s="7"/>
      <c r="HVS23" s="7"/>
      <c r="HVT23" s="7"/>
      <c r="HVU23" s="7"/>
      <c r="HVV23" s="7"/>
      <c r="HVW23" s="7"/>
      <c r="HVX23" s="7"/>
      <c r="HVY23" s="7"/>
      <c r="HVZ23" s="7"/>
      <c r="HWA23" s="7"/>
      <c r="HWB23" s="7"/>
      <c r="HWC23" s="7"/>
      <c r="HWD23" s="7"/>
      <c r="HWE23" s="7"/>
      <c r="HWF23" s="7"/>
      <c r="HWG23" s="7"/>
      <c r="HWH23" s="7"/>
      <c r="HWI23" s="7"/>
      <c r="HWJ23" s="7"/>
      <c r="HWK23" s="7"/>
      <c r="HWL23" s="7"/>
      <c r="HWM23" s="7"/>
      <c r="HWN23" s="7"/>
      <c r="HWO23" s="7"/>
      <c r="HWP23" s="7"/>
      <c r="HWQ23" s="7"/>
      <c r="HWR23" s="7"/>
      <c r="HWS23" s="7"/>
      <c r="HWT23" s="7"/>
      <c r="HWU23" s="7"/>
      <c r="HWV23" s="7"/>
      <c r="HWW23" s="7"/>
      <c r="HWX23" s="7"/>
      <c r="HWY23" s="7"/>
      <c r="HWZ23" s="7"/>
      <c r="HXA23" s="7"/>
      <c r="HXB23" s="7"/>
      <c r="HXC23" s="7"/>
      <c r="HXD23" s="7"/>
      <c r="HXE23" s="7"/>
      <c r="HXF23" s="7"/>
      <c r="HXG23" s="7"/>
      <c r="HXH23" s="7"/>
      <c r="HXI23" s="7"/>
      <c r="HXJ23" s="7"/>
      <c r="HXK23" s="7"/>
      <c r="HXL23" s="7"/>
      <c r="HXM23" s="7"/>
      <c r="HXN23" s="7"/>
      <c r="HXO23" s="7"/>
      <c r="HXP23" s="7"/>
      <c r="HXQ23" s="7"/>
      <c r="HXR23" s="7"/>
      <c r="HXS23" s="7"/>
      <c r="HXT23" s="7"/>
      <c r="HXU23" s="7"/>
      <c r="HXV23" s="7"/>
      <c r="HXW23" s="7"/>
      <c r="HXX23" s="7"/>
      <c r="HXY23" s="7"/>
      <c r="HXZ23" s="7"/>
      <c r="HYA23" s="7"/>
      <c r="HYB23" s="7"/>
      <c r="HYC23" s="7"/>
      <c r="HYD23" s="7"/>
      <c r="HYE23" s="7"/>
      <c r="HYF23" s="7"/>
      <c r="HYG23" s="7"/>
      <c r="HYH23" s="7"/>
      <c r="HYI23" s="7"/>
      <c r="HYJ23" s="7"/>
      <c r="HYK23" s="7"/>
      <c r="HYL23" s="7"/>
      <c r="HYM23" s="7"/>
      <c r="HYN23" s="7"/>
      <c r="HYO23" s="7"/>
      <c r="HYP23" s="7"/>
      <c r="HYQ23" s="7"/>
      <c r="HYR23" s="7"/>
      <c r="HYS23" s="7"/>
      <c r="HYT23" s="7"/>
      <c r="HYU23" s="7"/>
      <c r="HYV23" s="7"/>
      <c r="HYW23" s="7"/>
      <c r="HYX23" s="7"/>
      <c r="HYY23" s="7"/>
      <c r="HYZ23" s="7"/>
      <c r="HZA23" s="7"/>
      <c r="HZB23" s="7"/>
      <c r="HZC23" s="7"/>
      <c r="HZD23" s="7"/>
      <c r="HZE23" s="7"/>
      <c r="HZF23" s="7"/>
      <c r="HZG23" s="7"/>
      <c r="HZH23" s="7"/>
      <c r="HZI23" s="7"/>
      <c r="HZJ23" s="7"/>
      <c r="HZK23" s="7"/>
      <c r="HZL23" s="7"/>
      <c r="HZM23" s="7"/>
      <c r="HZN23" s="7"/>
      <c r="HZO23" s="7"/>
      <c r="HZP23" s="7"/>
      <c r="HZQ23" s="7"/>
      <c r="HZR23" s="7"/>
      <c r="HZS23" s="7"/>
      <c r="HZT23" s="7"/>
      <c r="HZU23" s="7"/>
      <c r="HZV23" s="7"/>
      <c r="HZW23" s="7"/>
      <c r="HZX23" s="7"/>
      <c r="HZY23" s="7"/>
      <c r="HZZ23" s="7"/>
      <c r="IAA23" s="7"/>
      <c r="IAB23" s="7"/>
      <c r="IAC23" s="7"/>
      <c r="IAD23" s="7"/>
      <c r="IAE23" s="7"/>
      <c r="IAF23" s="7"/>
      <c r="IAG23" s="7"/>
      <c r="IAH23" s="7"/>
      <c r="IAI23" s="7"/>
      <c r="IAJ23" s="7"/>
      <c r="IAK23" s="7"/>
      <c r="IAL23" s="7"/>
      <c r="IAM23" s="7"/>
      <c r="IAN23" s="7"/>
      <c r="IAO23" s="7"/>
      <c r="IAP23" s="7"/>
      <c r="IAQ23" s="7"/>
      <c r="IAR23" s="7"/>
      <c r="IAS23" s="7"/>
      <c r="IAT23" s="7"/>
      <c r="IAU23" s="7"/>
      <c r="IAV23" s="7"/>
      <c r="IAW23" s="7"/>
      <c r="IAX23" s="7"/>
      <c r="IAY23" s="7"/>
      <c r="IAZ23" s="7"/>
      <c r="IBA23" s="7"/>
      <c r="IBB23" s="7"/>
      <c r="IBC23" s="7"/>
      <c r="IBD23" s="7"/>
      <c r="IBE23" s="7"/>
      <c r="IBF23" s="7"/>
      <c r="IBG23" s="7"/>
      <c r="IBH23" s="7"/>
      <c r="IBI23" s="7"/>
      <c r="IBJ23" s="7"/>
      <c r="IBK23" s="7"/>
      <c r="IBL23" s="7"/>
      <c r="IBM23" s="7"/>
      <c r="IBN23" s="7"/>
      <c r="IBO23" s="7"/>
      <c r="IBP23" s="7"/>
      <c r="IBQ23" s="7"/>
      <c r="IBR23" s="7"/>
      <c r="IBS23" s="7"/>
      <c r="IBT23" s="7"/>
      <c r="IBU23" s="7"/>
      <c r="IBV23" s="7"/>
      <c r="IBW23" s="7"/>
      <c r="IBX23" s="7"/>
      <c r="IBY23" s="7"/>
      <c r="IBZ23" s="7"/>
      <c r="ICA23" s="7"/>
      <c r="ICB23" s="7"/>
      <c r="ICC23" s="7"/>
      <c r="ICD23" s="7"/>
      <c r="ICE23" s="7"/>
      <c r="ICF23" s="7"/>
      <c r="ICG23" s="7"/>
      <c r="ICH23" s="7"/>
      <c r="ICI23" s="7"/>
      <c r="ICJ23" s="7"/>
      <c r="ICK23" s="7"/>
      <c r="ICL23" s="7"/>
      <c r="ICM23" s="7"/>
      <c r="ICN23" s="7"/>
      <c r="ICO23" s="7"/>
      <c r="ICP23" s="7"/>
      <c r="ICQ23" s="7"/>
      <c r="ICR23" s="7"/>
      <c r="ICS23" s="7"/>
      <c r="ICT23" s="7"/>
      <c r="ICU23" s="7"/>
      <c r="ICV23" s="7"/>
      <c r="ICW23" s="7"/>
      <c r="ICX23" s="7"/>
      <c r="ICY23" s="7"/>
      <c r="ICZ23" s="7"/>
      <c r="IDA23" s="7"/>
      <c r="IDB23" s="7"/>
      <c r="IDC23" s="7"/>
      <c r="IDD23" s="7"/>
      <c r="IDE23" s="7"/>
      <c r="IDF23" s="7"/>
      <c r="IDG23" s="7"/>
      <c r="IDH23" s="7"/>
      <c r="IDI23" s="7"/>
      <c r="IDJ23" s="7"/>
      <c r="IDK23" s="7"/>
      <c r="IDL23" s="7"/>
      <c r="IDM23" s="7"/>
      <c r="IDN23" s="7"/>
      <c r="IDO23" s="7"/>
      <c r="IDP23" s="7"/>
      <c r="IDQ23" s="7"/>
      <c r="IDR23" s="7"/>
      <c r="IDS23" s="7"/>
      <c r="IDT23" s="7"/>
      <c r="IDU23" s="7"/>
      <c r="IDV23" s="7"/>
      <c r="IDW23" s="7"/>
      <c r="IDX23" s="7"/>
      <c r="IDY23" s="7"/>
      <c r="IDZ23" s="7"/>
      <c r="IEA23" s="7"/>
      <c r="IEB23" s="7"/>
      <c r="IEC23" s="7"/>
      <c r="IED23" s="7"/>
      <c r="IEE23" s="7"/>
      <c r="IEF23" s="7"/>
      <c r="IEG23" s="7"/>
      <c r="IEH23" s="7"/>
      <c r="IEI23" s="7"/>
      <c r="IEJ23" s="7"/>
      <c r="IEK23" s="7"/>
      <c r="IEL23" s="7"/>
      <c r="IEM23" s="7"/>
      <c r="IEN23" s="7"/>
      <c r="IEO23" s="7"/>
      <c r="IEP23" s="7"/>
      <c r="IEQ23" s="7"/>
      <c r="IER23" s="7"/>
      <c r="IES23" s="7"/>
      <c r="IET23" s="7"/>
      <c r="IEU23" s="7"/>
      <c r="IEV23" s="7"/>
      <c r="IEW23" s="7"/>
      <c r="IEX23" s="7"/>
      <c r="IEY23" s="7"/>
      <c r="IEZ23" s="7"/>
      <c r="IFA23" s="7"/>
      <c r="IFB23" s="7"/>
      <c r="IFC23" s="7"/>
      <c r="IFD23" s="7"/>
      <c r="IFE23" s="7"/>
      <c r="IFF23" s="7"/>
      <c r="IFG23" s="7"/>
      <c r="IFH23" s="7"/>
      <c r="IFI23" s="7"/>
      <c r="IFJ23" s="7"/>
      <c r="IFK23" s="7"/>
      <c r="IFL23" s="7"/>
      <c r="IFM23" s="7"/>
      <c r="IFN23" s="7"/>
      <c r="IFO23" s="7"/>
      <c r="IFP23" s="7"/>
      <c r="IFQ23" s="7"/>
      <c r="IFR23" s="7"/>
      <c r="IFS23" s="7"/>
      <c r="IFT23" s="7"/>
      <c r="IFU23" s="7"/>
      <c r="IFV23" s="7"/>
      <c r="IFW23" s="7"/>
      <c r="IFX23" s="7"/>
      <c r="IFY23" s="7"/>
      <c r="IFZ23" s="7"/>
      <c r="IGA23" s="7"/>
      <c r="IGB23" s="7"/>
      <c r="IGC23" s="7"/>
      <c r="IGD23" s="7"/>
      <c r="IGE23" s="7"/>
      <c r="IGF23" s="7"/>
      <c r="IGG23" s="7"/>
      <c r="IGH23" s="7"/>
      <c r="IGI23" s="7"/>
      <c r="IGJ23" s="7"/>
      <c r="IGK23" s="7"/>
      <c r="IGL23" s="7"/>
      <c r="IGM23" s="7"/>
      <c r="IGN23" s="7"/>
      <c r="IGO23" s="7"/>
      <c r="IGP23" s="7"/>
      <c r="IGQ23" s="7"/>
      <c r="IGR23" s="7"/>
      <c r="IGS23" s="7"/>
      <c r="IGT23" s="7"/>
      <c r="IGU23" s="7"/>
      <c r="IGV23" s="7"/>
      <c r="IGW23" s="7"/>
      <c r="IGX23" s="7"/>
      <c r="IGY23" s="7"/>
      <c r="IGZ23" s="7"/>
      <c r="IHA23" s="7"/>
      <c r="IHB23" s="7"/>
      <c r="IHC23" s="7"/>
      <c r="IHD23" s="7"/>
      <c r="IHE23" s="7"/>
      <c r="IHF23" s="7"/>
      <c r="IHG23" s="7"/>
      <c r="IHH23" s="7"/>
      <c r="IHI23" s="7"/>
      <c r="IHJ23" s="7"/>
      <c r="IHK23" s="7"/>
      <c r="IHL23" s="7"/>
      <c r="IHM23" s="7"/>
      <c r="IHN23" s="7"/>
      <c r="IHO23" s="7"/>
      <c r="IHP23" s="7"/>
      <c r="IHQ23" s="7"/>
      <c r="IHR23" s="7"/>
      <c r="IHS23" s="7"/>
      <c r="IHT23" s="7"/>
      <c r="IHU23" s="7"/>
      <c r="IHV23" s="7"/>
      <c r="IHW23" s="7"/>
      <c r="IHX23" s="7"/>
      <c r="IHY23" s="7"/>
      <c r="IHZ23" s="7"/>
      <c r="IIA23" s="7"/>
      <c r="IIB23" s="7"/>
      <c r="IIC23" s="7"/>
      <c r="IID23" s="7"/>
      <c r="IIE23" s="7"/>
      <c r="IIF23" s="7"/>
      <c r="IIG23" s="7"/>
      <c r="IIH23" s="7"/>
      <c r="III23" s="7"/>
      <c r="IIJ23" s="7"/>
      <c r="IIK23" s="7"/>
      <c r="IIL23" s="7"/>
      <c r="IIM23" s="7"/>
      <c r="IIN23" s="7"/>
      <c r="IIO23" s="7"/>
      <c r="IIP23" s="7"/>
      <c r="IIQ23" s="7"/>
      <c r="IIR23" s="7"/>
      <c r="IIS23" s="7"/>
      <c r="IIT23" s="7"/>
      <c r="IIU23" s="7"/>
      <c r="IIV23" s="7"/>
      <c r="IIW23" s="7"/>
      <c r="IIX23" s="7"/>
      <c r="IIY23" s="7"/>
      <c r="IIZ23" s="7"/>
      <c r="IJA23" s="7"/>
      <c r="IJB23" s="7"/>
      <c r="IJC23" s="7"/>
      <c r="IJD23" s="7"/>
      <c r="IJE23" s="7"/>
      <c r="IJF23" s="7"/>
      <c r="IJG23" s="7"/>
      <c r="IJH23" s="7"/>
      <c r="IJI23" s="7"/>
      <c r="IJJ23" s="7"/>
      <c r="IJK23" s="7"/>
      <c r="IJL23" s="7"/>
      <c r="IJM23" s="7"/>
      <c r="IJN23" s="7"/>
      <c r="IJO23" s="7"/>
      <c r="IJP23" s="7"/>
      <c r="IJQ23" s="7"/>
      <c r="IJR23" s="7"/>
      <c r="IJS23" s="7"/>
      <c r="IJT23" s="7"/>
      <c r="IJU23" s="7"/>
      <c r="IJV23" s="7"/>
      <c r="IJW23" s="7"/>
      <c r="IJX23" s="7"/>
      <c r="IJY23" s="7"/>
      <c r="IJZ23" s="7"/>
      <c r="IKA23" s="7"/>
      <c r="IKB23" s="7"/>
      <c r="IKC23" s="7"/>
      <c r="IKD23" s="7"/>
      <c r="IKE23" s="7"/>
      <c r="IKF23" s="7"/>
      <c r="IKG23" s="7"/>
      <c r="IKH23" s="7"/>
      <c r="IKI23" s="7"/>
      <c r="IKJ23" s="7"/>
      <c r="IKK23" s="7"/>
      <c r="IKL23" s="7"/>
      <c r="IKM23" s="7"/>
      <c r="IKN23" s="7"/>
      <c r="IKO23" s="7"/>
      <c r="IKP23" s="7"/>
      <c r="IKQ23" s="7"/>
      <c r="IKR23" s="7"/>
      <c r="IKS23" s="7"/>
      <c r="IKT23" s="7"/>
      <c r="IKU23" s="7"/>
      <c r="IKV23" s="7"/>
      <c r="IKW23" s="7"/>
      <c r="IKX23" s="7"/>
      <c r="IKY23" s="7"/>
      <c r="IKZ23" s="7"/>
      <c r="ILA23" s="7"/>
      <c r="ILB23" s="7"/>
      <c r="ILC23" s="7"/>
      <c r="ILD23" s="7"/>
      <c r="ILE23" s="7"/>
      <c r="ILF23" s="7"/>
      <c r="ILG23" s="7"/>
      <c r="ILH23" s="7"/>
      <c r="ILI23" s="7"/>
      <c r="ILJ23" s="7"/>
      <c r="ILK23" s="7"/>
      <c r="ILL23" s="7"/>
      <c r="ILM23" s="7"/>
      <c r="ILN23" s="7"/>
      <c r="ILO23" s="7"/>
      <c r="ILP23" s="7"/>
      <c r="ILQ23" s="7"/>
      <c r="ILR23" s="7"/>
      <c r="ILS23" s="7"/>
      <c r="ILT23" s="7"/>
      <c r="ILU23" s="7"/>
      <c r="ILV23" s="7"/>
      <c r="ILW23" s="7"/>
      <c r="ILX23" s="7"/>
      <c r="ILY23" s="7"/>
      <c r="ILZ23" s="7"/>
      <c r="IMA23" s="7"/>
      <c r="IMB23" s="7"/>
      <c r="IMC23" s="7"/>
      <c r="IMD23" s="7"/>
      <c r="IME23" s="7"/>
      <c r="IMF23" s="7"/>
      <c r="IMG23" s="7"/>
      <c r="IMH23" s="7"/>
      <c r="IMI23" s="7"/>
      <c r="IMJ23" s="7"/>
      <c r="IMK23" s="7"/>
      <c r="IML23" s="7"/>
      <c r="IMM23" s="7"/>
      <c r="IMN23" s="7"/>
      <c r="IMO23" s="7"/>
      <c r="IMP23" s="7"/>
      <c r="IMQ23" s="7"/>
      <c r="IMR23" s="7"/>
      <c r="IMS23" s="7"/>
      <c r="IMT23" s="7"/>
      <c r="IMU23" s="7"/>
      <c r="IMV23" s="7"/>
      <c r="IMW23" s="7"/>
      <c r="IMX23" s="7"/>
      <c r="IMY23" s="7"/>
      <c r="IMZ23" s="7"/>
      <c r="INA23" s="7"/>
      <c r="INB23" s="7"/>
      <c r="INC23" s="7"/>
      <c r="IND23" s="7"/>
      <c r="INE23" s="7"/>
      <c r="INF23" s="7"/>
      <c r="ING23" s="7"/>
      <c r="INH23" s="7"/>
      <c r="INI23" s="7"/>
      <c r="INJ23" s="7"/>
      <c r="INK23" s="7"/>
      <c r="INL23" s="7"/>
      <c r="INM23" s="7"/>
      <c r="INN23" s="7"/>
      <c r="INO23" s="7"/>
      <c r="INP23" s="7"/>
      <c r="INQ23" s="7"/>
      <c r="INR23" s="7"/>
      <c r="INS23" s="7"/>
      <c r="INT23" s="7"/>
      <c r="INU23" s="7"/>
      <c r="INV23" s="7"/>
      <c r="INW23" s="7"/>
      <c r="INX23" s="7"/>
      <c r="INY23" s="7"/>
      <c r="INZ23" s="7"/>
      <c r="IOA23" s="7"/>
      <c r="IOB23" s="7"/>
      <c r="IOC23" s="7"/>
      <c r="IOD23" s="7"/>
      <c r="IOE23" s="7"/>
      <c r="IOF23" s="7"/>
      <c r="IOG23" s="7"/>
      <c r="IOH23" s="7"/>
      <c r="IOI23" s="7"/>
      <c r="IOJ23" s="7"/>
      <c r="IOK23" s="7"/>
      <c r="IOL23" s="7"/>
      <c r="IOM23" s="7"/>
      <c r="ION23" s="7"/>
      <c r="IOO23" s="7"/>
      <c r="IOP23" s="7"/>
      <c r="IOQ23" s="7"/>
      <c r="IOR23" s="7"/>
      <c r="IOS23" s="7"/>
      <c r="IOT23" s="7"/>
      <c r="IOU23" s="7"/>
      <c r="IOV23" s="7"/>
      <c r="IOW23" s="7"/>
      <c r="IOX23" s="7"/>
      <c r="IOY23" s="7"/>
      <c r="IOZ23" s="7"/>
      <c r="IPA23" s="7"/>
      <c r="IPB23" s="7"/>
      <c r="IPC23" s="7"/>
      <c r="IPD23" s="7"/>
      <c r="IPE23" s="7"/>
      <c r="IPF23" s="7"/>
      <c r="IPG23" s="7"/>
      <c r="IPH23" s="7"/>
      <c r="IPI23" s="7"/>
      <c r="IPJ23" s="7"/>
      <c r="IPK23" s="7"/>
      <c r="IPL23" s="7"/>
      <c r="IPM23" s="7"/>
      <c r="IPN23" s="7"/>
      <c r="IPO23" s="7"/>
      <c r="IPP23" s="7"/>
      <c r="IPQ23" s="7"/>
      <c r="IPR23" s="7"/>
      <c r="IPS23" s="7"/>
      <c r="IPT23" s="7"/>
      <c r="IPU23" s="7"/>
      <c r="IPV23" s="7"/>
      <c r="IPW23" s="7"/>
      <c r="IPX23" s="7"/>
      <c r="IPY23" s="7"/>
      <c r="IPZ23" s="7"/>
      <c r="IQA23" s="7"/>
      <c r="IQB23" s="7"/>
      <c r="IQC23" s="7"/>
      <c r="IQD23" s="7"/>
      <c r="IQE23" s="7"/>
      <c r="IQF23" s="7"/>
      <c r="IQG23" s="7"/>
      <c r="IQH23" s="7"/>
      <c r="IQI23" s="7"/>
      <c r="IQJ23" s="7"/>
      <c r="IQK23" s="7"/>
      <c r="IQL23" s="7"/>
      <c r="IQM23" s="7"/>
      <c r="IQN23" s="7"/>
      <c r="IQO23" s="7"/>
      <c r="IQP23" s="7"/>
      <c r="IQQ23" s="7"/>
      <c r="IQR23" s="7"/>
      <c r="IQS23" s="7"/>
      <c r="IQT23" s="7"/>
      <c r="IQU23" s="7"/>
      <c r="IQV23" s="7"/>
      <c r="IQW23" s="7"/>
      <c r="IQX23" s="7"/>
      <c r="IQY23" s="7"/>
      <c r="IQZ23" s="7"/>
      <c r="IRA23" s="7"/>
      <c r="IRB23" s="7"/>
      <c r="IRC23" s="7"/>
      <c r="IRD23" s="7"/>
      <c r="IRE23" s="7"/>
      <c r="IRF23" s="7"/>
      <c r="IRG23" s="7"/>
      <c r="IRH23" s="7"/>
      <c r="IRI23" s="7"/>
      <c r="IRJ23" s="7"/>
      <c r="IRK23" s="7"/>
      <c r="IRL23" s="7"/>
      <c r="IRM23" s="7"/>
      <c r="IRN23" s="7"/>
      <c r="IRO23" s="7"/>
      <c r="IRP23" s="7"/>
      <c r="IRQ23" s="7"/>
      <c r="IRR23" s="7"/>
      <c r="IRS23" s="7"/>
      <c r="IRT23" s="7"/>
      <c r="IRU23" s="7"/>
      <c r="IRV23" s="7"/>
      <c r="IRW23" s="7"/>
      <c r="IRX23" s="7"/>
      <c r="IRY23" s="7"/>
      <c r="IRZ23" s="7"/>
      <c r="ISA23" s="7"/>
      <c r="ISB23" s="7"/>
      <c r="ISC23" s="7"/>
      <c r="ISD23" s="7"/>
      <c r="ISE23" s="7"/>
      <c r="ISF23" s="7"/>
      <c r="ISG23" s="7"/>
      <c r="ISH23" s="7"/>
      <c r="ISI23" s="7"/>
      <c r="ISJ23" s="7"/>
      <c r="ISK23" s="7"/>
      <c r="ISL23" s="7"/>
      <c r="ISM23" s="7"/>
      <c r="ISN23" s="7"/>
      <c r="ISO23" s="7"/>
      <c r="ISP23" s="7"/>
      <c r="ISQ23" s="7"/>
      <c r="ISR23" s="7"/>
      <c r="ISS23" s="7"/>
      <c r="IST23" s="7"/>
      <c r="ISU23" s="7"/>
      <c r="ISV23" s="7"/>
      <c r="ISW23" s="7"/>
      <c r="ISX23" s="7"/>
      <c r="ISY23" s="7"/>
      <c r="ISZ23" s="7"/>
      <c r="ITA23" s="7"/>
      <c r="ITB23" s="7"/>
      <c r="ITC23" s="7"/>
      <c r="ITD23" s="7"/>
      <c r="ITE23" s="7"/>
      <c r="ITF23" s="7"/>
      <c r="ITG23" s="7"/>
      <c r="ITH23" s="7"/>
      <c r="ITI23" s="7"/>
      <c r="ITJ23" s="7"/>
      <c r="ITK23" s="7"/>
      <c r="ITL23" s="7"/>
      <c r="ITM23" s="7"/>
      <c r="ITN23" s="7"/>
      <c r="ITO23" s="7"/>
      <c r="ITP23" s="7"/>
      <c r="ITQ23" s="7"/>
      <c r="ITR23" s="7"/>
      <c r="ITS23" s="7"/>
      <c r="ITT23" s="7"/>
      <c r="ITU23" s="7"/>
      <c r="ITV23" s="7"/>
      <c r="ITW23" s="7"/>
      <c r="ITX23" s="7"/>
      <c r="ITY23" s="7"/>
      <c r="ITZ23" s="7"/>
      <c r="IUA23" s="7"/>
      <c r="IUB23" s="7"/>
      <c r="IUC23" s="7"/>
      <c r="IUD23" s="7"/>
      <c r="IUE23" s="7"/>
      <c r="IUF23" s="7"/>
      <c r="IUG23" s="7"/>
      <c r="IUH23" s="7"/>
      <c r="IUI23" s="7"/>
      <c r="IUJ23" s="7"/>
      <c r="IUK23" s="7"/>
      <c r="IUL23" s="7"/>
      <c r="IUM23" s="7"/>
      <c r="IUN23" s="7"/>
      <c r="IUO23" s="7"/>
      <c r="IUP23" s="7"/>
      <c r="IUQ23" s="7"/>
      <c r="IUR23" s="7"/>
      <c r="IUS23" s="7"/>
      <c r="IUT23" s="7"/>
      <c r="IUU23" s="7"/>
      <c r="IUV23" s="7"/>
      <c r="IUW23" s="7"/>
      <c r="IUX23" s="7"/>
      <c r="IUY23" s="7"/>
      <c r="IUZ23" s="7"/>
      <c r="IVA23" s="7"/>
      <c r="IVB23" s="7"/>
      <c r="IVC23" s="7"/>
      <c r="IVD23" s="7"/>
      <c r="IVE23" s="7"/>
      <c r="IVF23" s="7"/>
      <c r="IVG23" s="7"/>
      <c r="IVH23" s="7"/>
      <c r="IVI23" s="7"/>
      <c r="IVJ23" s="7"/>
      <c r="IVK23" s="7"/>
      <c r="IVL23" s="7"/>
      <c r="IVM23" s="7"/>
      <c r="IVN23" s="7"/>
      <c r="IVO23" s="7"/>
      <c r="IVP23" s="7"/>
      <c r="IVQ23" s="7"/>
      <c r="IVR23" s="7"/>
      <c r="IVS23" s="7"/>
      <c r="IVT23" s="7"/>
      <c r="IVU23" s="7"/>
      <c r="IVV23" s="7"/>
      <c r="IVW23" s="7"/>
      <c r="IVX23" s="7"/>
      <c r="IVY23" s="7"/>
      <c r="IVZ23" s="7"/>
      <c r="IWA23" s="7"/>
      <c r="IWB23" s="7"/>
      <c r="IWC23" s="7"/>
      <c r="IWD23" s="7"/>
      <c r="IWE23" s="7"/>
      <c r="IWF23" s="7"/>
      <c r="IWG23" s="7"/>
      <c r="IWH23" s="7"/>
      <c r="IWI23" s="7"/>
      <c r="IWJ23" s="7"/>
      <c r="IWK23" s="7"/>
      <c r="IWL23" s="7"/>
      <c r="IWM23" s="7"/>
      <c r="IWN23" s="7"/>
      <c r="IWO23" s="7"/>
      <c r="IWP23" s="7"/>
      <c r="IWQ23" s="7"/>
      <c r="IWR23" s="7"/>
      <c r="IWS23" s="7"/>
      <c r="IWT23" s="7"/>
      <c r="IWU23" s="7"/>
      <c r="IWV23" s="7"/>
      <c r="IWW23" s="7"/>
      <c r="IWX23" s="7"/>
      <c r="IWY23" s="7"/>
      <c r="IWZ23" s="7"/>
      <c r="IXA23" s="7"/>
      <c r="IXB23" s="7"/>
      <c r="IXC23" s="7"/>
      <c r="IXD23" s="7"/>
      <c r="IXE23" s="7"/>
      <c r="IXF23" s="7"/>
      <c r="IXG23" s="7"/>
      <c r="IXH23" s="7"/>
      <c r="IXI23" s="7"/>
      <c r="IXJ23" s="7"/>
      <c r="IXK23" s="7"/>
      <c r="IXL23" s="7"/>
      <c r="IXM23" s="7"/>
      <c r="IXN23" s="7"/>
      <c r="IXO23" s="7"/>
      <c r="IXP23" s="7"/>
      <c r="IXQ23" s="7"/>
      <c r="IXR23" s="7"/>
      <c r="IXS23" s="7"/>
      <c r="IXT23" s="7"/>
      <c r="IXU23" s="7"/>
      <c r="IXV23" s="7"/>
      <c r="IXW23" s="7"/>
      <c r="IXX23" s="7"/>
      <c r="IXY23" s="7"/>
      <c r="IXZ23" s="7"/>
      <c r="IYA23" s="7"/>
      <c r="IYB23" s="7"/>
      <c r="IYC23" s="7"/>
      <c r="IYD23" s="7"/>
      <c r="IYE23" s="7"/>
      <c r="IYF23" s="7"/>
      <c r="IYG23" s="7"/>
      <c r="IYH23" s="7"/>
      <c r="IYI23" s="7"/>
      <c r="IYJ23" s="7"/>
      <c r="IYK23" s="7"/>
      <c r="IYL23" s="7"/>
      <c r="IYM23" s="7"/>
      <c r="IYN23" s="7"/>
      <c r="IYO23" s="7"/>
      <c r="IYP23" s="7"/>
      <c r="IYQ23" s="7"/>
      <c r="IYR23" s="7"/>
      <c r="IYS23" s="7"/>
      <c r="IYT23" s="7"/>
      <c r="IYU23" s="7"/>
      <c r="IYV23" s="7"/>
      <c r="IYW23" s="7"/>
      <c r="IYX23" s="7"/>
      <c r="IYY23" s="7"/>
      <c r="IYZ23" s="7"/>
      <c r="IZA23" s="7"/>
      <c r="IZB23" s="7"/>
      <c r="IZC23" s="7"/>
      <c r="IZD23" s="7"/>
      <c r="IZE23" s="7"/>
      <c r="IZF23" s="7"/>
      <c r="IZG23" s="7"/>
      <c r="IZH23" s="7"/>
      <c r="IZI23" s="7"/>
      <c r="IZJ23" s="7"/>
      <c r="IZK23" s="7"/>
      <c r="IZL23" s="7"/>
      <c r="IZM23" s="7"/>
      <c r="IZN23" s="7"/>
      <c r="IZO23" s="7"/>
      <c r="IZP23" s="7"/>
      <c r="IZQ23" s="7"/>
      <c r="IZR23" s="7"/>
      <c r="IZS23" s="7"/>
      <c r="IZT23" s="7"/>
      <c r="IZU23" s="7"/>
      <c r="IZV23" s="7"/>
      <c r="IZW23" s="7"/>
      <c r="IZX23" s="7"/>
      <c r="IZY23" s="7"/>
      <c r="IZZ23" s="7"/>
      <c r="JAA23" s="7"/>
      <c r="JAB23" s="7"/>
      <c r="JAC23" s="7"/>
      <c r="JAD23" s="7"/>
      <c r="JAE23" s="7"/>
      <c r="JAF23" s="7"/>
      <c r="JAG23" s="7"/>
      <c r="JAH23" s="7"/>
      <c r="JAI23" s="7"/>
      <c r="JAJ23" s="7"/>
      <c r="JAK23" s="7"/>
      <c r="JAL23" s="7"/>
      <c r="JAM23" s="7"/>
      <c r="JAN23" s="7"/>
      <c r="JAO23" s="7"/>
      <c r="JAP23" s="7"/>
      <c r="JAQ23" s="7"/>
      <c r="JAR23" s="7"/>
      <c r="JAS23" s="7"/>
      <c r="JAT23" s="7"/>
      <c r="JAU23" s="7"/>
      <c r="JAV23" s="7"/>
      <c r="JAW23" s="7"/>
      <c r="JAX23" s="7"/>
      <c r="JAY23" s="7"/>
      <c r="JAZ23" s="7"/>
      <c r="JBA23" s="7"/>
      <c r="JBB23" s="7"/>
      <c r="JBC23" s="7"/>
      <c r="JBD23" s="7"/>
      <c r="JBE23" s="7"/>
      <c r="JBF23" s="7"/>
      <c r="JBG23" s="7"/>
      <c r="JBH23" s="7"/>
      <c r="JBI23" s="7"/>
      <c r="JBJ23" s="7"/>
      <c r="JBK23" s="7"/>
      <c r="JBL23" s="7"/>
      <c r="JBM23" s="7"/>
      <c r="JBN23" s="7"/>
      <c r="JBO23" s="7"/>
      <c r="JBP23" s="7"/>
      <c r="JBQ23" s="7"/>
      <c r="JBR23" s="7"/>
      <c r="JBS23" s="7"/>
      <c r="JBT23" s="7"/>
      <c r="JBU23" s="7"/>
      <c r="JBV23" s="7"/>
      <c r="JBW23" s="7"/>
      <c r="JBX23" s="7"/>
      <c r="JBY23" s="7"/>
      <c r="JBZ23" s="7"/>
      <c r="JCA23" s="7"/>
      <c r="JCB23" s="7"/>
      <c r="JCC23" s="7"/>
      <c r="JCD23" s="7"/>
      <c r="JCE23" s="7"/>
      <c r="JCF23" s="7"/>
      <c r="JCG23" s="7"/>
      <c r="JCH23" s="7"/>
      <c r="JCI23" s="7"/>
      <c r="JCJ23" s="7"/>
      <c r="JCK23" s="7"/>
      <c r="JCL23" s="7"/>
      <c r="JCM23" s="7"/>
      <c r="JCN23" s="7"/>
      <c r="JCO23" s="7"/>
      <c r="JCP23" s="7"/>
      <c r="JCQ23" s="7"/>
      <c r="JCR23" s="7"/>
      <c r="JCS23" s="7"/>
      <c r="JCT23" s="7"/>
      <c r="JCU23" s="7"/>
      <c r="JCV23" s="7"/>
      <c r="JCW23" s="7"/>
      <c r="JCX23" s="7"/>
      <c r="JCY23" s="7"/>
      <c r="JCZ23" s="7"/>
      <c r="JDA23" s="7"/>
      <c r="JDB23" s="7"/>
      <c r="JDC23" s="7"/>
      <c r="JDD23" s="7"/>
      <c r="JDE23" s="7"/>
      <c r="JDF23" s="7"/>
      <c r="JDG23" s="7"/>
      <c r="JDH23" s="7"/>
      <c r="JDI23" s="7"/>
      <c r="JDJ23" s="7"/>
      <c r="JDK23" s="7"/>
      <c r="JDL23" s="7"/>
      <c r="JDM23" s="7"/>
      <c r="JDN23" s="7"/>
      <c r="JDO23" s="7"/>
      <c r="JDP23" s="7"/>
      <c r="JDQ23" s="7"/>
      <c r="JDR23" s="7"/>
      <c r="JDS23" s="7"/>
      <c r="JDT23" s="7"/>
      <c r="JDU23" s="7"/>
      <c r="JDV23" s="7"/>
      <c r="JDW23" s="7"/>
      <c r="JDX23" s="7"/>
      <c r="JDY23" s="7"/>
      <c r="JDZ23" s="7"/>
      <c r="JEA23" s="7"/>
      <c r="JEB23" s="7"/>
      <c r="JEC23" s="7"/>
      <c r="JED23" s="7"/>
      <c r="JEE23" s="7"/>
      <c r="JEF23" s="7"/>
      <c r="JEG23" s="7"/>
      <c r="JEH23" s="7"/>
      <c r="JEI23" s="7"/>
      <c r="JEJ23" s="7"/>
      <c r="JEK23" s="7"/>
      <c r="JEL23" s="7"/>
      <c r="JEM23" s="7"/>
      <c r="JEN23" s="7"/>
      <c r="JEO23" s="7"/>
      <c r="JEP23" s="7"/>
      <c r="JEQ23" s="7"/>
      <c r="JER23" s="7"/>
      <c r="JES23" s="7"/>
      <c r="JET23" s="7"/>
      <c r="JEU23" s="7"/>
      <c r="JEV23" s="7"/>
      <c r="JEW23" s="7"/>
      <c r="JEX23" s="7"/>
      <c r="JEY23" s="7"/>
      <c r="JEZ23" s="7"/>
      <c r="JFA23" s="7"/>
      <c r="JFB23" s="7"/>
      <c r="JFC23" s="7"/>
      <c r="JFD23" s="7"/>
      <c r="JFE23" s="7"/>
      <c r="JFF23" s="7"/>
      <c r="JFG23" s="7"/>
      <c r="JFH23" s="7"/>
      <c r="JFI23" s="7"/>
      <c r="JFJ23" s="7"/>
      <c r="JFK23" s="7"/>
      <c r="JFL23" s="7"/>
      <c r="JFM23" s="7"/>
      <c r="JFN23" s="7"/>
      <c r="JFO23" s="7"/>
      <c r="JFP23" s="7"/>
      <c r="JFQ23" s="7"/>
      <c r="JFR23" s="7"/>
      <c r="JFS23" s="7"/>
      <c r="JFT23" s="7"/>
      <c r="JFU23" s="7"/>
      <c r="JFV23" s="7"/>
      <c r="JFW23" s="7"/>
      <c r="JFX23" s="7"/>
      <c r="JFY23" s="7"/>
      <c r="JFZ23" s="7"/>
      <c r="JGA23" s="7"/>
      <c r="JGB23" s="7"/>
      <c r="JGC23" s="7"/>
      <c r="JGD23" s="7"/>
      <c r="JGE23" s="7"/>
      <c r="JGF23" s="7"/>
      <c r="JGG23" s="7"/>
      <c r="JGH23" s="7"/>
      <c r="JGI23" s="7"/>
      <c r="JGJ23" s="7"/>
      <c r="JGK23" s="7"/>
      <c r="JGL23" s="7"/>
      <c r="JGM23" s="7"/>
      <c r="JGN23" s="7"/>
      <c r="JGO23" s="7"/>
      <c r="JGP23" s="7"/>
      <c r="JGQ23" s="7"/>
      <c r="JGR23" s="7"/>
      <c r="JGS23" s="7"/>
      <c r="JGT23" s="7"/>
      <c r="JGU23" s="7"/>
      <c r="JGV23" s="7"/>
      <c r="JGW23" s="7"/>
      <c r="JGX23" s="7"/>
      <c r="JGY23" s="7"/>
      <c r="JGZ23" s="7"/>
      <c r="JHA23" s="7"/>
      <c r="JHB23" s="7"/>
      <c r="JHC23" s="7"/>
      <c r="JHD23" s="7"/>
      <c r="JHE23" s="7"/>
      <c r="JHF23" s="7"/>
      <c r="JHG23" s="7"/>
      <c r="JHH23" s="7"/>
      <c r="JHI23" s="7"/>
      <c r="JHJ23" s="7"/>
      <c r="JHK23" s="7"/>
      <c r="JHL23" s="7"/>
      <c r="JHM23" s="7"/>
      <c r="JHN23" s="7"/>
      <c r="JHO23" s="7"/>
      <c r="JHP23" s="7"/>
      <c r="JHQ23" s="7"/>
      <c r="JHR23" s="7"/>
      <c r="JHS23" s="7"/>
      <c r="JHT23" s="7"/>
      <c r="JHU23" s="7"/>
      <c r="JHV23" s="7"/>
      <c r="JHW23" s="7"/>
      <c r="JHX23" s="7"/>
      <c r="JHY23" s="7"/>
      <c r="JHZ23" s="7"/>
      <c r="JIA23" s="7"/>
      <c r="JIB23" s="7"/>
      <c r="JIC23" s="7"/>
      <c r="JID23" s="7"/>
      <c r="JIE23" s="7"/>
      <c r="JIF23" s="7"/>
      <c r="JIG23" s="7"/>
      <c r="JIH23" s="7"/>
      <c r="JII23" s="7"/>
      <c r="JIJ23" s="7"/>
      <c r="JIK23" s="7"/>
      <c r="JIL23" s="7"/>
      <c r="JIM23" s="7"/>
      <c r="JIN23" s="7"/>
      <c r="JIO23" s="7"/>
      <c r="JIP23" s="7"/>
      <c r="JIQ23" s="7"/>
      <c r="JIR23" s="7"/>
      <c r="JIS23" s="7"/>
      <c r="JIT23" s="7"/>
      <c r="JIU23" s="7"/>
      <c r="JIV23" s="7"/>
      <c r="JIW23" s="7"/>
      <c r="JIX23" s="7"/>
      <c r="JIY23" s="7"/>
      <c r="JIZ23" s="7"/>
      <c r="JJA23" s="7"/>
      <c r="JJB23" s="7"/>
      <c r="JJC23" s="7"/>
      <c r="JJD23" s="7"/>
      <c r="JJE23" s="7"/>
      <c r="JJF23" s="7"/>
      <c r="JJG23" s="7"/>
      <c r="JJH23" s="7"/>
      <c r="JJI23" s="7"/>
      <c r="JJJ23" s="7"/>
      <c r="JJK23" s="7"/>
      <c r="JJL23" s="7"/>
      <c r="JJM23" s="7"/>
      <c r="JJN23" s="7"/>
      <c r="JJO23" s="7"/>
      <c r="JJP23" s="7"/>
      <c r="JJQ23" s="7"/>
      <c r="JJR23" s="7"/>
      <c r="JJS23" s="7"/>
      <c r="JJT23" s="7"/>
      <c r="JJU23" s="7"/>
      <c r="JJV23" s="7"/>
      <c r="JJW23" s="7"/>
      <c r="JJX23" s="7"/>
      <c r="JJY23" s="7"/>
      <c r="JJZ23" s="7"/>
      <c r="JKA23" s="7"/>
      <c r="JKB23" s="7"/>
      <c r="JKC23" s="7"/>
      <c r="JKD23" s="7"/>
      <c r="JKE23" s="7"/>
      <c r="JKF23" s="7"/>
      <c r="JKG23" s="7"/>
      <c r="JKH23" s="7"/>
      <c r="JKI23" s="7"/>
      <c r="JKJ23" s="7"/>
      <c r="JKK23" s="7"/>
      <c r="JKL23" s="7"/>
      <c r="JKM23" s="7"/>
      <c r="JKN23" s="7"/>
      <c r="JKO23" s="7"/>
      <c r="JKP23" s="7"/>
      <c r="JKQ23" s="7"/>
      <c r="JKR23" s="7"/>
      <c r="JKS23" s="7"/>
      <c r="JKT23" s="7"/>
      <c r="JKU23" s="7"/>
      <c r="JKV23" s="7"/>
      <c r="JKW23" s="7"/>
      <c r="JKX23" s="7"/>
      <c r="JKY23" s="7"/>
      <c r="JKZ23" s="7"/>
      <c r="JLA23" s="7"/>
      <c r="JLB23" s="7"/>
      <c r="JLC23" s="7"/>
      <c r="JLD23" s="7"/>
      <c r="JLE23" s="7"/>
      <c r="JLF23" s="7"/>
      <c r="JLG23" s="7"/>
      <c r="JLH23" s="7"/>
      <c r="JLI23" s="7"/>
      <c r="JLJ23" s="7"/>
      <c r="JLK23" s="7"/>
      <c r="JLL23" s="7"/>
      <c r="JLM23" s="7"/>
      <c r="JLN23" s="7"/>
      <c r="JLO23" s="7"/>
      <c r="JLP23" s="7"/>
      <c r="JLQ23" s="7"/>
      <c r="JLR23" s="7"/>
      <c r="JLS23" s="7"/>
      <c r="JLT23" s="7"/>
      <c r="JLU23" s="7"/>
      <c r="JLV23" s="7"/>
      <c r="JLW23" s="7"/>
      <c r="JLX23" s="7"/>
      <c r="JLY23" s="7"/>
      <c r="JLZ23" s="7"/>
      <c r="JMA23" s="7"/>
      <c r="JMB23" s="7"/>
      <c r="JMC23" s="7"/>
      <c r="JMD23" s="7"/>
      <c r="JME23" s="7"/>
      <c r="JMF23" s="7"/>
      <c r="JMG23" s="7"/>
      <c r="JMH23" s="7"/>
      <c r="JMI23" s="7"/>
      <c r="JMJ23" s="7"/>
      <c r="JMK23" s="7"/>
      <c r="JML23" s="7"/>
      <c r="JMM23" s="7"/>
      <c r="JMN23" s="7"/>
      <c r="JMO23" s="7"/>
      <c r="JMP23" s="7"/>
      <c r="JMQ23" s="7"/>
      <c r="JMR23" s="7"/>
      <c r="JMS23" s="7"/>
      <c r="JMT23" s="7"/>
      <c r="JMU23" s="7"/>
      <c r="JMV23" s="7"/>
      <c r="JMW23" s="7"/>
      <c r="JMX23" s="7"/>
      <c r="JMY23" s="7"/>
      <c r="JMZ23" s="7"/>
      <c r="JNA23" s="7"/>
      <c r="JNB23" s="7"/>
      <c r="JNC23" s="7"/>
      <c r="JND23" s="7"/>
      <c r="JNE23" s="7"/>
      <c r="JNF23" s="7"/>
      <c r="JNG23" s="7"/>
      <c r="JNH23" s="7"/>
      <c r="JNI23" s="7"/>
      <c r="JNJ23" s="7"/>
      <c r="JNK23" s="7"/>
      <c r="JNL23" s="7"/>
      <c r="JNM23" s="7"/>
      <c r="JNN23" s="7"/>
      <c r="JNO23" s="7"/>
      <c r="JNP23" s="7"/>
      <c r="JNQ23" s="7"/>
      <c r="JNR23" s="7"/>
      <c r="JNS23" s="7"/>
      <c r="JNT23" s="7"/>
      <c r="JNU23" s="7"/>
      <c r="JNV23" s="7"/>
      <c r="JNW23" s="7"/>
      <c r="JNX23" s="7"/>
      <c r="JNY23" s="7"/>
      <c r="JNZ23" s="7"/>
      <c r="JOA23" s="7"/>
      <c r="JOB23" s="7"/>
      <c r="JOC23" s="7"/>
      <c r="JOD23" s="7"/>
      <c r="JOE23" s="7"/>
      <c r="JOF23" s="7"/>
      <c r="JOG23" s="7"/>
      <c r="JOH23" s="7"/>
      <c r="JOI23" s="7"/>
      <c r="JOJ23" s="7"/>
      <c r="JOK23" s="7"/>
      <c r="JOL23" s="7"/>
      <c r="JOM23" s="7"/>
      <c r="JON23" s="7"/>
      <c r="JOO23" s="7"/>
      <c r="JOP23" s="7"/>
      <c r="JOQ23" s="7"/>
      <c r="JOR23" s="7"/>
      <c r="JOS23" s="7"/>
      <c r="JOT23" s="7"/>
      <c r="JOU23" s="7"/>
      <c r="JOV23" s="7"/>
      <c r="JOW23" s="7"/>
      <c r="JOX23" s="7"/>
      <c r="JOY23" s="7"/>
      <c r="JOZ23" s="7"/>
      <c r="JPA23" s="7"/>
      <c r="JPB23" s="7"/>
      <c r="JPC23" s="7"/>
      <c r="JPD23" s="7"/>
      <c r="JPE23" s="7"/>
      <c r="JPF23" s="7"/>
      <c r="JPG23" s="7"/>
      <c r="JPH23" s="7"/>
      <c r="JPI23" s="7"/>
      <c r="JPJ23" s="7"/>
      <c r="JPK23" s="7"/>
      <c r="JPL23" s="7"/>
      <c r="JPM23" s="7"/>
      <c r="JPN23" s="7"/>
      <c r="JPO23" s="7"/>
      <c r="JPP23" s="7"/>
      <c r="JPQ23" s="7"/>
      <c r="JPR23" s="7"/>
      <c r="JPS23" s="7"/>
      <c r="JPT23" s="7"/>
      <c r="JPU23" s="7"/>
      <c r="JPV23" s="7"/>
      <c r="JPW23" s="7"/>
      <c r="JPX23" s="7"/>
      <c r="JPY23" s="7"/>
      <c r="JPZ23" s="7"/>
      <c r="JQA23" s="7"/>
      <c r="JQB23" s="7"/>
      <c r="JQC23" s="7"/>
      <c r="JQD23" s="7"/>
      <c r="JQE23" s="7"/>
      <c r="JQF23" s="7"/>
      <c r="JQG23" s="7"/>
      <c r="JQH23" s="7"/>
      <c r="JQI23" s="7"/>
      <c r="JQJ23" s="7"/>
      <c r="JQK23" s="7"/>
      <c r="JQL23" s="7"/>
      <c r="JQM23" s="7"/>
      <c r="JQN23" s="7"/>
      <c r="JQO23" s="7"/>
      <c r="JQP23" s="7"/>
      <c r="JQQ23" s="7"/>
      <c r="JQR23" s="7"/>
      <c r="JQS23" s="7"/>
      <c r="JQT23" s="7"/>
      <c r="JQU23" s="7"/>
      <c r="JQV23" s="7"/>
      <c r="JQW23" s="7"/>
      <c r="JQX23" s="7"/>
      <c r="JQY23" s="7"/>
      <c r="JQZ23" s="7"/>
      <c r="JRA23" s="7"/>
      <c r="JRB23" s="7"/>
      <c r="JRC23" s="7"/>
      <c r="JRD23" s="7"/>
      <c r="JRE23" s="7"/>
      <c r="JRF23" s="7"/>
      <c r="JRG23" s="7"/>
      <c r="JRH23" s="7"/>
      <c r="JRI23" s="7"/>
      <c r="JRJ23" s="7"/>
      <c r="JRK23" s="7"/>
      <c r="JRL23" s="7"/>
      <c r="JRM23" s="7"/>
      <c r="JRN23" s="7"/>
      <c r="JRO23" s="7"/>
      <c r="JRP23" s="7"/>
      <c r="JRQ23" s="7"/>
      <c r="JRR23" s="7"/>
      <c r="JRS23" s="7"/>
      <c r="JRT23" s="7"/>
      <c r="JRU23" s="7"/>
      <c r="JRV23" s="7"/>
      <c r="JRW23" s="7"/>
      <c r="JRX23" s="7"/>
      <c r="JRY23" s="7"/>
      <c r="JRZ23" s="7"/>
      <c r="JSA23" s="7"/>
      <c r="JSB23" s="7"/>
      <c r="JSC23" s="7"/>
      <c r="JSD23" s="7"/>
      <c r="JSE23" s="7"/>
      <c r="JSF23" s="7"/>
      <c r="JSG23" s="7"/>
      <c r="JSH23" s="7"/>
      <c r="JSI23" s="7"/>
      <c r="JSJ23" s="7"/>
      <c r="JSK23" s="7"/>
      <c r="JSL23" s="7"/>
      <c r="JSM23" s="7"/>
      <c r="JSN23" s="7"/>
      <c r="JSO23" s="7"/>
      <c r="JSP23" s="7"/>
      <c r="JSQ23" s="7"/>
      <c r="JSR23" s="7"/>
      <c r="JSS23" s="7"/>
      <c r="JST23" s="7"/>
      <c r="JSU23" s="7"/>
      <c r="JSV23" s="7"/>
      <c r="JSW23" s="7"/>
      <c r="JSX23" s="7"/>
      <c r="JSY23" s="7"/>
      <c r="JSZ23" s="7"/>
      <c r="JTA23" s="7"/>
      <c r="JTB23" s="7"/>
      <c r="JTC23" s="7"/>
      <c r="JTD23" s="7"/>
      <c r="JTE23" s="7"/>
      <c r="JTF23" s="7"/>
      <c r="JTG23" s="7"/>
      <c r="JTH23" s="7"/>
      <c r="JTI23" s="7"/>
      <c r="JTJ23" s="7"/>
      <c r="JTK23" s="7"/>
      <c r="JTL23" s="7"/>
      <c r="JTM23" s="7"/>
      <c r="JTN23" s="7"/>
      <c r="JTO23" s="7"/>
      <c r="JTP23" s="7"/>
      <c r="JTQ23" s="7"/>
      <c r="JTR23" s="7"/>
      <c r="JTS23" s="7"/>
      <c r="JTT23" s="7"/>
      <c r="JTU23" s="7"/>
      <c r="JTV23" s="7"/>
      <c r="JTW23" s="7"/>
      <c r="JTX23" s="7"/>
      <c r="JTY23" s="7"/>
      <c r="JTZ23" s="7"/>
      <c r="JUA23" s="7"/>
      <c r="JUB23" s="7"/>
      <c r="JUC23" s="7"/>
      <c r="JUD23" s="7"/>
      <c r="JUE23" s="7"/>
      <c r="JUF23" s="7"/>
      <c r="JUG23" s="7"/>
      <c r="JUH23" s="7"/>
      <c r="JUI23" s="7"/>
      <c r="JUJ23" s="7"/>
      <c r="JUK23" s="7"/>
      <c r="JUL23" s="7"/>
      <c r="JUM23" s="7"/>
      <c r="JUN23" s="7"/>
      <c r="JUO23" s="7"/>
      <c r="JUP23" s="7"/>
      <c r="JUQ23" s="7"/>
      <c r="JUR23" s="7"/>
      <c r="JUS23" s="7"/>
      <c r="JUT23" s="7"/>
      <c r="JUU23" s="7"/>
      <c r="JUV23" s="7"/>
      <c r="JUW23" s="7"/>
      <c r="JUX23" s="7"/>
      <c r="JUY23" s="7"/>
      <c r="JUZ23" s="7"/>
      <c r="JVA23" s="7"/>
      <c r="JVB23" s="7"/>
      <c r="JVC23" s="7"/>
      <c r="JVD23" s="7"/>
      <c r="JVE23" s="7"/>
      <c r="JVF23" s="7"/>
      <c r="JVG23" s="7"/>
      <c r="JVH23" s="7"/>
      <c r="JVI23" s="7"/>
      <c r="JVJ23" s="7"/>
      <c r="JVK23" s="7"/>
      <c r="JVL23" s="7"/>
      <c r="JVM23" s="7"/>
      <c r="JVN23" s="7"/>
      <c r="JVO23" s="7"/>
      <c r="JVP23" s="7"/>
      <c r="JVQ23" s="7"/>
      <c r="JVR23" s="7"/>
      <c r="JVS23" s="7"/>
      <c r="JVT23" s="7"/>
      <c r="JVU23" s="7"/>
      <c r="JVV23" s="7"/>
      <c r="JVW23" s="7"/>
      <c r="JVX23" s="7"/>
      <c r="JVY23" s="7"/>
      <c r="JVZ23" s="7"/>
      <c r="JWA23" s="7"/>
      <c r="JWB23" s="7"/>
      <c r="JWC23" s="7"/>
      <c r="JWD23" s="7"/>
      <c r="JWE23" s="7"/>
      <c r="JWF23" s="7"/>
      <c r="JWG23" s="7"/>
      <c r="JWH23" s="7"/>
      <c r="JWI23" s="7"/>
      <c r="JWJ23" s="7"/>
      <c r="JWK23" s="7"/>
      <c r="JWL23" s="7"/>
      <c r="JWM23" s="7"/>
      <c r="JWN23" s="7"/>
      <c r="JWO23" s="7"/>
      <c r="JWP23" s="7"/>
      <c r="JWQ23" s="7"/>
      <c r="JWR23" s="7"/>
      <c r="JWS23" s="7"/>
      <c r="JWT23" s="7"/>
      <c r="JWU23" s="7"/>
      <c r="JWV23" s="7"/>
      <c r="JWW23" s="7"/>
      <c r="JWX23" s="7"/>
      <c r="JWY23" s="7"/>
      <c r="JWZ23" s="7"/>
      <c r="JXA23" s="7"/>
      <c r="JXB23" s="7"/>
      <c r="JXC23" s="7"/>
      <c r="JXD23" s="7"/>
      <c r="JXE23" s="7"/>
      <c r="JXF23" s="7"/>
      <c r="JXG23" s="7"/>
      <c r="JXH23" s="7"/>
      <c r="JXI23" s="7"/>
      <c r="JXJ23" s="7"/>
      <c r="JXK23" s="7"/>
      <c r="JXL23" s="7"/>
      <c r="JXM23" s="7"/>
      <c r="JXN23" s="7"/>
      <c r="JXO23" s="7"/>
      <c r="JXP23" s="7"/>
      <c r="JXQ23" s="7"/>
      <c r="JXR23" s="7"/>
      <c r="JXS23" s="7"/>
      <c r="JXT23" s="7"/>
      <c r="JXU23" s="7"/>
      <c r="JXV23" s="7"/>
      <c r="JXW23" s="7"/>
      <c r="JXX23" s="7"/>
      <c r="JXY23" s="7"/>
      <c r="JXZ23" s="7"/>
      <c r="JYA23" s="7"/>
      <c r="JYB23" s="7"/>
      <c r="JYC23" s="7"/>
      <c r="JYD23" s="7"/>
      <c r="JYE23" s="7"/>
      <c r="JYF23" s="7"/>
      <c r="JYG23" s="7"/>
      <c r="JYH23" s="7"/>
      <c r="JYI23" s="7"/>
      <c r="JYJ23" s="7"/>
      <c r="JYK23" s="7"/>
      <c r="JYL23" s="7"/>
      <c r="JYM23" s="7"/>
      <c r="JYN23" s="7"/>
      <c r="JYO23" s="7"/>
      <c r="JYP23" s="7"/>
      <c r="JYQ23" s="7"/>
      <c r="JYR23" s="7"/>
      <c r="JYS23" s="7"/>
      <c r="JYT23" s="7"/>
      <c r="JYU23" s="7"/>
      <c r="JYV23" s="7"/>
      <c r="JYW23" s="7"/>
      <c r="JYX23" s="7"/>
      <c r="JYY23" s="7"/>
      <c r="JYZ23" s="7"/>
      <c r="JZA23" s="7"/>
      <c r="JZB23" s="7"/>
      <c r="JZC23" s="7"/>
      <c r="JZD23" s="7"/>
      <c r="JZE23" s="7"/>
      <c r="JZF23" s="7"/>
      <c r="JZG23" s="7"/>
      <c r="JZH23" s="7"/>
      <c r="JZI23" s="7"/>
      <c r="JZJ23" s="7"/>
      <c r="JZK23" s="7"/>
      <c r="JZL23" s="7"/>
      <c r="JZM23" s="7"/>
      <c r="JZN23" s="7"/>
      <c r="JZO23" s="7"/>
      <c r="JZP23" s="7"/>
      <c r="JZQ23" s="7"/>
      <c r="JZR23" s="7"/>
      <c r="JZS23" s="7"/>
      <c r="JZT23" s="7"/>
      <c r="JZU23" s="7"/>
      <c r="JZV23" s="7"/>
      <c r="JZW23" s="7"/>
      <c r="JZX23" s="7"/>
      <c r="JZY23" s="7"/>
      <c r="JZZ23" s="7"/>
      <c r="KAA23" s="7"/>
      <c r="KAB23" s="7"/>
      <c r="KAC23" s="7"/>
      <c r="KAD23" s="7"/>
      <c r="KAE23" s="7"/>
      <c r="KAF23" s="7"/>
      <c r="KAG23" s="7"/>
      <c r="KAH23" s="7"/>
      <c r="KAI23" s="7"/>
      <c r="KAJ23" s="7"/>
      <c r="KAK23" s="7"/>
      <c r="KAL23" s="7"/>
      <c r="KAM23" s="7"/>
      <c r="KAN23" s="7"/>
      <c r="KAO23" s="7"/>
      <c r="KAP23" s="7"/>
      <c r="KAQ23" s="7"/>
      <c r="KAR23" s="7"/>
      <c r="KAS23" s="7"/>
      <c r="KAT23" s="7"/>
      <c r="KAU23" s="7"/>
      <c r="KAV23" s="7"/>
      <c r="KAW23" s="7"/>
      <c r="KAX23" s="7"/>
      <c r="KAY23" s="7"/>
      <c r="KAZ23" s="7"/>
      <c r="KBA23" s="7"/>
      <c r="KBB23" s="7"/>
      <c r="KBC23" s="7"/>
      <c r="KBD23" s="7"/>
      <c r="KBE23" s="7"/>
      <c r="KBF23" s="7"/>
      <c r="KBG23" s="7"/>
      <c r="KBH23" s="7"/>
      <c r="KBI23" s="7"/>
      <c r="KBJ23" s="7"/>
      <c r="KBK23" s="7"/>
      <c r="KBL23" s="7"/>
      <c r="KBM23" s="7"/>
      <c r="KBN23" s="7"/>
      <c r="KBO23" s="7"/>
      <c r="KBP23" s="7"/>
      <c r="KBQ23" s="7"/>
      <c r="KBR23" s="7"/>
      <c r="KBS23" s="7"/>
      <c r="KBT23" s="7"/>
      <c r="KBU23" s="7"/>
      <c r="KBV23" s="7"/>
      <c r="KBW23" s="7"/>
      <c r="KBX23" s="7"/>
      <c r="KBY23" s="7"/>
      <c r="KBZ23" s="7"/>
      <c r="KCA23" s="7"/>
      <c r="KCB23" s="7"/>
      <c r="KCC23" s="7"/>
      <c r="KCD23" s="7"/>
      <c r="KCE23" s="7"/>
      <c r="KCF23" s="7"/>
      <c r="KCG23" s="7"/>
      <c r="KCH23" s="7"/>
      <c r="KCI23" s="7"/>
      <c r="KCJ23" s="7"/>
      <c r="KCK23" s="7"/>
      <c r="KCL23" s="7"/>
      <c r="KCM23" s="7"/>
      <c r="KCN23" s="7"/>
      <c r="KCO23" s="7"/>
      <c r="KCP23" s="7"/>
      <c r="KCQ23" s="7"/>
      <c r="KCR23" s="7"/>
      <c r="KCS23" s="7"/>
      <c r="KCT23" s="7"/>
      <c r="KCU23" s="7"/>
      <c r="KCV23" s="7"/>
      <c r="KCW23" s="7"/>
      <c r="KCX23" s="7"/>
      <c r="KCY23" s="7"/>
      <c r="KCZ23" s="7"/>
      <c r="KDA23" s="7"/>
      <c r="KDB23" s="7"/>
      <c r="KDC23" s="7"/>
      <c r="KDD23" s="7"/>
      <c r="KDE23" s="7"/>
      <c r="KDF23" s="7"/>
      <c r="KDG23" s="7"/>
      <c r="KDH23" s="7"/>
      <c r="KDI23" s="7"/>
      <c r="KDJ23" s="7"/>
      <c r="KDK23" s="7"/>
      <c r="KDL23" s="7"/>
      <c r="KDM23" s="7"/>
      <c r="KDN23" s="7"/>
      <c r="KDO23" s="7"/>
      <c r="KDP23" s="7"/>
      <c r="KDQ23" s="7"/>
      <c r="KDR23" s="7"/>
      <c r="KDS23" s="7"/>
      <c r="KDT23" s="7"/>
      <c r="KDU23" s="7"/>
      <c r="KDV23" s="7"/>
      <c r="KDW23" s="7"/>
      <c r="KDX23" s="7"/>
      <c r="KDY23" s="7"/>
      <c r="KDZ23" s="7"/>
      <c r="KEA23" s="7"/>
      <c r="KEB23" s="7"/>
      <c r="KEC23" s="7"/>
      <c r="KED23" s="7"/>
      <c r="KEE23" s="7"/>
      <c r="KEF23" s="7"/>
      <c r="KEG23" s="7"/>
      <c r="KEH23" s="7"/>
      <c r="KEI23" s="7"/>
      <c r="KEJ23" s="7"/>
      <c r="KEK23" s="7"/>
      <c r="KEL23" s="7"/>
      <c r="KEM23" s="7"/>
      <c r="KEN23" s="7"/>
      <c r="KEO23" s="7"/>
      <c r="KEP23" s="7"/>
      <c r="KEQ23" s="7"/>
      <c r="KER23" s="7"/>
      <c r="KES23" s="7"/>
      <c r="KET23" s="7"/>
      <c r="KEU23" s="7"/>
      <c r="KEV23" s="7"/>
      <c r="KEW23" s="7"/>
      <c r="KEX23" s="7"/>
      <c r="KEY23" s="7"/>
      <c r="KEZ23" s="7"/>
      <c r="KFA23" s="7"/>
      <c r="KFB23" s="7"/>
      <c r="KFC23" s="7"/>
      <c r="KFD23" s="7"/>
      <c r="KFE23" s="7"/>
      <c r="KFF23" s="7"/>
      <c r="KFG23" s="7"/>
      <c r="KFH23" s="7"/>
      <c r="KFI23" s="7"/>
      <c r="KFJ23" s="7"/>
      <c r="KFK23" s="7"/>
      <c r="KFL23" s="7"/>
      <c r="KFM23" s="7"/>
      <c r="KFN23" s="7"/>
      <c r="KFO23" s="7"/>
      <c r="KFP23" s="7"/>
      <c r="KFQ23" s="7"/>
      <c r="KFR23" s="7"/>
      <c r="KFS23" s="7"/>
      <c r="KFT23" s="7"/>
      <c r="KFU23" s="7"/>
      <c r="KFV23" s="7"/>
      <c r="KFW23" s="7"/>
      <c r="KFX23" s="7"/>
      <c r="KFY23" s="7"/>
      <c r="KFZ23" s="7"/>
      <c r="KGA23" s="7"/>
      <c r="KGB23" s="7"/>
      <c r="KGC23" s="7"/>
      <c r="KGD23" s="7"/>
      <c r="KGE23" s="7"/>
      <c r="KGF23" s="7"/>
      <c r="KGG23" s="7"/>
      <c r="KGH23" s="7"/>
      <c r="KGI23" s="7"/>
      <c r="KGJ23" s="7"/>
      <c r="KGK23" s="7"/>
      <c r="KGL23" s="7"/>
      <c r="KGM23" s="7"/>
      <c r="KGN23" s="7"/>
      <c r="KGO23" s="7"/>
      <c r="KGP23" s="7"/>
      <c r="KGQ23" s="7"/>
      <c r="KGR23" s="7"/>
      <c r="KGS23" s="7"/>
      <c r="KGT23" s="7"/>
      <c r="KGU23" s="7"/>
      <c r="KGV23" s="7"/>
      <c r="KGW23" s="7"/>
      <c r="KGX23" s="7"/>
      <c r="KGY23" s="7"/>
      <c r="KGZ23" s="7"/>
      <c r="KHA23" s="7"/>
      <c r="KHB23" s="7"/>
      <c r="KHC23" s="7"/>
      <c r="KHD23" s="7"/>
      <c r="KHE23" s="7"/>
      <c r="KHF23" s="7"/>
      <c r="KHG23" s="7"/>
      <c r="KHH23" s="7"/>
      <c r="KHI23" s="7"/>
      <c r="KHJ23" s="7"/>
      <c r="KHK23" s="7"/>
      <c r="KHL23" s="7"/>
      <c r="KHM23" s="7"/>
      <c r="KHN23" s="7"/>
      <c r="KHO23" s="7"/>
      <c r="KHP23" s="7"/>
      <c r="KHQ23" s="7"/>
      <c r="KHR23" s="7"/>
      <c r="KHS23" s="7"/>
      <c r="KHT23" s="7"/>
      <c r="KHU23" s="7"/>
      <c r="KHV23" s="7"/>
      <c r="KHW23" s="7"/>
      <c r="KHX23" s="7"/>
      <c r="KHY23" s="7"/>
      <c r="KHZ23" s="7"/>
      <c r="KIA23" s="7"/>
      <c r="KIB23" s="7"/>
      <c r="KIC23" s="7"/>
      <c r="KID23" s="7"/>
      <c r="KIE23" s="7"/>
      <c r="KIF23" s="7"/>
      <c r="KIG23" s="7"/>
      <c r="KIH23" s="7"/>
      <c r="KII23" s="7"/>
      <c r="KIJ23" s="7"/>
      <c r="KIK23" s="7"/>
      <c r="KIL23" s="7"/>
      <c r="KIM23" s="7"/>
      <c r="KIN23" s="7"/>
      <c r="KIO23" s="7"/>
      <c r="KIP23" s="7"/>
      <c r="KIQ23" s="7"/>
      <c r="KIR23" s="7"/>
      <c r="KIS23" s="7"/>
      <c r="KIT23" s="7"/>
      <c r="KIU23" s="7"/>
      <c r="KIV23" s="7"/>
      <c r="KIW23" s="7"/>
      <c r="KIX23" s="7"/>
      <c r="KIY23" s="7"/>
      <c r="KIZ23" s="7"/>
      <c r="KJA23" s="7"/>
      <c r="KJB23" s="7"/>
      <c r="KJC23" s="7"/>
      <c r="KJD23" s="7"/>
      <c r="KJE23" s="7"/>
      <c r="KJF23" s="7"/>
      <c r="KJG23" s="7"/>
      <c r="KJH23" s="7"/>
      <c r="KJI23" s="7"/>
      <c r="KJJ23" s="7"/>
      <c r="KJK23" s="7"/>
      <c r="KJL23" s="7"/>
      <c r="KJM23" s="7"/>
      <c r="KJN23" s="7"/>
      <c r="KJO23" s="7"/>
      <c r="KJP23" s="7"/>
      <c r="KJQ23" s="7"/>
      <c r="KJR23" s="7"/>
      <c r="KJS23" s="7"/>
      <c r="KJT23" s="7"/>
      <c r="KJU23" s="7"/>
      <c r="KJV23" s="7"/>
      <c r="KJW23" s="7"/>
      <c r="KJX23" s="7"/>
      <c r="KJY23" s="7"/>
      <c r="KJZ23" s="7"/>
      <c r="KKA23" s="7"/>
      <c r="KKB23" s="7"/>
      <c r="KKC23" s="7"/>
      <c r="KKD23" s="7"/>
      <c r="KKE23" s="7"/>
      <c r="KKF23" s="7"/>
      <c r="KKG23" s="7"/>
      <c r="KKH23" s="7"/>
      <c r="KKI23" s="7"/>
      <c r="KKJ23" s="7"/>
      <c r="KKK23" s="7"/>
      <c r="KKL23" s="7"/>
      <c r="KKM23" s="7"/>
      <c r="KKN23" s="7"/>
      <c r="KKO23" s="7"/>
      <c r="KKP23" s="7"/>
      <c r="KKQ23" s="7"/>
      <c r="KKR23" s="7"/>
      <c r="KKS23" s="7"/>
      <c r="KKT23" s="7"/>
      <c r="KKU23" s="7"/>
      <c r="KKV23" s="7"/>
      <c r="KKW23" s="7"/>
      <c r="KKX23" s="7"/>
      <c r="KKY23" s="7"/>
      <c r="KKZ23" s="7"/>
      <c r="KLA23" s="7"/>
      <c r="KLB23" s="7"/>
      <c r="KLC23" s="7"/>
      <c r="KLD23" s="7"/>
      <c r="KLE23" s="7"/>
      <c r="KLF23" s="7"/>
      <c r="KLG23" s="7"/>
      <c r="KLH23" s="7"/>
      <c r="KLI23" s="7"/>
      <c r="KLJ23" s="7"/>
      <c r="KLK23" s="7"/>
      <c r="KLL23" s="7"/>
      <c r="KLM23" s="7"/>
      <c r="KLN23" s="7"/>
      <c r="KLO23" s="7"/>
      <c r="KLP23" s="7"/>
      <c r="KLQ23" s="7"/>
      <c r="KLR23" s="7"/>
      <c r="KLS23" s="7"/>
      <c r="KLT23" s="7"/>
      <c r="KLU23" s="7"/>
      <c r="KLV23" s="7"/>
      <c r="KLW23" s="7"/>
      <c r="KLX23" s="7"/>
      <c r="KLY23" s="7"/>
      <c r="KLZ23" s="7"/>
      <c r="KMA23" s="7"/>
      <c r="KMB23" s="7"/>
      <c r="KMC23" s="7"/>
      <c r="KMD23" s="7"/>
      <c r="KME23" s="7"/>
      <c r="KMF23" s="7"/>
      <c r="KMG23" s="7"/>
      <c r="KMH23" s="7"/>
      <c r="KMI23" s="7"/>
      <c r="KMJ23" s="7"/>
      <c r="KMK23" s="7"/>
      <c r="KML23" s="7"/>
      <c r="KMM23" s="7"/>
      <c r="KMN23" s="7"/>
      <c r="KMO23" s="7"/>
      <c r="KMP23" s="7"/>
      <c r="KMQ23" s="7"/>
      <c r="KMR23" s="7"/>
      <c r="KMS23" s="7"/>
      <c r="KMT23" s="7"/>
      <c r="KMU23" s="7"/>
      <c r="KMV23" s="7"/>
      <c r="KMW23" s="7"/>
      <c r="KMX23" s="7"/>
      <c r="KMY23" s="7"/>
      <c r="KMZ23" s="7"/>
      <c r="KNA23" s="7"/>
      <c r="KNB23" s="7"/>
      <c r="KNC23" s="7"/>
      <c r="KND23" s="7"/>
      <c r="KNE23" s="7"/>
      <c r="KNF23" s="7"/>
      <c r="KNG23" s="7"/>
      <c r="KNH23" s="7"/>
      <c r="KNI23" s="7"/>
      <c r="KNJ23" s="7"/>
      <c r="KNK23" s="7"/>
      <c r="KNL23" s="7"/>
      <c r="KNM23" s="7"/>
      <c r="KNN23" s="7"/>
      <c r="KNO23" s="7"/>
      <c r="KNP23" s="7"/>
      <c r="KNQ23" s="7"/>
      <c r="KNR23" s="7"/>
      <c r="KNS23" s="7"/>
      <c r="KNT23" s="7"/>
      <c r="KNU23" s="7"/>
      <c r="KNV23" s="7"/>
      <c r="KNW23" s="7"/>
      <c r="KNX23" s="7"/>
      <c r="KNY23" s="7"/>
      <c r="KNZ23" s="7"/>
      <c r="KOA23" s="7"/>
      <c r="KOB23" s="7"/>
      <c r="KOC23" s="7"/>
      <c r="KOD23" s="7"/>
      <c r="KOE23" s="7"/>
      <c r="KOF23" s="7"/>
      <c r="KOG23" s="7"/>
      <c r="KOH23" s="7"/>
      <c r="KOI23" s="7"/>
      <c r="KOJ23" s="7"/>
      <c r="KOK23" s="7"/>
      <c r="KOL23" s="7"/>
      <c r="KOM23" s="7"/>
      <c r="KON23" s="7"/>
      <c r="KOO23" s="7"/>
      <c r="KOP23" s="7"/>
      <c r="KOQ23" s="7"/>
      <c r="KOR23" s="7"/>
      <c r="KOS23" s="7"/>
      <c r="KOT23" s="7"/>
      <c r="KOU23" s="7"/>
      <c r="KOV23" s="7"/>
      <c r="KOW23" s="7"/>
      <c r="KOX23" s="7"/>
      <c r="KOY23" s="7"/>
      <c r="KOZ23" s="7"/>
      <c r="KPA23" s="7"/>
      <c r="KPB23" s="7"/>
      <c r="KPC23" s="7"/>
      <c r="KPD23" s="7"/>
      <c r="KPE23" s="7"/>
      <c r="KPF23" s="7"/>
      <c r="KPG23" s="7"/>
      <c r="KPH23" s="7"/>
      <c r="KPI23" s="7"/>
      <c r="KPJ23" s="7"/>
      <c r="KPK23" s="7"/>
      <c r="KPL23" s="7"/>
      <c r="KPM23" s="7"/>
      <c r="KPN23" s="7"/>
      <c r="KPO23" s="7"/>
      <c r="KPP23" s="7"/>
      <c r="KPQ23" s="7"/>
      <c r="KPR23" s="7"/>
      <c r="KPS23" s="7"/>
      <c r="KPT23" s="7"/>
      <c r="KPU23" s="7"/>
      <c r="KPV23" s="7"/>
      <c r="KPW23" s="7"/>
      <c r="KPX23" s="7"/>
      <c r="KPY23" s="7"/>
      <c r="KPZ23" s="7"/>
      <c r="KQA23" s="7"/>
      <c r="KQB23" s="7"/>
      <c r="KQC23" s="7"/>
      <c r="KQD23" s="7"/>
      <c r="KQE23" s="7"/>
      <c r="KQF23" s="7"/>
      <c r="KQG23" s="7"/>
      <c r="KQH23" s="7"/>
      <c r="KQI23" s="7"/>
      <c r="KQJ23" s="7"/>
      <c r="KQK23" s="7"/>
      <c r="KQL23" s="7"/>
      <c r="KQM23" s="7"/>
      <c r="KQN23" s="7"/>
      <c r="KQO23" s="7"/>
      <c r="KQP23" s="7"/>
      <c r="KQQ23" s="7"/>
      <c r="KQR23" s="7"/>
      <c r="KQS23" s="7"/>
      <c r="KQT23" s="7"/>
      <c r="KQU23" s="7"/>
      <c r="KQV23" s="7"/>
      <c r="KQW23" s="7"/>
      <c r="KQX23" s="7"/>
      <c r="KQY23" s="7"/>
      <c r="KQZ23" s="7"/>
      <c r="KRA23" s="7"/>
      <c r="KRB23" s="7"/>
      <c r="KRC23" s="7"/>
      <c r="KRD23" s="7"/>
      <c r="KRE23" s="7"/>
      <c r="KRF23" s="7"/>
      <c r="KRG23" s="7"/>
      <c r="KRH23" s="7"/>
      <c r="KRI23" s="7"/>
      <c r="KRJ23" s="7"/>
      <c r="KRK23" s="7"/>
      <c r="KRL23" s="7"/>
      <c r="KRM23" s="7"/>
      <c r="KRN23" s="7"/>
      <c r="KRO23" s="7"/>
      <c r="KRP23" s="7"/>
      <c r="KRQ23" s="7"/>
      <c r="KRR23" s="7"/>
      <c r="KRS23" s="7"/>
      <c r="KRT23" s="7"/>
      <c r="KRU23" s="7"/>
      <c r="KRV23" s="7"/>
      <c r="KRW23" s="7"/>
      <c r="KRX23" s="7"/>
      <c r="KRY23" s="7"/>
      <c r="KRZ23" s="7"/>
      <c r="KSA23" s="7"/>
      <c r="KSB23" s="7"/>
      <c r="KSC23" s="7"/>
      <c r="KSD23" s="7"/>
      <c r="KSE23" s="7"/>
      <c r="KSF23" s="7"/>
      <c r="KSG23" s="7"/>
      <c r="KSH23" s="7"/>
      <c r="KSI23" s="7"/>
      <c r="KSJ23" s="7"/>
      <c r="KSK23" s="7"/>
      <c r="KSL23" s="7"/>
      <c r="KSM23" s="7"/>
      <c r="KSN23" s="7"/>
      <c r="KSO23" s="7"/>
      <c r="KSP23" s="7"/>
      <c r="KSQ23" s="7"/>
      <c r="KSR23" s="7"/>
      <c r="KSS23" s="7"/>
      <c r="KST23" s="7"/>
      <c r="KSU23" s="7"/>
      <c r="KSV23" s="7"/>
      <c r="KSW23" s="7"/>
      <c r="KSX23" s="7"/>
      <c r="KSY23" s="7"/>
      <c r="KSZ23" s="7"/>
      <c r="KTA23" s="7"/>
      <c r="KTB23" s="7"/>
      <c r="KTC23" s="7"/>
      <c r="KTD23" s="7"/>
      <c r="KTE23" s="7"/>
      <c r="KTF23" s="7"/>
      <c r="KTG23" s="7"/>
      <c r="KTH23" s="7"/>
      <c r="KTI23" s="7"/>
      <c r="KTJ23" s="7"/>
      <c r="KTK23" s="7"/>
      <c r="KTL23" s="7"/>
      <c r="KTM23" s="7"/>
      <c r="KTN23" s="7"/>
      <c r="KTO23" s="7"/>
      <c r="KTP23" s="7"/>
      <c r="KTQ23" s="7"/>
      <c r="KTR23" s="7"/>
      <c r="KTS23" s="7"/>
      <c r="KTT23" s="7"/>
      <c r="KTU23" s="7"/>
      <c r="KTV23" s="7"/>
      <c r="KTW23" s="7"/>
      <c r="KTX23" s="7"/>
      <c r="KTY23" s="7"/>
      <c r="KTZ23" s="7"/>
      <c r="KUA23" s="7"/>
      <c r="KUB23" s="7"/>
      <c r="KUC23" s="7"/>
      <c r="KUD23" s="7"/>
      <c r="KUE23" s="7"/>
      <c r="KUF23" s="7"/>
      <c r="KUG23" s="7"/>
      <c r="KUH23" s="7"/>
      <c r="KUI23" s="7"/>
      <c r="KUJ23" s="7"/>
      <c r="KUK23" s="7"/>
      <c r="KUL23" s="7"/>
      <c r="KUM23" s="7"/>
      <c r="KUN23" s="7"/>
      <c r="KUO23" s="7"/>
      <c r="KUP23" s="7"/>
      <c r="KUQ23" s="7"/>
      <c r="KUR23" s="7"/>
      <c r="KUS23" s="7"/>
      <c r="KUT23" s="7"/>
      <c r="KUU23" s="7"/>
      <c r="KUV23" s="7"/>
      <c r="KUW23" s="7"/>
      <c r="KUX23" s="7"/>
      <c r="KUY23" s="7"/>
      <c r="KUZ23" s="7"/>
      <c r="KVA23" s="7"/>
      <c r="KVB23" s="7"/>
      <c r="KVC23" s="7"/>
      <c r="KVD23" s="7"/>
      <c r="KVE23" s="7"/>
      <c r="KVF23" s="7"/>
      <c r="KVG23" s="7"/>
      <c r="KVH23" s="7"/>
      <c r="KVI23" s="7"/>
      <c r="KVJ23" s="7"/>
      <c r="KVK23" s="7"/>
      <c r="KVL23" s="7"/>
      <c r="KVM23" s="7"/>
      <c r="KVN23" s="7"/>
      <c r="KVO23" s="7"/>
      <c r="KVP23" s="7"/>
      <c r="KVQ23" s="7"/>
      <c r="KVR23" s="7"/>
      <c r="KVS23" s="7"/>
      <c r="KVT23" s="7"/>
      <c r="KVU23" s="7"/>
      <c r="KVV23" s="7"/>
      <c r="KVW23" s="7"/>
      <c r="KVX23" s="7"/>
      <c r="KVY23" s="7"/>
      <c r="KVZ23" s="7"/>
      <c r="KWA23" s="7"/>
      <c r="KWB23" s="7"/>
      <c r="KWC23" s="7"/>
      <c r="KWD23" s="7"/>
      <c r="KWE23" s="7"/>
      <c r="KWF23" s="7"/>
      <c r="KWG23" s="7"/>
      <c r="KWH23" s="7"/>
      <c r="KWI23" s="7"/>
      <c r="KWJ23" s="7"/>
      <c r="KWK23" s="7"/>
      <c r="KWL23" s="7"/>
      <c r="KWM23" s="7"/>
      <c r="KWN23" s="7"/>
      <c r="KWO23" s="7"/>
      <c r="KWP23" s="7"/>
      <c r="KWQ23" s="7"/>
      <c r="KWR23" s="7"/>
      <c r="KWS23" s="7"/>
      <c r="KWT23" s="7"/>
      <c r="KWU23" s="7"/>
      <c r="KWV23" s="7"/>
      <c r="KWW23" s="7"/>
      <c r="KWX23" s="7"/>
      <c r="KWY23" s="7"/>
      <c r="KWZ23" s="7"/>
      <c r="KXA23" s="7"/>
      <c r="KXB23" s="7"/>
      <c r="KXC23" s="7"/>
      <c r="KXD23" s="7"/>
      <c r="KXE23" s="7"/>
      <c r="KXF23" s="7"/>
      <c r="KXG23" s="7"/>
      <c r="KXH23" s="7"/>
      <c r="KXI23" s="7"/>
      <c r="KXJ23" s="7"/>
      <c r="KXK23" s="7"/>
      <c r="KXL23" s="7"/>
      <c r="KXM23" s="7"/>
      <c r="KXN23" s="7"/>
      <c r="KXO23" s="7"/>
      <c r="KXP23" s="7"/>
      <c r="KXQ23" s="7"/>
      <c r="KXR23" s="7"/>
      <c r="KXS23" s="7"/>
      <c r="KXT23" s="7"/>
      <c r="KXU23" s="7"/>
      <c r="KXV23" s="7"/>
      <c r="KXW23" s="7"/>
      <c r="KXX23" s="7"/>
      <c r="KXY23" s="7"/>
      <c r="KXZ23" s="7"/>
      <c r="KYA23" s="7"/>
      <c r="KYB23" s="7"/>
      <c r="KYC23" s="7"/>
      <c r="KYD23" s="7"/>
      <c r="KYE23" s="7"/>
      <c r="KYF23" s="7"/>
      <c r="KYG23" s="7"/>
      <c r="KYH23" s="7"/>
      <c r="KYI23" s="7"/>
      <c r="KYJ23" s="7"/>
      <c r="KYK23" s="7"/>
      <c r="KYL23" s="7"/>
      <c r="KYM23" s="7"/>
      <c r="KYN23" s="7"/>
      <c r="KYO23" s="7"/>
      <c r="KYP23" s="7"/>
      <c r="KYQ23" s="7"/>
      <c r="KYR23" s="7"/>
      <c r="KYS23" s="7"/>
      <c r="KYT23" s="7"/>
      <c r="KYU23" s="7"/>
      <c r="KYV23" s="7"/>
      <c r="KYW23" s="7"/>
      <c r="KYX23" s="7"/>
      <c r="KYY23" s="7"/>
      <c r="KYZ23" s="7"/>
      <c r="KZA23" s="7"/>
      <c r="KZB23" s="7"/>
      <c r="KZC23" s="7"/>
      <c r="KZD23" s="7"/>
      <c r="KZE23" s="7"/>
      <c r="KZF23" s="7"/>
      <c r="KZG23" s="7"/>
      <c r="KZH23" s="7"/>
      <c r="KZI23" s="7"/>
      <c r="KZJ23" s="7"/>
      <c r="KZK23" s="7"/>
      <c r="KZL23" s="7"/>
      <c r="KZM23" s="7"/>
      <c r="KZN23" s="7"/>
      <c r="KZO23" s="7"/>
      <c r="KZP23" s="7"/>
      <c r="KZQ23" s="7"/>
      <c r="KZR23" s="7"/>
      <c r="KZS23" s="7"/>
      <c r="KZT23" s="7"/>
      <c r="KZU23" s="7"/>
      <c r="KZV23" s="7"/>
      <c r="KZW23" s="7"/>
      <c r="KZX23" s="7"/>
      <c r="KZY23" s="7"/>
      <c r="KZZ23" s="7"/>
      <c r="LAA23" s="7"/>
      <c r="LAB23" s="7"/>
      <c r="LAC23" s="7"/>
      <c r="LAD23" s="7"/>
      <c r="LAE23" s="7"/>
      <c r="LAF23" s="7"/>
      <c r="LAG23" s="7"/>
      <c r="LAH23" s="7"/>
      <c r="LAI23" s="7"/>
      <c r="LAJ23" s="7"/>
      <c r="LAK23" s="7"/>
      <c r="LAL23" s="7"/>
      <c r="LAM23" s="7"/>
      <c r="LAN23" s="7"/>
      <c r="LAO23" s="7"/>
      <c r="LAP23" s="7"/>
      <c r="LAQ23" s="7"/>
      <c r="LAR23" s="7"/>
      <c r="LAS23" s="7"/>
      <c r="LAT23" s="7"/>
      <c r="LAU23" s="7"/>
      <c r="LAV23" s="7"/>
      <c r="LAW23" s="7"/>
      <c r="LAX23" s="7"/>
      <c r="LAY23" s="7"/>
      <c r="LAZ23" s="7"/>
      <c r="LBA23" s="7"/>
      <c r="LBB23" s="7"/>
      <c r="LBC23" s="7"/>
      <c r="LBD23" s="7"/>
      <c r="LBE23" s="7"/>
      <c r="LBF23" s="7"/>
      <c r="LBG23" s="7"/>
      <c r="LBH23" s="7"/>
      <c r="LBI23" s="7"/>
      <c r="LBJ23" s="7"/>
      <c r="LBK23" s="7"/>
      <c r="LBL23" s="7"/>
      <c r="LBM23" s="7"/>
      <c r="LBN23" s="7"/>
      <c r="LBO23" s="7"/>
      <c r="LBP23" s="7"/>
      <c r="LBQ23" s="7"/>
      <c r="LBR23" s="7"/>
      <c r="LBS23" s="7"/>
      <c r="LBT23" s="7"/>
      <c r="LBU23" s="7"/>
      <c r="LBV23" s="7"/>
      <c r="LBW23" s="7"/>
      <c r="LBX23" s="7"/>
      <c r="LBY23" s="7"/>
      <c r="LBZ23" s="7"/>
      <c r="LCA23" s="7"/>
      <c r="LCB23" s="7"/>
      <c r="LCC23" s="7"/>
      <c r="LCD23" s="7"/>
      <c r="LCE23" s="7"/>
      <c r="LCF23" s="7"/>
      <c r="LCG23" s="7"/>
      <c r="LCH23" s="7"/>
      <c r="LCI23" s="7"/>
      <c r="LCJ23" s="7"/>
      <c r="LCK23" s="7"/>
      <c r="LCL23" s="7"/>
      <c r="LCM23" s="7"/>
      <c r="LCN23" s="7"/>
      <c r="LCO23" s="7"/>
      <c r="LCP23" s="7"/>
      <c r="LCQ23" s="7"/>
      <c r="LCR23" s="7"/>
      <c r="LCS23" s="7"/>
      <c r="LCT23" s="7"/>
      <c r="LCU23" s="7"/>
      <c r="LCV23" s="7"/>
      <c r="LCW23" s="7"/>
      <c r="LCX23" s="7"/>
      <c r="LCY23" s="7"/>
      <c r="LCZ23" s="7"/>
      <c r="LDA23" s="7"/>
      <c r="LDB23" s="7"/>
      <c r="LDC23" s="7"/>
      <c r="LDD23" s="7"/>
      <c r="LDE23" s="7"/>
      <c r="LDF23" s="7"/>
      <c r="LDG23" s="7"/>
      <c r="LDH23" s="7"/>
      <c r="LDI23" s="7"/>
      <c r="LDJ23" s="7"/>
      <c r="LDK23" s="7"/>
      <c r="LDL23" s="7"/>
      <c r="LDM23" s="7"/>
      <c r="LDN23" s="7"/>
      <c r="LDO23" s="7"/>
      <c r="LDP23" s="7"/>
      <c r="LDQ23" s="7"/>
      <c r="LDR23" s="7"/>
      <c r="LDS23" s="7"/>
      <c r="LDT23" s="7"/>
      <c r="LDU23" s="7"/>
      <c r="LDV23" s="7"/>
      <c r="LDW23" s="7"/>
      <c r="LDX23" s="7"/>
      <c r="LDY23" s="7"/>
      <c r="LDZ23" s="7"/>
      <c r="LEA23" s="7"/>
      <c r="LEB23" s="7"/>
      <c r="LEC23" s="7"/>
      <c r="LED23" s="7"/>
      <c r="LEE23" s="7"/>
      <c r="LEF23" s="7"/>
      <c r="LEG23" s="7"/>
      <c r="LEH23" s="7"/>
      <c r="LEI23" s="7"/>
      <c r="LEJ23" s="7"/>
      <c r="LEK23" s="7"/>
      <c r="LEL23" s="7"/>
      <c r="LEM23" s="7"/>
      <c r="LEN23" s="7"/>
      <c r="LEO23" s="7"/>
      <c r="LEP23" s="7"/>
      <c r="LEQ23" s="7"/>
      <c r="LER23" s="7"/>
      <c r="LES23" s="7"/>
      <c r="LET23" s="7"/>
      <c r="LEU23" s="7"/>
      <c r="LEV23" s="7"/>
      <c r="LEW23" s="7"/>
      <c r="LEX23" s="7"/>
      <c r="LEY23" s="7"/>
      <c r="LEZ23" s="7"/>
      <c r="LFA23" s="7"/>
      <c r="LFB23" s="7"/>
      <c r="LFC23" s="7"/>
      <c r="LFD23" s="7"/>
      <c r="LFE23" s="7"/>
      <c r="LFF23" s="7"/>
      <c r="LFG23" s="7"/>
      <c r="LFH23" s="7"/>
      <c r="LFI23" s="7"/>
      <c r="LFJ23" s="7"/>
      <c r="LFK23" s="7"/>
      <c r="LFL23" s="7"/>
      <c r="LFM23" s="7"/>
      <c r="LFN23" s="7"/>
      <c r="LFO23" s="7"/>
      <c r="LFP23" s="7"/>
      <c r="LFQ23" s="7"/>
      <c r="LFR23" s="7"/>
      <c r="LFS23" s="7"/>
      <c r="LFT23" s="7"/>
      <c r="LFU23" s="7"/>
      <c r="LFV23" s="7"/>
      <c r="LFW23" s="7"/>
      <c r="LFX23" s="7"/>
      <c r="LFY23" s="7"/>
      <c r="LFZ23" s="7"/>
      <c r="LGA23" s="7"/>
      <c r="LGB23" s="7"/>
      <c r="LGC23" s="7"/>
      <c r="LGD23" s="7"/>
      <c r="LGE23" s="7"/>
      <c r="LGF23" s="7"/>
      <c r="LGG23" s="7"/>
      <c r="LGH23" s="7"/>
      <c r="LGI23" s="7"/>
      <c r="LGJ23" s="7"/>
      <c r="LGK23" s="7"/>
      <c r="LGL23" s="7"/>
      <c r="LGM23" s="7"/>
      <c r="LGN23" s="7"/>
      <c r="LGO23" s="7"/>
      <c r="LGP23" s="7"/>
      <c r="LGQ23" s="7"/>
      <c r="LGR23" s="7"/>
      <c r="LGS23" s="7"/>
      <c r="LGT23" s="7"/>
      <c r="LGU23" s="7"/>
      <c r="LGV23" s="7"/>
      <c r="LGW23" s="7"/>
      <c r="LGX23" s="7"/>
      <c r="LGY23" s="7"/>
      <c r="LGZ23" s="7"/>
      <c r="LHA23" s="7"/>
      <c r="LHB23" s="7"/>
      <c r="LHC23" s="7"/>
      <c r="LHD23" s="7"/>
      <c r="LHE23" s="7"/>
      <c r="LHF23" s="7"/>
      <c r="LHG23" s="7"/>
      <c r="LHH23" s="7"/>
      <c r="LHI23" s="7"/>
      <c r="LHJ23" s="7"/>
      <c r="LHK23" s="7"/>
      <c r="LHL23" s="7"/>
      <c r="LHM23" s="7"/>
      <c r="LHN23" s="7"/>
      <c r="LHO23" s="7"/>
      <c r="LHP23" s="7"/>
      <c r="LHQ23" s="7"/>
      <c r="LHR23" s="7"/>
      <c r="LHS23" s="7"/>
      <c r="LHT23" s="7"/>
      <c r="LHU23" s="7"/>
      <c r="LHV23" s="7"/>
      <c r="LHW23" s="7"/>
      <c r="LHX23" s="7"/>
      <c r="LHY23" s="7"/>
      <c r="LHZ23" s="7"/>
      <c r="LIA23" s="7"/>
      <c r="LIB23" s="7"/>
      <c r="LIC23" s="7"/>
      <c r="LID23" s="7"/>
      <c r="LIE23" s="7"/>
      <c r="LIF23" s="7"/>
      <c r="LIG23" s="7"/>
      <c r="LIH23" s="7"/>
      <c r="LII23" s="7"/>
      <c r="LIJ23" s="7"/>
      <c r="LIK23" s="7"/>
      <c r="LIL23" s="7"/>
      <c r="LIM23" s="7"/>
      <c r="LIN23" s="7"/>
      <c r="LIO23" s="7"/>
      <c r="LIP23" s="7"/>
      <c r="LIQ23" s="7"/>
      <c r="LIR23" s="7"/>
      <c r="LIS23" s="7"/>
      <c r="LIT23" s="7"/>
      <c r="LIU23" s="7"/>
      <c r="LIV23" s="7"/>
      <c r="LIW23" s="7"/>
      <c r="LIX23" s="7"/>
      <c r="LIY23" s="7"/>
      <c r="LIZ23" s="7"/>
      <c r="LJA23" s="7"/>
      <c r="LJB23" s="7"/>
      <c r="LJC23" s="7"/>
      <c r="LJD23" s="7"/>
      <c r="LJE23" s="7"/>
      <c r="LJF23" s="7"/>
      <c r="LJG23" s="7"/>
      <c r="LJH23" s="7"/>
      <c r="LJI23" s="7"/>
      <c r="LJJ23" s="7"/>
      <c r="LJK23" s="7"/>
      <c r="LJL23" s="7"/>
      <c r="LJM23" s="7"/>
      <c r="LJN23" s="7"/>
      <c r="LJO23" s="7"/>
      <c r="LJP23" s="7"/>
      <c r="LJQ23" s="7"/>
      <c r="LJR23" s="7"/>
      <c r="LJS23" s="7"/>
      <c r="LJT23" s="7"/>
      <c r="LJU23" s="7"/>
      <c r="LJV23" s="7"/>
      <c r="LJW23" s="7"/>
      <c r="LJX23" s="7"/>
      <c r="LJY23" s="7"/>
      <c r="LJZ23" s="7"/>
      <c r="LKA23" s="7"/>
      <c r="LKB23" s="7"/>
      <c r="LKC23" s="7"/>
      <c r="LKD23" s="7"/>
      <c r="LKE23" s="7"/>
      <c r="LKF23" s="7"/>
      <c r="LKG23" s="7"/>
      <c r="LKH23" s="7"/>
      <c r="LKI23" s="7"/>
      <c r="LKJ23" s="7"/>
      <c r="LKK23" s="7"/>
      <c r="LKL23" s="7"/>
      <c r="LKM23" s="7"/>
      <c r="LKN23" s="7"/>
      <c r="LKO23" s="7"/>
      <c r="LKP23" s="7"/>
      <c r="LKQ23" s="7"/>
      <c r="LKR23" s="7"/>
      <c r="LKS23" s="7"/>
      <c r="LKT23" s="7"/>
      <c r="LKU23" s="7"/>
      <c r="LKV23" s="7"/>
      <c r="LKW23" s="7"/>
      <c r="LKX23" s="7"/>
      <c r="LKY23" s="7"/>
      <c r="LKZ23" s="7"/>
      <c r="LLA23" s="7"/>
      <c r="LLB23" s="7"/>
      <c r="LLC23" s="7"/>
      <c r="LLD23" s="7"/>
      <c r="LLE23" s="7"/>
      <c r="LLF23" s="7"/>
      <c r="LLG23" s="7"/>
      <c r="LLH23" s="7"/>
      <c r="LLI23" s="7"/>
      <c r="LLJ23" s="7"/>
      <c r="LLK23" s="7"/>
      <c r="LLL23" s="7"/>
      <c r="LLM23" s="7"/>
      <c r="LLN23" s="7"/>
      <c r="LLO23" s="7"/>
      <c r="LLP23" s="7"/>
      <c r="LLQ23" s="7"/>
      <c r="LLR23" s="7"/>
      <c r="LLS23" s="7"/>
      <c r="LLT23" s="7"/>
      <c r="LLU23" s="7"/>
      <c r="LLV23" s="7"/>
      <c r="LLW23" s="7"/>
      <c r="LLX23" s="7"/>
      <c r="LLY23" s="7"/>
      <c r="LLZ23" s="7"/>
      <c r="LMA23" s="7"/>
      <c r="LMB23" s="7"/>
      <c r="LMC23" s="7"/>
      <c r="LMD23" s="7"/>
      <c r="LME23" s="7"/>
      <c r="LMF23" s="7"/>
      <c r="LMG23" s="7"/>
      <c r="LMH23" s="7"/>
      <c r="LMI23" s="7"/>
      <c r="LMJ23" s="7"/>
      <c r="LMK23" s="7"/>
      <c r="LML23" s="7"/>
      <c r="LMM23" s="7"/>
      <c r="LMN23" s="7"/>
      <c r="LMO23" s="7"/>
      <c r="LMP23" s="7"/>
      <c r="LMQ23" s="7"/>
      <c r="LMR23" s="7"/>
      <c r="LMS23" s="7"/>
      <c r="LMT23" s="7"/>
      <c r="LMU23" s="7"/>
      <c r="LMV23" s="7"/>
      <c r="LMW23" s="7"/>
      <c r="LMX23" s="7"/>
      <c r="LMY23" s="7"/>
      <c r="LMZ23" s="7"/>
      <c r="LNA23" s="7"/>
      <c r="LNB23" s="7"/>
      <c r="LNC23" s="7"/>
      <c r="LND23" s="7"/>
      <c r="LNE23" s="7"/>
      <c r="LNF23" s="7"/>
      <c r="LNG23" s="7"/>
      <c r="LNH23" s="7"/>
      <c r="LNI23" s="7"/>
      <c r="LNJ23" s="7"/>
      <c r="LNK23" s="7"/>
      <c r="LNL23" s="7"/>
      <c r="LNM23" s="7"/>
      <c r="LNN23" s="7"/>
      <c r="LNO23" s="7"/>
      <c r="LNP23" s="7"/>
      <c r="LNQ23" s="7"/>
      <c r="LNR23" s="7"/>
      <c r="LNS23" s="7"/>
      <c r="LNT23" s="7"/>
      <c r="LNU23" s="7"/>
      <c r="LNV23" s="7"/>
      <c r="LNW23" s="7"/>
      <c r="LNX23" s="7"/>
      <c r="LNY23" s="7"/>
      <c r="LNZ23" s="7"/>
      <c r="LOA23" s="7"/>
      <c r="LOB23" s="7"/>
      <c r="LOC23" s="7"/>
      <c r="LOD23" s="7"/>
      <c r="LOE23" s="7"/>
      <c r="LOF23" s="7"/>
      <c r="LOG23" s="7"/>
      <c r="LOH23" s="7"/>
      <c r="LOI23" s="7"/>
      <c r="LOJ23" s="7"/>
      <c r="LOK23" s="7"/>
      <c r="LOL23" s="7"/>
      <c r="LOM23" s="7"/>
      <c r="LON23" s="7"/>
      <c r="LOO23" s="7"/>
      <c r="LOP23" s="7"/>
      <c r="LOQ23" s="7"/>
      <c r="LOR23" s="7"/>
      <c r="LOS23" s="7"/>
      <c r="LOT23" s="7"/>
      <c r="LOU23" s="7"/>
      <c r="LOV23" s="7"/>
      <c r="LOW23" s="7"/>
      <c r="LOX23" s="7"/>
      <c r="LOY23" s="7"/>
      <c r="LOZ23" s="7"/>
      <c r="LPA23" s="7"/>
      <c r="LPB23" s="7"/>
      <c r="LPC23" s="7"/>
      <c r="LPD23" s="7"/>
      <c r="LPE23" s="7"/>
      <c r="LPF23" s="7"/>
      <c r="LPG23" s="7"/>
      <c r="LPH23" s="7"/>
      <c r="LPI23" s="7"/>
      <c r="LPJ23" s="7"/>
      <c r="LPK23" s="7"/>
      <c r="LPL23" s="7"/>
      <c r="LPM23" s="7"/>
      <c r="LPN23" s="7"/>
      <c r="LPO23" s="7"/>
      <c r="LPP23" s="7"/>
      <c r="LPQ23" s="7"/>
      <c r="LPR23" s="7"/>
      <c r="LPS23" s="7"/>
      <c r="LPT23" s="7"/>
      <c r="LPU23" s="7"/>
      <c r="LPV23" s="7"/>
      <c r="LPW23" s="7"/>
      <c r="LPX23" s="7"/>
      <c r="LPY23" s="7"/>
      <c r="LPZ23" s="7"/>
      <c r="LQA23" s="7"/>
      <c r="LQB23" s="7"/>
      <c r="LQC23" s="7"/>
      <c r="LQD23" s="7"/>
      <c r="LQE23" s="7"/>
      <c r="LQF23" s="7"/>
      <c r="LQG23" s="7"/>
      <c r="LQH23" s="7"/>
      <c r="LQI23" s="7"/>
      <c r="LQJ23" s="7"/>
      <c r="LQK23" s="7"/>
      <c r="LQL23" s="7"/>
      <c r="LQM23" s="7"/>
      <c r="LQN23" s="7"/>
      <c r="LQO23" s="7"/>
      <c r="LQP23" s="7"/>
      <c r="LQQ23" s="7"/>
      <c r="LQR23" s="7"/>
      <c r="LQS23" s="7"/>
      <c r="LQT23" s="7"/>
      <c r="LQU23" s="7"/>
      <c r="LQV23" s="7"/>
      <c r="LQW23" s="7"/>
      <c r="LQX23" s="7"/>
      <c r="LQY23" s="7"/>
      <c r="LQZ23" s="7"/>
      <c r="LRA23" s="7"/>
      <c r="LRB23" s="7"/>
      <c r="LRC23" s="7"/>
      <c r="LRD23" s="7"/>
      <c r="LRE23" s="7"/>
      <c r="LRF23" s="7"/>
      <c r="LRG23" s="7"/>
      <c r="LRH23" s="7"/>
      <c r="LRI23" s="7"/>
      <c r="LRJ23" s="7"/>
      <c r="LRK23" s="7"/>
      <c r="LRL23" s="7"/>
      <c r="LRM23" s="7"/>
      <c r="LRN23" s="7"/>
      <c r="LRO23" s="7"/>
      <c r="LRP23" s="7"/>
      <c r="LRQ23" s="7"/>
      <c r="LRR23" s="7"/>
      <c r="LRS23" s="7"/>
      <c r="LRT23" s="7"/>
      <c r="LRU23" s="7"/>
      <c r="LRV23" s="7"/>
      <c r="LRW23" s="7"/>
      <c r="LRX23" s="7"/>
      <c r="LRY23" s="7"/>
      <c r="LRZ23" s="7"/>
      <c r="LSA23" s="7"/>
      <c r="LSB23" s="7"/>
      <c r="LSC23" s="7"/>
      <c r="LSD23" s="7"/>
      <c r="LSE23" s="7"/>
      <c r="LSF23" s="7"/>
      <c r="LSG23" s="7"/>
      <c r="LSH23" s="7"/>
      <c r="LSI23" s="7"/>
      <c r="LSJ23" s="7"/>
      <c r="LSK23" s="7"/>
      <c r="LSL23" s="7"/>
      <c r="LSM23" s="7"/>
      <c r="LSN23" s="7"/>
      <c r="LSO23" s="7"/>
      <c r="LSP23" s="7"/>
      <c r="LSQ23" s="7"/>
      <c r="LSR23" s="7"/>
      <c r="LSS23" s="7"/>
      <c r="LST23" s="7"/>
      <c r="LSU23" s="7"/>
      <c r="LSV23" s="7"/>
      <c r="LSW23" s="7"/>
      <c r="LSX23" s="7"/>
      <c r="LSY23" s="7"/>
      <c r="LSZ23" s="7"/>
      <c r="LTA23" s="7"/>
      <c r="LTB23" s="7"/>
      <c r="LTC23" s="7"/>
      <c r="LTD23" s="7"/>
      <c r="LTE23" s="7"/>
      <c r="LTF23" s="7"/>
      <c r="LTG23" s="7"/>
      <c r="LTH23" s="7"/>
      <c r="LTI23" s="7"/>
      <c r="LTJ23" s="7"/>
      <c r="LTK23" s="7"/>
      <c r="LTL23" s="7"/>
      <c r="LTM23" s="7"/>
      <c r="LTN23" s="7"/>
      <c r="LTO23" s="7"/>
      <c r="LTP23" s="7"/>
      <c r="LTQ23" s="7"/>
      <c r="LTR23" s="7"/>
      <c r="LTS23" s="7"/>
      <c r="LTT23" s="7"/>
      <c r="LTU23" s="7"/>
      <c r="LTV23" s="7"/>
      <c r="LTW23" s="7"/>
      <c r="LTX23" s="7"/>
      <c r="LTY23" s="7"/>
      <c r="LTZ23" s="7"/>
      <c r="LUA23" s="7"/>
      <c r="LUB23" s="7"/>
      <c r="LUC23" s="7"/>
      <c r="LUD23" s="7"/>
      <c r="LUE23" s="7"/>
      <c r="LUF23" s="7"/>
      <c r="LUG23" s="7"/>
      <c r="LUH23" s="7"/>
      <c r="LUI23" s="7"/>
      <c r="LUJ23" s="7"/>
      <c r="LUK23" s="7"/>
      <c r="LUL23" s="7"/>
      <c r="LUM23" s="7"/>
      <c r="LUN23" s="7"/>
      <c r="LUO23" s="7"/>
      <c r="LUP23" s="7"/>
      <c r="LUQ23" s="7"/>
      <c r="LUR23" s="7"/>
      <c r="LUS23" s="7"/>
      <c r="LUT23" s="7"/>
      <c r="LUU23" s="7"/>
      <c r="LUV23" s="7"/>
      <c r="LUW23" s="7"/>
      <c r="LUX23" s="7"/>
      <c r="LUY23" s="7"/>
      <c r="LUZ23" s="7"/>
      <c r="LVA23" s="7"/>
      <c r="LVB23" s="7"/>
      <c r="LVC23" s="7"/>
      <c r="LVD23" s="7"/>
      <c r="LVE23" s="7"/>
      <c r="LVF23" s="7"/>
      <c r="LVG23" s="7"/>
      <c r="LVH23" s="7"/>
      <c r="LVI23" s="7"/>
      <c r="LVJ23" s="7"/>
      <c r="LVK23" s="7"/>
      <c r="LVL23" s="7"/>
      <c r="LVM23" s="7"/>
      <c r="LVN23" s="7"/>
      <c r="LVO23" s="7"/>
      <c r="LVP23" s="7"/>
      <c r="LVQ23" s="7"/>
      <c r="LVR23" s="7"/>
      <c r="LVS23" s="7"/>
      <c r="LVT23" s="7"/>
      <c r="LVU23" s="7"/>
      <c r="LVV23" s="7"/>
      <c r="LVW23" s="7"/>
      <c r="LVX23" s="7"/>
      <c r="LVY23" s="7"/>
      <c r="LVZ23" s="7"/>
      <c r="LWA23" s="7"/>
      <c r="LWB23" s="7"/>
      <c r="LWC23" s="7"/>
      <c r="LWD23" s="7"/>
      <c r="LWE23" s="7"/>
      <c r="LWF23" s="7"/>
      <c r="LWG23" s="7"/>
      <c r="LWH23" s="7"/>
      <c r="LWI23" s="7"/>
      <c r="LWJ23" s="7"/>
      <c r="LWK23" s="7"/>
      <c r="LWL23" s="7"/>
      <c r="LWM23" s="7"/>
      <c r="LWN23" s="7"/>
      <c r="LWO23" s="7"/>
      <c r="LWP23" s="7"/>
      <c r="LWQ23" s="7"/>
      <c r="LWR23" s="7"/>
      <c r="LWS23" s="7"/>
      <c r="LWT23" s="7"/>
      <c r="LWU23" s="7"/>
      <c r="LWV23" s="7"/>
      <c r="LWW23" s="7"/>
      <c r="LWX23" s="7"/>
      <c r="LWY23" s="7"/>
      <c r="LWZ23" s="7"/>
      <c r="LXA23" s="7"/>
      <c r="LXB23" s="7"/>
      <c r="LXC23" s="7"/>
      <c r="LXD23" s="7"/>
      <c r="LXE23" s="7"/>
      <c r="LXF23" s="7"/>
      <c r="LXG23" s="7"/>
      <c r="LXH23" s="7"/>
      <c r="LXI23" s="7"/>
      <c r="LXJ23" s="7"/>
      <c r="LXK23" s="7"/>
      <c r="LXL23" s="7"/>
      <c r="LXM23" s="7"/>
      <c r="LXN23" s="7"/>
      <c r="LXO23" s="7"/>
      <c r="LXP23" s="7"/>
      <c r="LXQ23" s="7"/>
      <c r="LXR23" s="7"/>
      <c r="LXS23" s="7"/>
      <c r="LXT23" s="7"/>
      <c r="LXU23" s="7"/>
      <c r="LXV23" s="7"/>
      <c r="LXW23" s="7"/>
      <c r="LXX23" s="7"/>
      <c r="LXY23" s="7"/>
      <c r="LXZ23" s="7"/>
      <c r="LYA23" s="7"/>
      <c r="LYB23" s="7"/>
      <c r="LYC23" s="7"/>
      <c r="LYD23" s="7"/>
      <c r="LYE23" s="7"/>
      <c r="LYF23" s="7"/>
      <c r="LYG23" s="7"/>
      <c r="LYH23" s="7"/>
      <c r="LYI23" s="7"/>
      <c r="LYJ23" s="7"/>
      <c r="LYK23" s="7"/>
      <c r="LYL23" s="7"/>
      <c r="LYM23" s="7"/>
      <c r="LYN23" s="7"/>
      <c r="LYO23" s="7"/>
      <c r="LYP23" s="7"/>
      <c r="LYQ23" s="7"/>
      <c r="LYR23" s="7"/>
      <c r="LYS23" s="7"/>
      <c r="LYT23" s="7"/>
      <c r="LYU23" s="7"/>
      <c r="LYV23" s="7"/>
      <c r="LYW23" s="7"/>
      <c r="LYX23" s="7"/>
      <c r="LYY23" s="7"/>
      <c r="LYZ23" s="7"/>
      <c r="LZA23" s="7"/>
      <c r="LZB23" s="7"/>
      <c r="LZC23" s="7"/>
      <c r="LZD23" s="7"/>
      <c r="LZE23" s="7"/>
      <c r="LZF23" s="7"/>
      <c r="LZG23" s="7"/>
      <c r="LZH23" s="7"/>
      <c r="LZI23" s="7"/>
      <c r="LZJ23" s="7"/>
      <c r="LZK23" s="7"/>
      <c r="LZL23" s="7"/>
      <c r="LZM23" s="7"/>
      <c r="LZN23" s="7"/>
      <c r="LZO23" s="7"/>
      <c r="LZP23" s="7"/>
      <c r="LZQ23" s="7"/>
      <c r="LZR23" s="7"/>
      <c r="LZS23" s="7"/>
      <c r="LZT23" s="7"/>
      <c r="LZU23" s="7"/>
      <c r="LZV23" s="7"/>
      <c r="LZW23" s="7"/>
      <c r="LZX23" s="7"/>
      <c r="LZY23" s="7"/>
      <c r="LZZ23" s="7"/>
      <c r="MAA23" s="7"/>
      <c r="MAB23" s="7"/>
      <c r="MAC23" s="7"/>
      <c r="MAD23" s="7"/>
      <c r="MAE23" s="7"/>
      <c r="MAF23" s="7"/>
      <c r="MAG23" s="7"/>
      <c r="MAH23" s="7"/>
      <c r="MAI23" s="7"/>
      <c r="MAJ23" s="7"/>
      <c r="MAK23" s="7"/>
      <c r="MAL23" s="7"/>
      <c r="MAM23" s="7"/>
      <c r="MAN23" s="7"/>
      <c r="MAO23" s="7"/>
      <c r="MAP23" s="7"/>
      <c r="MAQ23" s="7"/>
      <c r="MAR23" s="7"/>
      <c r="MAS23" s="7"/>
      <c r="MAT23" s="7"/>
      <c r="MAU23" s="7"/>
      <c r="MAV23" s="7"/>
      <c r="MAW23" s="7"/>
      <c r="MAX23" s="7"/>
      <c r="MAY23" s="7"/>
      <c r="MAZ23" s="7"/>
      <c r="MBA23" s="7"/>
      <c r="MBB23" s="7"/>
      <c r="MBC23" s="7"/>
      <c r="MBD23" s="7"/>
      <c r="MBE23" s="7"/>
      <c r="MBF23" s="7"/>
      <c r="MBG23" s="7"/>
      <c r="MBH23" s="7"/>
      <c r="MBI23" s="7"/>
      <c r="MBJ23" s="7"/>
      <c r="MBK23" s="7"/>
      <c r="MBL23" s="7"/>
      <c r="MBM23" s="7"/>
      <c r="MBN23" s="7"/>
      <c r="MBO23" s="7"/>
      <c r="MBP23" s="7"/>
      <c r="MBQ23" s="7"/>
      <c r="MBR23" s="7"/>
      <c r="MBS23" s="7"/>
      <c r="MBT23" s="7"/>
      <c r="MBU23" s="7"/>
      <c r="MBV23" s="7"/>
      <c r="MBW23" s="7"/>
      <c r="MBX23" s="7"/>
      <c r="MBY23" s="7"/>
      <c r="MBZ23" s="7"/>
      <c r="MCA23" s="7"/>
      <c r="MCB23" s="7"/>
      <c r="MCC23" s="7"/>
      <c r="MCD23" s="7"/>
      <c r="MCE23" s="7"/>
      <c r="MCF23" s="7"/>
      <c r="MCG23" s="7"/>
      <c r="MCH23" s="7"/>
      <c r="MCI23" s="7"/>
      <c r="MCJ23" s="7"/>
      <c r="MCK23" s="7"/>
      <c r="MCL23" s="7"/>
      <c r="MCM23" s="7"/>
      <c r="MCN23" s="7"/>
      <c r="MCO23" s="7"/>
      <c r="MCP23" s="7"/>
      <c r="MCQ23" s="7"/>
      <c r="MCR23" s="7"/>
      <c r="MCS23" s="7"/>
      <c r="MCT23" s="7"/>
      <c r="MCU23" s="7"/>
      <c r="MCV23" s="7"/>
      <c r="MCW23" s="7"/>
      <c r="MCX23" s="7"/>
      <c r="MCY23" s="7"/>
      <c r="MCZ23" s="7"/>
      <c r="MDA23" s="7"/>
      <c r="MDB23" s="7"/>
      <c r="MDC23" s="7"/>
      <c r="MDD23" s="7"/>
      <c r="MDE23" s="7"/>
      <c r="MDF23" s="7"/>
      <c r="MDG23" s="7"/>
      <c r="MDH23" s="7"/>
      <c r="MDI23" s="7"/>
      <c r="MDJ23" s="7"/>
      <c r="MDK23" s="7"/>
      <c r="MDL23" s="7"/>
      <c r="MDM23" s="7"/>
      <c r="MDN23" s="7"/>
      <c r="MDO23" s="7"/>
      <c r="MDP23" s="7"/>
      <c r="MDQ23" s="7"/>
      <c r="MDR23" s="7"/>
      <c r="MDS23" s="7"/>
      <c r="MDT23" s="7"/>
      <c r="MDU23" s="7"/>
      <c r="MDV23" s="7"/>
      <c r="MDW23" s="7"/>
      <c r="MDX23" s="7"/>
      <c r="MDY23" s="7"/>
      <c r="MDZ23" s="7"/>
      <c r="MEA23" s="7"/>
      <c r="MEB23" s="7"/>
      <c r="MEC23" s="7"/>
      <c r="MED23" s="7"/>
      <c r="MEE23" s="7"/>
      <c r="MEF23" s="7"/>
      <c r="MEG23" s="7"/>
      <c r="MEH23" s="7"/>
      <c r="MEI23" s="7"/>
      <c r="MEJ23" s="7"/>
      <c r="MEK23" s="7"/>
      <c r="MEL23" s="7"/>
      <c r="MEM23" s="7"/>
      <c r="MEN23" s="7"/>
      <c r="MEO23" s="7"/>
      <c r="MEP23" s="7"/>
      <c r="MEQ23" s="7"/>
      <c r="MER23" s="7"/>
      <c r="MES23" s="7"/>
      <c r="MET23" s="7"/>
      <c r="MEU23" s="7"/>
      <c r="MEV23" s="7"/>
      <c r="MEW23" s="7"/>
      <c r="MEX23" s="7"/>
      <c r="MEY23" s="7"/>
      <c r="MEZ23" s="7"/>
      <c r="MFA23" s="7"/>
      <c r="MFB23" s="7"/>
      <c r="MFC23" s="7"/>
      <c r="MFD23" s="7"/>
      <c r="MFE23" s="7"/>
      <c r="MFF23" s="7"/>
      <c r="MFG23" s="7"/>
      <c r="MFH23" s="7"/>
      <c r="MFI23" s="7"/>
      <c r="MFJ23" s="7"/>
      <c r="MFK23" s="7"/>
      <c r="MFL23" s="7"/>
      <c r="MFM23" s="7"/>
      <c r="MFN23" s="7"/>
      <c r="MFO23" s="7"/>
      <c r="MFP23" s="7"/>
      <c r="MFQ23" s="7"/>
      <c r="MFR23" s="7"/>
      <c r="MFS23" s="7"/>
      <c r="MFT23" s="7"/>
      <c r="MFU23" s="7"/>
      <c r="MFV23" s="7"/>
      <c r="MFW23" s="7"/>
      <c r="MFX23" s="7"/>
      <c r="MFY23" s="7"/>
      <c r="MFZ23" s="7"/>
      <c r="MGA23" s="7"/>
      <c r="MGB23" s="7"/>
      <c r="MGC23" s="7"/>
      <c r="MGD23" s="7"/>
      <c r="MGE23" s="7"/>
      <c r="MGF23" s="7"/>
      <c r="MGG23" s="7"/>
      <c r="MGH23" s="7"/>
      <c r="MGI23" s="7"/>
      <c r="MGJ23" s="7"/>
      <c r="MGK23" s="7"/>
      <c r="MGL23" s="7"/>
      <c r="MGM23" s="7"/>
      <c r="MGN23" s="7"/>
      <c r="MGO23" s="7"/>
      <c r="MGP23" s="7"/>
      <c r="MGQ23" s="7"/>
      <c r="MGR23" s="7"/>
      <c r="MGS23" s="7"/>
      <c r="MGT23" s="7"/>
      <c r="MGU23" s="7"/>
      <c r="MGV23" s="7"/>
      <c r="MGW23" s="7"/>
      <c r="MGX23" s="7"/>
      <c r="MGY23" s="7"/>
      <c r="MGZ23" s="7"/>
      <c r="MHA23" s="7"/>
      <c r="MHB23" s="7"/>
      <c r="MHC23" s="7"/>
      <c r="MHD23" s="7"/>
      <c r="MHE23" s="7"/>
      <c r="MHF23" s="7"/>
      <c r="MHG23" s="7"/>
      <c r="MHH23" s="7"/>
      <c r="MHI23" s="7"/>
      <c r="MHJ23" s="7"/>
      <c r="MHK23" s="7"/>
      <c r="MHL23" s="7"/>
      <c r="MHM23" s="7"/>
      <c r="MHN23" s="7"/>
      <c r="MHO23" s="7"/>
      <c r="MHP23" s="7"/>
      <c r="MHQ23" s="7"/>
      <c r="MHR23" s="7"/>
      <c r="MHS23" s="7"/>
      <c r="MHT23" s="7"/>
      <c r="MHU23" s="7"/>
      <c r="MHV23" s="7"/>
      <c r="MHW23" s="7"/>
      <c r="MHX23" s="7"/>
      <c r="MHY23" s="7"/>
      <c r="MHZ23" s="7"/>
      <c r="MIA23" s="7"/>
      <c r="MIB23" s="7"/>
      <c r="MIC23" s="7"/>
      <c r="MID23" s="7"/>
      <c r="MIE23" s="7"/>
      <c r="MIF23" s="7"/>
      <c r="MIG23" s="7"/>
      <c r="MIH23" s="7"/>
      <c r="MII23" s="7"/>
      <c r="MIJ23" s="7"/>
      <c r="MIK23" s="7"/>
      <c r="MIL23" s="7"/>
      <c r="MIM23" s="7"/>
      <c r="MIN23" s="7"/>
      <c r="MIO23" s="7"/>
      <c r="MIP23" s="7"/>
      <c r="MIQ23" s="7"/>
      <c r="MIR23" s="7"/>
      <c r="MIS23" s="7"/>
      <c r="MIT23" s="7"/>
      <c r="MIU23" s="7"/>
      <c r="MIV23" s="7"/>
      <c r="MIW23" s="7"/>
      <c r="MIX23" s="7"/>
      <c r="MIY23" s="7"/>
      <c r="MIZ23" s="7"/>
      <c r="MJA23" s="7"/>
      <c r="MJB23" s="7"/>
      <c r="MJC23" s="7"/>
      <c r="MJD23" s="7"/>
      <c r="MJE23" s="7"/>
      <c r="MJF23" s="7"/>
      <c r="MJG23" s="7"/>
      <c r="MJH23" s="7"/>
      <c r="MJI23" s="7"/>
      <c r="MJJ23" s="7"/>
      <c r="MJK23" s="7"/>
      <c r="MJL23" s="7"/>
      <c r="MJM23" s="7"/>
      <c r="MJN23" s="7"/>
      <c r="MJO23" s="7"/>
      <c r="MJP23" s="7"/>
      <c r="MJQ23" s="7"/>
      <c r="MJR23" s="7"/>
      <c r="MJS23" s="7"/>
      <c r="MJT23" s="7"/>
      <c r="MJU23" s="7"/>
      <c r="MJV23" s="7"/>
      <c r="MJW23" s="7"/>
      <c r="MJX23" s="7"/>
      <c r="MJY23" s="7"/>
      <c r="MJZ23" s="7"/>
      <c r="MKA23" s="7"/>
      <c r="MKB23" s="7"/>
      <c r="MKC23" s="7"/>
      <c r="MKD23" s="7"/>
      <c r="MKE23" s="7"/>
      <c r="MKF23" s="7"/>
      <c r="MKG23" s="7"/>
      <c r="MKH23" s="7"/>
      <c r="MKI23" s="7"/>
      <c r="MKJ23" s="7"/>
      <c r="MKK23" s="7"/>
      <c r="MKL23" s="7"/>
      <c r="MKM23" s="7"/>
      <c r="MKN23" s="7"/>
      <c r="MKO23" s="7"/>
      <c r="MKP23" s="7"/>
      <c r="MKQ23" s="7"/>
      <c r="MKR23" s="7"/>
      <c r="MKS23" s="7"/>
      <c r="MKT23" s="7"/>
      <c r="MKU23" s="7"/>
      <c r="MKV23" s="7"/>
      <c r="MKW23" s="7"/>
      <c r="MKX23" s="7"/>
      <c r="MKY23" s="7"/>
      <c r="MKZ23" s="7"/>
      <c r="MLA23" s="7"/>
      <c r="MLB23" s="7"/>
      <c r="MLC23" s="7"/>
      <c r="MLD23" s="7"/>
      <c r="MLE23" s="7"/>
      <c r="MLF23" s="7"/>
      <c r="MLG23" s="7"/>
      <c r="MLH23" s="7"/>
      <c r="MLI23" s="7"/>
      <c r="MLJ23" s="7"/>
      <c r="MLK23" s="7"/>
      <c r="MLL23" s="7"/>
      <c r="MLM23" s="7"/>
      <c r="MLN23" s="7"/>
      <c r="MLO23" s="7"/>
      <c r="MLP23" s="7"/>
      <c r="MLQ23" s="7"/>
      <c r="MLR23" s="7"/>
      <c r="MLS23" s="7"/>
      <c r="MLT23" s="7"/>
      <c r="MLU23" s="7"/>
      <c r="MLV23" s="7"/>
      <c r="MLW23" s="7"/>
      <c r="MLX23" s="7"/>
      <c r="MLY23" s="7"/>
      <c r="MLZ23" s="7"/>
      <c r="MMA23" s="7"/>
      <c r="MMB23" s="7"/>
      <c r="MMC23" s="7"/>
      <c r="MMD23" s="7"/>
      <c r="MME23" s="7"/>
      <c r="MMF23" s="7"/>
      <c r="MMG23" s="7"/>
      <c r="MMH23" s="7"/>
      <c r="MMI23" s="7"/>
      <c r="MMJ23" s="7"/>
      <c r="MMK23" s="7"/>
      <c r="MML23" s="7"/>
      <c r="MMM23" s="7"/>
      <c r="MMN23" s="7"/>
      <c r="MMO23" s="7"/>
      <c r="MMP23" s="7"/>
      <c r="MMQ23" s="7"/>
      <c r="MMR23" s="7"/>
      <c r="MMS23" s="7"/>
      <c r="MMT23" s="7"/>
      <c r="MMU23" s="7"/>
      <c r="MMV23" s="7"/>
      <c r="MMW23" s="7"/>
      <c r="MMX23" s="7"/>
      <c r="MMY23" s="7"/>
      <c r="MMZ23" s="7"/>
      <c r="MNA23" s="7"/>
      <c r="MNB23" s="7"/>
      <c r="MNC23" s="7"/>
      <c r="MND23" s="7"/>
      <c r="MNE23" s="7"/>
      <c r="MNF23" s="7"/>
      <c r="MNG23" s="7"/>
      <c r="MNH23" s="7"/>
      <c r="MNI23" s="7"/>
      <c r="MNJ23" s="7"/>
      <c r="MNK23" s="7"/>
      <c r="MNL23" s="7"/>
      <c r="MNM23" s="7"/>
      <c r="MNN23" s="7"/>
      <c r="MNO23" s="7"/>
      <c r="MNP23" s="7"/>
      <c r="MNQ23" s="7"/>
      <c r="MNR23" s="7"/>
      <c r="MNS23" s="7"/>
      <c r="MNT23" s="7"/>
      <c r="MNU23" s="7"/>
      <c r="MNV23" s="7"/>
      <c r="MNW23" s="7"/>
      <c r="MNX23" s="7"/>
      <c r="MNY23" s="7"/>
      <c r="MNZ23" s="7"/>
      <c r="MOA23" s="7"/>
      <c r="MOB23" s="7"/>
      <c r="MOC23" s="7"/>
      <c r="MOD23" s="7"/>
      <c r="MOE23" s="7"/>
      <c r="MOF23" s="7"/>
      <c r="MOG23" s="7"/>
      <c r="MOH23" s="7"/>
      <c r="MOI23" s="7"/>
      <c r="MOJ23" s="7"/>
      <c r="MOK23" s="7"/>
      <c r="MOL23" s="7"/>
      <c r="MOM23" s="7"/>
      <c r="MON23" s="7"/>
      <c r="MOO23" s="7"/>
      <c r="MOP23" s="7"/>
      <c r="MOQ23" s="7"/>
      <c r="MOR23" s="7"/>
      <c r="MOS23" s="7"/>
      <c r="MOT23" s="7"/>
      <c r="MOU23" s="7"/>
      <c r="MOV23" s="7"/>
      <c r="MOW23" s="7"/>
      <c r="MOX23" s="7"/>
      <c r="MOY23" s="7"/>
      <c r="MOZ23" s="7"/>
      <c r="MPA23" s="7"/>
      <c r="MPB23" s="7"/>
      <c r="MPC23" s="7"/>
      <c r="MPD23" s="7"/>
      <c r="MPE23" s="7"/>
      <c r="MPF23" s="7"/>
      <c r="MPG23" s="7"/>
      <c r="MPH23" s="7"/>
      <c r="MPI23" s="7"/>
      <c r="MPJ23" s="7"/>
      <c r="MPK23" s="7"/>
      <c r="MPL23" s="7"/>
      <c r="MPM23" s="7"/>
      <c r="MPN23" s="7"/>
      <c r="MPO23" s="7"/>
      <c r="MPP23" s="7"/>
      <c r="MPQ23" s="7"/>
      <c r="MPR23" s="7"/>
      <c r="MPS23" s="7"/>
      <c r="MPT23" s="7"/>
      <c r="MPU23" s="7"/>
      <c r="MPV23" s="7"/>
      <c r="MPW23" s="7"/>
      <c r="MPX23" s="7"/>
      <c r="MPY23" s="7"/>
      <c r="MPZ23" s="7"/>
      <c r="MQA23" s="7"/>
      <c r="MQB23" s="7"/>
      <c r="MQC23" s="7"/>
      <c r="MQD23" s="7"/>
      <c r="MQE23" s="7"/>
      <c r="MQF23" s="7"/>
      <c r="MQG23" s="7"/>
      <c r="MQH23" s="7"/>
      <c r="MQI23" s="7"/>
      <c r="MQJ23" s="7"/>
      <c r="MQK23" s="7"/>
      <c r="MQL23" s="7"/>
      <c r="MQM23" s="7"/>
      <c r="MQN23" s="7"/>
      <c r="MQO23" s="7"/>
      <c r="MQP23" s="7"/>
      <c r="MQQ23" s="7"/>
      <c r="MQR23" s="7"/>
      <c r="MQS23" s="7"/>
      <c r="MQT23" s="7"/>
      <c r="MQU23" s="7"/>
      <c r="MQV23" s="7"/>
      <c r="MQW23" s="7"/>
      <c r="MQX23" s="7"/>
      <c r="MQY23" s="7"/>
      <c r="MQZ23" s="7"/>
      <c r="MRA23" s="7"/>
      <c r="MRB23" s="7"/>
      <c r="MRC23" s="7"/>
      <c r="MRD23" s="7"/>
      <c r="MRE23" s="7"/>
      <c r="MRF23" s="7"/>
      <c r="MRG23" s="7"/>
      <c r="MRH23" s="7"/>
      <c r="MRI23" s="7"/>
      <c r="MRJ23" s="7"/>
      <c r="MRK23" s="7"/>
      <c r="MRL23" s="7"/>
      <c r="MRM23" s="7"/>
      <c r="MRN23" s="7"/>
      <c r="MRO23" s="7"/>
      <c r="MRP23" s="7"/>
      <c r="MRQ23" s="7"/>
      <c r="MRR23" s="7"/>
      <c r="MRS23" s="7"/>
      <c r="MRT23" s="7"/>
      <c r="MRU23" s="7"/>
      <c r="MRV23" s="7"/>
      <c r="MRW23" s="7"/>
      <c r="MRX23" s="7"/>
      <c r="MRY23" s="7"/>
      <c r="MRZ23" s="7"/>
      <c r="MSA23" s="7"/>
      <c r="MSB23" s="7"/>
      <c r="MSC23" s="7"/>
      <c r="MSD23" s="7"/>
      <c r="MSE23" s="7"/>
      <c r="MSF23" s="7"/>
      <c r="MSG23" s="7"/>
      <c r="MSH23" s="7"/>
      <c r="MSI23" s="7"/>
      <c r="MSJ23" s="7"/>
      <c r="MSK23" s="7"/>
      <c r="MSL23" s="7"/>
      <c r="MSM23" s="7"/>
      <c r="MSN23" s="7"/>
      <c r="MSO23" s="7"/>
      <c r="MSP23" s="7"/>
      <c r="MSQ23" s="7"/>
      <c r="MSR23" s="7"/>
      <c r="MSS23" s="7"/>
      <c r="MST23" s="7"/>
      <c r="MSU23" s="7"/>
      <c r="MSV23" s="7"/>
      <c r="MSW23" s="7"/>
      <c r="MSX23" s="7"/>
      <c r="MSY23" s="7"/>
      <c r="MSZ23" s="7"/>
      <c r="MTA23" s="7"/>
      <c r="MTB23" s="7"/>
      <c r="MTC23" s="7"/>
      <c r="MTD23" s="7"/>
      <c r="MTE23" s="7"/>
      <c r="MTF23" s="7"/>
      <c r="MTG23" s="7"/>
      <c r="MTH23" s="7"/>
      <c r="MTI23" s="7"/>
      <c r="MTJ23" s="7"/>
      <c r="MTK23" s="7"/>
      <c r="MTL23" s="7"/>
      <c r="MTM23" s="7"/>
      <c r="MTN23" s="7"/>
      <c r="MTO23" s="7"/>
      <c r="MTP23" s="7"/>
      <c r="MTQ23" s="7"/>
      <c r="MTR23" s="7"/>
      <c r="MTS23" s="7"/>
      <c r="MTT23" s="7"/>
      <c r="MTU23" s="7"/>
      <c r="MTV23" s="7"/>
      <c r="MTW23" s="7"/>
      <c r="MTX23" s="7"/>
      <c r="MTY23" s="7"/>
      <c r="MTZ23" s="7"/>
      <c r="MUA23" s="7"/>
      <c r="MUB23" s="7"/>
      <c r="MUC23" s="7"/>
      <c r="MUD23" s="7"/>
      <c r="MUE23" s="7"/>
      <c r="MUF23" s="7"/>
      <c r="MUG23" s="7"/>
      <c r="MUH23" s="7"/>
      <c r="MUI23" s="7"/>
      <c r="MUJ23" s="7"/>
      <c r="MUK23" s="7"/>
      <c r="MUL23" s="7"/>
      <c r="MUM23" s="7"/>
      <c r="MUN23" s="7"/>
      <c r="MUO23" s="7"/>
      <c r="MUP23" s="7"/>
      <c r="MUQ23" s="7"/>
      <c r="MUR23" s="7"/>
      <c r="MUS23" s="7"/>
      <c r="MUT23" s="7"/>
      <c r="MUU23" s="7"/>
      <c r="MUV23" s="7"/>
      <c r="MUW23" s="7"/>
      <c r="MUX23" s="7"/>
      <c r="MUY23" s="7"/>
      <c r="MUZ23" s="7"/>
      <c r="MVA23" s="7"/>
      <c r="MVB23" s="7"/>
      <c r="MVC23" s="7"/>
      <c r="MVD23" s="7"/>
      <c r="MVE23" s="7"/>
      <c r="MVF23" s="7"/>
      <c r="MVG23" s="7"/>
      <c r="MVH23" s="7"/>
      <c r="MVI23" s="7"/>
      <c r="MVJ23" s="7"/>
      <c r="MVK23" s="7"/>
      <c r="MVL23" s="7"/>
      <c r="MVM23" s="7"/>
      <c r="MVN23" s="7"/>
      <c r="MVO23" s="7"/>
      <c r="MVP23" s="7"/>
      <c r="MVQ23" s="7"/>
      <c r="MVR23" s="7"/>
      <c r="MVS23" s="7"/>
      <c r="MVT23" s="7"/>
      <c r="MVU23" s="7"/>
      <c r="MVV23" s="7"/>
      <c r="MVW23" s="7"/>
      <c r="MVX23" s="7"/>
      <c r="MVY23" s="7"/>
      <c r="MVZ23" s="7"/>
      <c r="MWA23" s="7"/>
      <c r="MWB23" s="7"/>
      <c r="MWC23" s="7"/>
      <c r="MWD23" s="7"/>
      <c r="MWE23" s="7"/>
      <c r="MWF23" s="7"/>
      <c r="MWG23" s="7"/>
      <c r="MWH23" s="7"/>
      <c r="MWI23" s="7"/>
      <c r="MWJ23" s="7"/>
      <c r="MWK23" s="7"/>
      <c r="MWL23" s="7"/>
      <c r="MWM23" s="7"/>
      <c r="MWN23" s="7"/>
      <c r="MWO23" s="7"/>
      <c r="MWP23" s="7"/>
      <c r="MWQ23" s="7"/>
      <c r="MWR23" s="7"/>
      <c r="MWS23" s="7"/>
      <c r="MWT23" s="7"/>
      <c r="MWU23" s="7"/>
      <c r="MWV23" s="7"/>
      <c r="MWW23" s="7"/>
      <c r="MWX23" s="7"/>
      <c r="MWY23" s="7"/>
      <c r="MWZ23" s="7"/>
      <c r="MXA23" s="7"/>
      <c r="MXB23" s="7"/>
      <c r="MXC23" s="7"/>
      <c r="MXD23" s="7"/>
      <c r="MXE23" s="7"/>
      <c r="MXF23" s="7"/>
      <c r="MXG23" s="7"/>
      <c r="MXH23" s="7"/>
      <c r="MXI23" s="7"/>
      <c r="MXJ23" s="7"/>
      <c r="MXK23" s="7"/>
      <c r="MXL23" s="7"/>
      <c r="MXM23" s="7"/>
      <c r="MXN23" s="7"/>
      <c r="MXO23" s="7"/>
      <c r="MXP23" s="7"/>
      <c r="MXQ23" s="7"/>
      <c r="MXR23" s="7"/>
      <c r="MXS23" s="7"/>
      <c r="MXT23" s="7"/>
      <c r="MXU23" s="7"/>
      <c r="MXV23" s="7"/>
      <c r="MXW23" s="7"/>
      <c r="MXX23" s="7"/>
      <c r="MXY23" s="7"/>
      <c r="MXZ23" s="7"/>
      <c r="MYA23" s="7"/>
      <c r="MYB23" s="7"/>
      <c r="MYC23" s="7"/>
      <c r="MYD23" s="7"/>
      <c r="MYE23" s="7"/>
      <c r="MYF23" s="7"/>
      <c r="MYG23" s="7"/>
      <c r="MYH23" s="7"/>
      <c r="MYI23" s="7"/>
      <c r="MYJ23" s="7"/>
      <c r="MYK23" s="7"/>
      <c r="MYL23" s="7"/>
      <c r="MYM23" s="7"/>
      <c r="MYN23" s="7"/>
      <c r="MYO23" s="7"/>
      <c r="MYP23" s="7"/>
      <c r="MYQ23" s="7"/>
      <c r="MYR23" s="7"/>
      <c r="MYS23" s="7"/>
      <c r="MYT23" s="7"/>
      <c r="MYU23" s="7"/>
      <c r="MYV23" s="7"/>
      <c r="MYW23" s="7"/>
      <c r="MYX23" s="7"/>
      <c r="MYY23" s="7"/>
      <c r="MYZ23" s="7"/>
      <c r="MZA23" s="7"/>
      <c r="MZB23" s="7"/>
      <c r="MZC23" s="7"/>
      <c r="MZD23" s="7"/>
      <c r="MZE23" s="7"/>
      <c r="MZF23" s="7"/>
      <c r="MZG23" s="7"/>
      <c r="MZH23" s="7"/>
      <c r="MZI23" s="7"/>
      <c r="MZJ23" s="7"/>
      <c r="MZK23" s="7"/>
      <c r="MZL23" s="7"/>
      <c r="MZM23" s="7"/>
      <c r="MZN23" s="7"/>
      <c r="MZO23" s="7"/>
      <c r="MZP23" s="7"/>
      <c r="MZQ23" s="7"/>
      <c r="MZR23" s="7"/>
      <c r="MZS23" s="7"/>
      <c r="MZT23" s="7"/>
      <c r="MZU23" s="7"/>
      <c r="MZV23" s="7"/>
      <c r="MZW23" s="7"/>
      <c r="MZX23" s="7"/>
      <c r="MZY23" s="7"/>
      <c r="MZZ23" s="7"/>
      <c r="NAA23" s="7"/>
      <c r="NAB23" s="7"/>
      <c r="NAC23" s="7"/>
      <c r="NAD23" s="7"/>
      <c r="NAE23" s="7"/>
      <c r="NAF23" s="7"/>
      <c r="NAG23" s="7"/>
      <c r="NAH23" s="7"/>
      <c r="NAI23" s="7"/>
      <c r="NAJ23" s="7"/>
      <c r="NAK23" s="7"/>
      <c r="NAL23" s="7"/>
      <c r="NAM23" s="7"/>
      <c r="NAN23" s="7"/>
      <c r="NAO23" s="7"/>
      <c r="NAP23" s="7"/>
      <c r="NAQ23" s="7"/>
      <c r="NAR23" s="7"/>
      <c r="NAS23" s="7"/>
      <c r="NAT23" s="7"/>
      <c r="NAU23" s="7"/>
      <c r="NAV23" s="7"/>
      <c r="NAW23" s="7"/>
      <c r="NAX23" s="7"/>
      <c r="NAY23" s="7"/>
      <c r="NAZ23" s="7"/>
      <c r="NBA23" s="7"/>
      <c r="NBB23" s="7"/>
      <c r="NBC23" s="7"/>
      <c r="NBD23" s="7"/>
      <c r="NBE23" s="7"/>
      <c r="NBF23" s="7"/>
      <c r="NBG23" s="7"/>
      <c r="NBH23" s="7"/>
      <c r="NBI23" s="7"/>
      <c r="NBJ23" s="7"/>
      <c r="NBK23" s="7"/>
      <c r="NBL23" s="7"/>
      <c r="NBM23" s="7"/>
      <c r="NBN23" s="7"/>
      <c r="NBO23" s="7"/>
      <c r="NBP23" s="7"/>
      <c r="NBQ23" s="7"/>
      <c r="NBR23" s="7"/>
      <c r="NBS23" s="7"/>
      <c r="NBT23" s="7"/>
      <c r="NBU23" s="7"/>
      <c r="NBV23" s="7"/>
      <c r="NBW23" s="7"/>
      <c r="NBX23" s="7"/>
      <c r="NBY23" s="7"/>
      <c r="NBZ23" s="7"/>
      <c r="NCA23" s="7"/>
      <c r="NCB23" s="7"/>
      <c r="NCC23" s="7"/>
      <c r="NCD23" s="7"/>
      <c r="NCE23" s="7"/>
      <c r="NCF23" s="7"/>
      <c r="NCG23" s="7"/>
      <c r="NCH23" s="7"/>
      <c r="NCI23" s="7"/>
      <c r="NCJ23" s="7"/>
      <c r="NCK23" s="7"/>
      <c r="NCL23" s="7"/>
      <c r="NCM23" s="7"/>
      <c r="NCN23" s="7"/>
      <c r="NCO23" s="7"/>
      <c r="NCP23" s="7"/>
      <c r="NCQ23" s="7"/>
      <c r="NCR23" s="7"/>
      <c r="NCS23" s="7"/>
      <c r="NCT23" s="7"/>
      <c r="NCU23" s="7"/>
      <c r="NCV23" s="7"/>
      <c r="NCW23" s="7"/>
      <c r="NCX23" s="7"/>
      <c r="NCY23" s="7"/>
      <c r="NCZ23" s="7"/>
      <c r="NDA23" s="7"/>
      <c r="NDB23" s="7"/>
      <c r="NDC23" s="7"/>
      <c r="NDD23" s="7"/>
      <c r="NDE23" s="7"/>
      <c r="NDF23" s="7"/>
      <c r="NDG23" s="7"/>
      <c r="NDH23" s="7"/>
      <c r="NDI23" s="7"/>
      <c r="NDJ23" s="7"/>
      <c r="NDK23" s="7"/>
      <c r="NDL23" s="7"/>
      <c r="NDM23" s="7"/>
      <c r="NDN23" s="7"/>
      <c r="NDO23" s="7"/>
      <c r="NDP23" s="7"/>
      <c r="NDQ23" s="7"/>
      <c r="NDR23" s="7"/>
      <c r="NDS23" s="7"/>
      <c r="NDT23" s="7"/>
      <c r="NDU23" s="7"/>
      <c r="NDV23" s="7"/>
      <c r="NDW23" s="7"/>
      <c r="NDX23" s="7"/>
      <c r="NDY23" s="7"/>
      <c r="NDZ23" s="7"/>
      <c r="NEA23" s="7"/>
      <c r="NEB23" s="7"/>
      <c r="NEC23" s="7"/>
      <c r="NED23" s="7"/>
      <c r="NEE23" s="7"/>
      <c r="NEF23" s="7"/>
      <c r="NEG23" s="7"/>
      <c r="NEH23" s="7"/>
      <c r="NEI23" s="7"/>
      <c r="NEJ23" s="7"/>
      <c r="NEK23" s="7"/>
      <c r="NEL23" s="7"/>
      <c r="NEM23" s="7"/>
      <c r="NEN23" s="7"/>
      <c r="NEO23" s="7"/>
      <c r="NEP23" s="7"/>
      <c r="NEQ23" s="7"/>
      <c r="NER23" s="7"/>
      <c r="NES23" s="7"/>
      <c r="NET23" s="7"/>
      <c r="NEU23" s="7"/>
      <c r="NEV23" s="7"/>
      <c r="NEW23" s="7"/>
      <c r="NEX23" s="7"/>
      <c r="NEY23" s="7"/>
      <c r="NEZ23" s="7"/>
      <c r="NFA23" s="7"/>
      <c r="NFB23" s="7"/>
      <c r="NFC23" s="7"/>
      <c r="NFD23" s="7"/>
      <c r="NFE23" s="7"/>
      <c r="NFF23" s="7"/>
      <c r="NFG23" s="7"/>
      <c r="NFH23" s="7"/>
      <c r="NFI23" s="7"/>
      <c r="NFJ23" s="7"/>
      <c r="NFK23" s="7"/>
      <c r="NFL23" s="7"/>
      <c r="NFM23" s="7"/>
      <c r="NFN23" s="7"/>
      <c r="NFO23" s="7"/>
      <c r="NFP23" s="7"/>
      <c r="NFQ23" s="7"/>
      <c r="NFR23" s="7"/>
      <c r="NFS23" s="7"/>
      <c r="NFT23" s="7"/>
      <c r="NFU23" s="7"/>
      <c r="NFV23" s="7"/>
      <c r="NFW23" s="7"/>
      <c r="NFX23" s="7"/>
      <c r="NFY23" s="7"/>
      <c r="NFZ23" s="7"/>
      <c r="NGA23" s="7"/>
      <c r="NGB23" s="7"/>
      <c r="NGC23" s="7"/>
      <c r="NGD23" s="7"/>
      <c r="NGE23" s="7"/>
      <c r="NGF23" s="7"/>
      <c r="NGG23" s="7"/>
      <c r="NGH23" s="7"/>
      <c r="NGI23" s="7"/>
      <c r="NGJ23" s="7"/>
      <c r="NGK23" s="7"/>
      <c r="NGL23" s="7"/>
      <c r="NGM23" s="7"/>
      <c r="NGN23" s="7"/>
      <c r="NGO23" s="7"/>
      <c r="NGP23" s="7"/>
      <c r="NGQ23" s="7"/>
      <c r="NGR23" s="7"/>
      <c r="NGS23" s="7"/>
      <c r="NGT23" s="7"/>
      <c r="NGU23" s="7"/>
      <c r="NGV23" s="7"/>
      <c r="NGW23" s="7"/>
      <c r="NGX23" s="7"/>
      <c r="NGY23" s="7"/>
      <c r="NGZ23" s="7"/>
      <c r="NHA23" s="7"/>
      <c r="NHB23" s="7"/>
      <c r="NHC23" s="7"/>
      <c r="NHD23" s="7"/>
      <c r="NHE23" s="7"/>
      <c r="NHF23" s="7"/>
      <c r="NHG23" s="7"/>
      <c r="NHH23" s="7"/>
      <c r="NHI23" s="7"/>
      <c r="NHJ23" s="7"/>
      <c r="NHK23" s="7"/>
      <c r="NHL23" s="7"/>
      <c r="NHM23" s="7"/>
      <c r="NHN23" s="7"/>
      <c r="NHO23" s="7"/>
      <c r="NHP23" s="7"/>
      <c r="NHQ23" s="7"/>
      <c r="NHR23" s="7"/>
      <c r="NHS23" s="7"/>
      <c r="NHT23" s="7"/>
      <c r="NHU23" s="7"/>
      <c r="NHV23" s="7"/>
      <c r="NHW23" s="7"/>
      <c r="NHX23" s="7"/>
      <c r="NHY23" s="7"/>
      <c r="NHZ23" s="7"/>
      <c r="NIA23" s="7"/>
      <c r="NIB23" s="7"/>
      <c r="NIC23" s="7"/>
      <c r="NID23" s="7"/>
      <c r="NIE23" s="7"/>
      <c r="NIF23" s="7"/>
      <c r="NIG23" s="7"/>
      <c r="NIH23" s="7"/>
      <c r="NII23" s="7"/>
      <c r="NIJ23" s="7"/>
      <c r="NIK23" s="7"/>
      <c r="NIL23" s="7"/>
      <c r="NIM23" s="7"/>
      <c r="NIN23" s="7"/>
      <c r="NIO23" s="7"/>
      <c r="NIP23" s="7"/>
      <c r="NIQ23" s="7"/>
      <c r="NIR23" s="7"/>
      <c r="NIS23" s="7"/>
      <c r="NIT23" s="7"/>
      <c r="NIU23" s="7"/>
      <c r="NIV23" s="7"/>
      <c r="NIW23" s="7"/>
      <c r="NIX23" s="7"/>
      <c r="NIY23" s="7"/>
      <c r="NIZ23" s="7"/>
      <c r="NJA23" s="7"/>
      <c r="NJB23" s="7"/>
      <c r="NJC23" s="7"/>
      <c r="NJD23" s="7"/>
      <c r="NJE23" s="7"/>
      <c r="NJF23" s="7"/>
      <c r="NJG23" s="7"/>
      <c r="NJH23" s="7"/>
      <c r="NJI23" s="7"/>
      <c r="NJJ23" s="7"/>
      <c r="NJK23" s="7"/>
      <c r="NJL23" s="7"/>
      <c r="NJM23" s="7"/>
      <c r="NJN23" s="7"/>
      <c r="NJO23" s="7"/>
      <c r="NJP23" s="7"/>
      <c r="NJQ23" s="7"/>
      <c r="NJR23" s="7"/>
      <c r="NJS23" s="7"/>
      <c r="NJT23" s="7"/>
      <c r="NJU23" s="7"/>
      <c r="NJV23" s="7"/>
      <c r="NJW23" s="7"/>
      <c r="NJX23" s="7"/>
      <c r="NJY23" s="7"/>
      <c r="NJZ23" s="7"/>
      <c r="NKA23" s="7"/>
      <c r="NKB23" s="7"/>
      <c r="NKC23" s="7"/>
      <c r="NKD23" s="7"/>
      <c r="NKE23" s="7"/>
      <c r="NKF23" s="7"/>
      <c r="NKG23" s="7"/>
      <c r="NKH23" s="7"/>
      <c r="NKI23" s="7"/>
      <c r="NKJ23" s="7"/>
      <c r="NKK23" s="7"/>
      <c r="NKL23" s="7"/>
      <c r="NKM23" s="7"/>
      <c r="NKN23" s="7"/>
      <c r="NKO23" s="7"/>
      <c r="NKP23" s="7"/>
      <c r="NKQ23" s="7"/>
      <c r="NKR23" s="7"/>
      <c r="NKS23" s="7"/>
      <c r="NKT23" s="7"/>
      <c r="NKU23" s="7"/>
      <c r="NKV23" s="7"/>
      <c r="NKW23" s="7"/>
      <c r="NKX23" s="7"/>
      <c r="NKY23" s="7"/>
      <c r="NKZ23" s="7"/>
      <c r="NLA23" s="7"/>
      <c r="NLB23" s="7"/>
      <c r="NLC23" s="7"/>
      <c r="NLD23" s="7"/>
      <c r="NLE23" s="7"/>
      <c r="NLF23" s="7"/>
      <c r="NLG23" s="7"/>
      <c r="NLH23" s="7"/>
      <c r="NLI23" s="7"/>
      <c r="NLJ23" s="7"/>
      <c r="NLK23" s="7"/>
      <c r="NLL23" s="7"/>
      <c r="NLM23" s="7"/>
      <c r="NLN23" s="7"/>
      <c r="NLO23" s="7"/>
      <c r="NLP23" s="7"/>
      <c r="NLQ23" s="7"/>
      <c r="NLR23" s="7"/>
      <c r="NLS23" s="7"/>
      <c r="NLT23" s="7"/>
      <c r="NLU23" s="7"/>
      <c r="NLV23" s="7"/>
      <c r="NLW23" s="7"/>
      <c r="NLX23" s="7"/>
      <c r="NLY23" s="7"/>
      <c r="NLZ23" s="7"/>
      <c r="NMA23" s="7"/>
      <c r="NMB23" s="7"/>
      <c r="NMC23" s="7"/>
      <c r="NMD23" s="7"/>
      <c r="NME23" s="7"/>
      <c r="NMF23" s="7"/>
      <c r="NMG23" s="7"/>
      <c r="NMH23" s="7"/>
      <c r="NMI23" s="7"/>
      <c r="NMJ23" s="7"/>
      <c r="NMK23" s="7"/>
      <c r="NML23" s="7"/>
      <c r="NMM23" s="7"/>
      <c r="NMN23" s="7"/>
      <c r="NMO23" s="7"/>
      <c r="NMP23" s="7"/>
      <c r="NMQ23" s="7"/>
      <c r="NMR23" s="7"/>
      <c r="NMS23" s="7"/>
      <c r="NMT23" s="7"/>
      <c r="NMU23" s="7"/>
      <c r="NMV23" s="7"/>
      <c r="NMW23" s="7"/>
      <c r="NMX23" s="7"/>
      <c r="NMY23" s="7"/>
      <c r="NMZ23" s="7"/>
      <c r="NNA23" s="7"/>
      <c r="NNB23" s="7"/>
      <c r="NNC23" s="7"/>
      <c r="NND23" s="7"/>
      <c r="NNE23" s="7"/>
      <c r="NNF23" s="7"/>
      <c r="NNG23" s="7"/>
      <c r="NNH23" s="7"/>
      <c r="NNI23" s="7"/>
      <c r="NNJ23" s="7"/>
      <c r="NNK23" s="7"/>
      <c r="NNL23" s="7"/>
      <c r="NNM23" s="7"/>
      <c r="NNN23" s="7"/>
      <c r="NNO23" s="7"/>
      <c r="NNP23" s="7"/>
      <c r="NNQ23" s="7"/>
      <c r="NNR23" s="7"/>
      <c r="NNS23" s="7"/>
      <c r="NNT23" s="7"/>
      <c r="NNU23" s="7"/>
      <c r="NNV23" s="7"/>
      <c r="NNW23" s="7"/>
      <c r="NNX23" s="7"/>
      <c r="NNY23" s="7"/>
      <c r="NNZ23" s="7"/>
      <c r="NOA23" s="7"/>
      <c r="NOB23" s="7"/>
      <c r="NOC23" s="7"/>
      <c r="NOD23" s="7"/>
      <c r="NOE23" s="7"/>
      <c r="NOF23" s="7"/>
      <c r="NOG23" s="7"/>
      <c r="NOH23" s="7"/>
      <c r="NOI23" s="7"/>
      <c r="NOJ23" s="7"/>
      <c r="NOK23" s="7"/>
      <c r="NOL23" s="7"/>
      <c r="NOM23" s="7"/>
      <c r="NON23" s="7"/>
      <c r="NOO23" s="7"/>
      <c r="NOP23" s="7"/>
      <c r="NOQ23" s="7"/>
      <c r="NOR23" s="7"/>
      <c r="NOS23" s="7"/>
      <c r="NOT23" s="7"/>
      <c r="NOU23" s="7"/>
      <c r="NOV23" s="7"/>
      <c r="NOW23" s="7"/>
      <c r="NOX23" s="7"/>
      <c r="NOY23" s="7"/>
      <c r="NOZ23" s="7"/>
      <c r="NPA23" s="7"/>
      <c r="NPB23" s="7"/>
      <c r="NPC23" s="7"/>
      <c r="NPD23" s="7"/>
      <c r="NPE23" s="7"/>
      <c r="NPF23" s="7"/>
      <c r="NPG23" s="7"/>
      <c r="NPH23" s="7"/>
      <c r="NPI23" s="7"/>
      <c r="NPJ23" s="7"/>
      <c r="NPK23" s="7"/>
      <c r="NPL23" s="7"/>
      <c r="NPM23" s="7"/>
      <c r="NPN23" s="7"/>
      <c r="NPO23" s="7"/>
      <c r="NPP23" s="7"/>
      <c r="NPQ23" s="7"/>
      <c r="NPR23" s="7"/>
      <c r="NPS23" s="7"/>
      <c r="NPT23" s="7"/>
      <c r="NPU23" s="7"/>
      <c r="NPV23" s="7"/>
      <c r="NPW23" s="7"/>
      <c r="NPX23" s="7"/>
      <c r="NPY23" s="7"/>
      <c r="NPZ23" s="7"/>
      <c r="NQA23" s="7"/>
      <c r="NQB23" s="7"/>
      <c r="NQC23" s="7"/>
      <c r="NQD23" s="7"/>
      <c r="NQE23" s="7"/>
      <c r="NQF23" s="7"/>
      <c r="NQG23" s="7"/>
      <c r="NQH23" s="7"/>
      <c r="NQI23" s="7"/>
      <c r="NQJ23" s="7"/>
      <c r="NQK23" s="7"/>
      <c r="NQL23" s="7"/>
      <c r="NQM23" s="7"/>
      <c r="NQN23" s="7"/>
      <c r="NQO23" s="7"/>
      <c r="NQP23" s="7"/>
      <c r="NQQ23" s="7"/>
      <c r="NQR23" s="7"/>
      <c r="NQS23" s="7"/>
      <c r="NQT23" s="7"/>
      <c r="NQU23" s="7"/>
      <c r="NQV23" s="7"/>
      <c r="NQW23" s="7"/>
      <c r="NQX23" s="7"/>
      <c r="NQY23" s="7"/>
      <c r="NQZ23" s="7"/>
      <c r="NRA23" s="7"/>
      <c r="NRB23" s="7"/>
      <c r="NRC23" s="7"/>
      <c r="NRD23" s="7"/>
      <c r="NRE23" s="7"/>
      <c r="NRF23" s="7"/>
      <c r="NRG23" s="7"/>
      <c r="NRH23" s="7"/>
      <c r="NRI23" s="7"/>
      <c r="NRJ23" s="7"/>
      <c r="NRK23" s="7"/>
      <c r="NRL23" s="7"/>
      <c r="NRM23" s="7"/>
      <c r="NRN23" s="7"/>
      <c r="NRO23" s="7"/>
      <c r="NRP23" s="7"/>
      <c r="NRQ23" s="7"/>
      <c r="NRR23" s="7"/>
      <c r="NRS23" s="7"/>
      <c r="NRT23" s="7"/>
      <c r="NRU23" s="7"/>
      <c r="NRV23" s="7"/>
      <c r="NRW23" s="7"/>
      <c r="NRX23" s="7"/>
      <c r="NRY23" s="7"/>
      <c r="NRZ23" s="7"/>
      <c r="NSA23" s="7"/>
      <c r="NSB23" s="7"/>
      <c r="NSC23" s="7"/>
      <c r="NSD23" s="7"/>
      <c r="NSE23" s="7"/>
      <c r="NSF23" s="7"/>
      <c r="NSG23" s="7"/>
      <c r="NSH23" s="7"/>
      <c r="NSI23" s="7"/>
      <c r="NSJ23" s="7"/>
      <c r="NSK23" s="7"/>
      <c r="NSL23" s="7"/>
      <c r="NSM23" s="7"/>
      <c r="NSN23" s="7"/>
      <c r="NSO23" s="7"/>
      <c r="NSP23" s="7"/>
      <c r="NSQ23" s="7"/>
      <c r="NSR23" s="7"/>
      <c r="NSS23" s="7"/>
      <c r="NST23" s="7"/>
      <c r="NSU23" s="7"/>
      <c r="NSV23" s="7"/>
      <c r="NSW23" s="7"/>
      <c r="NSX23" s="7"/>
      <c r="NSY23" s="7"/>
      <c r="NSZ23" s="7"/>
      <c r="NTA23" s="7"/>
      <c r="NTB23" s="7"/>
      <c r="NTC23" s="7"/>
      <c r="NTD23" s="7"/>
      <c r="NTE23" s="7"/>
      <c r="NTF23" s="7"/>
      <c r="NTG23" s="7"/>
      <c r="NTH23" s="7"/>
      <c r="NTI23" s="7"/>
      <c r="NTJ23" s="7"/>
      <c r="NTK23" s="7"/>
      <c r="NTL23" s="7"/>
      <c r="NTM23" s="7"/>
      <c r="NTN23" s="7"/>
      <c r="NTO23" s="7"/>
      <c r="NTP23" s="7"/>
      <c r="NTQ23" s="7"/>
      <c r="NTR23" s="7"/>
      <c r="NTS23" s="7"/>
      <c r="NTT23" s="7"/>
      <c r="NTU23" s="7"/>
      <c r="NTV23" s="7"/>
      <c r="NTW23" s="7"/>
      <c r="NTX23" s="7"/>
      <c r="NTY23" s="7"/>
      <c r="NTZ23" s="7"/>
      <c r="NUA23" s="7"/>
      <c r="NUB23" s="7"/>
      <c r="NUC23" s="7"/>
      <c r="NUD23" s="7"/>
      <c r="NUE23" s="7"/>
      <c r="NUF23" s="7"/>
      <c r="NUG23" s="7"/>
      <c r="NUH23" s="7"/>
      <c r="NUI23" s="7"/>
      <c r="NUJ23" s="7"/>
      <c r="NUK23" s="7"/>
      <c r="NUL23" s="7"/>
      <c r="NUM23" s="7"/>
      <c r="NUN23" s="7"/>
      <c r="NUO23" s="7"/>
      <c r="NUP23" s="7"/>
      <c r="NUQ23" s="7"/>
      <c r="NUR23" s="7"/>
      <c r="NUS23" s="7"/>
      <c r="NUT23" s="7"/>
      <c r="NUU23" s="7"/>
      <c r="NUV23" s="7"/>
      <c r="NUW23" s="7"/>
      <c r="NUX23" s="7"/>
      <c r="NUY23" s="7"/>
      <c r="NUZ23" s="7"/>
      <c r="NVA23" s="7"/>
      <c r="NVB23" s="7"/>
      <c r="NVC23" s="7"/>
      <c r="NVD23" s="7"/>
      <c r="NVE23" s="7"/>
      <c r="NVF23" s="7"/>
      <c r="NVG23" s="7"/>
      <c r="NVH23" s="7"/>
      <c r="NVI23" s="7"/>
      <c r="NVJ23" s="7"/>
      <c r="NVK23" s="7"/>
      <c r="NVL23" s="7"/>
      <c r="NVM23" s="7"/>
      <c r="NVN23" s="7"/>
      <c r="NVO23" s="7"/>
      <c r="NVP23" s="7"/>
      <c r="NVQ23" s="7"/>
      <c r="NVR23" s="7"/>
      <c r="NVS23" s="7"/>
      <c r="NVT23" s="7"/>
      <c r="NVU23" s="7"/>
      <c r="NVV23" s="7"/>
      <c r="NVW23" s="7"/>
      <c r="NVX23" s="7"/>
      <c r="NVY23" s="7"/>
      <c r="NVZ23" s="7"/>
      <c r="NWA23" s="7"/>
      <c r="NWB23" s="7"/>
      <c r="NWC23" s="7"/>
      <c r="NWD23" s="7"/>
      <c r="NWE23" s="7"/>
      <c r="NWF23" s="7"/>
      <c r="NWG23" s="7"/>
      <c r="NWH23" s="7"/>
      <c r="NWI23" s="7"/>
      <c r="NWJ23" s="7"/>
      <c r="NWK23" s="7"/>
      <c r="NWL23" s="7"/>
      <c r="NWM23" s="7"/>
      <c r="NWN23" s="7"/>
      <c r="NWO23" s="7"/>
      <c r="NWP23" s="7"/>
      <c r="NWQ23" s="7"/>
      <c r="NWR23" s="7"/>
      <c r="NWS23" s="7"/>
      <c r="NWT23" s="7"/>
      <c r="NWU23" s="7"/>
      <c r="NWV23" s="7"/>
      <c r="NWW23" s="7"/>
      <c r="NWX23" s="7"/>
      <c r="NWY23" s="7"/>
      <c r="NWZ23" s="7"/>
      <c r="NXA23" s="7"/>
      <c r="NXB23" s="7"/>
      <c r="NXC23" s="7"/>
      <c r="NXD23" s="7"/>
      <c r="NXE23" s="7"/>
      <c r="NXF23" s="7"/>
      <c r="NXG23" s="7"/>
      <c r="NXH23" s="7"/>
      <c r="NXI23" s="7"/>
      <c r="NXJ23" s="7"/>
      <c r="NXK23" s="7"/>
      <c r="NXL23" s="7"/>
      <c r="NXM23" s="7"/>
      <c r="NXN23" s="7"/>
      <c r="NXO23" s="7"/>
      <c r="NXP23" s="7"/>
      <c r="NXQ23" s="7"/>
      <c r="NXR23" s="7"/>
      <c r="NXS23" s="7"/>
      <c r="NXT23" s="7"/>
      <c r="NXU23" s="7"/>
      <c r="NXV23" s="7"/>
      <c r="NXW23" s="7"/>
      <c r="NXX23" s="7"/>
      <c r="NXY23" s="7"/>
      <c r="NXZ23" s="7"/>
      <c r="NYA23" s="7"/>
      <c r="NYB23" s="7"/>
      <c r="NYC23" s="7"/>
      <c r="NYD23" s="7"/>
      <c r="NYE23" s="7"/>
      <c r="NYF23" s="7"/>
      <c r="NYG23" s="7"/>
      <c r="NYH23" s="7"/>
      <c r="NYI23" s="7"/>
      <c r="NYJ23" s="7"/>
      <c r="NYK23" s="7"/>
      <c r="NYL23" s="7"/>
      <c r="NYM23" s="7"/>
      <c r="NYN23" s="7"/>
      <c r="NYO23" s="7"/>
      <c r="NYP23" s="7"/>
      <c r="NYQ23" s="7"/>
      <c r="NYR23" s="7"/>
      <c r="NYS23" s="7"/>
      <c r="NYT23" s="7"/>
      <c r="NYU23" s="7"/>
      <c r="NYV23" s="7"/>
      <c r="NYW23" s="7"/>
      <c r="NYX23" s="7"/>
      <c r="NYY23" s="7"/>
      <c r="NYZ23" s="7"/>
      <c r="NZA23" s="7"/>
      <c r="NZB23" s="7"/>
      <c r="NZC23" s="7"/>
      <c r="NZD23" s="7"/>
      <c r="NZE23" s="7"/>
      <c r="NZF23" s="7"/>
      <c r="NZG23" s="7"/>
      <c r="NZH23" s="7"/>
      <c r="NZI23" s="7"/>
      <c r="NZJ23" s="7"/>
      <c r="NZK23" s="7"/>
      <c r="NZL23" s="7"/>
      <c r="NZM23" s="7"/>
      <c r="NZN23" s="7"/>
      <c r="NZO23" s="7"/>
      <c r="NZP23" s="7"/>
      <c r="NZQ23" s="7"/>
      <c r="NZR23" s="7"/>
      <c r="NZS23" s="7"/>
      <c r="NZT23" s="7"/>
      <c r="NZU23" s="7"/>
      <c r="NZV23" s="7"/>
      <c r="NZW23" s="7"/>
      <c r="NZX23" s="7"/>
      <c r="NZY23" s="7"/>
      <c r="NZZ23" s="7"/>
      <c r="OAA23" s="7"/>
      <c r="OAB23" s="7"/>
      <c r="OAC23" s="7"/>
      <c r="OAD23" s="7"/>
      <c r="OAE23" s="7"/>
      <c r="OAF23" s="7"/>
      <c r="OAG23" s="7"/>
      <c r="OAH23" s="7"/>
      <c r="OAI23" s="7"/>
      <c r="OAJ23" s="7"/>
      <c r="OAK23" s="7"/>
      <c r="OAL23" s="7"/>
      <c r="OAM23" s="7"/>
      <c r="OAN23" s="7"/>
      <c r="OAO23" s="7"/>
      <c r="OAP23" s="7"/>
      <c r="OAQ23" s="7"/>
      <c r="OAR23" s="7"/>
      <c r="OAS23" s="7"/>
      <c r="OAT23" s="7"/>
      <c r="OAU23" s="7"/>
      <c r="OAV23" s="7"/>
      <c r="OAW23" s="7"/>
      <c r="OAX23" s="7"/>
      <c r="OAY23" s="7"/>
      <c r="OAZ23" s="7"/>
      <c r="OBA23" s="7"/>
      <c r="OBB23" s="7"/>
      <c r="OBC23" s="7"/>
      <c r="OBD23" s="7"/>
      <c r="OBE23" s="7"/>
      <c r="OBF23" s="7"/>
      <c r="OBG23" s="7"/>
      <c r="OBH23" s="7"/>
      <c r="OBI23" s="7"/>
      <c r="OBJ23" s="7"/>
      <c r="OBK23" s="7"/>
      <c r="OBL23" s="7"/>
      <c r="OBM23" s="7"/>
      <c r="OBN23" s="7"/>
      <c r="OBO23" s="7"/>
      <c r="OBP23" s="7"/>
      <c r="OBQ23" s="7"/>
      <c r="OBR23" s="7"/>
      <c r="OBS23" s="7"/>
      <c r="OBT23" s="7"/>
      <c r="OBU23" s="7"/>
      <c r="OBV23" s="7"/>
      <c r="OBW23" s="7"/>
      <c r="OBX23" s="7"/>
      <c r="OBY23" s="7"/>
      <c r="OBZ23" s="7"/>
      <c r="OCA23" s="7"/>
      <c r="OCB23" s="7"/>
      <c r="OCC23" s="7"/>
      <c r="OCD23" s="7"/>
      <c r="OCE23" s="7"/>
      <c r="OCF23" s="7"/>
      <c r="OCG23" s="7"/>
      <c r="OCH23" s="7"/>
      <c r="OCI23" s="7"/>
      <c r="OCJ23" s="7"/>
      <c r="OCK23" s="7"/>
      <c r="OCL23" s="7"/>
      <c r="OCM23" s="7"/>
      <c r="OCN23" s="7"/>
      <c r="OCO23" s="7"/>
      <c r="OCP23" s="7"/>
      <c r="OCQ23" s="7"/>
      <c r="OCR23" s="7"/>
      <c r="OCS23" s="7"/>
      <c r="OCT23" s="7"/>
      <c r="OCU23" s="7"/>
      <c r="OCV23" s="7"/>
      <c r="OCW23" s="7"/>
      <c r="OCX23" s="7"/>
      <c r="OCY23" s="7"/>
      <c r="OCZ23" s="7"/>
      <c r="ODA23" s="7"/>
      <c r="ODB23" s="7"/>
      <c r="ODC23" s="7"/>
      <c r="ODD23" s="7"/>
      <c r="ODE23" s="7"/>
      <c r="ODF23" s="7"/>
      <c r="ODG23" s="7"/>
      <c r="ODH23" s="7"/>
      <c r="ODI23" s="7"/>
      <c r="ODJ23" s="7"/>
      <c r="ODK23" s="7"/>
      <c r="ODL23" s="7"/>
      <c r="ODM23" s="7"/>
      <c r="ODN23" s="7"/>
      <c r="ODO23" s="7"/>
      <c r="ODP23" s="7"/>
      <c r="ODQ23" s="7"/>
      <c r="ODR23" s="7"/>
      <c r="ODS23" s="7"/>
      <c r="ODT23" s="7"/>
      <c r="ODU23" s="7"/>
      <c r="ODV23" s="7"/>
      <c r="ODW23" s="7"/>
      <c r="ODX23" s="7"/>
      <c r="ODY23" s="7"/>
      <c r="ODZ23" s="7"/>
      <c r="OEA23" s="7"/>
      <c r="OEB23" s="7"/>
      <c r="OEC23" s="7"/>
      <c r="OED23" s="7"/>
      <c r="OEE23" s="7"/>
      <c r="OEF23" s="7"/>
      <c r="OEG23" s="7"/>
      <c r="OEH23" s="7"/>
      <c r="OEI23" s="7"/>
      <c r="OEJ23" s="7"/>
      <c r="OEK23" s="7"/>
      <c r="OEL23" s="7"/>
      <c r="OEM23" s="7"/>
      <c r="OEN23" s="7"/>
      <c r="OEO23" s="7"/>
      <c r="OEP23" s="7"/>
      <c r="OEQ23" s="7"/>
      <c r="OER23" s="7"/>
      <c r="OES23" s="7"/>
      <c r="OET23" s="7"/>
      <c r="OEU23" s="7"/>
      <c r="OEV23" s="7"/>
      <c r="OEW23" s="7"/>
      <c r="OEX23" s="7"/>
      <c r="OEY23" s="7"/>
      <c r="OEZ23" s="7"/>
      <c r="OFA23" s="7"/>
      <c r="OFB23" s="7"/>
      <c r="OFC23" s="7"/>
      <c r="OFD23" s="7"/>
      <c r="OFE23" s="7"/>
      <c r="OFF23" s="7"/>
      <c r="OFG23" s="7"/>
      <c r="OFH23" s="7"/>
      <c r="OFI23" s="7"/>
      <c r="OFJ23" s="7"/>
      <c r="OFK23" s="7"/>
      <c r="OFL23" s="7"/>
      <c r="OFM23" s="7"/>
      <c r="OFN23" s="7"/>
      <c r="OFO23" s="7"/>
      <c r="OFP23" s="7"/>
      <c r="OFQ23" s="7"/>
      <c r="OFR23" s="7"/>
      <c r="OFS23" s="7"/>
      <c r="OFT23" s="7"/>
      <c r="OFU23" s="7"/>
      <c r="OFV23" s="7"/>
      <c r="OFW23" s="7"/>
      <c r="OFX23" s="7"/>
      <c r="OFY23" s="7"/>
      <c r="OFZ23" s="7"/>
      <c r="OGA23" s="7"/>
      <c r="OGB23" s="7"/>
      <c r="OGC23" s="7"/>
      <c r="OGD23" s="7"/>
      <c r="OGE23" s="7"/>
      <c r="OGF23" s="7"/>
      <c r="OGG23" s="7"/>
      <c r="OGH23" s="7"/>
      <c r="OGI23" s="7"/>
      <c r="OGJ23" s="7"/>
      <c r="OGK23" s="7"/>
      <c r="OGL23" s="7"/>
      <c r="OGM23" s="7"/>
      <c r="OGN23" s="7"/>
      <c r="OGO23" s="7"/>
      <c r="OGP23" s="7"/>
      <c r="OGQ23" s="7"/>
      <c r="OGR23" s="7"/>
      <c r="OGS23" s="7"/>
      <c r="OGT23" s="7"/>
      <c r="OGU23" s="7"/>
      <c r="OGV23" s="7"/>
      <c r="OGW23" s="7"/>
      <c r="OGX23" s="7"/>
      <c r="OGY23" s="7"/>
      <c r="OGZ23" s="7"/>
      <c r="OHA23" s="7"/>
      <c r="OHB23" s="7"/>
      <c r="OHC23" s="7"/>
      <c r="OHD23" s="7"/>
      <c r="OHE23" s="7"/>
      <c r="OHF23" s="7"/>
      <c r="OHG23" s="7"/>
      <c r="OHH23" s="7"/>
      <c r="OHI23" s="7"/>
      <c r="OHJ23" s="7"/>
      <c r="OHK23" s="7"/>
      <c r="OHL23" s="7"/>
      <c r="OHM23" s="7"/>
      <c r="OHN23" s="7"/>
      <c r="OHO23" s="7"/>
      <c r="OHP23" s="7"/>
      <c r="OHQ23" s="7"/>
      <c r="OHR23" s="7"/>
      <c r="OHS23" s="7"/>
      <c r="OHT23" s="7"/>
      <c r="OHU23" s="7"/>
      <c r="OHV23" s="7"/>
      <c r="OHW23" s="7"/>
      <c r="OHX23" s="7"/>
      <c r="OHY23" s="7"/>
      <c r="OHZ23" s="7"/>
      <c r="OIA23" s="7"/>
      <c r="OIB23" s="7"/>
      <c r="OIC23" s="7"/>
      <c r="OID23" s="7"/>
      <c r="OIE23" s="7"/>
      <c r="OIF23" s="7"/>
      <c r="OIG23" s="7"/>
      <c r="OIH23" s="7"/>
      <c r="OII23" s="7"/>
      <c r="OIJ23" s="7"/>
      <c r="OIK23" s="7"/>
      <c r="OIL23" s="7"/>
      <c r="OIM23" s="7"/>
      <c r="OIN23" s="7"/>
      <c r="OIO23" s="7"/>
      <c r="OIP23" s="7"/>
      <c r="OIQ23" s="7"/>
      <c r="OIR23" s="7"/>
      <c r="OIS23" s="7"/>
      <c r="OIT23" s="7"/>
      <c r="OIU23" s="7"/>
      <c r="OIV23" s="7"/>
      <c r="OIW23" s="7"/>
      <c r="OIX23" s="7"/>
      <c r="OIY23" s="7"/>
      <c r="OIZ23" s="7"/>
      <c r="OJA23" s="7"/>
      <c r="OJB23" s="7"/>
      <c r="OJC23" s="7"/>
      <c r="OJD23" s="7"/>
      <c r="OJE23" s="7"/>
      <c r="OJF23" s="7"/>
      <c r="OJG23" s="7"/>
      <c r="OJH23" s="7"/>
      <c r="OJI23" s="7"/>
      <c r="OJJ23" s="7"/>
      <c r="OJK23" s="7"/>
      <c r="OJL23" s="7"/>
      <c r="OJM23" s="7"/>
      <c r="OJN23" s="7"/>
      <c r="OJO23" s="7"/>
      <c r="OJP23" s="7"/>
      <c r="OJQ23" s="7"/>
      <c r="OJR23" s="7"/>
      <c r="OJS23" s="7"/>
      <c r="OJT23" s="7"/>
      <c r="OJU23" s="7"/>
      <c r="OJV23" s="7"/>
      <c r="OJW23" s="7"/>
      <c r="OJX23" s="7"/>
      <c r="OJY23" s="7"/>
      <c r="OJZ23" s="7"/>
      <c r="OKA23" s="7"/>
      <c r="OKB23" s="7"/>
      <c r="OKC23" s="7"/>
      <c r="OKD23" s="7"/>
      <c r="OKE23" s="7"/>
      <c r="OKF23" s="7"/>
      <c r="OKG23" s="7"/>
      <c r="OKH23" s="7"/>
      <c r="OKI23" s="7"/>
      <c r="OKJ23" s="7"/>
      <c r="OKK23" s="7"/>
      <c r="OKL23" s="7"/>
      <c r="OKM23" s="7"/>
      <c r="OKN23" s="7"/>
      <c r="OKO23" s="7"/>
      <c r="OKP23" s="7"/>
      <c r="OKQ23" s="7"/>
      <c r="OKR23" s="7"/>
      <c r="OKS23" s="7"/>
      <c r="OKT23" s="7"/>
      <c r="OKU23" s="7"/>
      <c r="OKV23" s="7"/>
      <c r="OKW23" s="7"/>
      <c r="OKX23" s="7"/>
      <c r="OKY23" s="7"/>
      <c r="OKZ23" s="7"/>
      <c r="OLA23" s="7"/>
      <c r="OLB23" s="7"/>
      <c r="OLC23" s="7"/>
      <c r="OLD23" s="7"/>
      <c r="OLE23" s="7"/>
      <c r="OLF23" s="7"/>
      <c r="OLG23" s="7"/>
      <c r="OLH23" s="7"/>
      <c r="OLI23" s="7"/>
      <c r="OLJ23" s="7"/>
      <c r="OLK23" s="7"/>
      <c r="OLL23" s="7"/>
      <c r="OLM23" s="7"/>
      <c r="OLN23" s="7"/>
      <c r="OLO23" s="7"/>
      <c r="OLP23" s="7"/>
      <c r="OLQ23" s="7"/>
      <c r="OLR23" s="7"/>
      <c r="OLS23" s="7"/>
      <c r="OLT23" s="7"/>
      <c r="OLU23" s="7"/>
      <c r="OLV23" s="7"/>
      <c r="OLW23" s="7"/>
      <c r="OLX23" s="7"/>
      <c r="OLY23" s="7"/>
      <c r="OLZ23" s="7"/>
      <c r="OMA23" s="7"/>
      <c r="OMB23" s="7"/>
      <c r="OMC23" s="7"/>
      <c r="OMD23" s="7"/>
      <c r="OME23" s="7"/>
      <c r="OMF23" s="7"/>
      <c r="OMG23" s="7"/>
      <c r="OMH23" s="7"/>
      <c r="OMI23" s="7"/>
      <c r="OMJ23" s="7"/>
      <c r="OMK23" s="7"/>
      <c r="OML23" s="7"/>
      <c r="OMM23" s="7"/>
      <c r="OMN23" s="7"/>
      <c r="OMO23" s="7"/>
      <c r="OMP23" s="7"/>
      <c r="OMQ23" s="7"/>
      <c r="OMR23" s="7"/>
      <c r="OMS23" s="7"/>
      <c r="OMT23" s="7"/>
      <c r="OMU23" s="7"/>
      <c r="OMV23" s="7"/>
      <c r="OMW23" s="7"/>
      <c r="OMX23" s="7"/>
      <c r="OMY23" s="7"/>
      <c r="OMZ23" s="7"/>
      <c r="ONA23" s="7"/>
      <c r="ONB23" s="7"/>
      <c r="ONC23" s="7"/>
      <c r="OND23" s="7"/>
      <c r="ONE23" s="7"/>
      <c r="ONF23" s="7"/>
      <c r="ONG23" s="7"/>
      <c r="ONH23" s="7"/>
      <c r="ONI23" s="7"/>
      <c r="ONJ23" s="7"/>
      <c r="ONK23" s="7"/>
      <c r="ONL23" s="7"/>
      <c r="ONM23" s="7"/>
      <c r="ONN23" s="7"/>
      <c r="ONO23" s="7"/>
      <c r="ONP23" s="7"/>
      <c r="ONQ23" s="7"/>
      <c r="ONR23" s="7"/>
      <c r="ONS23" s="7"/>
      <c r="ONT23" s="7"/>
      <c r="ONU23" s="7"/>
      <c r="ONV23" s="7"/>
      <c r="ONW23" s="7"/>
      <c r="ONX23" s="7"/>
      <c r="ONY23" s="7"/>
      <c r="ONZ23" s="7"/>
      <c r="OOA23" s="7"/>
      <c r="OOB23" s="7"/>
      <c r="OOC23" s="7"/>
      <c r="OOD23" s="7"/>
      <c r="OOE23" s="7"/>
      <c r="OOF23" s="7"/>
      <c r="OOG23" s="7"/>
      <c r="OOH23" s="7"/>
      <c r="OOI23" s="7"/>
      <c r="OOJ23" s="7"/>
      <c r="OOK23" s="7"/>
      <c r="OOL23" s="7"/>
      <c r="OOM23" s="7"/>
      <c r="OON23" s="7"/>
      <c r="OOO23" s="7"/>
      <c r="OOP23" s="7"/>
      <c r="OOQ23" s="7"/>
      <c r="OOR23" s="7"/>
      <c r="OOS23" s="7"/>
      <c r="OOT23" s="7"/>
      <c r="OOU23" s="7"/>
      <c r="OOV23" s="7"/>
      <c r="OOW23" s="7"/>
      <c r="OOX23" s="7"/>
      <c r="OOY23" s="7"/>
      <c r="OOZ23" s="7"/>
      <c r="OPA23" s="7"/>
      <c r="OPB23" s="7"/>
      <c r="OPC23" s="7"/>
      <c r="OPD23" s="7"/>
      <c r="OPE23" s="7"/>
      <c r="OPF23" s="7"/>
      <c r="OPG23" s="7"/>
      <c r="OPH23" s="7"/>
      <c r="OPI23" s="7"/>
      <c r="OPJ23" s="7"/>
      <c r="OPK23" s="7"/>
      <c r="OPL23" s="7"/>
      <c r="OPM23" s="7"/>
      <c r="OPN23" s="7"/>
      <c r="OPO23" s="7"/>
      <c r="OPP23" s="7"/>
      <c r="OPQ23" s="7"/>
      <c r="OPR23" s="7"/>
      <c r="OPS23" s="7"/>
      <c r="OPT23" s="7"/>
      <c r="OPU23" s="7"/>
      <c r="OPV23" s="7"/>
      <c r="OPW23" s="7"/>
      <c r="OPX23" s="7"/>
      <c r="OPY23" s="7"/>
      <c r="OPZ23" s="7"/>
      <c r="OQA23" s="7"/>
      <c r="OQB23" s="7"/>
      <c r="OQC23" s="7"/>
      <c r="OQD23" s="7"/>
      <c r="OQE23" s="7"/>
      <c r="OQF23" s="7"/>
      <c r="OQG23" s="7"/>
      <c r="OQH23" s="7"/>
      <c r="OQI23" s="7"/>
      <c r="OQJ23" s="7"/>
      <c r="OQK23" s="7"/>
      <c r="OQL23" s="7"/>
      <c r="OQM23" s="7"/>
      <c r="OQN23" s="7"/>
      <c r="OQO23" s="7"/>
      <c r="OQP23" s="7"/>
      <c r="OQQ23" s="7"/>
      <c r="OQR23" s="7"/>
      <c r="OQS23" s="7"/>
      <c r="OQT23" s="7"/>
      <c r="OQU23" s="7"/>
      <c r="OQV23" s="7"/>
      <c r="OQW23" s="7"/>
      <c r="OQX23" s="7"/>
      <c r="OQY23" s="7"/>
      <c r="OQZ23" s="7"/>
      <c r="ORA23" s="7"/>
      <c r="ORB23" s="7"/>
      <c r="ORC23" s="7"/>
      <c r="ORD23" s="7"/>
      <c r="ORE23" s="7"/>
      <c r="ORF23" s="7"/>
      <c r="ORG23" s="7"/>
      <c r="ORH23" s="7"/>
      <c r="ORI23" s="7"/>
      <c r="ORJ23" s="7"/>
      <c r="ORK23" s="7"/>
      <c r="ORL23" s="7"/>
      <c r="ORM23" s="7"/>
      <c r="ORN23" s="7"/>
      <c r="ORO23" s="7"/>
      <c r="ORP23" s="7"/>
      <c r="ORQ23" s="7"/>
      <c r="ORR23" s="7"/>
      <c r="ORS23" s="7"/>
      <c r="ORT23" s="7"/>
      <c r="ORU23" s="7"/>
      <c r="ORV23" s="7"/>
      <c r="ORW23" s="7"/>
      <c r="ORX23" s="7"/>
      <c r="ORY23" s="7"/>
      <c r="ORZ23" s="7"/>
      <c r="OSA23" s="7"/>
      <c r="OSB23" s="7"/>
      <c r="OSC23" s="7"/>
      <c r="OSD23" s="7"/>
      <c r="OSE23" s="7"/>
      <c r="OSF23" s="7"/>
      <c r="OSG23" s="7"/>
      <c r="OSH23" s="7"/>
      <c r="OSI23" s="7"/>
      <c r="OSJ23" s="7"/>
      <c r="OSK23" s="7"/>
      <c r="OSL23" s="7"/>
      <c r="OSM23" s="7"/>
      <c r="OSN23" s="7"/>
      <c r="OSO23" s="7"/>
      <c r="OSP23" s="7"/>
      <c r="OSQ23" s="7"/>
      <c r="OSR23" s="7"/>
      <c r="OSS23" s="7"/>
      <c r="OST23" s="7"/>
      <c r="OSU23" s="7"/>
      <c r="OSV23" s="7"/>
      <c r="OSW23" s="7"/>
      <c r="OSX23" s="7"/>
      <c r="OSY23" s="7"/>
      <c r="OSZ23" s="7"/>
      <c r="OTA23" s="7"/>
      <c r="OTB23" s="7"/>
      <c r="OTC23" s="7"/>
      <c r="OTD23" s="7"/>
      <c r="OTE23" s="7"/>
      <c r="OTF23" s="7"/>
      <c r="OTG23" s="7"/>
      <c r="OTH23" s="7"/>
      <c r="OTI23" s="7"/>
      <c r="OTJ23" s="7"/>
      <c r="OTK23" s="7"/>
      <c r="OTL23" s="7"/>
      <c r="OTM23" s="7"/>
      <c r="OTN23" s="7"/>
      <c r="OTO23" s="7"/>
      <c r="OTP23" s="7"/>
      <c r="OTQ23" s="7"/>
      <c r="OTR23" s="7"/>
      <c r="OTS23" s="7"/>
      <c r="OTT23" s="7"/>
      <c r="OTU23" s="7"/>
      <c r="OTV23" s="7"/>
      <c r="OTW23" s="7"/>
      <c r="OTX23" s="7"/>
      <c r="OTY23" s="7"/>
      <c r="OTZ23" s="7"/>
      <c r="OUA23" s="7"/>
      <c r="OUB23" s="7"/>
      <c r="OUC23" s="7"/>
      <c r="OUD23" s="7"/>
      <c r="OUE23" s="7"/>
      <c r="OUF23" s="7"/>
      <c r="OUG23" s="7"/>
      <c r="OUH23" s="7"/>
      <c r="OUI23" s="7"/>
      <c r="OUJ23" s="7"/>
      <c r="OUK23" s="7"/>
      <c r="OUL23" s="7"/>
      <c r="OUM23" s="7"/>
      <c r="OUN23" s="7"/>
      <c r="OUO23" s="7"/>
      <c r="OUP23" s="7"/>
      <c r="OUQ23" s="7"/>
      <c r="OUR23" s="7"/>
      <c r="OUS23" s="7"/>
      <c r="OUT23" s="7"/>
      <c r="OUU23" s="7"/>
      <c r="OUV23" s="7"/>
      <c r="OUW23" s="7"/>
      <c r="OUX23" s="7"/>
      <c r="OUY23" s="7"/>
      <c r="OUZ23" s="7"/>
      <c r="OVA23" s="7"/>
      <c r="OVB23" s="7"/>
      <c r="OVC23" s="7"/>
      <c r="OVD23" s="7"/>
      <c r="OVE23" s="7"/>
      <c r="OVF23" s="7"/>
      <c r="OVG23" s="7"/>
      <c r="OVH23" s="7"/>
      <c r="OVI23" s="7"/>
      <c r="OVJ23" s="7"/>
      <c r="OVK23" s="7"/>
      <c r="OVL23" s="7"/>
      <c r="OVM23" s="7"/>
      <c r="OVN23" s="7"/>
      <c r="OVO23" s="7"/>
      <c r="OVP23" s="7"/>
      <c r="OVQ23" s="7"/>
      <c r="OVR23" s="7"/>
      <c r="OVS23" s="7"/>
      <c r="OVT23" s="7"/>
      <c r="OVU23" s="7"/>
      <c r="OVV23" s="7"/>
      <c r="OVW23" s="7"/>
      <c r="OVX23" s="7"/>
      <c r="OVY23" s="7"/>
      <c r="OVZ23" s="7"/>
      <c r="OWA23" s="7"/>
      <c r="OWB23" s="7"/>
      <c r="OWC23" s="7"/>
      <c r="OWD23" s="7"/>
      <c r="OWE23" s="7"/>
      <c r="OWF23" s="7"/>
      <c r="OWG23" s="7"/>
      <c r="OWH23" s="7"/>
      <c r="OWI23" s="7"/>
      <c r="OWJ23" s="7"/>
      <c r="OWK23" s="7"/>
      <c r="OWL23" s="7"/>
      <c r="OWM23" s="7"/>
      <c r="OWN23" s="7"/>
      <c r="OWO23" s="7"/>
      <c r="OWP23" s="7"/>
      <c r="OWQ23" s="7"/>
      <c r="OWR23" s="7"/>
      <c r="OWS23" s="7"/>
      <c r="OWT23" s="7"/>
      <c r="OWU23" s="7"/>
      <c r="OWV23" s="7"/>
      <c r="OWW23" s="7"/>
      <c r="OWX23" s="7"/>
      <c r="OWY23" s="7"/>
      <c r="OWZ23" s="7"/>
      <c r="OXA23" s="7"/>
      <c r="OXB23" s="7"/>
      <c r="OXC23" s="7"/>
      <c r="OXD23" s="7"/>
      <c r="OXE23" s="7"/>
      <c r="OXF23" s="7"/>
      <c r="OXG23" s="7"/>
      <c r="OXH23" s="7"/>
      <c r="OXI23" s="7"/>
      <c r="OXJ23" s="7"/>
      <c r="OXK23" s="7"/>
      <c r="OXL23" s="7"/>
      <c r="OXM23" s="7"/>
      <c r="OXN23" s="7"/>
      <c r="OXO23" s="7"/>
      <c r="OXP23" s="7"/>
      <c r="OXQ23" s="7"/>
      <c r="OXR23" s="7"/>
      <c r="OXS23" s="7"/>
      <c r="OXT23" s="7"/>
      <c r="OXU23" s="7"/>
      <c r="OXV23" s="7"/>
      <c r="OXW23" s="7"/>
      <c r="OXX23" s="7"/>
      <c r="OXY23" s="7"/>
      <c r="OXZ23" s="7"/>
      <c r="OYA23" s="7"/>
      <c r="OYB23" s="7"/>
      <c r="OYC23" s="7"/>
      <c r="OYD23" s="7"/>
      <c r="OYE23" s="7"/>
      <c r="OYF23" s="7"/>
      <c r="OYG23" s="7"/>
      <c r="OYH23" s="7"/>
      <c r="OYI23" s="7"/>
      <c r="OYJ23" s="7"/>
      <c r="OYK23" s="7"/>
      <c r="OYL23" s="7"/>
      <c r="OYM23" s="7"/>
      <c r="OYN23" s="7"/>
      <c r="OYO23" s="7"/>
      <c r="OYP23" s="7"/>
      <c r="OYQ23" s="7"/>
      <c r="OYR23" s="7"/>
      <c r="OYS23" s="7"/>
      <c r="OYT23" s="7"/>
      <c r="OYU23" s="7"/>
      <c r="OYV23" s="7"/>
      <c r="OYW23" s="7"/>
      <c r="OYX23" s="7"/>
      <c r="OYY23" s="7"/>
      <c r="OYZ23" s="7"/>
      <c r="OZA23" s="7"/>
      <c r="OZB23" s="7"/>
      <c r="OZC23" s="7"/>
      <c r="OZD23" s="7"/>
      <c r="OZE23" s="7"/>
      <c r="OZF23" s="7"/>
      <c r="OZG23" s="7"/>
      <c r="OZH23" s="7"/>
      <c r="OZI23" s="7"/>
      <c r="OZJ23" s="7"/>
      <c r="OZK23" s="7"/>
      <c r="OZL23" s="7"/>
      <c r="OZM23" s="7"/>
      <c r="OZN23" s="7"/>
      <c r="OZO23" s="7"/>
      <c r="OZP23" s="7"/>
      <c r="OZQ23" s="7"/>
      <c r="OZR23" s="7"/>
      <c r="OZS23" s="7"/>
      <c r="OZT23" s="7"/>
      <c r="OZU23" s="7"/>
      <c r="OZV23" s="7"/>
      <c r="OZW23" s="7"/>
      <c r="OZX23" s="7"/>
      <c r="OZY23" s="7"/>
      <c r="OZZ23" s="7"/>
      <c r="PAA23" s="7"/>
      <c r="PAB23" s="7"/>
      <c r="PAC23" s="7"/>
      <c r="PAD23" s="7"/>
      <c r="PAE23" s="7"/>
      <c r="PAF23" s="7"/>
      <c r="PAG23" s="7"/>
      <c r="PAH23" s="7"/>
      <c r="PAI23" s="7"/>
      <c r="PAJ23" s="7"/>
      <c r="PAK23" s="7"/>
      <c r="PAL23" s="7"/>
      <c r="PAM23" s="7"/>
      <c r="PAN23" s="7"/>
      <c r="PAO23" s="7"/>
      <c r="PAP23" s="7"/>
      <c r="PAQ23" s="7"/>
      <c r="PAR23" s="7"/>
      <c r="PAS23" s="7"/>
      <c r="PAT23" s="7"/>
      <c r="PAU23" s="7"/>
      <c r="PAV23" s="7"/>
      <c r="PAW23" s="7"/>
      <c r="PAX23" s="7"/>
      <c r="PAY23" s="7"/>
      <c r="PAZ23" s="7"/>
      <c r="PBA23" s="7"/>
      <c r="PBB23" s="7"/>
      <c r="PBC23" s="7"/>
      <c r="PBD23" s="7"/>
      <c r="PBE23" s="7"/>
      <c r="PBF23" s="7"/>
      <c r="PBG23" s="7"/>
      <c r="PBH23" s="7"/>
      <c r="PBI23" s="7"/>
      <c r="PBJ23" s="7"/>
      <c r="PBK23" s="7"/>
      <c r="PBL23" s="7"/>
      <c r="PBM23" s="7"/>
      <c r="PBN23" s="7"/>
      <c r="PBO23" s="7"/>
      <c r="PBP23" s="7"/>
      <c r="PBQ23" s="7"/>
      <c r="PBR23" s="7"/>
      <c r="PBS23" s="7"/>
      <c r="PBT23" s="7"/>
      <c r="PBU23" s="7"/>
      <c r="PBV23" s="7"/>
      <c r="PBW23" s="7"/>
      <c r="PBX23" s="7"/>
      <c r="PBY23" s="7"/>
      <c r="PBZ23" s="7"/>
      <c r="PCA23" s="7"/>
      <c r="PCB23" s="7"/>
      <c r="PCC23" s="7"/>
      <c r="PCD23" s="7"/>
      <c r="PCE23" s="7"/>
      <c r="PCF23" s="7"/>
      <c r="PCG23" s="7"/>
      <c r="PCH23" s="7"/>
      <c r="PCI23" s="7"/>
      <c r="PCJ23" s="7"/>
      <c r="PCK23" s="7"/>
      <c r="PCL23" s="7"/>
      <c r="PCM23" s="7"/>
      <c r="PCN23" s="7"/>
      <c r="PCO23" s="7"/>
      <c r="PCP23" s="7"/>
      <c r="PCQ23" s="7"/>
      <c r="PCR23" s="7"/>
      <c r="PCS23" s="7"/>
      <c r="PCT23" s="7"/>
      <c r="PCU23" s="7"/>
      <c r="PCV23" s="7"/>
      <c r="PCW23" s="7"/>
      <c r="PCX23" s="7"/>
      <c r="PCY23" s="7"/>
      <c r="PCZ23" s="7"/>
      <c r="PDA23" s="7"/>
      <c r="PDB23" s="7"/>
      <c r="PDC23" s="7"/>
      <c r="PDD23" s="7"/>
      <c r="PDE23" s="7"/>
      <c r="PDF23" s="7"/>
      <c r="PDG23" s="7"/>
      <c r="PDH23" s="7"/>
      <c r="PDI23" s="7"/>
      <c r="PDJ23" s="7"/>
      <c r="PDK23" s="7"/>
      <c r="PDL23" s="7"/>
      <c r="PDM23" s="7"/>
      <c r="PDN23" s="7"/>
      <c r="PDO23" s="7"/>
      <c r="PDP23" s="7"/>
      <c r="PDQ23" s="7"/>
      <c r="PDR23" s="7"/>
      <c r="PDS23" s="7"/>
      <c r="PDT23" s="7"/>
      <c r="PDU23" s="7"/>
      <c r="PDV23" s="7"/>
      <c r="PDW23" s="7"/>
      <c r="PDX23" s="7"/>
      <c r="PDY23" s="7"/>
      <c r="PDZ23" s="7"/>
      <c r="PEA23" s="7"/>
      <c r="PEB23" s="7"/>
      <c r="PEC23" s="7"/>
      <c r="PED23" s="7"/>
      <c r="PEE23" s="7"/>
      <c r="PEF23" s="7"/>
      <c r="PEG23" s="7"/>
      <c r="PEH23" s="7"/>
      <c r="PEI23" s="7"/>
      <c r="PEJ23" s="7"/>
      <c r="PEK23" s="7"/>
      <c r="PEL23" s="7"/>
      <c r="PEM23" s="7"/>
      <c r="PEN23" s="7"/>
      <c r="PEO23" s="7"/>
      <c r="PEP23" s="7"/>
      <c r="PEQ23" s="7"/>
      <c r="PER23" s="7"/>
      <c r="PES23" s="7"/>
      <c r="PET23" s="7"/>
      <c r="PEU23" s="7"/>
      <c r="PEV23" s="7"/>
      <c r="PEW23" s="7"/>
      <c r="PEX23" s="7"/>
      <c r="PEY23" s="7"/>
      <c r="PEZ23" s="7"/>
      <c r="PFA23" s="7"/>
      <c r="PFB23" s="7"/>
      <c r="PFC23" s="7"/>
      <c r="PFD23" s="7"/>
      <c r="PFE23" s="7"/>
      <c r="PFF23" s="7"/>
      <c r="PFG23" s="7"/>
      <c r="PFH23" s="7"/>
      <c r="PFI23" s="7"/>
      <c r="PFJ23" s="7"/>
      <c r="PFK23" s="7"/>
      <c r="PFL23" s="7"/>
      <c r="PFM23" s="7"/>
      <c r="PFN23" s="7"/>
      <c r="PFO23" s="7"/>
      <c r="PFP23" s="7"/>
      <c r="PFQ23" s="7"/>
      <c r="PFR23" s="7"/>
      <c r="PFS23" s="7"/>
      <c r="PFT23" s="7"/>
      <c r="PFU23" s="7"/>
      <c r="PFV23" s="7"/>
      <c r="PFW23" s="7"/>
      <c r="PFX23" s="7"/>
      <c r="PFY23" s="7"/>
      <c r="PFZ23" s="7"/>
      <c r="PGA23" s="7"/>
      <c r="PGB23" s="7"/>
      <c r="PGC23" s="7"/>
      <c r="PGD23" s="7"/>
      <c r="PGE23" s="7"/>
      <c r="PGF23" s="7"/>
      <c r="PGG23" s="7"/>
      <c r="PGH23" s="7"/>
      <c r="PGI23" s="7"/>
      <c r="PGJ23" s="7"/>
      <c r="PGK23" s="7"/>
      <c r="PGL23" s="7"/>
      <c r="PGM23" s="7"/>
      <c r="PGN23" s="7"/>
      <c r="PGO23" s="7"/>
      <c r="PGP23" s="7"/>
      <c r="PGQ23" s="7"/>
      <c r="PGR23" s="7"/>
      <c r="PGS23" s="7"/>
      <c r="PGT23" s="7"/>
      <c r="PGU23" s="7"/>
      <c r="PGV23" s="7"/>
      <c r="PGW23" s="7"/>
      <c r="PGX23" s="7"/>
      <c r="PGY23" s="7"/>
      <c r="PGZ23" s="7"/>
      <c r="PHA23" s="7"/>
      <c r="PHB23" s="7"/>
      <c r="PHC23" s="7"/>
      <c r="PHD23" s="7"/>
      <c r="PHE23" s="7"/>
      <c r="PHF23" s="7"/>
      <c r="PHG23" s="7"/>
      <c r="PHH23" s="7"/>
      <c r="PHI23" s="7"/>
      <c r="PHJ23" s="7"/>
      <c r="PHK23" s="7"/>
      <c r="PHL23" s="7"/>
      <c r="PHM23" s="7"/>
      <c r="PHN23" s="7"/>
      <c r="PHO23" s="7"/>
      <c r="PHP23" s="7"/>
      <c r="PHQ23" s="7"/>
      <c r="PHR23" s="7"/>
      <c r="PHS23" s="7"/>
      <c r="PHT23" s="7"/>
      <c r="PHU23" s="7"/>
      <c r="PHV23" s="7"/>
      <c r="PHW23" s="7"/>
      <c r="PHX23" s="7"/>
      <c r="PHY23" s="7"/>
      <c r="PHZ23" s="7"/>
      <c r="PIA23" s="7"/>
      <c r="PIB23" s="7"/>
      <c r="PIC23" s="7"/>
      <c r="PID23" s="7"/>
      <c r="PIE23" s="7"/>
      <c r="PIF23" s="7"/>
      <c r="PIG23" s="7"/>
      <c r="PIH23" s="7"/>
      <c r="PII23" s="7"/>
      <c r="PIJ23" s="7"/>
      <c r="PIK23" s="7"/>
      <c r="PIL23" s="7"/>
      <c r="PIM23" s="7"/>
      <c r="PIN23" s="7"/>
      <c r="PIO23" s="7"/>
      <c r="PIP23" s="7"/>
      <c r="PIQ23" s="7"/>
      <c r="PIR23" s="7"/>
      <c r="PIS23" s="7"/>
      <c r="PIT23" s="7"/>
      <c r="PIU23" s="7"/>
      <c r="PIV23" s="7"/>
      <c r="PIW23" s="7"/>
      <c r="PIX23" s="7"/>
      <c r="PIY23" s="7"/>
      <c r="PIZ23" s="7"/>
      <c r="PJA23" s="7"/>
      <c r="PJB23" s="7"/>
      <c r="PJC23" s="7"/>
      <c r="PJD23" s="7"/>
      <c r="PJE23" s="7"/>
      <c r="PJF23" s="7"/>
      <c r="PJG23" s="7"/>
      <c r="PJH23" s="7"/>
      <c r="PJI23" s="7"/>
      <c r="PJJ23" s="7"/>
      <c r="PJK23" s="7"/>
      <c r="PJL23" s="7"/>
      <c r="PJM23" s="7"/>
      <c r="PJN23" s="7"/>
      <c r="PJO23" s="7"/>
      <c r="PJP23" s="7"/>
      <c r="PJQ23" s="7"/>
      <c r="PJR23" s="7"/>
      <c r="PJS23" s="7"/>
      <c r="PJT23" s="7"/>
      <c r="PJU23" s="7"/>
      <c r="PJV23" s="7"/>
      <c r="PJW23" s="7"/>
      <c r="PJX23" s="7"/>
      <c r="PJY23" s="7"/>
      <c r="PJZ23" s="7"/>
      <c r="PKA23" s="7"/>
      <c r="PKB23" s="7"/>
      <c r="PKC23" s="7"/>
      <c r="PKD23" s="7"/>
      <c r="PKE23" s="7"/>
      <c r="PKF23" s="7"/>
      <c r="PKG23" s="7"/>
      <c r="PKH23" s="7"/>
      <c r="PKI23" s="7"/>
      <c r="PKJ23" s="7"/>
      <c r="PKK23" s="7"/>
      <c r="PKL23" s="7"/>
      <c r="PKM23" s="7"/>
      <c r="PKN23" s="7"/>
      <c r="PKO23" s="7"/>
      <c r="PKP23" s="7"/>
      <c r="PKQ23" s="7"/>
      <c r="PKR23" s="7"/>
      <c r="PKS23" s="7"/>
      <c r="PKT23" s="7"/>
      <c r="PKU23" s="7"/>
      <c r="PKV23" s="7"/>
      <c r="PKW23" s="7"/>
      <c r="PKX23" s="7"/>
      <c r="PKY23" s="7"/>
      <c r="PKZ23" s="7"/>
      <c r="PLA23" s="7"/>
      <c r="PLB23" s="7"/>
      <c r="PLC23" s="7"/>
      <c r="PLD23" s="7"/>
      <c r="PLE23" s="7"/>
      <c r="PLF23" s="7"/>
      <c r="PLG23" s="7"/>
      <c r="PLH23" s="7"/>
      <c r="PLI23" s="7"/>
      <c r="PLJ23" s="7"/>
      <c r="PLK23" s="7"/>
      <c r="PLL23" s="7"/>
      <c r="PLM23" s="7"/>
      <c r="PLN23" s="7"/>
      <c r="PLO23" s="7"/>
      <c r="PLP23" s="7"/>
      <c r="PLQ23" s="7"/>
      <c r="PLR23" s="7"/>
      <c r="PLS23" s="7"/>
      <c r="PLT23" s="7"/>
      <c r="PLU23" s="7"/>
      <c r="PLV23" s="7"/>
      <c r="PLW23" s="7"/>
      <c r="PLX23" s="7"/>
      <c r="PLY23" s="7"/>
      <c r="PLZ23" s="7"/>
      <c r="PMA23" s="7"/>
      <c r="PMB23" s="7"/>
      <c r="PMC23" s="7"/>
      <c r="PMD23" s="7"/>
      <c r="PME23" s="7"/>
      <c r="PMF23" s="7"/>
      <c r="PMG23" s="7"/>
      <c r="PMH23" s="7"/>
      <c r="PMI23" s="7"/>
      <c r="PMJ23" s="7"/>
      <c r="PMK23" s="7"/>
      <c r="PML23" s="7"/>
      <c r="PMM23" s="7"/>
      <c r="PMN23" s="7"/>
      <c r="PMO23" s="7"/>
      <c r="PMP23" s="7"/>
      <c r="PMQ23" s="7"/>
      <c r="PMR23" s="7"/>
      <c r="PMS23" s="7"/>
      <c r="PMT23" s="7"/>
      <c r="PMU23" s="7"/>
      <c r="PMV23" s="7"/>
      <c r="PMW23" s="7"/>
      <c r="PMX23" s="7"/>
      <c r="PMY23" s="7"/>
      <c r="PMZ23" s="7"/>
      <c r="PNA23" s="7"/>
      <c r="PNB23" s="7"/>
      <c r="PNC23" s="7"/>
      <c r="PND23" s="7"/>
      <c r="PNE23" s="7"/>
      <c r="PNF23" s="7"/>
      <c r="PNG23" s="7"/>
      <c r="PNH23" s="7"/>
      <c r="PNI23" s="7"/>
      <c r="PNJ23" s="7"/>
      <c r="PNK23" s="7"/>
      <c r="PNL23" s="7"/>
      <c r="PNM23" s="7"/>
      <c r="PNN23" s="7"/>
      <c r="PNO23" s="7"/>
      <c r="PNP23" s="7"/>
      <c r="PNQ23" s="7"/>
      <c r="PNR23" s="7"/>
      <c r="PNS23" s="7"/>
      <c r="PNT23" s="7"/>
      <c r="PNU23" s="7"/>
      <c r="PNV23" s="7"/>
      <c r="PNW23" s="7"/>
      <c r="PNX23" s="7"/>
      <c r="PNY23" s="7"/>
      <c r="PNZ23" s="7"/>
      <c r="POA23" s="7"/>
      <c r="POB23" s="7"/>
      <c r="POC23" s="7"/>
      <c r="POD23" s="7"/>
      <c r="POE23" s="7"/>
      <c r="POF23" s="7"/>
      <c r="POG23" s="7"/>
      <c r="POH23" s="7"/>
      <c r="POI23" s="7"/>
      <c r="POJ23" s="7"/>
      <c r="POK23" s="7"/>
      <c r="POL23" s="7"/>
      <c r="POM23" s="7"/>
      <c r="PON23" s="7"/>
      <c r="POO23" s="7"/>
      <c r="POP23" s="7"/>
      <c r="POQ23" s="7"/>
      <c r="POR23" s="7"/>
      <c r="POS23" s="7"/>
      <c r="POT23" s="7"/>
      <c r="POU23" s="7"/>
      <c r="POV23" s="7"/>
      <c r="POW23" s="7"/>
      <c r="POX23" s="7"/>
      <c r="POY23" s="7"/>
      <c r="POZ23" s="7"/>
      <c r="PPA23" s="7"/>
      <c r="PPB23" s="7"/>
      <c r="PPC23" s="7"/>
      <c r="PPD23" s="7"/>
      <c r="PPE23" s="7"/>
      <c r="PPF23" s="7"/>
      <c r="PPG23" s="7"/>
      <c r="PPH23" s="7"/>
      <c r="PPI23" s="7"/>
      <c r="PPJ23" s="7"/>
      <c r="PPK23" s="7"/>
      <c r="PPL23" s="7"/>
      <c r="PPM23" s="7"/>
      <c r="PPN23" s="7"/>
      <c r="PPO23" s="7"/>
      <c r="PPP23" s="7"/>
      <c r="PPQ23" s="7"/>
      <c r="PPR23" s="7"/>
      <c r="PPS23" s="7"/>
      <c r="PPT23" s="7"/>
      <c r="PPU23" s="7"/>
      <c r="PPV23" s="7"/>
      <c r="PPW23" s="7"/>
      <c r="PPX23" s="7"/>
      <c r="PPY23" s="7"/>
      <c r="PPZ23" s="7"/>
      <c r="PQA23" s="7"/>
      <c r="PQB23" s="7"/>
      <c r="PQC23" s="7"/>
      <c r="PQD23" s="7"/>
      <c r="PQE23" s="7"/>
      <c r="PQF23" s="7"/>
      <c r="PQG23" s="7"/>
      <c r="PQH23" s="7"/>
      <c r="PQI23" s="7"/>
      <c r="PQJ23" s="7"/>
      <c r="PQK23" s="7"/>
      <c r="PQL23" s="7"/>
      <c r="PQM23" s="7"/>
      <c r="PQN23" s="7"/>
      <c r="PQO23" s="7"/>
      <c r="PQP23" s="7"/>
      <c r="PQQ23" s="7"/>
      <c r="PQR23" s="7"/>
      <c r="PQS23" s="7"/>
      <c r="PQT23" s="7"/>
      <c r="PQU23" s="7"/>
      <c r="PQV23" s="7"/>
      <c r="PQW23" s="7"/>
      <c r="PQX23" s="7"/>
      <c r="PQY23" s="7"/>
      <c r="PQZ23" s="7"/>
      <c r="PRA23" s="7"/>
      <c r="PRB23" s="7"/>
      <c r="PRC23" s="7"/>
      <c r="PRD23" s="7"/>
      <c r="PRE23" s="7"/>
      <c r="PRF23" s="7"/>
      <c r="PRG23" s="7"/>
      <c r="PRH23" s="7"/>
      <c r="PRI23" s="7"/>
      <c r="PRJ23" s="7"/>
      <c r="PRK23" s="7"/>
      <c r="PRL23" s="7"/>
      <c r="PRM23" s="7"/>
      <c r="PRN23" s="7"/>
      <c r="PRO23" s="7"/>
      <c r="PRP23" s="7"/>
      <c r="PRQ23" s="7"/>
      <c r="PRR23" s="7"/>
      <c r="PRS23" s="7"/>
      <c r="PRT23" s="7"/>
      <c r="PRU23" s="7"/>
      <c r="PRV23" s="7"/>
      <c r="PRW23" s="7"/>
      <c r="PRX23" s="7"/>
      <c r="PRY23" s="7"/>
      <c r="PRZ23" s="7"/>
      <c r="PSA23" s="7"/>
      <c r="PSB23" s="7"/>
      <c r="PSC23" s="7"/>
      <c r="PSD23" s="7"/>
      <c r="PSE23" s="7"/>
      <c r="PSF23" s="7"/>
      <c r="PSG23" s="7"/>
      <c r="PSH23" s="7"/>
      <c r="PSI23" s="7"/>
      <c r="PSJ23" s="7"/>
      <c r="PSK23" s="7"/>
      <c r="PSL23" s="7"/>
      <c r="PSM23" s="7"/>
      <c r="PSN23" s="7"/>
      <c r="PSO23" s="7"/>
      <c r="PSP23" s="7"/>
      <c r="PSQ23" s="7"/>
      <c r="PSR23" s="7"/>
      <c r="PSS23" s="7"/>
      <c r="PST23" s="7"/>
      <c r="PSU23" s="7"/>
      <c r="PSV23" s="7"/>
      <c r="PSW23" s="7"/>
      <c r="PSX23" s="7"/>
      <c r="PSY23" s="7"/>
      <c r="PSZ23" s="7"/>
      <c r="PTA23" s="7"/>
      <c r="PTB23" s="7"/>
      <c r="PTC23" s="7"/>
      <c r="PTD23" s="7"/>
      <c r="PTE23" s="7"/>
      <c r="PTF23" s="7"/>
      <c r="PTG23" s="7"/>
      <c r="PTH23" s="7"/>
      <c r="PTI23" s="7"/>
      <c r="PTJ23" s="7"/>
      <c r="PTK23" s="7"/>
      <c r="PTL23" s="7"/>
      <c r="PTM23" s="7"/>
      <c r="PTN23" s="7"/>
      <c r="PTO23" s="7"/>
      <c r="PTP23" s="7"/>
      <c r="PTQ23" s="7"/>
      <c r="PTR23" s="7"/>
      <c r="PTS23" s="7"/>
      <c r="PTT23" s="7"/>
      <c r="PTU23" s="7"/>
      <c r="PTV23" s="7"/>
      <c r="PTW23" s="7"/>
      <c r="PTX23" s="7"/>
      <c r="PTY23" s="7"/>
      <c r="PTZ23" s="7"/>
      <c r="PUA23" s="7"/>
      <c r="PUB23" s="7"/>
      <c r="PUC23" s="7"/>
      <c r="PUD23" s="7"/>
      <c r="PUE23" s="7"/>
      <c r="PUF23" s="7"/>
      <c r="PUG23" s="7"/>
      <c r="PUH23" s="7"/>
      <c r="PUI23" s="7"/>
      <c r="PUJ23" s="7"/>
      <c r="PUK23" s="7"/>
      <c r="PUL23" s="7"/>
      <c r="PUM23" s="7"/>
      <c r="PUN23" s="7"/>
      <c r="PUO23" s="7"/>
      <c r="PUP23" s="7"/>
      <c r="PUQ23" s="7"/>
      <c r="PUR23" s="7"/>
      <c r="PUS23" s="7"/>
      <c r="PUT23" s="7"/>
      <c r="PUU23" s="7"/>
      <c r="PUV23" s="7"/>
      <c r="PUW23" s="7"/>
      <c r="PUX23" s="7"/>
      <c r="PUY23" s="7"/>
      <c r="PUZ23" s="7"/>
      <c r="PVA23" s="7"/>
      <c r="PVB23" s="7"/>
      <c r="PVC23" s="7"/>
      <c r="PVD23" s="7"/>
      <c r="PVE23" s="7"/>
      <c r="PVF23" s="7"/>
      <c r="PVG23" s="7"/>
      <c r="PVH23" s="7"/>
      <c r="PVI23" s="7"/>
      <c r="PVJ23" s="7"/>
      <c r="PVK23" s="7"/>
      <c r="PVL23" s="7"/>
      <c r="PVM23" s="7"/>
      <c r="PVN23" s="7"/>
      <c r="PVO23" s="7"/>
      <c r="PVP23" s="7"/>
      <c r="PVQ23" s="7"/>
      <c r="PVR23" s="7"/>
      <c r="PVS23" s="7"/>
      <c r="PVT23" s="7"/>
      <c r="PVU23" s="7"/>
      <c r="PVV23" s="7"/>
      <c r="PVW23" s="7"/>
      <c r="PVX23" s="7"/>
      <c r="PVY23" s="7"/>
      <c r="PVZ23" s="7"/>
      <c r="PWA23" s="7"/>
      <c r="PWB23" s="7"/>
      <c r="PWC23" s="7"/>
      <c r="PWD23" s="7"/>
      <c r="PWE23" s="7"/>
      <c r="PWF23" s="7"/>
      <c r="PWG23" s="7"/>
      <c r="PWH23" s="7"/>
      <c r="PWI23" s="7"/>
      <c r="PWJ23" s="7"/>
      <c r="PWK23" s="7"/>
      <c r="PWL23" s="7"/>
      <c r="PWM23" s="7"/>
      <c r="PWN23" s="7"/>
      <c r="PWO23" s="7"/>
      <c r="PWP23" s="7"/>
      <c r="PWQ23" s="7"/>
      <c r="PWR23" s="7"/>
      <c r="PWS23" s="7"/>
      <c r="PWT23" s="7"/>
      <c r="PWU23" s="7"/>
      <c r="PWV23" s="7"/>
      <c r="PWW23" s="7"/>
      <c r="PWX23" s="7"/>
      <c r="PWY23" s="7"/>
      <c r="PWZ23" s="7"/>
      <c r="PXA23" s="7"/>
      <c r="PXB23" s="7"/>
      <c r="PXC23" s="7"/>
      <c r="PXD23" s="7"/>
      <c r="PXE23" s="7"/>
      <c r="PXF23" s="7"/>
      <c r="PXG23" s="7"/>
      <c r="PXH23" s="7"/>
      <c r="PXI23" s="7"/>
      <c r="PXJ23" s="7"/>
      <c r="PXK23" s="7"/>
      <c r="PXL23" s="7"/>
      <c r="PXM23" s="7"/>
      <c r="PXN23" s="7"/>
      <c r="PXO23" s="7"/>
      <c r="PXP23" s="7"/>
      <c r="PXQ23" s="7"/>
      <c r="PXR23" s="7"/>
      <c r="PXS23" s="7"/>
      <c r="PXT23" s="7"/>
      <c r="PXU23" s="7"/>
      <c r="PXV23" s="7"/>
      <c r="PXW23" s="7"/>
      <c r="PXX23" s="7"/>
      <c r="PXY23" s="7"/>
      <c r="PXZ23" s="7"/>
      <c r="PYA23" s="7"/>
      <c r="PYB23" s="7"/>
      <c r="PYC23" s="7"/>
      <c r="PYD23" s="7"/>
      <c r="PYE23" s="7"/>
      <c r="PYF23" s="7"/>
      <c r="PYG23" s="7"/>
      <c r="PYH23" s="7"/>
      <c r="PYI23" s="7"/>
      <c r="PYJ23" s="7"/>
      <c r="PYK23" s="7"/>
      <c r="PYL23" s="7"/>
      <c r="PYM23" s="7"/>
      <c r="PYN23" s="7"/>
      <c r="PYO23" s="7"/>
      <c r="PYP23" s="7"/>
      <c r="PYQ23" s="7"/>
      <c r="PYR23" s="7"/>
      <c r="PYS23" s="7"/>
      <c r="PYT23" s="7"/>
      <c r="PYU23" s="7"/>
      <c r="PYV23" s="7"/>
      <c r="PYW23" s="7"/>
      <c r="PYX23" s="7"/>
      <c r="PYY23" s="7"/>
      <c r="PYZ23" s="7"/>
      <c r="PZA23" s="7"/>
      <c r="PZB23" s="7"/>
      <c r="PZC23" s="7"/>
      <c r="PZD23" s="7"/>
      <c r="PZE23" s="7"/>
      <c r="PZF23" s="7"/>
      <c r="PZG23" s="7"/>
      <c r="PZH23" s="7"/>
      <c r="PZI23" s="7"/>
      <c r="PZJ23" s="7"/>
      <c r="PZK23" s="7"/>
      <c r="PZL23" s="7"/>
      <c r="PZM23" s="7"/>
      <c r="PZN23" s="7"/>
      <c r="PZO23" s="7"/>
      <c r="PZP23" s="7"/>
      <c r="PZQ23" s="7"/>
      <c r="PZR23" s="7"/>
      <c r="PZS23" s="7"/>
      <c r="PZT23" s="7"/>
      <c r="PZU23" s="7"/>
      <c r="PZV23" s="7"/>
      <c r="PZW23" s="7"/>
      <c r="PZX23" s="7"/>
      <c r="PZY23" s="7"/>
      <c r="PZZ23" s="7"/>
      <c r="QAA23" s="7"/>
      <c r="QAB23" s="7"/>
      <c r="QAC23" s="7"/>
      <c r="QAD23" s="7"/>
      <c r="QAE23" s="7"/>
      <c r="QAF23" s="7"/>
      <c r="QAG23" s="7"/>
      <c r="QAH23" s="7"/>
      <c r="QAI23" s="7"/>
      <c r="QAJ23" s="7"/>
      <c r="QAK23" s="7"/>
      <c r="QAL23" s="7"/>
      <c r="QAM23" s="7"/>
      <c r="QAN23" s="7"/>
      <c r="QAO23" s="7"/>
      <c r="QAP23" s="7"/>
      <c r="QAQ23" s="7"/>
      <c r="QAR23" s="7"/>
      <c r="QAS23" s="7"/>
      <c r="QAT23" s="7"/>
      <c r="QAU23" s="7"/>
      <c r="QAV23" s="7"/>
      <c r="QAW23" s="7"/>
      <c r="QAX23" s="7"/>
      <c r="QAY23" s="7"/>
      <c r="QAZ23" s="7"/>
      <c r="QBA23" s="7"/>
      <c r="QBB23" s="7"/>
      <c r="QBC23" s="7"/>
      <c r="QBD23" s="7"/>
      <c r="QBE23" s="7"/>
      <c r="QBF23" s="7"/>
      <c r="QBG23" s="7"/>
      <c r="QBH23" s="7"/>
      <c r="QBI23" s="7"/>
      <c r="QBJ23" s="7"/>
      <c r="QBK23" s="7"/>
      <c r="QBL23" s="7"/>
      <c r="QBM23" s="7"/>
      <c r="QBN23" s="7"/>
      <c r="QBO23" s="7"/>
      <c r="QBP23" s="7"/>
      <c r="QBQ23" s="7"/>
      <c r="QBR23" s="7"/>
      <c r="QBS23" s="7"/>
      <c r="QBT23" s="7"/>
      <c r="QBU23" s="7"/>
      <c r="QBV23" s="7"/>
      <c r="QBW23" s="7"/>
      <c r="QBX23" s="7"/>
      <c r="QBY23" s="7"/>
      <c r="QBZ23" s="7"/>
      <c r="QCA23" s="7"/>
      <c r="QCB23" s="7"/>
      <c r="QCC23" s="7"/>
      <c r="QCD23" s="7"/>
      <c r="QCE23" s="7"/>
      <c r="QCF23" s="7"/>
      <c r="QCG23" s="7"/>
      <c r="QCH23" s="7"/>
      <c r="QCI23" s="7"/>
      <c r="QCJ23" s="7"/>
      <c r="QCK23" s="7"/>
      <c r="QCL23" s="7"/>
      <c r="QCM23" s="7"/>
      <c r="QCN23" s="7"/>
      <c r="QCO23" s="7"/>
      <c r="QCP23" s="7"/>
      <c r="QCQ23" s="7"/>
      <c r="QCR23" s="7"/>
      <c r="QCS23" s="7"/>
      <c r="QCT23" s="7"/>
      <c r="QCU23" s="7"/>
      <c r="QCV23" s="7"/>
      <c r="QCW23" s="7"/>
      <c r="QCX23" s="7"/>
      <c r="QCY23" s="7"/>
      <c r="QCZ23" s="7"/>
      <c r="QDA23" s="7"/>
      <c r="QDB23" s="7"/>
      <c r="QDC23" s="7"/>
      <c r="QDD23" s="7"/>
      <c r="QDE23" s="7"/>
      <c r="QDF23" s="7"/>
      <c r="QDG23" s="7"/>
      <c r="QDH23" s="7"/>
      <c r="QDI23" s="7"/>
      <c r="QDJ23" s="7"/>
      <c r="QDK23" s="7"/>
      <c r="QDL23" s="7"/>
      <c r="QDM23" s="7"/>
      <c r="QDN23" s="7"/>
      <c r="QDO23" s="7"/>
      <c r="QDP23" s="7"/>
      <c r="QDQ23" s="7"/>
      <c r="QDR23" s="7"/>
      <c r="QDS23" s="7"/>
      <c r="QDT23" s="7"/>
      <c r="QDU23" s="7"/>
      <c r="QDV23" s="7"/>
      <c r="QDW23" s="7"/>
      <c r="QDX23" s="7"/>
      <c r="QDY23" s="7"/>
      <c r="QDZ23" s="7"/>
      <c r="QEA23" s="7"/>
      <c r="QEB23" s="7"/>
      <c r="QEC23" s="7"/>
      <c r="QED23" s="7"/>
      <c r="QEE23" s="7"/>
      <c r="QEF23" s="7"/>
      <c r="QEG23" s="7"/>
      <c r="QEH23" s="7"/>
      <c r="QEI23" s="7"/>
      <c r="QEJ23" s="7"/>
      <c r="QEK23" s="7"/>
      <c r="QEL23" s="7"/>
      <c r="QEM23" s="7"/>
      <c r="QEN23" s="7"/>
      <c r="QEO23" s="7"/>
      <c r="QEP23" s="7"/>
      <c r="QEQ23" s="7"/>
      <c r="QER23" s="7"/>
      <c r="QES23" s="7"/>
      <c r="QET23" s="7"/>
      <c r="QEU23" s="7"/>
      <c r="QEV23" s="7"/>
      <c r="QEW23" s="7"/>
      <c r="QEX23" s="7"/>
      <c r="QEY23" s="7"/>
      <c r="QEZ23" s="7"/>
      <c r="QFA23" s="7"/>
      <c r="QFB23" s="7"/>
      <c r="QFC23" s="7"/>
      <c r="QFD23" s="7"/>
      <c r="QFE23" s="7"/>
      <c r="QFF23" s="7"/>
      <c r="QFG23" s="7"/>
      <c r="QFH23" s="7"/>
      <c r="QFI23" s="7"/>
      <c r="QFJ23" s="7"/>
      <c r="QFK23" s="7"/>
      <c r="QFL23" s="7"/>
      <c r="QFM23" s="7"/>
      <c r="QFN23" s="7"/>
      <c r="QFO23" s="7"/>
      <c r="QFP23" s="7"/>
      <c r="QFQ23" s="7"/>
      <c r="QFR23" s="7"/>
      <c r="QFS23" s="7"/>
      <c r="QFT23" s="7"/>
      <c r="QFU23" s="7"/>
      <c r="QFV23" s="7"/>
      <c r="QFW23" s="7"/>
      <c r="QFX23" s="7"/>
      <c r="QFY23" s="7"/>
      <c r="QFZ23" s="7"/>
      <c r="QGA23" s="7"/>
      <c r="QGB23" s="7"/>
      <c r="QGC23" s="7"/>
      <c r="QGD23" s="7"/>
      <c r="QGE23" s="7"/>
      <c r="QGF23" s="7"/>
      <c r="QGG23" s="7"/>
      <c r="QGH23" s="7"/>
      <c r="QGI23" s="7"/>
      <c r="QGJ23" s="7"/>
      <c r="QGK23" s="7"/>
      <c r="QGL23" s="7"/>
      <c r="QGM23" s="7"/>
      <c r="QGN23" s="7"/>
      <c r="QGO23" s="7"/>
      <c r="QGP23" s="7"/>
      <c r="QGQ23" s="7"/>
      <c r="QGR23" s="7"/>
      <c r="QGS23" s="7"/>
      <c r="QGT23" s="7"/>
      <c r="QGU23" s="7"/>
      <c r="QGV23" s="7"/>
      <c r="QGW23" s="7"/>
      <c r="QGX23" s="7"/>
      <c r="QGY23" s="7"/>
      <c r="QGZ23" s="7"/>
      <c r="QHA23" s="7"/>
      <c r="QHB23" s="7"/>
      <c r="QHC23" s="7"/>
      <c r="QHD23" s="7"/>
      <c r="QHE23" s="7"/>
      <c r="QHF23" s="7"/>
      <c r="QHG23" s="7"/>
      <c r="QHH23" s="7"/>
      <c r="QHI23" s="7"/>
      <c r="QHJ23" s="7"/>
      <c r="QHK23" s="7"/>
      <c r="QHL23" s="7"/>
      <c r="QHM23" s="7"/>
      <c r="QHN23" s="7"/>
      <c r="QHO23" s="7"/>
      <c r="QHP23" s="7"/>
      <c r="QHQ23" s="7"/>
      <c r="QHR23" s="7"/>
      <c r="QHS23" s="7"/>
      <c r="QHT23" s="7"/>
      <c r="QHU23" s="7"/>
      <c r="QHV23" s="7"/>
      <c r="QHW23" s="7"/>
      <c r="QHX23" s="7"/>
      <c r="QHY23" s="7"/>
      <c r="QHZ23" s="7"/>
      <c r="QIA23" s="7"/>
      <c r="QIB23" s="7"/>
      <c r="QIC23" s="7"/>
      <c r="QID23" s="7"/>
      <c r="QIE23" s="7"/>
      <c r="QIF23" s="7"/>
      <c r="QIG23" s="7"/>
      <c r="QIH23" s="7"/>
      <c r="QII23" s="7"/>
      <c r="QIJ23" s="7"/>
      <c r="QIK23" s="7"/>
      <c r="QIL23" s="7"/>
      <c r="QIM23" s="7"/>
      <c r="QIN23" s="7"/>
      <c r="QIO23" s="7"/>
      <c r="QIP23" s="7"/>
      <c r="QIQ23" s="7"/>
      <c r="QIR23" s="7"/>
      <c r="QIS23" s="7"/>
      <c r="QIT23" s="7"/>
      <c r="QIU23" s="7"/>
      <c r="QIV23" s="7"/>
      <c r="QIW23" s="7"/>
      <c r="QIX23" s="7"/>
      <c r="QIY23" s="7"/>
      <c r="QIZ23" s="7"/>
      <c r="QJA23" s="7"/>
      <c r="QJB23" s="7"/>
      <c r="QJC23" s="7"/>
      <c r="QJD23" s="7"/>
      <c r="QJE23" s="7"/>
      <c r="QJF23" s="7"/>
      <c r="QJG23" s="7"/>
      <c r="QJH23" s="7"/>
      <c r="QJI23" s="7"/>
      <c r="QJJ23" s="7"/>
      <c r="QJK23" s="7"/>
      <c r="QJL23" s="7"/>
      <c r="QJM23" s="7"/>
      <c r="QJN23" s="7"/>
      <c r="QJO23" s="7"/>
      <c r="QJP23" s="7"/>
      <c r="QJQ23" s="7"/>
      <c r="QJR23" s="7"/>
      <c r="QJS23" s="7"/>
      <c r="QJT23" s="7"/>
      <c r="QJU23" s="7"/>
      <c r="QJV23" s="7"/>
      <c r="QJW23" s="7"/>
      <c r="QJX23" s="7"/>
      <c r="QJY23" s="7"/>
      <c r="QJZ23" s="7"/>
      <c r="QKA23" s="7"/>
      <c r="QKB23" s="7"/>
      <c r="QKC23" s="7"/>
      <c r="QKD23" s="7"/>
      <c r="QKE23" s="7"/>
      <c r="QKF23" s="7"/>
      <c r="QKG23" s="7"/>
      <c r="QKH23" s="7"/>
      <c r="QKI23" s="7"/>
      <c r="QKJ23" s="7"/>
      <c r="QKK23" s="7"/>
      <c r="QKL23" s="7"/>
      <c r="QKM23" s="7"/>
      <c r="QKN23" s="7"/>
      <c r="QKO23" s="7"/>
      <c r="QKP23" s="7"/>
      <c r="QKQ23" s="7"/>
      <c r="QKR23" s="7"/>
      <c r="QKS23" s="7"/>
      <c r="QKT23" s="7"/>
      <c r="QKU23" s="7"/>
      <c r="QKV23" s="7"/>
      <c r="QKW23" s="7"/>
      <c r="QKX23" s="7"/>
      <c r="QKY23" s="7"/>
      <c r="QKZ23" s="7"/>
      <c r="QLA23" s="7"/>
      <c r="QLB23" s="7"/>
      <c r="QLC23" s="7"/>
      <c r="QLD23" s="7"/>
      <c r="QLE23" s="7"/>
      <c r="QLF23" s="7"/>
      <c r="QLG23" s="7"/>
      <c r="QLH23" s="7"/>
      <c r="QLI23" s="7"/>
      <c r="QLJ23" s="7"/>
      <c r="QLK23" s="7"/>
      <c r="QLL23" s="7"/>
      <c r="QLM23" s="7"/>
      <c r="QLN23" s="7"/>
      <c r="QLO23" s="7"/>
      <c r="QLP23" s="7"/>
      <c r="QLQ23" s="7"/>
      <c r="QLR23" s="7"/>
      <c r="QLS23" s="7"/>
      <c r="QLT23" s="7"/>
      <c r="QLU23" s="7"/>
      <c r="QLV23" s="7"/>
      <c r="QLW23" s="7"/>
      <c r="QLX23" s="7"/>
      <c r="QLY23" s="7"/>
      <c r="QLZ23" s="7"/>
      <c r="QMA23" s="7"/>
      <c r="QMB23" s="7"/>
      <c r="QMC23" s="7"/>
      <c r="QMD23" s="7"/>
      <c r="QME23" s="7"/>
      <c r="QMF23" s="7"/>
      <c r="QMG23" s="7"/>
      <c r="QMH23" s="7"/>
      <c r="QMI23" s="7"/>
      <c r="QMJ23" s="7"/>
      <c r="QMK23" s="7"/>
      <c r="QML23" s="7"/>
      <c r="QMM23" s="7"/>
      <c r="QMN23" s="7"/>
      <c r="QMO23" s="7"/>
      <c r="QMP23" s="7"/>
      <c r="QMQ23" s="7"/>
      <c r="QMR23" s="7"/>
      <c r="QMS23" s="7"/>
      <c r="QMT23" s="7"/>
      <c r="QMU23" s="7"/>
      <c r="QMV23" s="7"/>
      <c r="QMW23" s="7"/>
      <c r="QMX23" s="7"/>
      <c r="QMY23" s="7"/>
      <c r="QMZ23" s="7"/>
      <c r="QNA23" s="7"/>
      <c r="QNB23" s="7"/>
      <c r="QNC23" s="7"/>
      <c r="QND23" s="7"/>
      <c r="QNE23" s="7"/>
      <c r="QNF23" s="7"/>
      <c r="QNG23" s="7"/>
      <c r="QNH23" s="7"/>
      <c r="QNI23" s="7"/>
      <c r="QNJ23" s="7"/>
      <c r="QNK23" s="7"/>
      <c r="QNL23" s="7"/>
      <c r="QNM23" s="7"/>
      <c r="QNN23" s="7"/>
      <c r="QNO23" s="7"/>
      <c r="QNP23" s="7"/>
      <c r="QNQ23" s="7"/>
      <c r="QNR23" s="7"/>
      <c r="QNS23" s="7"/>
      <c r="QNT23" s="7"/>
      <c r="QNU23" s="7"/>
      <c r="QNV23" s="7"/>
      <c r="QNW23" s="7"/>
      <c r="QNX23" s="7"/>
      <c r="QNY23" s="7"/>
      <c r="QNZ23" s="7"/>
      <c r="QOA23" s="7"/>
      <c r="QOB23" s="7"/>
      <c r="QOC23" s="7"/>
      <c r="QOD23" s="7"/>
      <c r="QOE23" s="7"/>
      <c r="QOF23" s="7"/>
      <c r="QOG23" s="7"/>
      <c r="QOH23" s="7"/>
      <c r="QOI23" s="7"/>
      <c r="QOJ23" s="7"/>
      <c r="QOK23" s="7"/>
      <c r="QOL23" s="7"/>
      <c r="QOM23" s="7"/>
      <c r="QON23" s="7"/>
      <c r="QOO23" s="7"/>
      <c r="QOP23" s="7"/>
      <c r="QOQ23" s="7"/>
      <c r="QOR23" s="7"/>
      <c r="QOS23" s="7"/>
      <c r="QOT23" s="7"/>
      <c r="QOU23" s="7"/>
      <c r="QOV23" s="7"/>
      <c r="QOW23" s="7"/>
      <c r="QOX23" s="7"/>
      <c r="QOY23" s="7"/>
      <c r="QOZ23" s="7"/>
      <c r="QPA23" s="7"/>
      <c r="QPB23" s="7"/>
      <c r="QPC23" s="7"/>
      <c r="QPD23" s="7"/>
      <c r="QPE23" s="7"/>
      <c r="QPF23" s="7"/>
      <c r="QPG23" s="7"/>
      <c r="QPH23" s="7"/>
      <c r="QPI23" s="7"/>
      <c r="QPJ23" s="7"/>
      <c r="QPK23" s="7"/>
      <c r="QPL23" s="7"/>
      <c r="QPM23" s="7"/>
      <c r="QPN23" s="7"/>
      <c r="QPO23" s="7"/>
      <c r="QPP23" s="7"/>
      <c r="QPQ23" s="7"/>
      <c r="QPR23" s="7"/>
      <c r="QPS23" s="7"/>
      <c r="QPT23" s="7"/>
      <c r="QPU23" s="7"/>
      <c r="QPV23" s="7"/>
      <c r="QPW23" s="7"/>
      <c r="QPX23" s="7"/>
      <c r="QPY23" s="7"/>
      <c r="QPZ23" s="7"/>
      <c r="QQA23" s="7"/>
      <c r="QQB23" s="7"/>
      <c r="QQC23" s="7"/>
      <c r="QQD23" s="7"/>
      <c r="QQE23" s="7"/>
      <c r="QQF23" s="7"/>
      <c r="QQG23" s="7"/>
      <c r="QQH23" s="7"/>
      <c r="QQI23" s="7"/>
      <c r="QQJ23" s="7"/>
      <c r="QQK23" s="7"/>
      <c r="QQL23" s="7"/>
      <c r="QQM23" s="7"/>
      <c r="QQN23" s="7"/>
      <c r="QQO23" s="7"/>
      <c r="QQP23" s="7"/>
      <c r="QQQ23" s="7"/>
      <c r="QQR23" s="7"/>
      <c r="QQS23" s="7"/>
      <c r="QQT23" s="7"/>
      <c r="QQU23" s="7"/>
      <c r="QQV23" s="7"/>
      <c r="QQW23" s="7"/>
      <c r="QQX23" s="7"/>
      <c r="QQY23" s="7"/>
      <c r="QQZ23" s="7"/>
      <c r="QRA23" s="7"/>
      <c r="QRB23" s="7"/>
      <c r="QRC23" s="7"/>
      <c r="QRD23" s="7"/>
      <c r="QRE23" s="7"/>
      <c r="QRF23" s="7"/>
      <c r="QRG23" s="7"/>
      <c r="QRH23" s="7"/>
      <c r="QRI23" s="7"/>
      <c r="QRJ23" s="7"/>
      <c r="QRK23" s="7"/>
      <c r="QRL23" s="7"/>
      <c r="QRM23" s="7"/>
      <c r="QRN23" s="7"/>
      <c r="QRO23" s="7"/>
      <c r="QRP23" s="7"/>
      <c r="QRQ23" s="7"/>
      <c r="QRR23" s="7"/>
      <c r="QRS23" s="7"/>
      <c r="QRT23" s="7"/>
      <c r="QRU23" s="7"/>
      <c r="QRV23" s="7"/>
      <c r="QRW23" s="7"/>
      <c r="QRX23" s="7"/>
      <c r="QRY23" s="7"/>
      <c r="QRZ23" s="7"/>
      <c r="QSA23" s="7"/>
      <c r="QSB23" s="7"/>
      <c r="QSC23" s="7"/>
      <c r="QSD23" s="7"/>
      <c r="QSE23" s="7"/>
      <c r="QSF23" s="7"/>
      <c r="QSG23" s="7"/>
      <c r="QSH23" s="7"/>
      <c r="QSI23" s="7"/>
      <c r="QSJ23" s="7"/>
      <c r="QSK23" s="7"/>
      <c r="QSL23" s="7"/>
      <c r="QSM23" s="7"/>
      <c r="QSN23" s="7"/>
      <c r="QSO23" s="7"/>
      <c r="QSP23" s="7"/>
      <c r="QSQ23" s="7"/>
      <c r="QSR23" s="7"/>
      <c r="QSS23" s="7"/>
      <c r="QST23" s="7"/>
      <c r="QSU23" s="7"/>
      <c r="QSV23" s="7"/>
      <c r="QSW23" s="7"/>
      <c r="QSX23" s="7"/>
      <c r="QSY23" s="7"/>
      <c r="QSZ23" s="7"/>
      <c r="QTA23" s="7"/>
      <c r="QTB23" s="7"/>
      <c r="QTC23" s="7"/>
      <c r="QTD23" s="7"/>
      <c r="QTE23" s="7"/>
      <c r="QTF23" s="7"/>
      <c r="QTG23" s="7"/>
      <c r="QTH23" s="7"/>
      <c r="QTI23" s="7"/>
      <c r="QTJ23" s="7"/>
      <c r="QTK23" s="7"/>
      <c r="QTL23" s="7"/>
      <c r="QTM23" s="7"/>
      <c r="QTN23" s="7"/>
      <c r="QTO23" s="7"/>
      <c r="QTP23" s="7"/>
      <c r="QTQ23" s="7"/>
      <c r="QTR23" s="7"/>
      <c r="QTS23" s="7"/>
      <c r="QTT23" s="7"/>
      <c r="QTU23" s="7"/>
      <c r="QTV23" s="7"/>
      <c r="QTW23" s="7"/>
      <c r="QTX23" s="7"/>
      <c r="QTY23" s="7"/>
      <c r="QTZ23" s="7"/>
      <c r="QUA23" s="7"/>
      <c r="QUB23" s="7"/>
      <c r="QUC23" s="7"/>
      <c r="QUD23" s="7"/>
      <c r="QUE23" s="7"/>
      <c r="QUF23" s="7"/>
      <c r="QUG23" s="7"/>
      <c r="QUH23" s="7"/>
      <c r="QUI23" s="7"/>
      <c r="QUJ23" s="7"/>
      <c r="QUK23" s="7"/>
      <c r="QUL23" s="7"/>
      <c r="QUM23" s="7"/>
      <c r="QUN23" s="7"/>
      <c r="QUO23" s="7"/>
      <c r="QUP23" s="7"/>
      <c r="QUQ23" s="7"/>
      <c r="QUR23" s="7"/>
      <c r="QUS23" s="7"/>
      <c r="QUT23" s="7"/>
      <c r="QUU23" s="7"/>
      <c r="QUV23" s="7"/>
      <c r="QUW23" s="7"/>
      <c r="QUX23" s="7"/>
      <c r="QUY23" s="7"/>
      <c r="QUZ23" s="7"/>
      <c r="QVA23" s="7"/>
      <c r="QVB23" s="7"/>
      <c r="QVC23" s="7"/>
      <c r="QVD23" s="7"/>
      <c r="QVE23" s="7"/>
      <c r="QVF23" s="7"/>
      <c r="QVG23" s="7"/>
      <c r="QVH23" s="7"/>
      <c r="QVI23" s="7"/>
      <c r="QVJ23" s="7"/>
      <c r="QVK23" s="7"/>
      <c r="QVL23" s="7"/>
      <c r="QVM23" s="7"/>
      <c r="QVN23" s="7"/>
      <c r="QVO23" s="7"/>
      <c r="QVP23" s="7"/>
      <c r="QVQ23" s="7"/>
      <c r="QVR23" s="7"/>
      <c r="QVS23" s="7"/>
      <c r="QVT23" s="7"/>
      <c r="QVU23" s="7"/>
      <c r="QVV23" s="7"/>
      <c r="QVW23" s="7"/>
      <c r="QVX23" s="7"/>
      <c r="QVY23" s="7"/>
      <c r="QVZ23" s="7"/>
      <c r="QWA23" s="7"/>
      <c r="QWB23" s="7"/>
      <c r="QWC23" s="7"/>
      <c r="QWD23" s="7"/>
      <c r="QWE23" s="7"/>
      <c r="QWF23" s="7"/>
      <c r="QWG23" s="7"/>
      <c r="QWH23" s="7"/>
      <c r="QWI23" s="7"/>
      <c r="QWJ23" s="7"/>
      <c r="QWK23" s="7"/>
      <c r="QWL23" s="7"/>
      <c r="QWM23" s="7"/>
      <c r="QWN23" s="7"/>
      <c r="QWO23" s="7"/>
      <c r="QWP23" s="7"/>
      <c r="QWQ23" s="7"/>
      <c r="QWR23" s="7"/>
      <c r="QWS23" s="7"/>
      <c r="QWT23" s="7"/>
      <c r="QWU23" s="7"/>
      <c r="QWV23" s="7"/>
      <c r="QWW23" s="7"/>
      <c r="QWX23" s="7"/>
      <c r="QWY23" s="7"/>
      <c r="QWZ23" s="7"/>
      <c r="QXA23" s="7"/>
      <c r="QXB23" s="7"/>
      <c r="QXC23" s="7"/>
      <c r="QXD23" s="7"/>
      <c r="QXE23" s="7"/>
      <c r="QXF23" s="7"/>
      <c r="QXG23" s="7"/>
      <c r="QXH23" s="7"/>
      <c r="QXI23" s="7"/>
      <c r="QXJ23" s="7"/>
      <c r="QXK23" s="7"/>
      <c r="QXL23" s="7"/>
      <c r="QXM23" s="7"/>
      <c r="QXN23" s="7"/>
      <c r="QXO23" s="7"/>
      <c r="QXP23" s="7"/>
      <c r="QXQ23" s="7"/>
      <c r="QXR23" s="7"/>
      <c r="QXS23" s="7"/>
      <c r="QXT23" s="7"/>
      <c r="QXU23" s="7"/>
      <c r="QXV23" s="7"/>
      <c r="QXW23" s="7"/>
      <c r="QXX23" s="7"/>
      <c r="QXY23" s="7"/>
      <c r="QXZ23" s="7"/>
      <c r="QYA23" s="7"/>
      <c r="QYB23" s="7"/>
      <c r="QYC23" s="7"/>
      <c r="QYD23" s="7"/>
      <c r="QYE23" s="7"/>
      <c r="QYF23" s="7"/>
      <c r="QYG23" s="7"/>
      <c r="QYH23" s="7"/>
      <c r="QYI23" s="7"/>
      <c r="QYJ23" s="7"/>
      <c r="QYK23" s="7"/>
      <c r="QYL23" s="7"/>
      <c r="QYM23" s="7"/>
      <c r="QYN23" s="7"/>
      <c r="QYO23" s="7"/>
      <c r="QYP23" s="7"/>
      <c r="QYQ23" s="7"/>
      <c r="QYR23" s="7"/>
      <c r="QYS23" s="7"/>
      <c r="QYT23" s="7"/>
      <c r="QYU23" s="7"/>
      <c r="QYV23" s="7"/>
      <c r="QYW23" s="7"/>
      <c r="QYX23" s="7"/>
      <c r="QYY23" s="7"/>
      <c r="QYZ23" s="7"/>
      <c r="QZA23" s="7"/>
      <c r="QZB23" s="7"/>
      <c r="QZC23" s="7"/>
      <c r="QZD23" s="7"/>
      <c r="QZE23" s="7"/>
      <c r="QZF23" s="7"/>
      <c r="QZG23" s="7"/>
      <c r="QZH23" s="7"/>
      <c r="QZI23" s="7"/>
      <c r="QZJ23" s="7"/>
      <c r="QZK23" s="7"/>
      <c r="QZL23" s="7"/>
      <c r="QZM23" s="7"/>
      <c r="QZN23" s="7"/>
      <c r="QZO23" s="7"/>
      <c r="QZP23" s="7"/>
      <c r="QZQ23" s="7"/>
      <c r="QZR23" s="7"/>
      <c r="QZS23" s="7"/>
      <c r="QZT23" s="7"/>
      <c r="QZU23" s="7"/>
      <c r="QZV23" s="7"/>
      <c r="QZW23" s="7"/>
      <c r="QZX23" s="7"/>
      <c r="QZY23" s="7"/>
      <c r="QZZ23" s="7"/>
      <c r="RAA23" s="7"/>
      <c r="RAB23" s="7"/>
      <c r="RAC23" s="7"/>
      <c r="RAD23" s="7"/>
      <c r="RAE23" s="7"/>
      <c r="RAF23" s="7"/>
      <c r="RAG23" s="7"/>
      <c r="RAH23" s="7"/>
      <c r="RAI23" s="7"/>
      <c r="RAJ23" s="7"/>
      <c r="RAK23" s="7"/>
      <c r="RAL23" s="7"/>
      <c r="RAM23" s="7"/>
      <c r="RAN23" s="7"/>
      <c r="RAO23" s="7"/>
      <c r="RAP23" s="7"/>
      <c r="RAQ23" s="7"/>
      <c r="RAR23" s="7"/>
      <c r="RAS23" s="7"/>
      <c r="RAT23" s="7"/>
      <c r="RAU23" s="7"/>
      <c r="RAV23" s="7"/>
      <c r="RAW23" s="7"/>
      <c r="RAX23" s="7"/>
      <c r="RAY23" s="7"/>
      <c r="RAZ23" s="7"/>
      <c r="RBA23" s="7"/>
      <c r="RBB23" s="7"/>
      <c r="RBC23" s="7"/>
      <c r="RBD23" s="7"/>
      <c r="RBE23" s="7"/>
      <c r="RBF23" s="7"/>
      <c r="RBG23" s="7"/>
      <c r="RBH23" s="7"/>
      <c r="RBI23" s="7"/>
      <c r="RBJ23" s="7"/>
      <c r="RBK23" s="7"/>
      <c r="RBL23" s="7"/>
      <c r="RBM23" s="7"/>
      <c r="RBN23" s="7"/>
      <c r="RBO23" s="7"/>
      <c r="RBP23" s="7"/>
      <c r="RBQ23" s="7"/>
      <c r="RBR23" s="7"/>
      <c r="RBS23" s="7"/>
      <c r="RBT23" s="7"/>
      <c r="RBU23" s="7"/>
      <c r="RBV23" s="7"/>
      <c r="RBW23" s="7"/>
      <c r="RBX23" s="7"/>
      <c r="RBY23" s="7"/>
      <c r="RBZ23" s="7"/>
      <c r="RCA23" s="7"/>
      <c r="RCB23" s="7"/>
      <c r="RCC23" s="7"/>
      <c r="RCD23" s="7"/>
      <c r="RCE23" s="7"/>
      <c r="RCF23" s="7"/>
      <c r="RCG23" s="7"/>
      <c r="RCH23" s="7"/>
      <c r="RCI23" s="7"/>
      <c r="RCJ23" s="7"/>
      <c r="RCK23" s="7"/>
      <c r="RCL23" s="7"/>
      <c r="RCM23" s="7"/>
      <c r="RCN23" s="7"/>
      <c r="RCO23" s="7"/>
      <c r="RCP23" s="7"/>
      <c r="RCQ23" s="7"/>
      <c r="RCR23" s="7"/>
      <c r="RCS23" s="7"/>
      <c r="RCT23" s="7"/>
      <c r="RCU23" s="7"/>
      <c r="RCV23" s="7"/>
      <c r="RCW23" s="7"/>
      <c r="RCX23" s="7"/>
      <c r="RCY23" s="7"/>
      <c r="RCZ23" s="7"/>
      <c r="RDA23" s="7"/>
      <c r="RDB23" s="7"/>
      <c r="RDC23" s="7"/>
      <c r="RDD23" s="7"/>
      <c r="RDE23" s="7"/>
      <c r="RDF23" s="7"/>
      <c r="RDG23" s="7"/>
      <c r="RDH23" s="7"/>
      <c r="RDI23" s="7"/>
      <c r="RDJ23" s="7"/>
      <c r="RDK23" s="7"/>
      <c r="RDL23" s="7"/>
      <c r="RDM23" s="7"/>
      <c r="RDN23" s="7"/>
      <c r="RDO23" s="7"/>
      <c r="RDP23" s="7"/>
      <c r="RDQ23" s="7"/>
      <c r="RDR23" s="7"/>
      <c r="RDS23" s="7"/>
      <c r="RDT23" s="7"/>
      <c r="RDU23" s="7"/>
      <c r="RDV23" s="7"/>
      <c r="RDW23" s="7"/>
      <c r="RDX23" s="7"/>
      <c r="RDY23" s="7"/>
      <c r="RDZ23" s="7"/>
      <c r="REA23" s="7"/>
      <c r="REB23" s="7"/>
      <c r="REC23" s="7"/>
      <c r="RED23" s="7"/>
      <c r="REE23" s="7"/>
      <c r="REF23" s="7"/>
      <c r="REG23" s="7"/>
      <c r="REH23" s="7"/>
      <c r="REI23" s="7"/>
      <c r="REJ23" s="7"/>
      <c r="REK23" s="7"/>
      <c r="REL23" s="7"/>
      <c r="REM23" s="7"/>
      <c r="REN23" s="7"/>
      <c r="REO23" s="7"/>
      <c r="REP23" s="7"/>
      <c r="REQ23" s="7"/>
      <c r="RER23" s="7"/>
      <c r="RES23" s="7"/>
      <c r="RET23" s="7"/>
      <c r="REU23" s="7"/>
      <c r="REV23" s="7"/>
      <c r="REW23" s="7"/>
      <c r="REX23" s="7"/>
      <c r="REY23" s="7"/>
      <c r="REZ23" s="7"/>
      <c r="RFA23" s="7"/>
      <c r="RFB23" s="7"/>
      <c r="RFC23" s="7"/>
      <c r="RFD23" s="7"/>
      <c r="RFE23" s="7"/>
      <c r="RFF23" s="7"/>
      <c r="RFG23" s="7"/>
      <c r="RFH23" s="7"/>
      <c r="RFI23" s="7"/>
      <c r="RFJ23" s="7"/>
      <c r="RFK23" s="7"/>
      <c r="RFL23" s="7"/>
      <c r="RFM23" s="7"/>
      <c r="RFN23" s="7"/>
      <c r="RFO23" s="7"/>
      <c r="RFP23" s="7"/>
      <c r="RFQ23" s="7"/>
      <c r="RFR23" s="7"/>
      <c r="RFS23" s="7"/>
      <c r="RFT23" s="7"/>
      <c r="RFU23" s="7"/>
      <c r="RFV23" s="7"/>
      <c r="RFW23" s="7"/>
      <c r="RFX23" s="7"/>
      <c r="RFY23" s="7"/>
      <c r="RFZ23" s="7"/>
      <c r="RGA23" s="7"/>
      <c r="RGB23" s="7"/>
      <c r="RGC23" s="7"/>
      <c r="RGD23" s="7"/>
      <c r="RGE23" s="7"/>
      <c r="RGF23" s="7"/>
      <c r="RGG23" s="7"/>
      <c r="RGH23" s="7"/>
      <c r="RGI23" s="7"/>
      <c r="RGJ23" s="7"/>
      <c r="RGK23" s="7"/>
      <c r="RGL23" s="7"/>
      <c r="RGM23" s="7"/>
      <c r="RGN23" s="7"/>
      <c r="RGO23" s="7"/>
      <c r="RGP23" s="7"/>
      <c r="RGQ23" s="7"/>
      <c r="RGR23" s="7"/>
      <c r="RGS23" s="7"/>
      <c r="RGT23" s="7"/>
      <c r="RGU23" s="7"/>
      <c r="RGV23" s="7"/>
      <c r="RGW23" s="7"/>
      <c r="RGX23" s="7"/>
      <c r="RGY23" s="7"/>
      <c r="RGZ23" s="7"/>
      <c r="RHA23" s="7"/>
      <c r="RHB23" s="7"/>
      <c r="RHC23" s="7"/>
      <c r="RHD23" s="7"/>
      <c r="RHE23" s="7"/>
      <c r="RHF23" s="7"/>
      <c r="RHG23" s="7"/>
      <c r="RHH23" s="7"/>
      <c r="RHI23" s="7"/>
      <c r="RHJ23" s="7"/>
      <c r="RHK23" s="7"/>
      <c r="RHL23" s="7"/>
      <c r="RHM23" s="7"/>
      <c r="RHN23" s="7"/>
      <c r="RHO23" s="7"/>
      <c r="RHP23" s="7"/>
      <c r="RHQ23" s="7"/>
      <c r="RHR23" s="7"/>
      <c r="RHS23" s="7"/>
      <c r="RHT23" s="7"/>
      <c r="RHU23" s="7"/>
      <c r="RHV23" s="7"/>
      <c r="RHW23" s="7"/>
      <c r="RHX23" s="7"/>
      <c r="RHY23" s="7"/>
      <c r="RHZ23" s="7"/>
      <c r="RIA23" s="7"/>
      <c r="RIB23" s="7"/>
      <c r="RIC23" s="7"/>
      <c r="RID23" s="7"/>
      <c r="RIE23" s="7"/>
      <c r="RIF23" s="7"/>
      <c r="RIG23" s="7"/>
      <c r="RIH23" s="7"/>
      <c r="RII23" s="7"/>
      <c r="RIJ23" s="7"/>
      <c r="RIK23" s="7"/>
      <c r="RIL23" s="7"/>
      <c r="RIM23" s="7"/>
      <c r="RIN23" s="7"/>
      <c r="RIO23" s="7"/>
      <c r="RIP23" s="7"/>
      <c r="RIQ23" s="7"/>
      <c r="RIR23" s="7"/>
      <c r="RIS23" s="7"/>
      <c r="RIT23" s="7"/>
      <c r="RIU23" s="7"/>
      <c r="RIV23" s="7"/>
      <c r="RIW23" s="7"/>
      <c r="RIX23" s="7"/>
      <c r="RIY23" s="7"/>
      <c r="RIZ23" s="7"/>
      <c r="RJA23" s="7"/>
      <c r="RJB23" s="7"/>
      <c r="RJC23" s="7"/>
      <c r="RJD23" s="7"/>
      <c r="RJE23" s="7"/>
      <c r="RJF23" s="7"/>
      <c r="RJG23" s="7"/>
      <c r="RJH23" s="7"/>
      <c r="RJI23" s="7"/>
      <c r="RJJ23" s="7"/>
      <c r="RJK23" s="7"/>
      <c r="RJL23" s="7"/>
      <c r="RJM23" s="7"/>
      <c r="RJN23" s="7"/>
      <c r="RJO23" s="7"/>
      <c r="RJP23" s="7"/>
      <c r="RJQ23" s="7"/>
      <c r="RJR23" s="7"/>
      <c r="RJS23" s="7"/>
      <c r="RJT23" s="7"/>
      <c r="RJU23" s="7"/>
      <c r="RJV23" s="7"/>
      <c r="RJW23" s="7"/>
      <c r="RJX23" s="7"/>
      <c r="RJY23" s="7"/>
      <c r="RJZ23" s="7"/>
      <c r="RKA23" s="7"/>
      <c r="RKB23" s="7"/>
      <c r="RKC23" s="7"/>
      <c r="RKD23" s="7"/>
      <c r="RKE23" s="7"/>
      <c r="RKF23" s="7"/>
      <c r="RKG23" s="7"/>
      <c r="RKH23" s="7"/>
      <c r="RKI23" s="7"/>
      <c r="RKJ23" s="7"/>
      <c r="RKK23" s="7"/>
      <c r="RKL23" s="7"/>
      <c r="RKM23" s="7"/>
      <c r="RKN23" s="7"/>
      <c r="RKO23" s="7"/>
      <c r="RKP23" s="7"/>
      <c r="RKQ23" s="7"/>
      <c r="RKR23" s="7"/>
      <c r="RKS23" s="7"/>
      <c r="RKT23" s="7"/>
      <c r="RKU23" s="7"/>
      <c r="RKV23" s="7"/>
      <c r="RKW23" s="7"/>
      <c r="RKX23" s="7"/>
      <c r="RKY23" s="7"/>
      <c r="RKZ23" s="7"/>
      <c r="RLA23" s="7"/>
      <c r="RLB23" s="7"/>
      <c r="RLC23" s="7"/>
      <c r="RLD23" s="7"/>
      <c r="RLE23" s="7"/>
      <c r="RLF23" s="7"/>
      <c r="RLG23" s="7"/>
      <c r="RLH23" s="7"/>
      <c r="RLI23" s="7"/>
      <c r="RLJ23" s="7"/>
      <c r="RLK23" s="7"/>
      <c r="RLL23" s="7"/>
      <c r="RLM23" s="7"/>
      <c r="RLN23" s="7"/>
      <c r="RLO23" s="7"/>
      <c r="RLP23" s="7"/>
      <c r="RLQ23" s="7"/>
      <c r="RLR23" s="7"/>
      <c r="RLS23" s="7"/>
      <c r="RLT23" s="7"/>
      <c r="RLU23" s="7"/>
      <c r="RLV23" s="7"/>
      <c r="RLW23" s="7"/>
      <c r="RLX23" s="7"/>
      <c r="RLY23" s="7"/>
      <c r="RLZ23" s="7"/>
      <c r="RMA23" s="7"/>
      <c r="RMB23" s="7"/>
      <c r="RMC23" s="7"/>
      <c r="RMD23" s="7"/>
      <c r="RME23" s="7"/>
      <c r="RMF23" s="7"/>
      <c r="RMG23" s="7"/>
      <c r="RMH23" s="7"/>
      <c r="RMI23" s="7"/>
      <c r="RMJ23" s="7"/>
      <c r="RMK23" s="7"/>
      <c r="RML23" s="7"/>
      <c r="RMM23" s="7"/>
      <c r="RMN23" s="7"/>
      <c r="RMO23" s="7"/>
      <c r="RMP23" s="7"/>
      <c r="RMQ23" s="7"/>
      <c r="RMR23" s="7"/>
      <c r="RMS23" s="7"/>
      <c r="RMT23" s="7"/>
      <c r="RMU23" s="7"/>
      <c r="RMV23" s="7"/>
      <c r="RMW23" s="7"/>
      <c r="RMX23" s="7"/>
      <c r="RMY23" s="7"/>
      <c r="RMZ23" s="7"/>
      <c r="RNA23" s="7"/>
      <c r="RNB23" s="7"/>
      <c r="RNC23" s="7"/>
      <c r="RND23" s="7"/>
      <c r="RNE23" s="7"/>
      <c r="RNF23" s="7"/>
      <c r="RNG23" s="7"/>
      <c r="RNH23" s="7"/>
      <c r="RNI23" s="7"/>
      <c r="RNJ23" s="7"/>
      <c r="RNK23" s="7"/>
      <c r="RNL23" s="7"/>
      <c r="RNM23" s="7"/>
      <c r="RNN23" s="7"/>
      <c r="RNO23" s="7"/>
      <c r="RNP23" s="7"/>
      <c r="RNQ23" s="7"/>
      <c r="RNR23" s="7"/>
      <c r="RNS23" s="7"/>
      <c r="RNT23" s="7"/>
      <c r="RNU23" s="7"/>
      <c r="RNV23" s="7"/>
      <c r="RNW23" s="7"/>
      <c r="RNX23" s="7"/>
      <c r="RNY23" s="7"/>
      <c r="RNZ23" s="7"/>
      <c r="ROA23" s="7"/>
      <c r="ROB23" s="7"/>
      <c r="ROC23" s="7"/>
      <c r="ROD23" s="7"/>
      <c r="ROE23" s="7"/>
      <c r="ROF23" s="7"/>
      <c r="ROG23" s="7"/>
      <c r="ROH23" s="7"/>
      <c r="ROI23" s="7"/>
      <c r="ROJ23" s="7"/>
      <c r="ROK23" s="7"/>
      <c r="ROL23" s="7"/>
      <c r="ROM23" s="7"/>
      <c r="RON23" s="7"/>
      <c r="ROO23" s="7"/>
      <c r="ROP23" s="7"/>
      <c r="ROQ23" s="7"/>
      <c r="ROR23" s="7"/>
      <c r="ROS23" s="7"/>
      <c r="ROT23" s="7"/>
      <c r="ROU23" s="7"/>
      <c r="ROV23" s="7"/>
      <c r="ROW23" s="7"/>
      <c r="ROX23" s="7"/>
      <c r="ROY23" s="7"/>
      <c r="ROZ23" s="7"/>
      <c r="RPA23" s="7"/>
      <c r="RPB23" s="7"/>
      <c r="RPC23" s="7"/>
      <c r="RPD23" s="7"/>
      <c r="RPE23" s="7"/>
      <c r="RPF23" s="7"/>
      <c r="RPG23" s="7"/>
      <c r="RPH23" s="7"/>
      <c r="RPI23" s="7"/>
      <c r="RPJ23" s="7"/>
      <c r="RPK23" s="7"/>
      <c r="RPL23" s="7"/>
      <c r="RPM23" s="7"/>
      <c r="RPN23" s="7"/>
      <c r="RPO23" s="7"/>
      <c r="RPP23" s="7"/>
      <c r="RPQ23" s="7"/>
      <c r="RPR23" s="7"/>
      <c r="RPS23" s="7"/>
      <c r="RPT23" s="7"/>
      <c r="RPU23" s="7"/>
      <c r="RPV23" s="7"/>
      <c r="RPW23" s="7"/>
      <c r="RPX23" s="7"/>
      <c r="RPY23" s="7"/>
      <c r="RPZ23" s="7"/>
      <c r="RQA23" s="7"/>
      <c r="RQB23" s="7"/>
      <c r="RQC23" s="7"/>
      <c r="RQD23" s="7"/>
      <c r="RQE23" s="7"/>
      <c r="RQF23" s="7"/>
      <c r="RQG23" s="7"/>
      <c r="RQH23" s="7"/>
      <c r="RQI23" s="7"/>
      <c r="RQJ23" s="7"/>
      <c r="RQK23" s="7"/>
      <c r="RQL23" s="7"/>
      <c r="RQM23" s="7"/>
      <c r="RQN23" s="7"/>
      <c r="RQO23" s="7"/>
      <c r="RQP23" s="7"/>
      <c r="RQQ23" s="7"/>
      <c r="RQR23" s="7"/>
      <c r="RQS23" s="7"/>
      <c r="RQT23" s="7"/>
      <c r="RQU23" s="7"/>
      <c r="RQV23" s="7"/>
      <c r="RQW23" s="7"/>
      <c r="RQX23" s="7"/>
      <c r="RQY23" s="7"/>
      <c r="RQZ23" s="7"/>
      <c r="RRA23" s="7"/>
      <c r="RRB23" s="7"/>
      <c r="RRC23" s="7"/>
      <c r="RRD23" s="7"/>
      <c r="RRE23" s="7"/>
      <c r="RRF23" s="7"/>
      <c r="RRG23" s="7"/>
      <c r="RRH23" s="7"/>
      <c r="RRI23" s="7"/>
      <c r="RRJ23" s="7"/>
      <c r="RRK23" s="7"/>
      <c r="RRL23" s="7"/>
      <c r="RRM23" s="7"/>
      <c r="RRN23" s="7"/>
      <c r="RRO23" s="7"/>
      <c r="RRP23" s="7"/>
      <c r="RRQ23" s="7"/>
      <c r="RRR23" s="7"/>
      <c r="RRS23" s="7"/>
      <c r="RRT23" s="7"/>
      <c r="RRU23" s="7"/>
      <c r="RRV23" s="7"/>
      <c r="RRW23" s="7"/>
      <c r="RRX23" s="7"/>
      <c r="RRY23" s="7"/>
      <c r="RRZ23" s="7"/>
      <c r="RSA23" s="7"/>
      <c r="RSB23" s="7"/>
      <c r="RSC23" s="7"/>
      <c r="RSD23" s="7"/>
      <c r="RSE23" s="7"/>
      <c r="RSF23" s="7"/>
      <c r="RSG23" s="7"/>
      <c r="RSH23" s="7"/>
      <c r="RSI23" s="7"/>
      <c r="RSJ23" s="7"/>
      <c r="RSK23" s="7"/>
      <c r="RSL23" s="7"/>
      <c r="RSM23" s="7"/>
      <c r="RSN23" s="7"/>
      <c r="RSO23" s="7"/>
      <c r="RSP23" s="7"/>
      <c r="RSQ23" s="7"/>
      <c r="RSR23" s="7"/>
      <c r="RSS23" s="7"/>
      <c r="RST23" s="7"/>
      <c r="RSU23" s="7"/>
      <c r="RSV23" s="7"/>
      <c r="RSW23" s="7"/>
      <c r="RSX23" s="7"/>
      <c r="RSY23" s="7"/>
      <c r="RSZ23" s="7"/>
      <c r="RTA23" s="7"/>
      <c r="RTB23" s="7"/>
      <c r="RTC23" s="7"/>
      <c r="RTD23" s="7"/>
      <c r="RTE23" s="7"/>
      <c r="RTF23" s="7"/>
      <c r="RTG23" s="7"/>
      <c r="RTH23" s="7"/>
      <c r="RTI23" s="7"/>
      <c r="RTJ23" s="7"/>
      <c r="RTK23" s="7"/>
      <c r="RTL23" s="7"/>
      <c r="RTM23" s="7"/>
      <c r="RTN23" s="7"/>
      <c r="RTO23" s="7"/>
      <c r="RTP23" s="7"/>
      <c r="RTQ23" s="7"/>
      <c r="RTR23" s="7"/>
      <c r="RTS23" s="7"/>
      <c r="RTT23" s="7"/>
      <c r="RTU23" s="7"/>
      <c r="RTV23" s="7"/>
      <c r="RTW23" s="7"/>
      <c r="RTX23" s="7"/>
      <c r="RTY23" s="7"/>
      <c r="RTZ23" s="7"/>
      <c r="RUA23" s="7"/>
      <c r="RUB23" s="7"/>
      <c r="RUC23" s="7"/>
      <c r="RUD23" s="7"/>
      <c r="RUE23" s="7"/>
      <c r="RUF23" s="7"/>
      <c r="RUG23" s="7"/>
      <c r="RUH23" s="7"/>
      <c r="RUI23" s="7"/>
      <c r="RUJ23" s="7"/>
      <c r="RUK23" s="7"/>
      <c r="RUL23" s="7"/>
      <c r="RUM23" s="7"/>
      <c r="RUN23" s="7"/>
      <c r="RUO23" s="7"/>
      <c r="RUP23" s="7"/>
      <c r="RUQ23" s="7"/>
      <c r="RUR23" s="7"/>
      <c r="RUS23" s="7"/>
      <c r="RUT23" s="7"/>
      <c r="RUU23" s="7"/>
      <c r="RUV23" s="7"/>
      <c r="RUW23" s="7"/>
      <c r="RUX23" s="7"/>
      <c r="RUY23" s="7"/>
      <c r="RUZ23" s="7"/>
      <c r="RVA23" s="7"/>
      <c r="RVB23" s="7"/>
      <c r="RVC23" s="7"/>
      <c r="RVD23" s="7"/>
      <c r="RVE23" s="7"/>
      <c r="RVF23" s="7"/>
      <c r="RVG23" s="7"/>
      <c r="RVH23" s="7"/>
      <c r="RVI23" s="7"/>
      <c r="RVJ23" s="7"/>
      <c r="RVK23" s="7"/>
      <c r="RVL23" s="7"/>
      <c r="RVM23" s="7"/>
      <c r="RVN23" s="7"/>
      <c r="RVO23" s="7"/>
      <c r="RVP23" s="7"/>
      <c r="RVQ23" s="7"/>
      <c r="RVR23" s="7"/>
      <c r="RVS23" s="7"/>
      <c r="RVT23" s="7"/>
      <c r="RVU23" s="7"/>
      <c r="RVV23" s="7"/>
      <c r="RVW23" s="7"/>
      <c r="RVX23" s="7"/>
      <c r="RVY23" s="7"/>
      <c r="RVZ23" s="7"/>
      <c r="RWA23" s="7"/>
      <c r="RWB23" s="7"/>
      <c r="RWC23" s="7"/>
      <c r="RWD23" s="7"/>
      <c r="RWE23" s="7"/>
      <c r="RWF23" s="7"/>
      <c r="RWG23" s="7"/>
      <c r="RWH23" s="7"/>
      <c r="RWI23" s="7"/>
      <c r="RWJ23" s="7"/>
      <c r="RWK23" s="7"/>
      <c r="RWL23" s="7"/>
      <c r="RWM23" s="7"/>
      <c r="RWN23" s="7"/>
      <c r="RWO23" s="7"/>
      <c r="RWP23" s="7"/>
      <c r="RWQ23" s="7"/>
      <c r="RWR23" s="7"/>
      <c r="RWS23" s="7"/>
      <c r="RWT23" s="7"/>
      <c r="RWU23" s="7"/>
      <c r="RWV23" s="7"/>
      <c r="RWW23" s="7"/>
      <c r="RWX23" s="7"/>
      <c r="RWY23" s="7"/>
      <c r="RWZ23" s="7"/>
      <c r="RXA23" s="7"/>
      <c r="RXB23" s="7"/>
      <c r="RXC23" s="7"/>
      <c r="RXD23" s="7"/>
      <c r="RXE23" s="7"/>
      <c r="RXF23" s="7"/>
      <c r="RXG23" s="7"/>
      <c r="RXH23" s="7"/>
      <c r="RXI23" s="7"/>
      <c r="RXJ23" s="7"/>
      <c r="RXK23" s="7"/>
      <c r="RXL23" s="7"/>
      <c r="RXM23" s="7"/>
      <c r="RXN23" s="7"/>
      <c r="RXO23" s="7"/>
      <c r="RXP23" s="7"/>
      <c r="RXQ23" s="7"/>
      <c r="RXR23" s="7"/>
      <c r="RXS23" s="7"/>
      <c r="RXT23" s="7"/>
      <c r="RXU23" s="7"/>
      <c r="RXV23" s="7"/>
      <c r="RXW23" s="7"/>
      <c r="RXX23" s="7"/>
      <c r="RXY23" s="7"/>
      <c r="RXZ23" s="7"/>
      <c r="RYA23" s="7"/>
      <c r="RYB23" s="7"/>
      <c r="RYC23" s="7"/>
      <c r="RYD23" s="7"/>
      <c r="RYE23" s="7"/>
      <c r="RYF23" s="7"/>
      <c r="RYG23" s="7"/>
      <c r="RYH23" s="7"/>
      <c r="RYI23" s="7"/>
      <c r="RYJ23" s="7"/>
      <c r="RYK23" s="7"/>
      <c r="RYL23" s="7"/>
      <c r="RYM23" s="7"/>
      <c r="RYN23" s="7"/>
      <c r="RYO23" s="7"/>
      <c r="RYP23" s="7"/>
      <c r="RYQ23" s="7"/>
      <c r="RYR23" s="7"/>
      <c r="RYS23" s="7"/>
      <c r="RYT23" s="7"/>
      <c r="RYU23" s="7"/>
      <c r="RYV23" s="7"/>
      <c r="RYW23" s="7"/>
      <c r="RYX23" s="7"/>
      <c r="RYY23" s="7"/>
      <c r="RYZ23" s="7"/>
      <c r="RZA23" s="7"/>
      <c r="RZB23" s="7"/>
      <c r="RZC23" s="7"/>
      <c r="RZD23" s="7"/>
      <c r="RZE23" s="7"/>
      <c r="RZF23" s="7"/>
      <c r="RZG23" s="7"/>
      <c r="RZH23" s="7"/>
      <c r="RZI23" s="7"/>
      <c r="RZJ23" s="7"/>
      <c r="RZK23" s="7"/>
      <c r="RZL23" s="7"/>
      <c r="RZM23" s="7"/>
      <c r="RZN23" s="7"/>
      <c r="RZO23" s="7"/>
      <c r="RZP23" s="7"/>
      <c r="RZQ23" s="7"/>
      <c r="RZR23" s="7"/>
      <c r="RZS23" s="7"/>
      <c r="RZT23" s="7"/>
      <c r="RZU23" s="7"/>
      <c r="RZV23" s="7"/>
      <c r="RZW23" s="7"/>
      <c r="RZX23" s="7"/>
      <c r="RZY23" s="7"/>
      <c r="RZZ23" s="7"/>
      <c r="SAA23" s="7"/>
      <c r="SAB23" s="7"/>
      <c r="SAC23" s="7"/>
      <c r="SAD23" s="7"/>
      <c r="SAE23" s="7"/>
      <c r="SAF23" s="7"/>
      <c r="SAG23" s="7"/>
      <c r="SAH23" s="7"/>
      <c r="SAI23" s="7"/>
      <c r="SAJ23" s="7"/>
      <c r="SAK23" s="7"/>
      <c r="SAL23" s="7"/>
      <c r="SAM23" s="7"/>
      <c r="SAN23" s="7"/>
      <c r="SAO23" s="7"/>
      <c r="SAP23" s="7"/>
      <c r="SAQ23" s="7"/>
      <c r="SAR23" s="7"/>
      <c r="SAS23" s="7"/>
      <c r="SAT23" s="7"/>
      <c r="SAU23" s="7"/>
      <c r="SAV23" s="7"/>
      <c r="SAW23" s="7"/>
      <c r="SAX23" s="7"/>
      <c r="SAY23" s="7"/>
      <c r="SAZ23" s="7"/>
      <c r="SBA23" s="7"/>
      <c r="SBB23" s="7"/>
      <c r="SBC23" s="7"/>
      <c r="SBD23" s="7"/>
      <c r="SBE23" s="7"/>
      <c r="SBF23" s="7"/>
      <c r="SBG23" s="7"/>
      <c r="SBH23" s="7"/>
      <c r="SBI23" s="7"/>
      <c r="SBJ23" s="7"/>
      <c r="SBK23" s="7"/>
      <c r="SBL23" s="7"/>
      <c r="SBM23" s="7"/>
      <c r="SBN23" s="7"/>
      <c r="SBO23" s="7"/>
      <c r="SBP23" s="7"/>
      <c r="SBQ23" s="7"/>
      <c r="SBR23" s="7"/>
      <c r="SBS23" s="7"/>
      <c r="SBT23" s="7"/>
      <c r="SBU23" s="7"/>
      <c r="SBV23" s="7"/>
      <c r="SBW23" s="7"/>
      <c r="SBX23" s="7"/>
      <c r="SBY23" s="7"/>
      <c r="SBZ23" s="7"/>
      <c r="SCA23" s="7"/>
      <c r="SCB23" s="7"/>
      <c r="SCC23" s="7"/>
      <c r="SCD23" s="7"/>
      <c r="SCE23" s="7"/>
      <c r="SCF23" s="7"/>
      <c r="SCG23" s="7"/>
      <c r="SCH23" s="7"/>
      <c r="SCI23" s="7"/>
      <c r="SCJ23" s="7"/>
      <c r="SCK23" s="7"/>
      <c r="SCL23" s="7"/>
      <c r="SCM23" s="7"/>
      <c r="SCN23" s="7"/>
      <c r="SCO23" s="7"/>
      <c r="SCP23" s="7"/>
      <c r="SCQ23" s="7"/>
      <c r="SCR23" s="7"/>
      <c r="SCS23" s="7"/>
      <c r="SCT23" s="7"/>
      <c r="SCU23" s="7"/>
      <c r="SCV23" s="7"/>
      <c r="SCW23" s="7"/>
      <c r="SCX23" s="7"/>
      <c r="SCY23" s="7"/>
      <c r="SCZ23" s="7"/>
      <c r="SDA23" s="7"/>
      <c r="SDB23" s="7"/>
      <c r="SDC23" s="7"/>
      <c r="SDD23" s="7"/>
      <c r="SDE23" s="7"/>
      <c r="SDF23" s="7"/>
      <c r="SDG23" s="7"/>
      <c r="SDH23" s="7"/>
      <c r="SDI23" s="7"/>
      <c r="SDJ23" s="7"/>
      <c r="SDK23" s="7"/>
      <c r="SDL23" s="7"/>
      <c r="SDM23" s="7"/>
      <c r="SDN23" s="7"/>
      <c r="SDO23" s="7"/>
      <c r="SDP23" s="7"/>
      <c r="SDQ23" s="7"/>
      <c r="SDR23" s="7"/>
      <c r="SDS23" s="7"/>
      <c r="SDT23" s="7"/>
      <c r="SDU23" s="7"/>
      <c r="SDV23" s="7"/>
      <c r="SDW23" s="7"/>
      <c r="SDX23" s="7"/>
      <c r="SDY23" s="7"/>
      <c r="SDZ23" s="7"/>
      <c r="SEA23" s="7"/>
      <c r="SEB23" s="7"/>
      <c r="SEC23" s="7"/>
      <c r="SED23" s="7"/>
      <c r="SEE23" s="7"/>
      <c r="SEF23" s="7"/>
      <c r="SEG23" s="7"/>
      <c r="SEH23" s="7"/>
      <c r="SEI23" s="7"/>
      <c r="SEJ23" s="7"/>
      <c r="SEK23" s="7"/>
      <c r="SEL23" s="7"/>
      <c r="SEM23" s="7"/>
      <c r="SEN23" s="7"/>
      <c r="SEO23" s="7"/>
      <c r="SEP23" s="7"/>
      <c r="SEQ23" s="7"/>
      <c r="SER23" s="7"/>
      <c r="SES23" s="7"/>
      <c r="SET23" s="7"/>
      <c r="SEU23" s="7"/>
      <c r="SEV23" s="7"/>
      <c r="SEW23" s="7"/>
      <c r="SEX23" s="7"/>
      <c r="SEY23" s="7"/>
      <c r="SEZ23" s="7"/>
      <c r="SFA23" s="7"/>
      <c r="SFB23" s="7"/>
      <c r="SFC23" s="7"/>
      <c r="SFD23" s="7"/>
      <c r="SFE23" s="7"/>
      <c r="SFF23" s="7"/>
      <c r="SFG23" s="7"/>
      <c r="SFH23" s="7"/>
      <c r="SFI23" s="7"/>
      <c r="SFJ23" s="7"/>
      <c r="SFK23" s="7"/>
      <c r="SFL23" s="7"/>
      <c r="SFM23" s="7"/>
      <c r="SFN23" s="7"/>
      <c r="SFO23" s="7"/>
      <c r="SFP23" s="7"/>
      <c r="SFQ23" s="7"/>
      <c r="SFR23" s="7"/>
      <c r="SFS23" s="7"/>
      <c r="SFT23" s="7"/>
      <c r="SFU23" s="7"/>
      <c r="SFV23" s="7"/>
      <c r="SFW23" s="7"/>
      <c r="SFX23" s="7"/>
      <c r="SFY23" s="7"/>
      <c r="SFZ23" s="7"/>
      <c r="SGA23" s="7"/>
      <c r="SGB23" s="7"/>
      <c r="SGC23" s="7"/>
      <c r="SGD23" s="7"/>
      <c r="SGE23" s="7"/>
      <c r="SGF23" s="7"/>
      <c r="SGG23" s="7"/>
      <c r="SGH23" s="7"/>
      <c r="SGI23" s="7"/>
      <c r="SGJ23" s="7"/>
      <c r="SGK23" s="7"/>
      <c r="SGL23" s="7"/>
      <c r="SGM23" s="7"/>
      <c r="SGN23" s="7"/>
      <c r="SGO23" s="7"/>
      <c r="SGP23" s="7"/>
      <c r="SGQ23" s="7"/>
      <c r="SGR23" s="7"/>
      <c r="SGS23" s="7"/>
      <c r="SGT23" s="7"/>
      <c r="SGU23" s="7"/>
      <c r="SGV23" s="7"/>
      <c r="SGW23" s="7"/>
      <c r="SGX23" s="7"/>
      <c r="SGY23" s="7"/>
      <c r="SGZ23" s="7"/>
      <c r="SHA23" s="7"/>
      <c r="SHB23" s="7"/>
      <c r="SHC23" s="7"/>
      <c r="SHD23" s="7"/>
      <c r="SHE23" s="7"/>
      <c r="SHF23" s="7"/>
      <c r="SHG23" s="7"/>
      <c r="SHH23" s="7"/>
      <c r="SHI23" s="7"/>
      <c r="SHJ23" s="7"/>
      <c r="SHK23" s="7"/>
      <c r="SHL23" s="7"/>
      <c r="SHM23" s="7"/>
      <c r="SHN23" s="7"/>
      <c r="SHO23" s="7"/>
      <c r="SHP23" s="7"/>
      <c r="SHQ23" s="7"/>
      <c r="SHR23" s="7"/>
      <c r="SHS23" s="7"/>
      <c r="SHT23" s="7"/>
      <c r="SHU23" s="7"/>
      <c r="SHV23" s="7"/>
      <c r="SHW23" s="7"/>
      <c r="SHX23" s="7"/>
      <c r="SHY23" s="7"/>
      <c r="SHZ23" s="7"/>
      <c r="SIA23" s="7"/>
      <c r="SIB23" s="7"/>
      <c r="SIC23" s="7"/>
      <c r="SID23" s="7"/>
      <c r="SIE23" s="7"/>
      <c r="SIF23" s="7"/>
      <c r="SIG23" s="7"/>
      <c r="SIH23" s="7"/>
      <c r="SII23" s="7"/>
      <c r="SIJ23" s="7"/>
      <c r="SIK23" s="7"/>
      <c r="SIL23" s="7"/>
      <c r="SIM23" s="7"/>
      <c r="SIN23" s="7"/>
      <c r="SIO23" s="7"/>
      <c r="SIP23" s="7"/>
      <c r="SIQ23" s="7"/>
      <c r="SIR23" s="7"/>
      <c r="SIS23" s="7"/>
      <c r="SIT23" s="7"/>
      <c r="SIU23" s="7"/>
      <c r="SIV23" s="7"/>
      <c r="SIW23" s="7"/>
      <c r="SIX23" s="7"/>
      <c r="SIY23" s="7"/>
      <c r="SIZ23" s="7"/>
      <c r="SJA23" s="7"/>
      <c r="SJB23" s="7"/>
      <c r="SJC23" s="7"/>
      <c r="SJD23" s="7"/>
      <c r="SJE23" s="7"/>
      <c r="SJF23" s="7"/>
      <c r="SJG23" s="7"/>
      <c r="SJH23" s="7"/>
      <c r="SJI23" s="7"/>
      <c r="SJJ23" s="7"/>
      <c r="SJK23" s="7"/>
      <c r="SJL23" s="7"/>
      <c r="SJM23" s="7"/>
      <c r="SJN23" s="7"/>
      <c r="SJO23" s="7"/>
      <c r="SJP23" s="7"/>
      <c r="SJQ23" s="7"/>
      <c r="SJR23" s="7"/>
      <c r="SJS23" s="7"/>
      <c r="SJT23" s="7"/>
      <c r="SJU23" s="7"/>
      <c r="SJV23" s="7"/>
      <c r="SJW23" s="7"/>
      <c r="SJX23" s="7"/>
      <c r="SJY23" s="7"/>
      <c r="SJZ23" s="7"/>
      <c r="SKA23" s="7"/>
      <c r="SKB23" s="7"/>
      <c r="SKC23" s="7"/>
      <c r="SKD23" s="7"/>
      <c r="SKE23" s="7"/>
      <c r="SKF23" s="7"/>
      <c r="SKG23" s="7"/>
      <c r="SKH23" s="7"/>
      <c r="SKI23" s="7"/>
      <c r="SKJ23" s="7"/>
      <c r="SKK23" s="7"/>
      <c r="SKL23" s="7"/>
      <c r="SKM23" s="7"/>
      <c r="SKN23" s="7"/>
      <c r="SKO23" s="7"/>
      <c r="SKP23" s="7"/>
      <c r="SKQ23" s="7"/>
      <c r="SKR23" s="7"/>
      <c r="SKS23" s="7"/>
      <c r="SKT23" s="7"/>
      <c r="SKU23" s="7"/>
      <c r="SKV23" s="7"/>
      <c r="SKW23" s="7"/>
      <c r="SKX23" s="7"/>
      <c r="SKY23" s="7"/>
      <c r="SKZ23" s="7"/>
      <c r="SLA23" s="7"/>
      <c r="SLB23" s="7"/>
      <c r="SLC23" s="7"/>
      <c r="SLD23" s="7"/>
      <c r="SLE23" s="7"/>
      <c r="SLF23" s="7"/>
      <c r="SLG23" s="7"/>
      <c r="SLH23" s="7"/>
      <c r="SLI23" s="7"/>
      <c r="SLJ23" s="7"/>
      <c r="SLK23" s="7"/>
      <c r="SLL23" s="7"/>
      <c r="SLM23" s="7"/>
      <c r="SLN23" s="7"/>
      <c r="SLO23" s="7"/>
      <c r="SLP23" s="7"/>
      <c r="SLQ23" s="7"/>
      <c r="SLR23" s="7"/>
      <c r="SLS23" s="7"/>
      <c r="SLT23" s="7"/>
      <c r="SLU23" s="7"/>
      <c r="SLV23" s="7"/>
      <c r="SLW23" s="7"/>
      <c r="SLX23" s="7"/>
      <c r="SLY23" s="7"/>
      <c r="SLZ23" s="7"/>
      <c r="SMA23" s="7"/>
      <c r="SMB23" s="7"/>
      <c r="SMC23" s="7"/>
      <c r="SMD23" s="7"/>
      <c r="SME23" s="7"/>
      <c r="SMF23" s="7"/>
      <c r="SMG23" s="7"/>
      <c r="SMH23" s="7"/>
      <c r="SMI23" s="7"/>
      <c r="SMJ23" s="7"/>
      <c r="SMK23" s="7"/>
      <c r="SML23" s="7"/>
      <c r="SMM23" s="7"/>
      <c r="SMN23" s="7"/>
      <c r="SMO23" s="7"/>
      <c r="SMP23" s="7"/>
      <c r="SMQ23" s="7"/>
      <c r="SMR23" s="7"/>
      <c r="SMS23" s="7"/>
      <c r="SMT23" s="7"/>
      <c r="SMU23" s="7"/>
      <c r="SMV23" s="7"/>
      <c r="SMW23" s="7"/>
      <c r="SMX23" s="7"/>
      <c r="SMY23" s="7"/>
      <c r="SMZ23" s="7"/>
      <c r="SNA23" s="7"/>
      <c r="SNB23" s="7"/>
      <c r="SNC23" s="7"/>
      <c r="SND23" s="7"/>
      <c r="SNE23" s="7"/>
      <c r="SNF23" s="7"/>
      <c r="SNG23" s="7"/>
      <c r="SNH23" s="7"/>
      <c r="SNI23" s="7"/>
      <c r="SNJ23" s="7"/>
      <c r="SNK23" s="7"/>
      <c r="SNL23" s="7"/>
      <c r="SNM23" s="7"/>
      <c r="SNN23" s="7"/>
      <c r="SNO23" s="7"/>
      <c r="SNP23" s="7"/>
      <c r="SNQ23" s="7"/>
      <c r="SNR23" s="7"/>
      <c r="SNS23" s="7"/>
      <c r="SNT23" s="7"/>
      <c r="SNU23" s="7"/>
      <c r="SNV23" s="7"/>
      <c r="SNW23" s="7"/>
      <c r="SNX23" s="7"/>
      <c r="SNY23" s="7"/>
      <c r="SNZ23" s="7"/>
      <c r="SOA23" s="7"/>
      <c r="SOB23" s="7"/>
      <c r="SOC23" s="7"/>
      <c r="SOD23" s="7"/>
      <c r="SOE23" s="7"/>
      <c r="SOF23" s="7"/>
      <c r="SOG23" s="7"/>
      <c r="SOH23" s="7"/>
      <c r="SOI23" s="7"/>
      <c r="SOJ23" s="7"/>
      <c r="SOK23" s="7"/>
      <c r="SOL23" s="7"/>
      <c r="SOM23" s="7"/>
      <c r="SON23" s="7"/>
      <c r="SOO23" s="7"/>
      <c r="SOP23" s="7"/>
      <c r="SOQ23" s="7"/>
      <c r="SOR23" s="7"/>
      <c r="SOS23" s="7"/>
      <c r="SOT23" s="7"/>
      <c r="SOU23" s="7"/>
      <c r="SOV23" s="7"/>
      <c r="SOW23" s="7"/>
      <c r="SOX23" s="7"/>
      <c r="SOY23" s="7"/>
      <c r="SOZ23" s="7"/>
      <c r="SPA23" s="7"/>
      <c r="SPB23" s="7"/>
      <c r="SPC23" s="7"/>
      <c r="SPD23" s="7"/>
      <c r="SPE23" s="7"/>
      <c r="SPF23" s="7"/>
      <c r="SPG23" s="7"/>
      <c r="SPH23" s="7"/>
      <c r="SPI23" s="7"/>
      <c r="SPJ23" s="7"/>
      <c r="SPK23" s="7"/>
      <c r="SPL23" s="7"/>
      <c r="SPM23" s="7"/>
      <c r="SPN23" s="7"/>
      <c r="SPO23" s="7"/>
      <c r="SPP23" s="7"/>
      <c r="SPQ23" s="7"/>
      <c r="SPR23" s="7"/>
      <c r="SPS23" s="7"/>
      <c r="SPT23" s="7"/>
      <c r="SPU23" s="7"/>
      <c r="SPV23" s="7"/>
      <c r="SPW23" s="7"/>
      <c r="SPX23" s="7"/>
      <c r="SPY23" s="7"/>
      <c r="SPZ23" s="7"/>
      <c r="SQA23" s="7"/>
      <c r="SQB23" s="7"/>
      <c r="SQC23" s="7"/>
      <c r="SQD23" s="7"/>
      <c r="SQE23" s="7"/>
      <c r="SQF23" s="7"/>
      <c r="SQG23" s="7"/>
      <c r="SQH23" s="7"/>
      <c r="SQI23" s="7"/>
      <c r="SQJ23" s="7"/>
      <c r="SQK23" s="7"/>
      <c r="SQL23" s="7"/>
      <c r="SQM23" s="7"/>
      <c r="SQN23" s="7"/>
      <c r="SQO23" s="7"/>
      <c r="SQP23" s="7"/>
      <c r="SQQ23" s="7"/>
      <c r="SQR23" s="7"/>
      <c r="SQS23" s="7"/>
      <c r="SQT23" s="7"/>
      <c r="SQU23" s="7"/>
      <c r="SQV23" s="7"/>
      <c r="SQW23" s="7"/>
      <c r="SQX23" s="7"/>
      <c r="SQY23" s="7"/>
      <c r="SQZ23" s="7"/>
      <c r="SRA23" s="7"/>
      <c r="SRB23" s="7"/>
      <c r="SRC23" s="7"/>
      <c r="SRD23" s="7"/>
      <c r="SRE23" s="7"/>
      <c r="SRF23" s="7"/>
      <c r="SRG23" s="7"/>
      <c r="SRH23" s="7"/>
      <c r="SRI23" s="7"/>
      <c r="SRJ23" s="7"/>
      <c r="SRK23" s="7"/>
      <c r="SRL23" s="7"/>
      <c r="SRM23" s="7"/>
      <c r="SRN23" s="7"/>
      <c r="SRO23" s="7"/>
      <c r="SRP23" s="7"/>
      <c r="SRQ23" s="7"/>
      <c r="SRR23" s="7"/>
      <c r="SRS23" s="7"/>
      <c r="SRT23" s="7"/>
      <c r="SRU23" s="7"/>
      <c r="SRV23" s="7"/>
      <c r="SRW23" s="7"/>
      <c r="SRX23" s="7"/>
      <c r="SRY23" s="7"/>
      <c r="SRZ23" s="7"/>
      <c r="SSA23" s="7"/>
      <c r="SSB23" s="7"/>
      <c r="SSC23" s="7"/>
      <c r="SSD23" s="7"/>
      <c r="SSE23" s="7"/>
      <c r="SSF23" s="7"/>
      <c r="SSG23" s="7"/>
      <c r="SSH23" s="7"/>
      <c r="SSI23" s="7"/>
      <c r="SSJ23" s="7"/>
      <c r="SSK23" s="7"/>
      <c r="SSL23" s="7"/>
      <c r="SSM23" s="7"/>
      <c r="SSN23" s="7"/>
      <c r="SSO23" s="7"/>
      <c r="SSP23" s="7"/>
      <c r="SSQ23" s="7"/>
      <c r="SSR23" s="7"/>
      <c r="SSS23" s="7"/>
      <c r="SST23" s="7"/>
      <c r="SSU23" s="7"/>
      <c r="SSV23" s="7"/>
      <c r="SSW23" s="7"/>
      <c r="SSX23" s="7"/>
      <c r="SSY23" s="7"/>
      <c r="SSZ23" s="7"/>
      <c r="STA23" s="7"/>
      <c r="STB23" s="7"/>
      <c r="STC23" s="7"/>
      <c r="STD23" s="7"/>
      <c r="STE23" s="7"/>
      <c r="STF23" s="7"/>
      <c r="STG23" s="7"/>
      <c r="STH23" s="7"/>
      <c r="STI23" s="7"/>
      <c r="STJ23" s="7"/>
      <c r="STK23" s="7"/>
      <c r="STL23" s="7"/>
      <c r="STM23" s="7"/>
      <c r="STN23" s="7"/>
      <c r="STO23" s="7"/>
      <c r="STP23" s="7"/>
      <c r="STQ23" s="7"/>
      <c r="STR23" s="7"/>
      <c r="STS23" s="7"/>
      <c r="STT23" s="7"/>
      <c r="STU23" s="7"/>
      <c r="STV23" s="7"/>
      <c r="STW23" s="7"/>
      <c r="STX23" s="7"/>
      <c r="STY23" s="7"/>
      <c r="STZ23" s="7"/>
      <c r="SUA23" s="7"/>
      <c r="SUB23" s="7"/>
      <c r="SUC23" s="7"/>
      <c r="SUD23" s="7"/>
      <c r="SUE23" s="7"/>
      <c r="SUF23" s="7"/>
      <c r="SUG23" s="7"/>
      <c r="SUH23" s="7"/>
      <c r="SUI23" s="7"/>
      <c r="SUJ23" s="7"/>
      <c r="SUK23" s="7"/>
      <c r="SUL23" s="7"/>
      <c r="SUM23" s="7"/>
      <c r="SUN23" s="7"/>
      <c r="SUO23" s="7"/>
      <c r="SUP23" s="7"/>
      <c r="SUQ23" s="7"/>
      <c r="SUR23" s="7"/>
      <c r="SUS23" s="7"/>
      <c r="SUT23" s="7"/>
      <c r="SUU23" s="7"/>
      <c r="SUV23" s="7"/>
      <c r="SUW23" s="7"/>
      <c r="SUX23" s="7"/>
      <c r="SUY23" s="7"/>
      <c r="SUZ23" s="7"/>
      <c r="SVA23" s="7"/>
      <c r="SVB23" s="7"/>
      <c r="SVC23" s="7"/>
      <c r="SVD23" s="7"/>
      <c r="SVE23" s="7"/>
      <c r="SVF23" s="7"/>
      <c r="SVG23" s="7"/>
      <c r="SVH23" s="7"/>
      <c r="SVI23" s="7"/>
      <c r="SVJ23" s="7"/>
      <c r="SVK23" s="7"/>
      <c r="SVL23" s="7"/>
      <c r="SVM23" s="7"/>
      <c r="SVN23" s="7"/>
      <c r="SVO23" s="7"/>
      <c r="SVP23" s="7"/>
      <c r="SVQ23" s="7"/>
      <c r="SVR23" s="7"/>
      <c r="SVS23" s="7"/>
      <c r="SVT23" s="7"/>
      <c r="SVU23" s="7"/>
      <c r="SVV23" s="7"/>
      <c r="SVW23" s="7"/>
      <c r="SVX23" s="7"/>
      <c r="SVY23" s="7"/>
      <c r="SVZ23" s="7"/>
      <c r="SWA23" s="7"/>
      <c r="SWB23" s="7"/>
      <c r="SWC23" s="7"/>
      <c r="SWD23" s="7"/>
      <c r="SWE23" s="7"/>
      <c r="SWF23" s="7"/>
      <c r="SWG23" s="7"/>
      <c r="SWH23" s="7"/>
      <c r="SWI23" s="7"/>
      <c r="SWJ23" s="7"/>
      <c r="SWK23" s="7"/>
      <c r="SWL23" s="7"/>
      <c r="SWM23" s="7"/>
      <c r="SWN23" s="7"/>
      <c r="SWO23" s="7"/>
      <c r="SWP23" s="7"/>
      <c r="SWQ23" s="7"/>
      <c r="SWR23" s="7"/>
      <c r="SWS23" s="7"/>
      <c r="SWT23" s="7"/>
      <c r="SWU23" s="7"/>
      <c r="SWV23" s="7"/>
      <c r="SWW23" s="7"/>
      <c r="SWX23" s="7"/>
      <c r="SWY23" s="7"/>
      <c r="SWZ23" s="7"/>
      <c r="SXA23" s="7"/>
      <c r="SXB23" s="7"/>
      <c r="SXC23" s="7"/>
      <c r="SXD23" s="7"/>
      <c r="SXE23" s="7"/>
      <c r="SXF23" s="7"/>
      <c r="SXG23" s="7"/>
      <c r="SXH23" s="7"/>
      <c r="SXI23" s="7"/>
      <c r="SXJ23" s="7"/>
      <c r="SXK23" s="7"/>
      <c r="SXL23" s="7"/>
      <c r="SXM23" s="7"/>
      <c r="SXN23" s="7"/>
      <c r="SXO23" s="7"/>
      <c r="SXP23" s="7"/>
      <c r="SXQ23" s="7"/>
      <c r="SXR23" s="7"/>
      <c r="SXS23" s="7"/>
      <c r="SXT23" s="7"/>
      <c r="SXU23" s="7"/>
      <c r="SXV23" s="7"/>
      <c r="SXW23" s="7"/>
      <c r="SXX23" s="7"/>
      <c r="SXY23" s="7"/>
      <c r="SXZ23" s="7"/>
      <c r="SYA23" s="7"/>
      <c r="SYB23" s="7"/>
      <c r="SYC23" s="7"/>
      <c r="SYD23" s="7"/>
      <c r="SYE23" s="7"/>
      <c r="SYF23" s="7"/>
      <c r="SYG23" s="7"/>
      <c r="SYH23" s="7"/>
      <c r="SYI23" s="7"/>
      <c r="SYJ23" s="7"/>
      <c r="SYK23" s="7"/>
      <c r="SYL23" s="7"/>
      <c r="SYM23" s="7"/>
      <c r="SYN23" s="7"/>
      <c r="SYO23" s="7"/>
      <c r="SYP23" s="7"/>
      <c r="SYQ23" s="7"/>
      <c r="SYR23" s="7"/>
      <c r="SYS23" s="7"/>
      <c r="SYT23" s="7"/>
      <c r="SYU23" s="7"/>
      <c r="SYV23" s="7"/>
      <c r="SYW23" s="7"/>
      <c r="SYX23" s="7"/>
      <c r="SYY23" s="7"/>
      <c r="SYZ23" s="7"/>
      <c r="SZA23" s="7"/>
      <c r="SZB23" s="7"/>
      <c r="SZC23" s="7"/>
      <c r="SZD23" s="7"/>
      <c r="SZE23" s="7"/>
      <c r="SZF23" s="7"/>
      <c r="SZG23" s="7"/>
      <c r="SZH23" s="7"/>
      <c r="SZI23" s="7"/>
      <c r="SZJ23" s="7"/>
      <c r="SZK23" s="7"/>
      <c r="SZL23" s="7"/>
      <c r="SZM23" s="7"/>
      <c r="SZN23" s="7"/>
      <c r="SZO23" s="7"/>
      <c r="SZP23" s="7"/>
      <c r="SZQ23" s="7"/>
      <c r="SZR23" s="7"/>
      <c r="SZS23" s="7"/>
      <c r="SZT23" s="7"/>
      <c r="SZU23" s="7"/>
      <c r="SZV23" s="7"/>
      <c r="SZW23" s="7"/>
      <c r="SZX23" s="7"/>
      <c r="SZY23" s="7"/>
      <c r="SZZ23" s="7"/>
      <c r="TAA23" s="7"/>
      <c r="TAB23" s="7"/>
      <c r="TAC23" s="7"/>
      <c r="TAD23" s="7"/>
      <c r="TAE23" s="7"/>
      <c r="TAF23" s="7"/>
      <c r="TAG23" s="7"/>
      <c r="TAH23" s="7"/>
      <c r="TAI23" s="7"/>
      <c r="TAJ23" s="7"/>
      <c r="TAK23" s="7"/>
      <c r="TAL23" s="7"/>
      <c r="TAM23" s="7"/>
      <c r="TAN23" s="7"/>
      <c r="TAO23" s="7"/>
      <c r="TAP23" s="7"/>
      <c r="TAQ23" s="7"/>
      <c r="TAR23" s="7"/>
      <c r="TAS23" s="7"/>
      <c r="TAT23" s="7"/>
      <c r="TAU23" s="7"/>
      <c r="TAV23" s="7"/>
      <c r="TAW23" s="7"/>
      <c r="TAX23" s="7"/>
      <c r="TAY23" s="7"/>
      <c r="TAZ23" s="7"/>
      <c r="TBA23" s="7"/>
      <c r="TBB23" s="7"/>
      <c r="TBC23" s="7"/>
      <c r="TBD23" s="7"/>
      <c r="TBE23" s="7"/>
      <c r="TBF23" s="7"/>
      <c r="TBG23" s="7"/>
      <c r="TBH23" s="7"/>
      <c r="TBI23" s="7"/>
      <c r="TBJ23" s="7"/>
      <c r="TBK23" s="7"/>
      <c r="TBL23" s="7"/>
      <c r="TBM23" s="7"/>
      <c r="TBN23" s="7"/>
      <c r="TBO23" s="7"/>
      <c r="TBP23" s="7"/>
      <c r="TBQ23" s="7"/>
      <c r="TBR23" s="7"/>
      <c r="TBS23" s="7"/>
      <c r="TBT23" s="7"/>
      <c r="TBU23" s="7"/>
      <c r="TBV23" s="7"/>
      <c r="TBW23" s="7"/>
      <c r="TBX23" s="7"/>
      <c r="TBY23" s="7"/>
      <c r="TBZ23" s="7"/>
      <c r="TCA23" s="7"/>
      <c r="TCB23" s="7"/>
      <c r="TCC23" s="7"/>
      <c r="TCD23" s="7"/>
      <c r="TCE23" s="7"/>
      <c r="TCF23" s="7"/>
      <c r="TCG23" s="7"/>
      <c r="TCH23" s="7"/>
      <c r="TCI23" s="7"/>
      <c r="TCJ23" s="7"/>
      <c r="TCK23" s="7"/>
      <c r="TCL23" s="7"/>
      <c r="TCM23" s="7"/>
      <c r="TCN23" s="7"/>
      <c r="TCO23" s="7"/>
      <c r="TCP23" s="7"/>
      <c r="TCQ23" s="7"/>
      <c r="TCR23" s="7"/>
      <c r="TCS23" s="7"/>
      <c r="TCT23" s="7"/>
      <c r="TCU23" s="7"/>
      <c r="TCV23" s="7"/>
      <c r="TCW23" s="7"/>
      <c r="TCX23" s="7"/>
      <c r="TCY23" s="7"/>
      <c r="TCZ23" s="7"/>
      <c r="TDA23" s="7"/>
      <c r="TDB23" s="7"/>
      <c r="TDC23" s="7"/>
      <c r="TDD23" s="7"/>
      <c r="TDE23" s="7"/>
      <c r="TDF23" s="7"/>
      <c r="TDG23" s="7"/>
      <c r="TDH23" s="7"/>
      <c r="TDI23" s="7"/>
      <c r="TDJ23" s="7"/>
      <c r="TDK23" s="7"/>
      <c r="TDL23" s="7"/>
      <c r="TDM23" s="7"/>
      <c r="TDN23" s="7"/>
      <c r="TDO23" s="7"/>
      <c r="TDP23" s="7"/>
      <c r="TDQ23" s="7"/>
      <c r="TDR23" s="7"/>
      <c r="TDS23" s="7"/>
      <c r="TDT23" s="7"/>
      <c r="TDU23" s="7"/>
      <c r="TDV23" s="7"/>
      <c r="TDW23" s="7"/>
      <c r="TDX23" s="7"/>
      <c r="TDY23" s="7"/>
      <c r="TDZ23" s="7"/>
      <c r="TEA23" s="7"/>
      <c r="TEB23" s="7"/>
      <c r="TEC23" s="7"/>
      <c r="TED23" s="7"/>
      <c r="TEE23" s="7"/>
      <c r="TEF23" s="7"/>
      <c r="TEG23" s="7"/>
      <c r="TEH23" s="7"/>
      <c r="TEI23" s="7"/>
      <c r="TEJ23" s="7"/>
      <c r="TEK23" s="7"/>
      <c r="TEL23" s="7"/>
      <c r="TEM23" s="7"/>
      <c r="TEN23" s="7"/>
      <c r="TEO23" s="7"/>
      <c r="TEP23" s="7"/>
      <c r="TEQ23" s="7"/>
      <c r="TER23" s="7"/>
      <c r="TES23" s="7"/>
      <c r="TET23" s="7"/>
      <c r="TEU23" s="7"/>
      <c r="TEV23" s="7"/>
      <c r="TEW23" s="7"/>
      <c r="TEX23" s="7"/>
      <c r="TEY23" s="7"/>
      <c r="TEZ23" s="7"/>
      <c r="TFA23" s="7"/>
      <c r="TFB23" s="7"/>
      <c r="TFC23" s="7"/>
      <c r="TFD23" s="7"/>
      <c r="TFE23" s="7"/>
      <c r="TFF23" s="7"/>
      <c r="TFG23" s="7"/>
      <c r="TFH23" s="7"/>
      <c r="TFI23" s="7"/>
      <c r="TFJ23" s="7"/>
      <c r="TFK23" s="7"/>
      <c r="TFL23" s="7"/>
      <c r="TFM23" s="7"/>
      <c r="TFN23" s="7"/>
      <c r="TFO23" s="7"/>
      <c r="TFP23" s="7"/>
      <c r="TFQ23" s="7"/>
      <c r="TFR23" s="7"/>
      <c r="TFS23" s="7"/>
      <c r="TFT23" s="7"/>
      <c r="TFU23" s="7"/>
      <c r="TFV23" s="7"/>
      <c r="TFW23" s="7"/>
      <c r="TFX23" s="7"/>
      <c r="TFY23" s="7"/>
      <c r="TFZ23" s="7"/>
      <c r="TGA23" s="7"/>
      <c r="TGB23" s="7"/>
      <c r="TGC23" s="7"/>
      <c r="TGD23" s="7"/>
      <c r="TGE23" s="7"/>
      <c r="TGF23" s="7"/>
      <c r="TGG23" s="7"/>
      <c r="TGH23" s="7"/>
      <c r="TGI23" s="7"/>
      <c r="TGJ23" s="7"/>
      <c r="TGK23" s="7"/>
      <c r="TGL23" s="7"/>
      <c r="TGM23" s="7"/>
      <c r="TGN23" s="7"/>
      <c r="TGO23" s="7"/>
      <c r="TGP23" s="7"/>
      <c r="TGQ23" s="7"/>
      <c r="TGR23" s="7"/>
      <c r="TGS23" s="7"/>
      <c r="TGT23" s="7"/>
      <c r="TGU23" s="7"/>
      <c r="TGV23" s="7"/>
      <c r="TGW23" s="7"/>
      <c r="TGX23" s="7"/>
      <c r="TGY23" s="7"/>
      <c r="TGZ23" s="7"/>
      <c r="THA23" s="7"/>
      <c r="THB23" s="7"/>
      <c r="THC23" s="7"/>
      <c r="THD23" s="7"/>
      <c r="THE23" s="7"/>
      <c r="THF23" s="7"/>
      <c r="THG23" s="7"/>
      <c r="THH23" s="7"/>
      <c r="THI23" s="7"/>
      <c r="THJ23" s="7"/>
      <c r="THK23" s="7"/>
      <c r="THL23" s="7"/>
      <c r="THM23" s="7"/>
      <c r="THN23" s="7"/>
      <c r="THO23" s="7"/>
      <c r="THP23" s="7"/>
      <c r="THQ23" s="7"/>
      <c r="THR23" s="7"/>
      <c r="THS23" s="7"/>
      <c r="THT23" s="7"/>
      <c r="THU23" s="7"/>
      <c r="THV23" s="7"/>
      <c r="THW23" s="7"/>
      <c r="THX23" s="7"/>
      <c r="THY23" s="7"/>
      <c r="THZ23" s="7"/>
      <c r="TIA23" s="7"/>
      <c r="TIB23" s="7"/>
      <c r="TIC23" s="7"/>
      <c r="TID23" s="7"/>
      <c r="TIE23" s="7"/>
      <c r="TIF23" s="7"/>
      <c r="TIG23" s="7"/>
      <c r="TIH23" s="7"/>
      <c r="TII23" s="7"/>
      <c r="TIJ23" s="7"/>
      <c r="TIK23" s="7"/>
      <c r="TIL23" s="7"/>
      <c r="TIM23" s="7"/>
      <c r="TIN23" s="7"/>
      <c r="TIO23" s="7"/>
      <c r="TIP23" s="7"/>
      <c r="TIQ23" s="7"/>
      <c r="TIR23" s="7"/>
      <c r="TIS23" s="7"/>
      <c r="TIT23" s="7"/>
      <c r="TIU23" s="7"/>
      <c r="TIV23" s="7"/>
      <c r="TIW23" s="7"/>
      <c r="TIX23" s="7"/>
      <c r="TIY23" s="7"/>
      <c r="TIZ23" s="7"/>
      <c r="TJA23" s="7"/>
      <c r="TJB23" s="7"/>
      <c r="TJC23" s="7"/>
      <c r="TJD23" s="7"/>
      <c r="TJE23" s="7"/>
      <c r="TJF23" s="7"/>
      <c r="TJG23" s="7"/>
      <c r="TJH23" s="7"/>
      <c r="TJI23" s="7"/>
      <c r="TJJ23" s="7"/>
      <c r="TJK23" s="7"/>
      <c r="TJL23" s="7"/>
      <c r="TJM23" s="7"/>
      <c r="TJN23" s="7"/>
      <c r="TJO23" s="7"/>
      <c r="TJP23" s="7"/>
      <c r="TJQ23" s="7"/>
      <c r="TJR23" s="7"/>
      <c r="TJS23" s="7"/>
      <c r="TJT23" s="7"/>
      <c r="TJU23" s="7"/>
      <c r="TJV23" s="7"/>
      <c r="TJW23" s="7"/>
      <c r="TJX23" s="7"/>
      <c r="TJY23" s="7"/>
      <c r="TJZ23" s="7"/>
      <c r="TKA23" s="7"/>
      <c r="TKB23" s="7"/>
      <c r="TKC23" s="7"/>
      <c r="TKD23" s="7"/>
      <c r="TKE23" s="7"/>
      <c r="TKF23" s="7"/>
      <c r="TKG23" s="7"/>
      <c r="TKH23" s="7"/>
      <c r="TKI23" s="7"/>
      <c r="TKJ23" s="7"/>
      <c r="TKK23" s="7"/>
      <c r="TKL23" s="7"/>
      <c r="TKM23" s="7"/>
      <c r="TKN23" s="7"/>
      <c r="TKO23" s="7"/>
      <c r="TKP23" s="7"/>
      <c r="TKQ23" s="7"/>
      <c r="TKR23" s="7"/>
      <c r="TKS23" s="7"/>
      <c r="TKT23" s="7"/>
      <c r="TKU23" s="7"/>
      <c r="TKV23" s="7"/>
      <c r="TKW23" s="7"/>
      <c r="TKX23" s="7"/>
      <c r="TKY23" s="7"/>
      <c r="TKZ23" s="7"/>
      <c r="TLA23" s="7"/>
      <c r="TLB23" s="7"/>
      <c r="TLC23" s="7"/>
      <c r="TLD23" s="7"/>
      <c r="TLE23" s="7"/>
      <c r="TLF23" s="7"/>
      <c r="TLG23" s="7"/>
      <c r="TLH23" s="7"/>
      <c r="TLI23" s="7"/>
      <c r="TLJ23" s="7"/>
      <c r="TLK23" s="7"/>
      <c r="TLL23" s="7"/>
      <c r="TLM23" s="7"/>
      <c r="TLN23" s="7"/>
      <c r="TLO23" s="7"/>
      <c r="TLP23" s="7"/>
      <c r="TLQ23" s="7"/>
      <c r="TLR23" s="7"/>
      <c r="TLS23" s="7"/>
      <c r="TLT23" s="7"/>
      <c r="TLU23" s="7"/>
      <c r="TLV23" s="7"/>
      <c r="TLW23" s="7"/>
      <c r="TLX23" s="7"/>
      <c r="TLY23" s="7"/>
      <c r="TLZ23" s="7"/>
      <c r="TMA23" s="7"/>
      <c r="TMB23" s="7"/>
      <c r="TMC23" s="7"/>
      <c r="TMD23" s="7"/>
      <c r="TME23" s="7"/>
      <c r="TMF23" s="7"/>
      <c r="TMG23" s="7"/>
      <c r="TMH23" s="7"/>
      <c r="TMI23" s="7"/>
      <c r="TMJ23" s="7"/>
      <c r="TMK23" s="7"/>
      <c r="TML23" s="7"/>
      <c r="TMM23" s="7"/>
      <c r="TMN23" s="7"/>
      <c r="TMO23" s="7"/>
      <c r="TMP23" s="7"/>
      <c r="TMQ23" s="7"/>
      <c r="TMR23" s="7"/>
      <c r="TMS23" s="7"/>
      <c r="TMT23" s="7"/>
      <c r="TMU23" s="7"/>
      <c r="TMV23" s="7"/>
      <c r="TMW23" s="7"/>
      <c r="TMX23" s="7"/>
      <c r="TMY23" s="7"/>
      <c r="TMZ23" s="7"/>
      <c r="TNA23" s="7"/>
      <c r="TNB23" s="7"/>
      <c r="TNC23" s="7"/>
      <c r="TND23" s="7"/>
      <c r="TNE23" s="7"/>
      <c r="TNF23" s="7"/>
      <c r="TNG23" s="7"/>
      <c r="TNH23" s="7"/>
      <c r="TNI23" s="7"/>
      <c r="TNJ23" s="7"/>
      <c r="TNK23" s="7"/>
      <c r="TNL23" s="7"/>
      <c r="TNM23" s="7"/>
      <c r="TNN23" s="7"/>
      <c r="TNO23" s="7"/>
      <c r="TNP23" s="7"/>
      <c r="TNQ23" s="7"/>
      <c r="TNR23" s="7"/>
      <c r="TNS23" s="7"/>
      <c r="TNT23" s="7"/>
      <c r="TNU23" s="7"/>
      <c r="TNV23" s="7"/>
      <c r="TNW23" s="7"/>
      <c r="TNX23" s="7"/>
      <c r="TNY23" s="7"/>
      <c r="TNZ23" s="7"/>
      <c r="TOA23" s="7"/>
      <c r="TOB23" s="7"/>
      <c r="TOC23" s="7"/>
      <c r="TOD23" s="7"/>
      <c r="TOE23" s="7"/>
      <c r="TOF23" s="7"/>
      <c r="TOG23" s="7"/>
      <c r="TOH23" s="7"/>
      <c r="TOI23" s="7"/>
      <c r="TOJ23" s="7"/>
      <c r="TOK23" s="7"/>
      <c r="TOL23" s="7"/>
      <c r="TOM23" s="7"/>
      <c r="TON23" s="7"/>
      <c r="TOO23" s="7"/>
      <c r="TOP23" s="7"/>
      <c r="TOQ23" s="7"/>
      <c r="TOR23" s="7"/>
      <c r="TOS23" s="7"/>
      <c r="TOT23" s="7"/>
      <c r="TOU23" s="7"/>
      <c r="TOV23" s="7"/>
      <c r="TOW23" s="7"/>
      <c r="TOX23" s="7"/>
      <c r="TOY23" s="7"/>
      <c r="TOZ23" s="7"/>
      <c r="TPA23" s="7"/>
      <c r="TPB23" s="7"/>
      <c r="TPC23" s="7"/>
      <c r="TPD23" s="7"/>
      <c r="TPE23" s="7"/>
      <c r="TPF23" s="7"/>
      <c r="TPG23" s="7"/>
      <c r="TPH23" s="7"/>
      <c r="TPI23" s="7"/>
      <c r="TPJ23" s="7"/>
      <c r="TPK23" s="7"/>
      <c r="TPL23" s="7"/>
      <c r="TPM23" s="7"/>
      <c r="TPN23" s="7"/>
      <c r="TPO23" s="7"/>
      <c r="TPP23" s="7"/>
      <c r="TPQ23" s="7"/>
      <c r="TPR23" s="7"/>
      <c r="TPS23" s="7"/>
      <c r="TPT23" s="7"/>
      <c r="TPU23" s="7"/>
      <c r="TPV23" s="7"/>
      <c r="TPW23" s="7"/>
      <c r="TPX23" s="7"/>
      <c r="TPY23" s="7"/>
      <c r="TPZ23" s="7"/>
      <c r="TQA23" s="7"/>
      <c r="TQB23" s="7"/>
      <c r="TQC23" s="7"/>
      <c r="TQD23" s="7"/>
      <c r="TQE23" s="7"/>
      <c r="TQF23" s="7"/>
      <c r="TQG23" s="7"/>
      <c r="TQH23" s="7"/>
      <c r="TQI23" s="7"/>
      <c r="TQJ23" s="7"/>
      <c r="TQK23" s="7"/>
      <c r="TQL23" s="7"/>
      <c r="TQM23" s="7"/>
      <c r="TQN23" s="7"/>
      <c r="TQO23" s="7"/>
      <c r="TQP23" s="7"/>
      <c r="TQQ23" s="7"/>
      <c r="TQR23" s="7"/>
      <c r="TQS23" s="7"/>
      <c r="TQT23" s="7"/>
      <c r="TQU23" s="7"/>
      <c r="TQV23" s="7"/>
      <c r="TQW23" s="7"/>
      <c r="TQX23" s="7"/>
      <c r="TQY23" s="7"/>
      <c r="TQZ23" s="7"/>
      <c r="TRA23" s="7"/>
      <c r="TRB23" s="7"/>
      <c r="TRC23" s="7"/>
      <c r="TRD23" s="7"/>
      <c r="TRE23" s="7"/>
      <c r="TRF23" s="7"/>
      <c r="TRG23" s="7"/>
      <c r="TRH23" s="7"/>
      <c r="TRI23" s="7"/>
      <c r="TRJ23" s="7"/>
      <c r="TRK23" s="7"/>
      <c r="TRL23" s="7"/>
      <c r="TRM23" s="7"/>
      <c r="TRN23" s="7"/>
      <c r="TRO23" s="7"/>
      <c r="TRP23" s="7"/>
      <c r="TRQ23" s="7"/>
      <c r="TRR23" s="7"/>
      <c r="TRS23" s="7"/>
      <c r="TRT23" s="7"/>
      <c r="TRU23" s="7"/>
      <c r="TRV23" s="7"/>
      <c r="TRW23" s="7"/>
      <c r="TRX23" s="7"/>
      <c r="TRY23" s="7"/>
      <c r="TRZ23" s="7"/>
      <c r="TSA23" s="7"/>
      <c r="TSB23" s="7"/>
      <c r="TSC23" s="7"/>
      <c r="TSD23" s="7"/>
      <c r="TSE23" s="7"/>
      <c r="TSF23" s="7"/>
      <c r="TSG23" s="7"/>
      <c r="TSH23" s="7"/>
      <c r="TSI23" s="7"/>
      <c r="TSJ23" s="7"/>
      <c r="TSK23" s="7"/>
      <c r="TSL23" s="7"/>
      <c r="TSM23" s="7"/>
      <c r="TSN23" s="7"/>
      <c r="TSO23" s="7"/>
      <c r="TSP23" s="7"/>
      <c r="TSQ23" s="7"/>
      <c r="TSR23" s="7"/>
      <c r="TSS23" s="7"/>
      <c r="TST23" s="7"/>
      <c r="TSU23" s="7"/>
      <c r="TSV23" s="7"/>
      <c r="TSW23" s="7"/>
      <c r="TSX23" s="7"/>
      <c r="TSY23" s="7"/>
      <c r="TSZ23" s="7"/>
      <c r="TTA23" s="7"/>
      <c r="TTB23" s="7"/>
      <c r="TTC23" s="7"/>
      <c r="TTD23" s="7"/>
      <c r="TTE23" s="7"/>
      <c r="TTF23" s="7"/>
      <c r="TTG23" s="7"/>
      <c r="TTH23" s="7"/>
      <c r="TTI23" s="7"/>
      <c r="TTJ23" s="7"/>
      <c r="TTK23" s="7"/>
      <c r="TTL23" s="7"/>
      <c r="TTM23" s="7"/>
      <c r="TTN23" s="7"/>
      <c r="TTO23" s="7"/>
      <c r="TTP23" s="7"/>
      <c r="TTQ23" s="7"/>
      <c r="TTR23" s="7"/>
      <c r="TTS23" s="7"/>
      <c r="TTT23" s="7"/>
      <c r="TTU23" s="7"/>
      <c r="TTV23" s="7"/>
      <c r="TTW23" s="7"/>
      <c r="TTX23" s="7"/>
      <c r="TTY23" s="7"/>
      <c r="TTZ23" s="7"/>
      <c r="TUA23" s="7"/>
      <c r="TUB23" s="7"/>
      <c r="TUC23" s="7"/>
      <c r="TUD23" s="7"/>
      <c r="TUE23" s="7"/>
      <c r="TUF23" s="7"/>
      <c r="TUG23" s="7"/>
      <c r="TUH23" s="7"/>
      <c r="TUI23" s="7"/>
      <c r="TUJ23" s="7"/>
      <c r="TUK23" s="7"/>
      <c r="TUL23" s="7"/>
      <c r="TUM23" s="7"/>
      <c r="TUN23" s="7"/>
      <c r="TUO23" s="7"/>
      <c r="TUP23" s="7"/>
      <c r="TUQ23" s="7"/>
      <c r="TUR23" s="7"/>
      <c r="TUS23" s="7"/>
      <c r="TUT23" s="7"/>
      <c r="TUU23" s="7"/>
      <c r="TUV23" s="7"/>
      <c r="TUW23" s="7"/>
      <c r="TUX23" s="7"/>
      <c r="TUY23" s="7"/>
      <c r="TUZ23" s="7"/>
      <c r="TVA23" s="7"/>
      <c r="TVB23" s="7"/>
      <c r="TVC23" s="7"/>
      <c r="TVD23" s="7"/>
      <c r="TVE23" s="7"/>
      <c r="TVF23" s="7"/>
      <c r="TVG23" s="7"/>
      <c r="TVH23" s="7"/>
      <c r="TVI23" s="7"/>
      <c r="TVJ23" s="7"/>
      <c r="TVK23" s="7"/>
      <c r="TVL23" s="7"/>
      <c r="TVM23" s="7"/>
      <c r="TVN23" s="7"/>
      <c r="TVO23" s="7"/>
      <c r="TVP23" s="7"/>
      <c r="TVQ23" s="7"/>
      <c r="TVR23" s="7"/>
      <c r="TVS23" s="7"/>
      <c r="TVT23" s="7"/>
      <c r="TVU23" s="7"/>
      <c r="TVV23" s="7"/>
      <c r="TVW23" s="7"/>
      <c r="TVX23" s="7"/>
      <c r="TVY23" s="7"/>
      <c r="TVZ23" s="7"/>
      <c r="TWA23" s="7"/>
      <c r="TWB23" s="7"/>
      <c r="TWC23" s="7"/>
      <c r="TWD23" s="7"/>
      <c r="TWE23" s="7"/>
      <c r="TWF23" s="7"/>
      <c r="TWG23" s="7"/>
      <c r="TWH23" s="7"/>
      <c r="TWI23" s="7"/>
      <c r="TWJ23" s="7"/>
      <c r="TWK23" s="7"/>
      <c r="TWL23" s="7"/>
      <c r="TWM23" s="7"/>
      <c r="TWN23" s="7"/>
      <c r="TWO23" s="7"/>
      <c r="TWP23" s="7"/>
      <c r="TWQ23" s="7"/>
      <c r="TWR23" s="7"/>
      <c r="TWS23" s="7"/>
      <c r="TWT23" s="7"/>
      <c r="TWU23" s="7"/>
      <c r="TWV23" s="7"/>
      <c r="TWW23" s="7"/>
      <c r="TWX23" s="7"/>
      <c r="TWY23" s="7"/>
      <c r="TWZ23" s="7"/>
      <c r="TXA23" s="7"/>
      <c r="TXB23" s="7"/>
      <c r="TXC23" s="7"/>
      <c r="TXD23" s="7"/>
      <c r="TXE23" s="7"/>
      <c r="TXF23" s="7"/>
      <c r="TXG23" s="7"/>
      <c r="TXH23" s="7"/>
      <c r="TXI23" s="7"/>
      <c r="TXJ23" s="7"/>
      <c r="TXK23" s="7"/>
      <c r="TXL23" s="7"/>
      <c r="TXM23" s="7"/>
      <c r="TXN23" s="7"/>
      <c r="TXO23" s="7"/>
      <c r="TXP23" s="7"/>
      <c r="TXQ23" s="7"/>
      <c r="TXR23" s="7"/>
      <c r="TXS23" s="7"/>
      <c r="TXT23" s="7"/>
      <c r="TXU23" s="7"/>
      <c r="TXV23" s="7"/>
      <c r="TXW23" s="7"/>
      <c r="TXX23" s="7"/>
      <c r="TXY23" s="7"/>
      <c r="TXZ23" s="7"/>
      <c r="TYA23" s="7"/>
      <c r="TYB23" s="7"/>
      <c r="TYC23" s="7"/>
      <c r="TYD23" s="7"/>
      <c r="TYE23" s="7"/>
      <c r="TYF23" s="7"/>
      <c r="TYG23" s="7"/>
      <c r="TYH23" s="7"/>
      <c r="TYI23" s="7"/>
      <c r="TYJ23" s="7"/>
      <c r="TYK23" s="7"/>
      <c r="TYL23" s="7"/>
      <c r="TYM23" s="7"/>
      <c r="TYN23" s="7"/>
      <c r="TYO23" s="7"/>
      <c r="TYP23" s="7"/>
      <c r="TYQ23" s="7"/>
      <c r="TYR23" s="7"/>
      <c r="TYS23" s="7"/>
      <c r="TYT23" s="7"/>
      <c r="TYU23" s="7"/>
      <c r="TYV23" s="7"/>
      <c r="TYW23" s="7"/>
      <c r="TYX23" s="7"/>
      <c r="TYY23" s="7"/>
      <c r="TYZ23" s="7"/>
      <c r="TZA23" s="7"/>
      <c r="TZB23" s="7"/>
      <c r="TZC23" s="7"/>
      <c r="TZD23" s="7"/>
      <c r="TZE23" s="7"/>
      <c r="TZF23" s="7"/>
      <c r="TZG23" s="7"/>
      <c r="TZH23" s="7"/>
      <c r="TZI23" s="7"/>
      <c r="TZJ23" s="7"/>
      <c r="TZK23" s="7"/>
      <c r="TZL23" s="7"/>
      <c r="TZM23" s="7"/>
      <c r="TZN23" s="7"/>
      <c r="TZO23" s="7"/>
      <c r="TZP23" s="7"/>
      <c r="TZQ23" s="7"/>
      <c r="TZR23" s="7"/>
      <c r="TZS23" s="7"/>
      <c r="TZT23" s="7"/>
      <c r="TZU23" s="7"/>
      <c r="TZV23" s="7"/>
      <c r="TZW23" s="7"/>
      <c r="TZX23" s="7"/>
      <c r="TZY23" s="7"/>
      <c r="TZZ23" s="7"/>
      <c r="UAA23" s="7"/>
      <c r="UAB23" s="7"/>
      <c r="UAC23" s="7"/>
      <c r="UAD23" s="7"/>
      <c r="UAE23" s="7"/>
      <c r="UAF23" s="7"/>
      <c r="UAG23" s="7"/>
      <c r="UAH23" s="7"/>
      <c r="UAI23" s="7"/>
      <c r="UAJ23" s="7"/>
      <c r="UAK23" s="7"/>
      <c r="UAL23" s="7"/>
      <c r="UAM23" s="7"/>
      <c r="UAN23" s="7"/>
      <c r="UAO23" s="7"/>
      <c r="UAP23" s="7"/>
      <c r="UAQ23" s="7"/>
      <c r="UAR23" s="7"/>
      <c r="UAS23" s="7"/>
      <c r="UAT23" s="7"/>
      <c r="UAU23" s="7"/>
      <c r="UAV23" s="7"/>
      <c r="UAW23" s="7"/>
      <c r="UAX23" s="7"/>
      <c r="UAY23" s="7"/>
      <c r="UAZ23" s="7"/>
      <c r="UBA23" s="7"/>
      <c r="UBB23" s="7"/>
      <c r="UBC23" s="7"/>
      <c r="UBD23" s="7"/>
      <c r="UBE23" s="7"/>
      <c r="UBF23" s="7"/>
      <c r="UBG23" s="7"/>
      <c r="UBH23" s="7"/>
      <c r="UBI23" s="7"/>
      <c r="UBJ23" s="7"/>
      <c r="UBK23" s="7"/>
      <c r="UBL23" s="7"/>
      <c r="UBM23" s="7"/>
      <c r="UBN23" s="7"/>
      <c r="UBO23" s="7"/>
      <c r="UBP23" s="7"/>
      <c r="UBQ23" s="7"/>
      <c r="UBR23" s="7"/>
      <c r="UBS23" s="7"/>
      <c r="UBT23" s="7"/>
      <c r="UBU23" s="7"/>
      <c r="UBV23" s="7"/>
      <c r="UBW23" s="7"/>
      <c r="UBX23" s="7"/>
      <c r="UBY23" s="7"/>
      <c r="UBZ23" s="7"/>
      <c r="UCA23" s="7"/>
      <c r="UCB23" s="7"/>
      <c r="UCC23" s="7"/>
      <c r="UCD23" s="7"/>
      <c r="UCE23" s="7"/>
      <c r="UCF23" s="7"/>
      <c r="UCG23" s="7"/>
      <c r="UCH23" s="7"/>
      <c r="UCI23" s="7"/>
      <c r="UCJ23" s="7"/>
      <c r="UCK23" s="7"/>
      <c r="UCL23" s="7"/>
      <c r="UCM23" s="7"/>
      <c r="UCN23" s="7"/>
      <c r="UCO23" s="7"/>
      <c r="UCP23" s="7"/>
      <c r="UCQ23" s="7"/>
      <c r="UCR23" s="7"/>
      <c r="UCS23" s="7"/>
      <c r="UCT23" s="7"/>
      <c r="UCU23" s="7"/>
      <c r="UCV23" s="7"/>
      <c r="UCW23" s="7"/>
      <c r="UCX23" s="7"/>
      <c r="UCY23" s="7"/>
      <c r="UCZ23" s="7"/>
      <c r="UDA23" s="7"/>
      <c r="UDB23" s="7"/>
      <c r="UDC23" s="7"/>
      <c r="UDD23" s="7"/>
      <c r="UDE23" s="7"/>
      <c r="UDF23" s="7"/>
      <c r="UDG23" s="7"/>
      <c r="UDH23" s="7"/>
      <c r="UDI23" s="7"/>
      <c r="UDJ23" s="7"/>
      <c r="UDK23" s="7"/>
      <c r="UDL23" s="7"/>
      <c r="UDM23" s="7"/>
      <c r="UDN23" s="7"/>
      <c r="UDO23" s="7"/>
      <c r="UDP23" s="7"/>
      <c r="UDQ23" s="7"/>
      <c r="UDR23" s="7"/>
      <c r="UDS23" s="7"/>
      <c r="UDT23" s="7"/>
      <c r="UDU23" s="7"/>
      <c r="UDV23" s="7"/>
      <c r="UDW23" s="7"/>
      <c r="UDX23" s="7"/>
      <c r="UDY23" s="7"/>
      <c r="UDZ23" s="7"/>
      <c r="UEA23" s="7"/>
      <c r="UEB23" s="7"/>
      <c r="UEC23" s="7"/>
      <c r="UED23" s="7"/>
      <c r="UEE23" s="7"/>
      <c r="UEF23" s="7"/>
      <c r="UEG23" s="7"/>
      <c r="UEH23" s="7"/>
      <c r="UEI23" s="7"/>
      <c r="UEJ23" s="7"/>
      <c r="UEK23" s="7"/>
      <c r="UEL23" s="7"/>
      <c r="UEM23" s="7"/>
      <c r="UEN23" s="7"/>
      <c r="UEO23" s="7"/>
      <c r="UEP23" s="7"/>
      <c r="UEQ23" s="7"/>
      <c r="UER23" s="7"/>
      <c r="UES23" s="7"/>
      <c r="UET23" s="7"/>
      <c r="UEU23" s="7"/>
      <c r="UEV23" s="7"/>
      <c r="UEW23" s="7"/>
      <c r="UEX23" s="7"/>
      <c r="UEY23" s="7"/>
      <c r="UEZ23" s="7"/>
      <c r="UFA23" s="7"/>
      <c r="UFB23" s="7"/>
      <c r="UFC23" s="7"/>
      <c r="UFD23" s="7"/>
      <c r="UFE23" s="7"/>
      <c r="UFF23" s="7"/>
      <c r="UFG23" s="7"/>
      <c r="UFH23" s="7"/>
      <c r="UFI23" s="7"/>
      <c r="UFJ23" s="7"/>
      <c r="UFK23" s="7"/>
      <c r="UFL23" s="7"/>
      <c r="UFM23" s="7"/>
      <c r="UFN23" s="7"/>
      <c r="UFO23" s="7"/>
      <c r="UFP23" s="7"/>
      <c r="UFQ23" s="7"/>
      <c r="UFR23" s="7"/>
      <c r="UFS23" s="7"/>
      <c r="UFT23" s="7"/>
      <c r="UFU23" s="7"/>
      <c r="UFV23" s="7"/>
      <c r="UFW23" s="7"/>
      <c r="UFX23" s="7"/>
      <c r="UFY23" s="7"/>
      <c r="UFZ23" s="7"/>
      <c r="UGA23" s="7"/>
      <c r="UGB23" s="7"/>
      <c r="UGC23" s="7"/>
      <c r="UGD23" s="7"/>
      <c r="UGE23" s="7"/>
      <c r="UGF23" s="7"/>
      <c r="UGG23" s="7"/>
      <c r="UGH23" s="7"/>
      <c r="UGI23" s="7"/>
      <c r="UGJ23" s="7"/>
      <c r="UGK23" s="7"/>
      <c r="UGL23" s="7"/>
      <c r="UGM23" s="7"/>
      <c r="UGN23" s="7"/>
      <c r="UGO23" s="7"/>
      <c r="UGP23" s="7"/>
      <c r="UGQ23" s="7"/>
      <c r="UGR23" s="7"/>
      <c r="UGS23" s="7"/>
      <c r="UGT23" s="7"/>
      <c r="UGU23" s="7"/>
      <c r="UGV23" s="7"/>
      <c r="UGW23" s="7"/>
      <c r="UGX23" s="7"/>
      <c r="UGY23" s="7"/>
      <c r="UGZ23" s="7"/>
      <c r="UHA23" s="7"/>
      <c r="UHB23" s="7"/>
      <c r="UHC23" s="7"/>
      <c r="UHD23" s="7"/>
      <c r="UHE23" s="7"/>
      <c r="UHF23" s="7"/>
      <c r="UHG23" s="7"/>
      <c r="UHH23" s="7"/>
      <c r="UHI23" s="7"/>
      <c r="UHJ23" s="7"/>
      <c r="UHK23" s="7"/>
      <c r="UHL23" s="7"/>
      <c r="UHM23" s="7"/>
      <c r="UHN23" s="7"/>
      <c r="UHO23" s="7"/>
      <c r="UHP23" s="7"/>
      <c r="UHQ23" s="7"/>
      <c r="UHR23" s="7"/>
      <c r="UHS23" s="7"/>
      <c r="UHT23" s="7"/>
      <c r="UHU23" s="7"/>
      <c r="UHV23" s="7"/>
      <c r="UHW23" s="7"/>
      <c r="UHX23" s="7"/>
      <c r="UHY23" s="7"/>
      <c r="UHZ23" s="7"/>
      <c r="UIA23" s="7"/>
      <c r="UIB23" s="7"/>
      <c r="UIC23" s="7"/>
      <c r="UID23" s="7"/>
      <c r="UIE23" s="7"/>
      <c r="UIF23" s="7"/>
      <c r="UIG23" s="7"/>
      <c r="UIH23" s="7"/>
      <c r="UII23" s="7"/>
      <c r="UIJ23" s="7"/>
      <c r="UIK23" s="7"/>
      <c r="UIL23" s="7"/>
      <c r="UIM23" s="7"/>
      <c r="UIN23" s="7"/>
      <c r="UIO23" s="7"/>
      <c r="UIP23" s="7"/>
      <c r="UIQ23" s="7"/>
      <c r="UIR23" s="7"/>
      <c r="UIS23" s="7"/>
      <c r="UIT23" s="7"/>
      <c r="UIU23" s="7"/>
      <c r="UIV23" s="7"/>
      <c r="UIW23" s="7"/>
      <c r="UIX23" s="7"/>
      <c r="UIY23" s="7"/>
      <c r="UIZ23" s="7"/>
      <c r="UJA23" s="7"/>
      <c r="UJB23" s="7"/>
      <c r="UJC23" s="7"/>
      <c r="UJD23" s="7"/>
      <c r="UJE23" s="7"/>
      <c r="UJF23" s="7"/>
      <c r="UJG23" s="7"/>
      <c r="UJH23" s="7"/>
      <c r="UJI23" s="7"/>
      <c r="UJJ23" s="7"/>
      <c r="UJK23" s="7"/>
      <c r="UJL23" s="7"/>
      <c r="UJM23" s="7"/>
      <c r="UJN23" s="7"/>
      <c r="UJO23" s="7"/>
      <c r="UJP23" s="7"/>
      <c r="UJQ23" s="7"/>
      <c r="UJR23" s="7"/>
      <c r="UJS23" s="7"/>
      <c r="UJT23" s="7"/>
      <c r="UJU23" s="7"/>
      <c r="UJV23" s="7"/>
      <c r="UJW23" s="7"/>
      <c r="UJX23" s="7"/>
      <c r="UJY23" s="7"/>
      <c r="UJZ23" s="7"/>
      <c r="UKA23" s="7"/>
      <c r="UKB23" s="7"/>
      <c r="UKC23" s="7"/>
      <c r="UKD23" s="7"/>
      <c r="UKE23" s="7"/>
      <c r="UKF23" s="7"/>
      <c r="UKG23" s="7"/>
      <c r="UKH23" s="7"/>
      <c r="UKI23" s="7"/>
      <c r="UKJ23" s="7"/>
      <c r="UKK23" s="7"/>
      <c r="UKL23" s="7"/>
      <c r="UKM23" s="7"/>
      <c r="UKN23" s="7"/>
      <c r="UKO23" s="7"/>
      <c r="UKP23" s="7"/>
      <c r="UKQ23" s="7"/>
      <c r="UKR23" s="7"/>
      <c r="UKS23" s="7"/>
      <c r="UKT23" s="7"/>
      <c r="UKU23" s="7"/>
      <c r="UKV23" s="7"/>
      <c r="UKW23" s="7"/>
      <c r="UKX23" s="7"/>
      <c r="UKY23" s="7"/>
      <c r="UKZ23" s="7"/>
      <c r="ULA23" s="7"/>
      <c r="ULB23" s="7"/>
      <c r="ULC23" s="7"/>
      <c r="ULD23" s="7"/>
      <c r="ULE23" s="7"/>
      <c r="ULF23" s="7"/>
      <c r="ULG23" s="7"/>
      <c r="ULH23" s="7"/>
      <c r="ULI23" s="7"/>
      <c r="ULJ23" s="7"/>
      <c r="ULK23" s="7"/>
      <c r="ULL23" s="7"/>
      <c r="ULM23" s="7"/>
      <c r="ULN23" s="7"/>
      <c r="ULO23" s="7"/>
      <c r="ULP23" s="7"/>
      <c r="ULQ23" s="7"/>
      <c r="ULR23" s="7"/>
      <c r="ULS23" s="7"/>
      <c r="ULT23" s="7"/>
      <c r="ULU23" s="7"/>
      <c r="ULV23" s="7"/>
      <c r="ULW23" s="7"/>
      <c r="ULX23" s="7"/>
      <c r="ULY23" s="7"/>
      <c r="ULZ23" s="7"/>
      <c r="UMA23" s="7"/>
      <c r="UMB23" s="7"/>
      <c r="UMC23" s="7"/>
      <c r="UMD23" s="7"/>
      <c r="UME23" s="7"/>
      <c r="UMF23" s="7"/>
      <c r="UMG23" s="7"/>
      <c r="UMH23" s="7"/>
      <c r="UMI23" s="7"/>
      <c r="UMJ23" s="7"/>
      <c r="UMK23" s="7"/>
      <c r="UML23" s="7"/>
      <c r="UMM23" s="7"/>
      <c r="UMN23" s="7"/>
      <c r="UMO23" s="7"/>
      <c r="UMP23" s="7"/>
      <c r="UMQ23" s="7"/>
      <c r="UMR23" s="7"/>
      <c r="UMS23" s="7"/>
      <c r="UMT23" s="7"/>
      <c r="UMU23" s="7"/>
      <c r="UMV23" s="7"/>
      <c r="UMW23" s="7"/>
      <c r="UMX23" s="7"/>
      <c r="UMY23" s="7"/>
      <c r="UMZ23" s="7"/>
      <c r="UNA23" s="7"/>
      <c r="UNB23" s="7"/>
      <c r="UNC23" s="7"/>
      <c r="UND23" s="7"/>
      <c r="UNE23" s="7"/>
      <c r="UNF23" s="7"/>
      <c r="UNG23" s="7"/>
      <c r="UNH23" s="7"/>
      <c r="UNI23" s="7"/>
      <c r="UNJ23" s="7"/>
      <c r="UNK23" s="7"/>
      <c r="UNL23" s="7"/>
      <c r="UNM23" s="7"/>
      <c r="UNN23" s="7"/>
      <c r="UNO23" s="7"/>
      <c r="UNP23" s="7"/>
      <c r="UNQ23" s="7"/>
      <c r="UNR23" s="7"/>
      <c r="UNS23" s="7"/>
      <c r="UNT23" s="7"/>
      <c r="UNU23" s="7"/>
      <c r="UNV23" s="7"/>
      <c r="UNW23" s="7"/>
      <c r="UNX23" s="7"/>
      <c r="UNY23" s="7"/>
      <c r="UNZ23" s="7"/>
      <c r="UOA23" s="7"/>
      <c r="UOB23" s="7"/>
      <c r="UOC23" s="7"/>
      <c r="UOD23" s="7"/>
      <c r="UOE23" s="7"/>
      <c r="UOF23" s="7"/>
      <c r="UOG23" s="7"/>
      <c r="UOH23" s="7"/>
      <c r="UOI23" s="7"/>
      <c r="UOJ23" s="7"/>
      <c r="UOK23" s="7"/>
      <c r="UOL23" s="7"/>
      <c r="UOM23" s="7"/>
      <c r="UON23" s="7"/>
      <c r="UOO23" s="7"/>
      <c r="UOP23" s="7"/>
      <c r="UOQ23" s="7"/>
      <c r="UOR23" s="7"/>
      <c r="UOS23" s="7"/>
      <c r="UOT23" s="7"/>
      <c r="UOU23" s="7"/>
      <c r="UOV23" s="7"/>
      <c r="UOW23" s="7"/>
      <c r="UOX23" s="7"/>
      <c r="UOY23" s="7"/>
      <c r="UOZ23" s="7"/>
      <c r="UPA23" s="7"/>
      <c r="UPB23" s="7"/>
      <c r="UPC23" s="7"/>
      <c r="UPD23" s="7"/>
      <c r="UPE23" s="7"/>
      <c r="UPF23" s="7"/>
      <c r="UPG23" s="7"/>
      <c r="UPH23" s="7"/>
      <c r="UPI23" s="7"/>
      <c r="UPJ23" s="7"/>
      <c r="UPK23" s="7"/>
      <c r="UPL23" s="7"/>
      <c r="UPM23" s="7"/>
      <c r="UPN23" s="7"/>
      <c r="UPO23" s="7"/>
      <c r="UPP23" s="7"/>
      <c r="UPQ23" s="7"/>
      <c r="UPR23" s="7"/>
      <c r="UPS23" s="7"/>
      <c r="UPT23" s="7"/>
      <c r="UPU23" s="7"/>
      <c r="UPV23" s="7"/>
      <c r="UPW23" s="7"/>
      <c r="UPX23" s="7"/>
      <c r="UPY23" s="7"/>
      <c r="UPZ23" s="7"/>
      <c r="UQA23" s="7"/>
      <c r="UQB23" s="7"/>
      <c r="UQC23" s="7"/>
      <c r="UQD23" s="7"/>
      <c r="UQE23" s="7"/>
      <c r="UQF23" s="7"/>
      <c r="UQG23" s="7"/>
      <c r="UQH23" s="7"/>
      <c r="UQI23" s="7"/>
      <c r="UQJ23" s="7"/>
      <c r="UQK23" s="7"/>
      <c r="UQL23" s="7"/>
      <c r="UQM23" s="7"/>
      <c r="UQN23" s="7"/>
      <c r="UQO23" s="7"/>
      <c r="UQP23" s="7"/>
      <c r="UQQ23" s="7"/>
      <c r="UQR23" s="7"/>
      <c r="UQS23" s="7"/>
      <c r="UQT23" s="7"/>
      <c r="UQU23" s="7"/>
      <c r="UQV23" s="7"/>
      <c r="UQW23" s="7"/>
      <c r="UQX23" s="7"/>
      <c r="UQY23" s="7"/>
      <c r="UQZ23" s="7"/>
      <c r="URA23" s="7"/>
      <c r="URB23" s="7"/>
      <c r="URC23" s="7"/>
      <c r="URD23" s="7"/>
      <c r="URE23" s="7"/>
      <c r="URF23" s="7"/>
      <c r="URG23" s="7"/>
      <c r="URH23" s="7"/>
      <c r="URI23" s="7"/>
      <c r="URJ23" s="7"/>
      <c r="URK23" s="7"/>
      <c r="URL23" s="7"/>
      <c r="URM23" s="7"/>
      <c r="URN23" s="7"/>
      <c r="URO23" s="7"/>
      <c r="URP23" s="7"/>
      <c r="URQ23" s="7"/>
      <c r="URR23" s="7"/>
      <c r="URS23" s="7"/>
      <c r="URT23" s="7"/>
      <c r="URU23" s="7"/>
      <c r="URV23" s="7"/>
      <c r="URW23" s="7"/>
      <c r="URX23" s="7"/>
      <c r="URY23" s="7"/>
      <c r="URZ23" s="7"/>
      <c r="USA23" s="7"/>
      <c r="USB23" s="7"/>
      <c r="USC23" s="7"/>
      <c r="USD23" s="7"/>
      <c r="USE23" s="7"/>
      <c r="USF23" s="7"/>
      <c r="USG23" s="7"/>
      <c r="USH23" s="7"/>
      <c r="USI23" s="7"/>
      <c r="USJ23" s="7"/>
      <c r="USK23" s="7"/>
      <c r="USL23" s="7"/>
      <c r="USM23" s="7"/>
      <c r="USN23" s="7"/>
      <c r="USO23" s="7"/>
      <c r="USP23" s="7"/>
      <c r="USQ23" s="7"/>
      <c r="USR23" s="7"/>
      <c r="USS23" s="7"/>
      <c r="UST23" s="7"/>
      <c r="USU23" s="7"/>
      <c r="USV23" s="7"/>
      <c r="USW23" s="7"/>
      <c r="USX23" s="7"/>
      <c r="USY23" s="7"/>
      <c r="USZ23" s="7"/>
      <c r="UTA23" s="7"/>
      <c r="UTB23" s="7"/>
      <c r="UTC23" s="7"/>
      <c r="UTD23" s="7"/>
      <c r="UTE23" s="7"/>
      <c r="UTF23" s="7"/>
      <c r="UTG23" s="7"/>
      <c r="UTH23" s="7"/>
      <c r="UTI23" s="7"/>
      <c r="UTJ23" s="7"/>
      <c r="UTK23" s="7"/>
      <c r="UTL23" s="7"/>
      <c r="UTM23" s="7"/>
      <c r="UTN23" s="7"/>
      <c r="UTO23" s="7"/>
      <c r="UTP23" s="7"/>
      <c r="UTQ23" s="7"/>
      <c r="UTR23" s="7"/>
      <c r="UTS23" s="7"/>
      <c r="UTT23" s="7"/>
      <c r="UTU23" s="7"/>
      <c r="UTV23" s="7"/>
      <c r="UTW23" s="7"/>
      <c r="UTX23" s="7"/>
      <c r="UTY23" s="7"/>
      <c r="UTZ23" s="7"/>
      <c r="UUA23" s="7"/>
      <c r="UUB23" s="7"/>
      <c r="UUC23" s="7"/>
      <c r="UUD23" s="7"/>
      <c r="UUE23" s="7"/>
      <c r="UUF23" s="7"/>
      <c r="UUG23" s="7"/>
      <c r="UUH23" s="7"/>
      <c r="UUI23" s="7"/>
      <c r="UUJ23" s="7"/>
      <c r="UUK23" s="7"/>
      <c r="UUL23" s="7"/>
      <c r="UUM23" s="7"/>
      <c r="UUN23" s="7"/>
      <c r="UUO23" s="7"/>
      <c r="UUP23" s="7"/>
      <c r="UUQ23" s="7"/>
      <c r="UUR23" s="7"/>
      <c r="UUS23" s="7"/>
      <c r="UUT23" s="7"/>
      <c r="UUU23" s="7"/>
      <c r="UUV23" s="7"/>
      <c r="UUW23" s="7"/>
      <c r="UUX23" s="7"/>
      <c r="UUY23" s="7"/>
      <c r="UUZ23" s="7"/>
      <c r="UVA23" s="7"/>
      <c r="UVB23" s="7"/>
      <c r="UVC23" s="7"/>
      <c r="UVD23" s="7"/>
      <c r="UVE23" s="7"/>
      <c r="UVF23" s="7"/>
      <c r="UVG23" s="7"/>
      <c r="UVH23" s="7"/>
      <c r="UVI23" s="7"/>
      <c r="UVJ23" s="7"/>
      <c r="UVK23" s="7"/>
      <c r="UVL23" s="7"/>
      <c r="UVM23" s="7"/>
      <c r="UVN23" s="7"/>
      <c r="UVO23" s="7"/>
      <c r="UVP23" s="7"/>
      <c r="UVQ23" s="7"/>
      <c r="UVR23" s="7"/>
      <c r="UVS23" s="7"/>
      <c r="UVT23" s="7"/>
      <c r="UVU23" s="7"/>
      <c r="UVV23" s="7"/>
      <c r="UVW23" s="7"/>
      <c r="UVX23" s="7"/>
      <c r="UVY23" s="7"/>
      <c r="UVZ23" s="7"/>
      <c r="UWA23" s="7"/>
      <c r="UWB23" s="7"/>
      <c r="UWC23" s="7"/>
      <c r="UWD23" s="7"/>
      <c r="UWE23" s="7"/>
      <c r="UWF23" s="7"/>
      <c r="UWG23" s="7"/>
      <c r="UWH23" s="7"/>
      <c r="UWI23" s="7"/>
      <c r="UWJ23" s="7"/>
      <c r="UWK23" s="7"/>
      <c r="UWL23" s="7"/>
      <c r="UWM23" s="7"/>
      <c r="UWN23" s="7"/>
      <c r="UWO23" s="7"/>
      <c r="UWP23" s="7"/>
      <c r="UWQ23" s="7"/>
      <c r="UWR23" s="7"/>
      <c r="UWS23" s="7"/>
      <c r="UWT23" s="7"/>
      <c r="UWU23" s="7"/>
      <c r="UWV23" s="7"/>
      <c r="UWW23" s="7"/>
      <c r="UWX23" s="7"/>
      <c r="UWY23" s="7"/>
      <c r="UWZ23" s="7"/>
      <c r="UXA23" s="7"/>
      <c r="UXB23" s="7"/>
      <c r="UXC23" s="7"/>
      <c r="UXD23" s="7"/>
      <c r="UXE23" s="7"/>
      <c r="UXF23" s="7"/>
      <c r="UXG23" s="7"/>
      <c r="UXH23" s="7"/>
      <c r="UXI23" s="7"/>
      <c r="UXJ23" s="7"/>
      <c r="UXK23" s="7"/>
      <c r="UXL23" s="7"/>
      <c r="UXM23" s="7"/>
      <c r="UXN23" s="7"/>
      <c r="UXO23" s="7"/>
      <c r="UXP23" s="7"/>
      <c r="UXQ23" s="7"/>
      <c r="UXR23" s="7"/>
      <c r="UXS23" s="7"/>
      <c r="UXT23" s="7"/>
      <c r="UXU23" s="7"/>
      <c r="UXV23" s="7"/>
      <c r="UXW23" s="7"/>
      <c r="UXX23" s="7"/>
      <c r="UXY23" s="7"/>
      <c r="UXZ23" s="7"/>
      <c r="UYA23" s="7"/>
      <c r="UYB23" s="7"/>
      <c r="UYC23" s="7"/>
      <c r="UYD23" s="7"/>
      <c r="UYE23" s="7"/>
      <c r="UYF23" s="7"/>
      <c r="UYG23" s="7"/>
      <c r="UYH23" s="7"/>
      <c r="UYI23" s="7"/>
      <c r="UYJ23" s="7"/>
      <c r="UYK23" s="7"/>
      <c r="UYL23" s="7"/>
      <c r="UYM23" s="7"/>
      <c r="UYN23" s="7"/>
      <c r="UYO23" s="7"/>
      <c r="UYP23" s="7"/>
      <c r="UYQ23" s="7"/>
      <c r="UYR23" s="7"/>
      <c r="UYS23" s="7"/>
      <c r="UYT23" s="7"/>
      <c r="UYU23" s="7"/>
      <c r="UYV23" s="7"/>
      <c r="UYW23" s="7"/>
      <c r="UYX23" s="7"/>
      <c r="UYY23" s="7"/>
      <c r="UYZ23" s="7"/>
      <c r="UZA23" s="7"/>
      <c r="UZB23" s="7"/>
      <c r="UZC23" s="7"/>
      <c r="UZD23" s="7"/>
      <c r="UZE23" s="7"/>
      <c r="UZF23" s="7"/>
      <c r="UZG23" s="7"/>
      <c r="UZH23" s="7"/>
      <c r="UZI23" s="7"/>
      <c r="UZJ23" s="7"/>
      <c r="UZK23" s="7"/>
      <c r="UZL23" s="7"/>
      <c r="UZM23" s="7"/>
      <c r="UZN23" s="7"/>
      <c r="UZO23" s="7"/>
      <c r="UZP23" s="7"/>
      <c r="UZQ23" s="7"/>
      <c r="UZR23" s="7"/>
      <c r="UZS23" s="7"/>
      <c r="UZT23" s="7"/>
      <c r="UZU23" s="7"/>
      <c r="UZV23" s="7"/>
      <c r="UZW23" s="7"/>
      <c r="UZX23" s="7"/>
      <c r="UZY23" s="7"/>
      <c r="UZZ23" s="7"/>
      <c r="VAA23" s="7"/>
      <c r="VAB23" s="7"/>
      <c r="VAC23" s="7"/>
      <c r="VAD23" s="7"/>
      <c r="VAE23" s="7"/>
      <c r="VAF23" s="7"/>
      <c r="VAG23" s="7"/>
      <c r="VAH23" s="7"/>
      <c r="VAI23" s="7"/>
      <c r="VAJ23" s="7"/>
      <c r="VAK23" s="7"/>
      <c r="VAL23" s="7"/>
      <c r="VAM23" s="7"/>
      <c r="VAN23" s="7"/>
      <c r="VAO23" s="7"/>
      <c r="VAP23" s="7"/>
      <c r="VAQ23" s="7"/>
      <c r="VAR23" s="7"/>
      <c r="VAS23" s="7"/>
      <c r="VAT23" s="7"/>
      <c r="VAU23" s="7"/>
      <c r="VAV23" s="7"/>
      <c r="VAW23" s="7"/>
      <c r="VAX23" s="7"/>
      <c r="VAY23" s="7"/>
      <c r="VAZ23" s="7"/>
      <c r="VBA23" s="7"/>
      <c r="VBB23" s="7"/>
      <c r="VBC23" s="7"/>
      <c r="VBD23" s="7"/>
      <c r="VBE23" s="7"/>
      <c r="VBF23" s="7"/>
      <c r="VBG23" s="7"/>
      <c r="VBH23" s="7"/>
      <c r="VBI23" s="7"/>
      <c r="VBJ23" s="7"/>
      <c r="VBK23" s="7"/>
      <c r="VBL23" s="7"/>
      <c r="VBM23" s="7"/>
      <c r="VBN23" s="7"/>
      <c r="VBO23" s="7"/>
      <c r="VBP23" s="7"/>
      <c r="VBQ23" s="7"/>
      <c r="VBR23" s="7"/>
      <c r="VBS23" s="7"/>
      <c r="VBT23" s="7"/>
      <c r="VBU23" s="7"/>
      <c r="VBV23" s="7"/>
      <c r="VBW23" s="7"/>
      <c r="VBX23" s="7"/>
      <c r="VBY23" s="7"/>
      <c r="VBZ23" s="7"/>
      <c r="VCA23" s="7"/>
      <c r="VCB23" s="7"/>
      <c r="VCC23" s="7"/>
      <c r="VCD23" s="7"/>
      <c r="VCE23" s="7"/>
      <c r="VCF23" s="7"/>
      <c r="VCG23" s="7"/>
      <c r="VCH23" s="7"/>
      <c r="VCI23" s="7"/>
      <c r="VCJ23" s="7"/>
      <c r="VCK23" s="7"/>
      <c r="VCL23" s="7"/>
      <c r="VCM23" s="7"/>
      <c r="VCN23" s="7"/>
      <c r="VCO23" s="7"/>
      <c r="VCP23" s="7"/>
      <c r="VCQ23" s="7"/>
      <c r="VCR23" s="7"/>
      <c r="VCS23" s="7"/>
      <c r="VCT23" s="7"/>
      <c r="VCU23" s="7"/>
      <c r="VCV23" s="7"/>
      <c r="VCW23" s="7"/>
      <c r="VCX23" s="7"/>
      <c r="VCY23" s="7"/>
      <c r="VCZ23" s="7"/>
      <c r="VDA23" s="7"/>
      <c r="VDB23" s="7"/>
      <c r="VDC23" s="7"/>
      <c r="VDD23" s="7"/>
      <c r="VDE23" s="7"/>
      <c r="VDF23" s="7"/>
      <c r="VDG23" s="7"/>
      <c r="VDH23" s="7"/>
      <c r="VDI23" s="7"/>
      <c r="VDJ23" s="7"/>
      <c r="VDK23" s="7"/>
      <c r="VDL23" s="7"/>
      <c r="VDM23" s="7"/>
      <c r="VDN23" s="7"/>
      <c r="VDO23" s="7"/>
      <c r="VDP23" s="7"/>
      <c r="VDQ23" s="7"/>
      <c r="VDR23" s="7"/>
      <c r="VDS23" s="7"/>
      <c r="VDT23" s="7"/>
      <c r="VDU23" s="7"/>
      <c r="VDV23" s="7"/>
      <c r="VDW23" s="7"/>
      <c r="VDX23" s="7"/>
      <c r="VDY23" s="7"/>
      <c r="VDZ23" s="7"/>
      <c r="VEA23" s="7"/>
      <c r="VEB23" s="7"/>
      <c r="VEC23" s="7"/>
      <c r="VED23" s="7"/>
      <c r="VEE23" s="7"/>
      <c r="VEF23" s="7"/>
      <c r="VEG23" s="7"/>
      <c r="VEH23" s="7"/>
      <c r="VEI23" s="7"/>
      <c r="VEJ23" s="7"/>
      <c r="VEK23" s="7"/>
      <c r="VEL23" s="7"/>
      <c r="VEM23" s="7"/>
      <c r="VEN23" s="7"/>
      <c r="VEO23" s="7"/>
      <c r="VEP23" s="7"/>
      <c r="VEQ23" s="7"/>
      <c r="VER23" s="7"/>
      <c r="VES23" s="7"/>
      <c r="VET23" s="7"/>
      <c r="VEU23" s="7"/>
      <c r="VEV23" s="7"/>
      <c r="VEW23" s="7"/>
      <c r="VEX23" s="7"/>
      <c r="VEY23" s="7"/>
      <c r="VEZ23" s="7"/>
      <c r="VFA23" s="7"/>
      <c r="VFB23" s="7"/>
      <c r="VFC23" s="7"/>
      <c r="VFD23" s="7"/>
      <c r="VFE23" s="7"/>
      <c r="VFF23" s="7"/>
      <c r="VFG23" s="7"/>
      <c r="VFH23" s="7"/>
      <c r="VFI23" s="7"/>
      <c r="VFJ23" s="7"/>
      <c r="VFK23" s="7"/>
      <c r="VFL23" s="7"/>
      <c r="VFM23" s="7"/>
      <c r="VFN23" s="7"/>
      <c r="VFO23" s="7"/>
      <c r="VFP23" s="7"/>
      <c r="VFQ23" s="7"/>
      <c r="VFR23" s="7"/>
      <c r="VFS23" s="7"/>
      <c r="VFT23" s="7"/>
      <c r="VFU23" s="7"/>
      <c r="VFV23" s="7"/>
      <c r="VFW23" s="7"/>
      <c r="VFX23" s="7"/>
      <c r="VFY23" s="7"/>
      <c r="VFZ23" s="7"/>
      <c r="VGA23" s="7"/>
      <c r="VGB23" s="7"/>
      <c r="VGC23" s="7"/>
      <c r="VGD23" s="7"/>
      <c r="VGE23" s="7"/>
      <c r="VGF23" s="7"/>
      <c r="VGG23" s="7"/>
      <c r="VGH23" s="7"/>
      <c r="VGI23" s="7"/>
      <c r="VGJ23" s="7"/>
      <c r="VGK23" s="7"/>
      <c r="VGL23" s="7"/>
      <c r="VGM23" s="7"/>
      <c r="VGN23" s="7"/>
      <c r="VGO23" s="7"/>
      <c r="VGP23" s="7"/>
      <c r="VGQ23" s="7"/>
      <c r="VGR23" s="7"/>
      <c r="VGS23" s="7"/>
      <c r="VGT23" s="7"/>
      <c r="VGU23" s="7"/>
      <c r="VGV23" s="7"/>
      <c r="VGW23" s="7"/>
      <c r="VGX23" s="7"/>
      <c r="VGY23" s="7"/>
      <c r="VGZ23" s="7"/>
      <c r="VHA23" s="7"/>
      <c r="VHB23" s="7"/>
      <c r="VHC23" s="7"/>
      <c r="VHD23" s="7"/>
      <c r="VHE23" s="7"/>
      <c r="VHF23" s="7"/>
      <c r="VHG23" s="7"/>
      <c r="VHH23" s="7"/>
      <c r="VHI23" s="7"/>
      <c r="VHJ23" s="7"/>
      <c r="VHK23" s="7"/>
      <c r="VHL23" s="7"/>
      <c r="VHM23" s="7"/>
      <c r="VHN23" s="7"/>
      <c r="VHO23" s="7"/>
      <c r="VHP23" s="7"/>
      <c r="VHQ23" s="7"/>
      <c r="VHR23" s="7"/>
      <c r="VHS23" s="7"/>
      <c r="VHT23" s="7"/>
      <c r="VHU23" s="7"/>
      <c r="VHV23" s="7"/>
      <c r="VHW23" s="7"/>
      <c r="VHX23" s="7"/>
      <c r="VHY23" s="7"/>
      <c r="VHZ23" s="7"/>
      <c r="VIA23" s="7"/>
      <c r="VIB23" s="7"/>
      <c r="VIC23" s="7"/>
      <c r="VID23" s="7"/>
      <c r="VIE23" s="7"/>
      <c r="VIF23" s="7"/>
      <c r="VIG23" s="7"/>
      <c r="VIH23" s="7"/>
      <c r="VII23" s="7"/>
      <c r="VIJ23" s="7"/>
      <c r="VIK23" s="7"/>
      <c r="VIL23" s="7"/>
      <c r="VIM23" s="7"/>
      <c r="VIN23" s="7"/>
      <c r="VIO23" s="7"/>
      <c r="VIP23" s="7"/>
      <c r="VIQ23" s="7"/>
      <c r="VIR23" s="7"/>
      <c r="VIS23" s="7"/>
      <c r="VIT23" s="7"/>
      <c r="VIU23" s="7"/>
      <c r="VIV23" s="7"/>
      <c r="VIW23" s="7"/>
      <c r="VIX23" s="7"/>
      <c r="VIY23" s="7"/>
      <c r="VIZ23" s="7"/>
      <c r="VJA23" s="7"/>
      <c r="VJB23" s="7"/>
      <c r="VJC23" s="7"/>
      <c r="VJD23" s="7"/>
      <c r="VJE23" s="7"/>
      <c r="VJF23" s="7"/>
      <c r="VJG23" s="7"/>
      <c r="VJH23" s="7"/>
      <c r="VJI23" s="7"/>
      <c r="VJJ23" s="7"/>
      <c r="VJK23" s="7"/>
      <c r="VJL23" s="7"/>
      <c r="VJM23" s="7"/>
      <c r="VJN23" s="7"/>
      <c r="VJO23" s="7"/>
      <c r="VJP23" s="7"/>
      <c r="VJQ23" s="7"/>
      <c r="VJR23" s="7"/>
      <c r="VJS23" s="7"/>
      <c r="VJT23" s="7"/>
      <c r="VJU23" s="7"/>
      <c r="VJV23" s="7"/>
      <c r="VJW23" s="7"/>
      <c r="VJX23" s="7"/>
      <c r="VJY23" s="7"/>
      <c r="VJZ23" s="7"/>
      <c r="VKA23" s="7"/>
      <c r="VKB23" s="7"/>
      <c r="VKC23" s="7"/>
      <c r="VKD23" s="7"/>
      <c r="VKE23" s="7"/>
      <c r="VKF23" s="7"/>
      <c r="VKG23" s="7"/>
      <c r="VKH23" s="7"/>
      <c r="VKI23" s="7"/>
      <c r="VKJ23" s="7"/>
      <c r="VKK23" s="7"/>
      <c r="VKL23" s="7"/>
      <c r="VKM23" s="7"/>
      <c r="VKN23" s="7"/>
      <c r="VKO23" s="7"/>
      <c r="VKP23" s="7"/>
      <c r="VKQ23" s="7"/>
      <c r="VKR23" s="7"/>
      <c r="VKS23" s="7"/>
      <c r="VKT23" s="7"/>
      <c r="VKU23" s="7"/>
      <c r="VKV23" s="7"/>
      <c r="VKW23" s="7"/>
      <c r="VKX23" s="7"/>
      <c r="VKY23" s="7"/>
      <c r="VKZ23" s="7"/>
      <c r="VLA23" s="7"/>
      <c r="VLB23" s="7"/>
      <c r="VLC23" s="7"/>
      <c r="VLD23" s="7"/>
      <c r="VLE23" s="7"/>
      <c r="VLF23" s="7"/>
      <c r="VLG23" s="7"/>
      <c r="VLH23" s="7"/>
      <c r="VLI23" s="7"/>
      <c r="VLJ23" s="7"/>
      <c r="VLK23" s="7"/>
      <c r="VLL23" s="7"/>
      <c r="VLM23" s="7"/>
      <c r="VLN23" s="7"/>
      <c r="VLO23" s="7"/>
      <c r="VLP23" s="7"/>
      <c r="VLQ23" s="7"/>
      <c r="VLR23" s="7"/>
      <c r="VLS23" s="7"/>
      <c r="VLT23" s="7"/>
      <c r="VLU23" s="7"/>
      <c r="VLV23" s="7"/>
      <c r="VLW23" s="7"/>
      <c r="VLX23" s="7"/>
      <c r="VLY23" s="7"/>
      <c r="VLZ23" s="7"/>
      <c r="VMA23" s="7"/>
      <c r="VMB23" s="7"/>
      <c r="VMC23" s="7"/>
      <c r="VMD23" s="7"/>
      <c r="VME23" s="7"/>
      <c r="VMF23" s="7"/>
      <c r="VMG23" s="7"/>
      <c r="VMH23" s="7"/>
      <c r="VMI23" s="7"/>
      <c r="VMJ23" s="7"/>
      <c r="VMK23" s="7"/>
      <c r="VML23" s="7"/>
      <c r="VMM23" s="7"/>
      <c r="VMN23" s="7"/>
      <c r="VMO23" s="7"/>
      <c r="VMP23" s="7"/>
      <c r="VMQ23" s="7"/>
      <c r="VMR23" s="7"/>
      <c r="VMS23" s="7"/>
      <c r="VMT23" s="7"/>
      <c r="VMU23" s="7"/>
      <c r="VMV23" s="7"/>
      <c r="VMW23" s="7"/>
      <c r="VMX23" s="7"/>
      <c r="VMY23" s="7"/>
      <c r="VMZ23" s="7"/>
      <c r="VNA23" s="7"/>
      <c r="VNB23" s="7"/>
      <c r="VNC23" s="7"/>
      <c r="VND23" s="7"/>
      <c r="VNE23" s="7"/>
      <c r="VNF23" s="7"/>
      <c r="VNG23" s="7"/>
      <c r="VNH23" s="7"/>
      <c r="VNI23" s="7"/>
      <c r="VNJ23" s="7"/>
      <c r="VNK23" s="7"/>
      <c r="VNL23" s="7"/>
      <c r="VNM23" s="7"/>
      <c r="VNN23" s="7"/>
      <c r="VNO23" s="7"/>
      <c r="VNP23" s="7"/>
      <c r="VNQ23" s="7"/>
      <c r="VNR23" s="7"/>
      <c r="VNS23" s="7"/>
      <c r="VNT23" s="7"/>
      <c r="VNU23" s="7"/>
      <c r="VNV23" s="7"/>
      <c r="VNW23" s="7"/>
      <c r="VNX23" s="7"/>
      <c r="VNY23" s="7"/>
      <c r="VNZ23" s="7"/>
      <c r="VOA23" s="7"/>
      <c r="VOB23" s="7"/>
      <c r="VOC23" s="7"/>
      <c r="VOD23" s="7"/>
      <c r="VOE23" s="7"/>
      <c r="VOF23" s="7"/>
      <c r="VOG23" s="7"/>
      <c r="VOH23" s="7"/>
      <c r="VOI23" s="7"/>
      <c r="VOJ23" s="7"/>
      <c r="VOK23" s="7"/>
      <c r="VOL23" s="7"/>
      <c r="VOM23" s="7"/>
      <c r="VON23" s="7"/>
      <c r="VOO23" s="7"/>
      <c r="VOP23" s="7"/>
      <c r="VOQ23" s="7"/>
      <c r="VOR23" s="7"/>
      <c r="VOS23" s="7"/>
      <c r="VOT23" s="7"/>
      <c r="VOU23" s="7"/>
      <c r="VOV23" s="7"/>
      <c r="VOW23" s="7"/>
      <c r="VOX23" s="7"/>
      <c r="VOY23" s="7"/>
      <c r="VOZ23" s="7"/>
      <c r="VPA23" s="7"/>
      <c r="VPB23" s="7"/>
      <c r="VPC23" s="7"/>
      <c r="VPD23" s="7"/>
      <c r="VPE23" s="7"/>
      <c r="VPF23" s="7"/>
      <c r="VPG23" s="7"/>
      <c r="VPH23" s="7"/>
      <c r="VPI23" s="7"/>
      <c r="VPJ23" s="7"/>
      <c r="VPK23" s="7"/>
      <c r="VPL23" s="7"/>
      <c r="VPM23" s="7"/>
      <c r="VPN23" s="7"/>
      <c r="VPO23" s="7"/>
      <c r="VPP23" s="7"/>
      <c r="VPQ23" s="7"/>
      <c r="VPR23" s="7"/>
      <c r="VPS23" s="7"/>
      <c r="VPT23" s="7"/>
      <c r="VPU23" s="7"/>
      <c r="VPV23" s="7"/>
      <c r="VPW23" s="7"/>
      <c r="VPX23" s="7"/>
      <c r="VPY23" s="7"/>
      <c r="VPZ23" s="7"/>
      <c r="VQA23" s="7"/>
      <c r="VQB23" s="7"/>
      <c r="VQC23" s="7"/>
      <c r="VQD23" s="7"/>
      <c r="VQE23" s="7"/>
      <c r="VQF23" s="7"/>
      <c r="VQG23" s="7"/>
      <c r="VQH23" s="7"/>
      <c r="VQI23" s="7"/>
      <c r="VQJ23" s="7"/>
      <c r="VQK23" s="7"/>
      <c r="VQL23" s="7"/>
      <c r="VQM23" s="7"/>
      <c r="VQN23" s="7"/>
      <c r="VQO23" s="7"/>
      <c r="VQP23" s="7"/>
      <c r="VQQ23" s="7"/>
      <c r="VQR23" s="7"/>
      <c r="VQS23" s="7"/>
      <c r="VQT23" s="7"/>
      <c r="VQU23" s="7"/>
      <c r="VQV23" s="7"/>
      <c r="VQW23" s="7"/>
      <c r="VQX23" s="7"/>
      <c r="VQY23" s="7"/>
      <c r="VQZ23" s="7"/>
      <c r="VRA23" s="7"/>
      <c r="VRB23" s="7"/>
      <c r="VRC23" s="7"/>
      <c r="VRD23" s="7"/>
      <c r="VRE23" s="7"/>
      <c r="VRF23" s="7"/>
      <c r="VRG23" s="7"/>
      <c r="VRH23" s="7"/>
      <c r="VRI23" s="7"/>
      <c r="VRJ23" s="7"/>
      <c r="VRK23" s="7"/>
      <c r="VRL23" s="7"/>
      <c r="VRM23" s="7"/>
      <c r="VRN23" s="7"/>
      <c r="VRO23" s="7"/>
      <c r="VRP23" s="7"/>
      <c r="VRQ23" s="7"/>
      <c r="VRR23" s="7"/>
      <c r="VRS23" s="7"/>
      <c r="VRT23" s="7"/>
      <c r="VRU23" s="7"/>
      <c r="VRV23" s="7"/>
      <c r="VRW23" s="7"/>
      <c r="VRX23" s="7"/>
      <c r="VRY23" s="7"/>
      <c r="VRZ23" s="7"/>
      <c r="VSA23" s="7"/>
      <c r="VSB23" s="7"/>
      <c r="VSC23" s="7"/>
      <c r="VSD23" s="7"/>
      <c r="VSE23" s="7"/>
      <c r="VSF23" s="7"/>
      <c r="VSG23" s="7"/>
      <c r="VSH23" s="7"/>
      <c r="VSI23" s="7"/>
      <c r="VSJ23" s="7"/>
      <c r="VSK23" s="7"/>
      <c r="VSL23" s="7"/>
      <c r="VSM23" s="7"/>
      <c r="VSN23" s="7"/>
      <c r="VSO23" s="7"/>
      <c r="VSP23" s="7"/>
      <c r="VSQ23" s="7"/>
      <c r="VSR23" s="7"/>
      <c r="VSS23" s="7"/>
      <c r="VST23" s="7"/>
      <c r="VSU23" s="7"/>
      <c r="VSV23" s="7"/>
      <c r="VSW23" s="7"/>
      <c r="VSX23" s="7"/>
      <c r="VSY23" s="7"/>
      <c r="VSZ23" s="7"/>
      <c r="VTA23" s="7"/>
      <c r="VTB23" s="7"/>
      <c r="VTC23" s="7"/>
      <c r="VTD23" s="7"/>
      <c r="VTE23" s="7"/>
      <c r="VTF23" s="7"/>
      <c r="VTG23" s="7"/>
      <c r="VTH23" s="7"/>
      <c r="VTI23" s="7"/>
      <c r="VTJ23" s="7"/>
      <c r="VTK23" s="7"/>
      <c r="VTL23" s="7"/>
      <c r="VTM23" s="7"/>
      <c r="VTN23" s="7"/>
      <c r="VTO23" s="7"/>
      <c r="VTP23" s="7"/>
      <c r="VTQ23" s="7"/>
      <c r="VTR23" s="7"/>
      <c r="VTS23" s="7"/>
      <c r="VTT23" s="7"/>
      <c r="VTU23" s="7"/>
      <c r="VTV23" s="7"/>
      <c r="VTW23" s="7"/>
      <c r="VTX23" s="7"/>
      <c r="VTY23" s="7"/>
      <c r="VTZ23" s="7"/>
      <c r="VUA23" s="7"/>
      <c r="VUB23" s="7"/>
      <c r="VUC23" s="7"/>
      <c r="VUD23" s="7"/>
      <c r="VUE23" s="7"/>
      <c r="VUF23" s="7"/>
      <c r="VUG23" s="7"/>
      <c r="VUH23" s="7"/>
      <c r="VUI23" s="7"/>
      <c r="VUJ23" s="7"/>
      <c r="VUK23" s="7"/>
      <c r="VUL23" s="7"/>
      <c r="VUM23" s="7"/>
      <c r="VUN23" s="7"/>
      <c r="VUO23" s="7"/>
      <c r="VUP23" s="7"/>
      <c r="VUQ23" s="7"/>
      <c r="VUR23" s="7"/>
      <c r="VUS23" s="7"/>
      <c r="VUT23" s="7"/>
      <c r="VUU23" s="7"/>
      <c r="VUV23" s="7"/>
      <c r="VUW23" s="7"/>
      <c r="VUX23" s="7"/>
      <c r="VUY23" s="7"/>
      <c r="VUZ23" s="7"/>
      <c r="VVA23" s="7"/>
      <c r="VVB23" s="7"/>
      <c r="VVC23" s="7"/>
      <c r="VVD23" s="7"/>
      <c r="VVE23" s="7"/>
      <c r="VVF23" s="7"/>
      <c r="VVG23" s="7"/>
      <c r="VVH23" s="7"/>
      <c r="VVI23" s="7"/>
      <c r="VVJ23" s="7"/>
      <c r="VVK23" s="7"/>
      <c r="VVL23" s="7"/>
      <c r="VVM23" s="7"/>
      <c r="VVN23" s="7"/>
      <c r="VVO23" s="7"/>
      <c r="VVP23" s="7"/>
      <c r="VVQ23" s="7"/>
      <c r="VVR23" s="7"/>
      <c r="VVS23" s="7"/>
      <c r="VVT23" s="7"/>
      <c r="VVU23" s="7"/>
      <c r="VVV23" s="7"/>
      <c r="VVW23" s="7"/>
      <c r="VVX23" s="7"/>
      <c r="VVY23" s="7"/>
      <c r="VVZ23" s="7"/>
      <c r="VWA23" s="7"/>
      <c r="VWB23" s="7"/>
      <c r="VWC23" s="7"/>
      <c r="VWD23" s="7"/>
      <c r="VWE23" s="7"/>
      <c r="VWF23" s="7"/>
      <c r="VWG23" s="7"/>
      <c r="VWH23" s="7"/>
      <c r="VWI23" s="7"/>
      <c r="VWJ23" s="7"/>
      <c r="VWK23" s="7"/>
      <c r="VWL23" s="7"/>
      <c r="VWM23" s="7"/>
      <c r="VWN23" s="7"/>
      <c r="VWO23" s="7"/>
      <c r="VWP23" s="7"/>
      <c r="VWQ23" s="7"/>
      <c r="VWR23" s="7"/>
      <c r="VWS23" s="7"/>
      <c r="VWT23" s="7"/>
      <c r="VWU23" s="7"/>
      <c r="VWV23" s="7"/>
      <c r="VWW23" s="7"/>
      <c r="VWX23" s="7"/>
      <c r="VWY23" s="7"/>
      <c r="VWZ23" s="7"/>
      <c r="VXA23" s="7"/>
      <c r="VXB23" s="7"/>
      <c r="VXC23" s="7"/>
      <c r="VXD23" s="7"/>
      <c r="VXE23" s="7"/>
      <c r="VXF23" s="7"/>
      <c r="VXG23" s="7"/>
      <c r="VXH23" s="7"/>
      <c r="VXI23" s="7"/>
      <c r="VXJ23" s="7"/>
      <c r="VXK23" s="7"/>
      <c r="VXL23" s="7"/>
      <c r="VXM23" s="7"/>
      <c r="VXN23" s="7"/>
      <c r="VXO23" s="7"/>
      <c r="VXP23" s="7"/>
      <c r="VXQ23" s="7"/>
      <c r="VXR23" s="7"/>
      <c r="VXS23" s="7"/>
      <c r="VXT23" s="7"/>
      <c r="VXU23" s="7"/>
      <c r="VXV23" s="7"/>
      <c r="VXW23" s="7"/>
      <c r="VXX23" s="7"/>
      <c r="VXY23" s="7"/>
      <c r="VXZ23" s="7"/>
      <c r="VYA23" s="7"/>
      <c r="VYB23" s="7"/>
      <c r="VYC23" s="7"/>
      <c r="VYD23" s="7"/>
      <c r="VYE23" s="7"/>
      <c r="VYF23" s="7"/>
      <c r="VYG23" s="7"/>
      <c r="VYH23" s="7"/>
      <c r="VYI23" s="7"/>
      <c r="VYJ23" s="7"/>
      <c r="VYK23" s="7"/>
      <c r="VYL23" s="7"/>
      <c r="VYM23" s="7"/>
      <c r="VYN23" s="7"/>
      <c r="VYO23" s="7"/>
      <c r="VYP23" s="7"/>
      <c r="VYQ23" s="7"/>
      <c r="VYR23" s="7"/>
      <c r="VYS23" s="7"/>
      <c r="VYT23" s="7"/>
      <c r="VYU23" s="7"/>
      <c r="VYV23" s="7"/>
      <c r="VYW23" s="7"/>
      <c r="VYX23" s="7"/>
      <c r="VYY23" s="7"/>
      <c r="VYZ23" s="7"/>
      <c r="VZA23" s="7"/>
      <c r="VZB23" s="7"/>
      <c r="VZC23" s="7"/>
      <c r="VZD23" s="7"/>
      <c r="VZE23" s="7"/>
      <c r="VZF23" s="7"/>
      <c r="VZG23" s="7"/>
      <c r="VZH23" s="7"/>
      <c r="VZI23" s="7"/>
      <c r="VZJ23" s="7"/>
      <c r="VZK23" s="7"/>
      <c r="VZL23" s="7"/>
      <c r="VZM23" s="7"/>
      <c r="VZN23" s="7"/>
      <c r="VZO23" s="7"/>
      <c r="VZP23" s="7"/>
      <c r="VZQ23" s="7"/>
      <c r="VZR23" s="7"/>
      <c r="VZS23" s="7"/>
      <c r="VZT23" s="7"/>
      <c r="VZU23" s="7"/>
      <c r="VZV23" s="7"/>
      <c r="VZW23" s="7"/>
      <c r="VZX23" s="7"/>
      <c r="VZY23" s="7"/>
      <c r="VZZ23" s="7"/>
      <c r="WAA23" s="7"/>
      <c r="WAB23" s="7"/>
      <c r="WAC23" s="7"/>
      <c r="WAD23" s="7"/>
      <c r="WAE23" s="7"/>
      <c r="WAF23" s="7"/>
      <c r="WAG23" s="7"/>
      <c r="WAH23" s="7"/>
      <c r="WAI23" s="7"/>
      <c r="WAJ23" s="7"/>
      <c r="WAK23" s="7"/>
      <c r="WAL23" s="7"/>
      <c r="WAM23" s="7"/>
      <c r="WAN23" s="7"/>
      <c r="WAO23" s="7"/>
      <c r="WAP23" s="7"/>
      <c r="WAQ23" s="7"/>
      <c r="WAR23" s="7"/>
      <c r="WAS23" s="7"/>
      <c r="WAT23" s="7"/>
      <c r="WAU23" s="7"/>
      <c r="WAV23" s="7"/>
      <c r="WAW23" s="7"/>
      <c r="WAX23" s="7"/>
      <c r="WAY23" s="7"/>
      <c r="WAZ23" s="7"/>
      <c r="WBA23" s="7"/>
      <c r="WBB23" s="7"/>
      <c r="WBC23" s="7"/>
      <c r="WBD23" s="7"/>
      <c r="WBE23" s="7"/>
      <c r="WBF23" s="7"/>
      <c r="WBG23" s="7"/>
      <c r="WBH23" s="7"/>
      <c r="WBI23" s="7"/>
      <c r="WBJ23" s="7"/>
      <c r="WBK23" s="7"/>
      <c r="WBL23" s="7"/>
      <c r="WBM23" s="7"/>
      <c r="WBN23" s="7"/>
      <c r="WBO23" s="7"/>
      <c r="WBP23" s="7"/>
      <c r="WBQ23" s="7"/>
      <c r="WBR23" s="7"/>
      <c r="WBS23" s="7"/>
      <c r="WBT23" s="7"/>
      <c r="WBU23" s="7"/>
      <c r="WBV23" s="7"/>
      <c r="WBW23" s="7"/>
      <c r="WBX23" s="7"/>
      <c r="WBY23" s="7"/>
      <c r="WBZ23" s="7"/>
      <c r="WCA23" s="7"/>
      <c r="WCB23" s="7"/>
      <c r="WCC23" s="7"/>
      <c r="WCD23" s="7"/>
      <c r="WCE23" s="7"/>
      <c r="WCF23" s="7"/>
      <c r="WCG23" s="7"/>
      <c r="WCH23" s="7"/>
      <c r="WCI23" s="7"/>
      <c r="WCJ23" s="7"/>
      <c r="WCK23" s="7"/>
      <c r="WCL23" s="7"/>
      <c r="WCM23" s="7"/>
      <c r="WCN23" s="7"/>
      <c r="WCO23" s="7"/>
      <c r="WCP23" s="7"/>
      <c r="WCQ23" s="7"/>
      <c r="WCR23" s="7"/>
      <c r="WCS23" s="7"/>
      <c r="WCT23" s="7"/>
      <c r="WCU23" s="7"/>
      <c r="WCV23" s="7"/>
      <c r="WCW23" s="7"/>
      <c r="WCX23" s="7"/>
      <c r="WCY23" s="7"/>
      <c r="WCZ23" s="7"/>
      <c r="WDA23" s="7"/>
      <c r="WDB23" s="7"/>
      <c r="WDC23" s="7"/>
      <c r="WDD23" s="7"/>
      <c r="WDE23" s="7"/>
      <c r="WDF23" s="7"/>
      <c r="WDG23" s="7"/>
      <c r="WDH23" s="7"/>
      <c r="WDI23" s="7"/>
      <c r="WDJ23" s="7"/>
      <c r="WDK23" s="7"/>
      <c r="WDL23" s="7"/>
      <c r="WDM23" s="7"/>
      <c r="WDN23" s="7"/>
      <c r="WDO23" s="7"/>
      <c r="WDP23" s="7"/>
      <c r="WDQ23" s="7"/>
      <c r="WDR23" s="7"/>
      <c r="WDS23" s="7"/>
      <c r="WDT23" s="7"/>
      <c r="WDU23" s="7"/>
      <c r="WDV23" s="7"/>
      <c r="WDW23" s="7"/>
      <c r="WDX23" s="7"/>
      <c r="WDY23" s="7"/>
      <c r="WDZ23" s="7"/>
      <c r="WEA23" s="7"/>
      <c r="WEB23" s="7"/>
      <c r="WEC23" s="7"/>
      <c r="WED23" s="7"/>
      <c r="WEE23" s="7"/>
      <c r="WEF23" s="7"/>
      <c r="WEG23" s="7"/>
      <c r="WEH23" s="7"/>
      <c r="WEI23" s="7"/>
      <c r="WEJ23" s="7"/>
      <c r="WEK23" s="7"/>
      <c r="WEL23" s="7"/>
      <c r="WEM23" s="7"/>
      <c r="WEN23" s="7"/>
      <c r="WEO23" s="7"/>
      <c r="WEP23" s="7"/>
      <c r="WEQ23" s="7"/>
      <c r="WER23" s="7"/>
      <c r="WES23" s="7"/>
      <c r="WET23" s="7"/>
      <c r="WEU23" s="7"/>
      <c r="WEV23" s="7"/>
      <c r="WEW23" s="7"/>
      <c r="WEX23" s="7"/>
      <c r="WEY23" s="7"/>
      <c r="WEZ23" s="7"/>
      <c r="WFA23" s="7"/>
      <c r="WFB23" s="7"/>
      <c r="WFC23" s="7"/>
      <c r="WFD23" s="7"/>
      <c r="WFE23" s="7"/>
      <c r="WFF23" s="7"/>
      <c r="WFG23" s="7"/>
      <c r="WFH23" s="7"/>
      <c r="WFI23" s="7"/>
      <c r="WFJ23" s="7"/>
      <c r="WFK23" s="7"/>
      <c r="WFL23" s="7"/>
      <c r="WFM23" s="7"/>
      <c r="WFN23" s="7"/>
      <c r="WFO23" s="7"/>
      <c r="WFP23" s="7"/>
      <c r="WFQ23" s="7"/>
      <c r="WFR23" s="7"/>
      <c r="WFS23" s="7"/>
      <c r="WFT23" s="7"/>
      <c r="WFU23" s="7"/>
      <c r="WFV23" s="7"/>
      <c r="WFW23" s="7"/>
      <c r="WFX23" s="7"/>
      <c r="WFY23" s="7"/>
      <c r="WFZ23" s="7"/>
      <c r="WGA23" s="7"/>
      <c r="WGB23" s="7"/>
      <c r="WGC23" s="7"/>
      <c r="WGD23" s="7"/>
      <c r="WGE23" s="7"/>
      <c r="WGF23" s="7"/>
      <c r="WGG23" s="7"/>
      <c r="WGH23" s="7"/>
      <c r="WGI23" s="7"/>
      <c r="WGJ23" s="7"/>
      <c r="WGK23" s="7"/>
      <c r="WGL23" s="7"/>
      <c r="WGM23" s="7"/>
      <c r="WGN23" s="7"/>
      <c r="WGO23" s="7"/>
      <c r="WGP23" s="7"/>
      <c r="WGQ23" s="7"/>
      <c r="WGR23" s="7"/>
      <c r="WGS23" s="7"/>
      <c r="WGT23" s="7"/>
      <c r="WGU23" s="7"/>
      <c r="WGV23" s="7"/>
      <c r="WGW23" s="7"/>
      <c r="WGX23" s="7"/>
      <c r="WGY23" s="7"/>
      <c r="WGZ23" s="7"/>
      <c r="WHA23" s="7"/>
      <c r="WHB23" s="7"/>
      <c r="WHC23" s="7"/>
      <c r="WHD23" s="7"/>
      <c r="WHE23" s="7"/>
      <c r="WHF23" s="7"/>
      <c r="WHG23" s="7"/>
      <c r="WHH23" s="7"/>
      <c r="WHI23" s="7"/>
      <c r="WHJ23" s="7"/>
      <c r="WHK23" s="7"/>
      <c r="WHL23" s="7"/>
      <c r="WHM23" s="7"/>
      <c r="WHN23" s="7"/>
      <c r="WHO23" s="7"/>
      <c r="WHP23" s="7"/>
      <c r="WHQ23" s="7"/>
      <c r="WHR23" s="7"/>
      <c r="WHS23" s="7"/>
      <c r="WHT23" s="7"/>
      <c r="WHU23" s="7"/>
      <c r="WHV23" s="7"/>
      <c r="WHW23" s="7"/>
      <c r="WHX23" s="7"/>
      <c r="WHY23" s="7"/>
      <c r="WHZ23" s="7"/>
      <c r="WIA23" s="7"/>
      <c r="WIB23" s="7"/>
      <c r="WIC23" s="7"/>
      <c r="WID23" s="7"/>
      <c r="WIE23" s="7"/>
      <c r="WIF23" s="7"/>
      <c r="WIG23" s="7"/>
      <c r="WIH23" s="7"/>
      <c r="WII23" s="7"/>
      <c r="WIJ23" s="7"/>
      <c r="WIK23" s="7"/>
      <c r="WIL23" s="7"/>
      <c r="WIM23" s="7"/>
      <c r="WIN23" s="7"/>
      <c r="WIO23" s="7"/>
      <c r="WIP23" s="7"/>
      <c r="WIQ23" s="7"/>
      <c r="WIR23" s="7"/>
      <c r="WIS23" s="7"/>
      <c r="WIT23" s="7"/>
      <c r="WIU23" s="7"/>
      <c r="WIV23" s="7"/>
      <c r="WIW23" s="7"/>
      <c r="WIX23" s="7"/>
      <c r="WIY23" s="7"/>
      <c r="WIZ23" s="7"/>
      <c r="WJA23" s="7"/>
      <c r="WJB23" s="7"/>
      <c r="WJC23" s="7"/>
      <c r="WJD23" s="7"/>
      <c r="WJE23" s="7"/>
      <c r="WJF23" s="7"/>
      <c r="WJG23" s="7"/>
      <c r="WJH23" s="7"/>
      <c r="WJI23" s="7"/>
      <c r="WJJ23" s="7"/>
      <c r="WJK23" s="7"/>
      <c r="WJL23" s="7"/>
      <c r="WJM23" s="7"/>
      <c r="WJN23" s="7"/>
      <c r="WJO23" s="7"/>
      <c r="WJP23" s="7"/>
      <c r="WJQ23" s="7"/>
      <c r="WJR23" s="7"/>
      <c r="WJS23" s="7"/>
      <c r="WJT23" s="7"/>
      <c r="WJU23" s="7"/>
      <c r="WJV23" s="7"/>
      <c r="WJW23" s="7"/>
      <c r="WJX23" s="7"/>
      <c r="WJY23" s="7"/>
      <c r="WJZ23" s="7"/>
      <c r="WKA23" s="7"/>
      <c r="WKB23" s="7"/>
      <c r="WKC23" s="7"/>
      <c r="WKD23" s="7"/>
      <c r="WKE23" s="7"/>
      <c r="WKF23" s="7"/>
      <c r="WKG23" s="7"/>
      <c r="WKH23" s="7"/>
      <c r="WKI23" s="7"/>
      <c r="WKJ23" s="7"/>
      <c r="WKK23" s="7"/>
      <c r="WKL23" s="7"/>
      <c r="WKM23" s="7"/>
      <c r="WKN23" s="7"/>
      <c r="WKO23" s="7"/>
      <c r="WKP23" s="7"/>
      <c r="WKQ23" s="7"/>
      <c r="WKR23" s="7"/>
      <c r="WKS23" s="7"/>
      <c r="WKT23" s="7"/>
      <c r="WKU23" s="7"/>
      <c r="WKV23" s="7"/>
      <c r="WKW23" s="7"/>
      <c r="WKX23" s="7"/>
      <c r="WKY23" s="7"/>
      <c r="WKZ23" s="7"/>
      <c r="WLA23" s="7"/>
      <c r="WLB23" s="7"/>
      <c r="WLC23" s="7"/>
      <c r="WLD23" s="7"/>
      <c r="WLE23" s="7"/>
      <c r="WLF23" s="7"/>
      <c r="WLG23" s="7"/>
      <c r="WLH23" s="7"/>
      <c r="WLI23" s="7"/>
      <c r="WLJ23" s="7"/>
      <c r="WLK23" s="7"/>
      <c r="WLL23" s="7"/>
      <c r="WLM23" s="7"/>
      <c r="WLN23" s="7"/>
      <c r="WLO23" s="7"/>
      <c r="WLP23" s="7"/>
      <c r="WLQ23" s="7"/>
      <c r="WLR23" s="7"/>
      <c r="WLS23" s="7"/>
      <c r="WLT23" s="7"/>
      <c r="WLU23" s="7"/>
      <c r="WLV23" s="7"/>
      <c r="WLW23" s="7"/>
      <c r="WLX23" s="7"/>
      <c r="WLY23" s="7"/>
      <c r="WLZ23" s="7"/>
      <c r="WMA23" s="7"/>
      <c r="WMB23" s="7"/>
      <c r="WMC23" s="7"/>
      <c r="WMD23" s="7"/>
      <c r="WME23" s="7"/>
      <c r="WMF23" s="7"/>
      <c r="WMG23" s="7"/>
      <c r="WMH23" s="7"/>
      <c r="WMI23" s="7"/>
      <c r="WMJ23" s="7"/>
      <c r="WMK23" s="7"/>
      <c r="WML23" s="7"/>
      <c r="WMM23" s="7"/>
      <c r="WMN23" s="7"/>
      <c r="WMO23" s="7"/>
      <c r="WMP23" s="7"/>
      <c r="WMQ23" s="7"/>
      <c r="WMR23" s="7"/>
      <c r="WMS23" s="7"/>
      <c r="WMT23" s="7"/>
      <c r="WMU23" s="7"/>
      <c r="WMV23" s="7"/>
      <c r="WMW23" s="7"/>
      <c r="WMX23" s="7"/>
      <c r="WMY23" s="7"/>
      <c r="WMZ23" s="7"/>
      <c r="WNA23" s="7"/>
      <c r="WNB23" s="7"/>
      <c r="WNC23" s="7"/>
      <c r="WND23" s="7"/>
      <c r="WNE23" s="7"/>
      <c r="WNF23" s="7"/>
      <c r="WNG23" s="7"/>
      <c r="WNH23" s="7"/>
      <c r="WNI23" s="7"/>
      <c r="WNJ23" s="7"/>
      <c r="WNK23" s="7"/>
      <c r="WNL23" s="7"/>
      <c r="WNM23" s="7"/>
      <c r="WNN23" s="7"/>
      <c r="WNO23" s="7"/>
      <c r="WNP23" s="7"/>
      <c r="WNQ23" s="7"/>
      <c r="WNR23" s="7"/>
      <c r="WNS23" s="7"/>
      <c r="WNT23" s="7"/>
      <c r="WNU23" s="7"/>
      <c r="WNV23" s="7"/>
      <c r="WNW23" s="7"/>
      <c r="WNX23" s="7"/>
      <c r="WNY23" s="7"/>
      <c r="WNZ23" s="7"/>
      <c r="WOA23" s="7"/>
      <c r="WOB23" s="7"/>
      <c r="WOC23" s="7"/>
      <c r="WOD23" s="7"/>
      <c r="WOE23" s="7"/>
      <c r="WOF23" s="7"/>
      <c r="WOG23" s="7"/>
      <c r="WOH23" s="7"/>
      <c r="WOI23" s="7"/>
      <c r="WOJ23" s="7"/>
      <c r="WOK23" s="7"/>
      <c r="WOL23" s="7"/>
      <c r="WOM23" s="7"/>
      <c r="WON23" s="7"/>
      <c r="WOO23" s="7"/>
      <c r="WOP23" s="7"/>
      <c r="WOQ23" s="7"/>
      <c r="WOR23" s="7"/>
      <c r="WOS23" s="7"/>
      <c r="WOT23" s="7"/>
      <c r="WOU23" s="7"/>
      <c r="WOV23" s="7"/>
      <c r="WOW23" s="7"/>
      <c r="WOX23" s="7"/>
      <c r="WOY23" s="7"/>
      <c r="WOZ23" s="7"/>
      <c r="WPA23" s="7"/>
      <c r="WPB23" s="7"/>
      <c r="WPC23" s="7"/>
      <c r="WPD23" s="7"/>
      <c r="WPE23" s="7"/>
      <c r="WPF23" s="7"/>
      <c r="WPG23" s="7"/>
      <c r="WPH23" s="7"/>
      <c r="WPI23" s="7"/>
      <c r="WPJ23" s="7"/>
      <c r="WPK23" s="7"/>
      <c r="WPL23" s="7"/>
      <c r="WPM23" s="7"/>
      <c r="WPN23" s="7"/>
      <c r="WPO23" s="7"/>
      <c r="WPP23" s="7"/>
      <c r="WPQ23" s="7"/>
      <c r="WPR23" s="7"/>
      <c r="WPS23" s="7"/>
      <c r="WPT23" s="7"/>
      <c r="WPU23" s="7"/>
      <c r="WPV23" s="7"/>
      <c r="WPW23" s="7"/>
      <c r="WPX23" s="7"/>
      <c r="WPY23" s="7"/>
      <c r="WPZ23" s="7"/>
      <c r="WQA23" s="7"/>
      <c r="WQB23" s="7"/>
      <c r="WQC23" s="7"/>
      <c r="WQD23" s="7"/>
      <c r="WQE23" s="7"/>
      <c r="WQF23" s="7"/>
      <c r="WQG23" s="7"/>
      <c r="WQH23" s="7"/>
      <c r="WQI23" s="7"/>
      <c r="WQJ23" s="7"/>
      <c r="WQK23" s="7"/>
      <c r="WQL23" s="7"/>
      <c r="WQM23" s="7"/>
      <c r="WQN23" s="7"/>
      <c r="WQO23" s="7"/>
      <c r="WQP23" s="7"/>
      <c r="WQQ23" s="7"/>
      <c r="WQR23" s="7"/>
      <c r="WQS23" s="7"/>
      <c r="WQT23" s="7"/>
      <c r="WQU23" s="7"/>
      <c r="WQV23" s="7"/>
      <c r="WQW23" s="7"/>
      <c r="WQX23" s="7"/>
      <c r="WQY23" s="7"/>
      <c r="WQZ23" s="7"/>
      <c r="WRA23" s="7"/>
      <c r="WRB23" s="7"/>
      <c r="WRC23" s="7"/>
      <c r="WRD23" s="7"/>
      <c r="WRE23" s="7"/>
      <c r="WRF23" s="7"/>
      <c r="WRG23" s="7"/>
      <c r="WRH23" s="7"/>
      <c r="WRI23" s="7"/>
      <c r="WRJ23" s="7"/>
      <c r="WRK23" s="7"/>
      <c r="WRL23" s="7"/>
      <c r="WRM23" s="7"/>
      <c r="WRN23" s="7"/>
      <c r="WRO23" s="7"/>
      <c r="WRP23" s="7"/>
      <c r="WRQ23" s="7"/>
      <c r="WRR23" s="7"/>
      <c r="WRS23" s="7"/>
      <c r="WRT23" s="7"/>
      <c r="WRU23" s="7"/>
      <c r="WRV23" s="7"/>
      <c r="WRW23" s="7"/>
      <c r="WRX23" s="7"/>
      <c r="WRY23" s="7"/>
      <c r="WRZ23" s="7"/>
      <c r="WSA23" s="7"/>
      <c r="WSB23" s="7"/>
      <c r="WSC23" s="7"/>
      <c r="WSD23" s="7"/>
      <c r="WSE23" s="7"/>
      <c r="WSF23" s="7"/>
      <c r="WSG23" s="7"/>
      <c r="WSH23" s="7"/>
      <c r="WSI23" s="7"/>
      <c r="WSJ23" s="7"/>
      <c r="WSK23" s="7"/>
      <c r="WSL23" s="7"/>
      <c r="WSM23" s="7"/>
      <c r="WSN23" s="7"/>
      <c r="WSO23" s="7"/>
      <c r="WSP23" s="7"/>
      <c r="WSQ23" s="7"/>
      <c r="WSR23" s="7"/>
      <c r="WSS23" s="7"/>
      <c r="WST23" s="7"/>
      <c r="WSU23" s="7"/>
      <c r="WSV23" s="7"/>
      <c r="WSW23" s="7"/>
      <c r="WSX23" s="7"/>
      <c r="WSY23" s="7"/>
      <c r="WSZ23" s="7"/>
      <c r="WTA23" s="7"/>
      <c r="WTB23" s="7"/>
      <c r="WTC23" s="7"/>
      <c r="WTD23" s="7"/>
      <c r="WTE23" s="7"/>
      <c r="WTF23" s="7"/>
      <c r="WTG23" s="7"/>
      <c r="WTH23" s="7"/>
      <c r="WTI23" s="7"/>
      <c r="WTJ23" s="7"/>
      <c r="WTK23" s="7"/>
      <c r="WTL23" s="7"/>
      <c r="WTM23" s="7"/>
      <c r="WTN23" s="7"/>
      <c r="WTO23" s="7"/>
      <c r="WTP23" s="7"/>
      <c r="WTQ23" s="7"/>
      <c r="WTR23" s="7"/>
      <c r="WTS23" s="7"/>
      <c r="WTT23" s="7"/>
      <c r="WTU23" s="7"/>
      <c r="WTV23" s="7"/>
      <c r="WTW23" s="7"/>
      <c r="WTX23" s="7"/>
      <c r="WTY23" s="7"/>
      <c r="WTZ23" s="7"/>
      <c r="WUA23" s="7"/>
      <c r="WUB23" s="7"/>
      <c r="WUC23" s="7"/>
      <c r="WUD23" s="7"/>
      <c r="WUE23" s="7"/>
      <c r="WUF23" s="7"/>
      <c r="WUG23" s="7"/>
      <c r="WUH23" s="7"/>
      <c r="WUI23" s="7"/>
      <c r="WUJ23" s="7"/>
      <c r="WUK23" s="7"/>
      <c r="WUL23" s="7"/>
      <c r="WUM23" s="7"/>
      <c r="WUN23" s="7"/>
      <c r="WUO23" s="7"/>
      <c r="WUP23" s="7"/>
      <c r="WUQ23" s="7"/>
      <c r="WUR23" s="7"/>
      <c r="WUS23" s="7"/>
      <c r="WUT23" s="7"/>
      <c r="WUU23" s="7"/>
      <c r="WUV23" s="7"/>
      <c r="WUW23" s="7"/>
      <c r="WUX23" s="7"/>
      <c r="WUY23" s="7"/>
      <c r="WUZ23" s="7"/>
      <c r="WVA23" s="7"/>
      <c r="WVB23" s="7"/>
      <c r="WVC23" s="7"/>
      <c r="WVD23" s="7"/>
      <c r="WVE23" s="7"/>
      <c r="WVF23" s="7"/>
      <c r="WVG23" s="7"/>
      <c r="WVH23" s="7"/>
      <c r="WVI23" s="7"/>
      <c r="WVJ23" s="7"/>
      <c r="WVK23" s="7"/>
      <c r="WVL23" s="7"/>
      <c r="WVM23" s="7"/>
      <c r="WVN23" s="7"/>
      <c r="WVO23" s="7"/>
      <c r="WVP23" s="7"/>
      <c r="WVQ23" s="7"/>
      <c r="WVR23" s="7"/>
      <c r="WVS23" s="7"/>
      <c r="WVT23" s="7"/>
      <c r="WVU23" s="7"/>
      <c r="WVV23" s="7"/>
      <c r="WVW23" s="7"/>
      <c r="WVX23" s="7"/>
      <c r="WVY23" s="7"/>
      <c r="WVZ23" s="7"/>
      <c r="WWA23" s="7"/>
      <c r="WWB23" s="7"/>
      <c r="WWC23" s="7"/>
      <c r="WWD23" s="7"/>
      <c r="WWE23" s="7"/>
      <c r="WWF23" s="7"/>
      <c r="WWG23" s="7"/>
      <c r="WWH23" s="7"/>
      <c r="WWI23" s="7"/>
      <c r="WWJ23" s="7"/>
      <c r="WWK23" s="7"/>
      <c r="WWL23" s="7"/>
      <c r="WWM23" s="7"/>
      <c r="WWN23" s="7"/>
      <c r="WWO23" s="7"/>
      <c r="WWP23" s="7"/>
      <c r="WWQ23" s="7"/>
      <c r="WWR23" s="7"/>
      <c r="WWS23" s="7"/>
      <c r="WWT23" s="7"/>
      <c r="WWU23" s="7"/>
      <c r="WWV23" s="7"/>
      <c r="WWW23" s="7"/>
      <c r="WWX23" s="7"/>
      <c r="WWY23" s="7"/>
      <c r="WWZ23" s="7"/>
      <c r="WXA23" s="7"/>
      <c r="WXB23" s="7"/>
      <c r="WXC23" s="7"/>
      <c r="WXD23" s="7"/>
      <c r="WXE23" s="7"/>
      <c r="WXF23" s="7"/>
      <c r="WXG23" s="7"/>
      <c r="WXH23" s="7"/>
      <c r="WXI23" s="7"/>
      <c r="WXJ23" s="7"/>
      <c r="WXK23" s="7"/>
      <c r="WXL23" s="7"/>
      <c r="WXM23" s="7"/>
      <c r="WXN23" s="7"/>
      <c r="WXO23" s="7"/>
      <c r="WXP23" s="7"/>
      <c r="WXQ23" s="7"/>
      <c r="WXR23" s="7"/>
      <c r="WXS23" s="7"/>
      <c r="WXT23" s="7"/>
      <c r="WXU23" s="7"/>
      <c r="WXV23" s="7"/>
      <c r="WXW23" s="7"/>
      <c r="WXX23" s="7"/>
      <c r="WXY23" s="7"/>
      <c r="WXZ23" s="7"/>
      <c r="WYA23" s="7"/>
      <c r="WYB23" s="7"/>
      <c r="WYC23" s="7"/>
      <c r="WYD23" s="7"/>
      <c r="WYE23" s="7"/>
      <c r="WYF23" s="7"/>
      <c r="WYG23" s="7"/>
      <c r="WYH23" s="7"/>
      <c r="WYI23" s="7"/>
      <c r="WYJ23" s="7"/>
      <c r="WYK23" s="7"/>
      <c r="WYL23" s="7"/>
      <c r="WYM23" s="7"/>
      <c r="WYN23" s="7"/>
      <c r="WYO23" s="7"/>
      <c r="WYP23" s="7"/>
      <c r="WYQ23" s="7"/>
      <c r="WYR23" s="7"/>
      <c r="WYS23" s="7"/>
      <c r="WYT23" s="7"/>
      <c r="WYU23" s="7"/>
      <c r="WYV23" s="7"/>
      <c r="WYW23" s="7"/>
      <c r="WYX23" s="7"/>
      <c r="WYY23" s="7"/>
      <c r="WYZ23" s="7"/>
      <c r="WZA23" s="7"/>
      <c r="WZB23" s="7"/>
      <c r="WZC23" s="7"/>
      <c r="WZD23" s="7"/>
      <c r="WZE23" s="7"/>
      <c r="WZF23" s="7"/>
      <c r="WZG23" s="7"/>
      <c r="WZH23" s="7"/>
      <c r="WZI23" s="7"/>
      <c r="WZJ23" s="7"/>
      <c r="WZK23" s="7"/>
      <c r="WZL23" s="7"/>
      <c r="WZM23" s="7"/>
      <c r="WZN23" s="7"/>
      <c r="WZO23" s="7"/>
      <c r="WZP23" s="7"/>
      <c r="WZQ23" s="7"/>
      <c r="WZR23" s="7"/>
      <c r="WZS23" s="7"/>
      <c r="WZT23" s="7"/>
      <c r="WZU23" s="7"/>
      <c r="WZV23" s="7"/>
      <c r="WZW23" s="7"/>
      <c r="WZX23" s="7"/>
      <c r="WZY23" s="7"/>
      <c r="WZZ23" s="7"/>
      <c r="XAA23" s="7"/>
      <c r="XAB23" s="7"/>
      <c r="XAC23" s="7"/>
      <c r="XAD23" s="7"/>
      <c r="XAE23" s="7"/>
      <c r="XAF23" s="7"/>
      <c r="XAG23" s="7"/>
      <c r="XAH23" s="7"/>
      <c r="XAI23" s="7"/>
      <c r="XAJ23" s="7"/>
      <c r="XAK23" s="7"/>
      <c r="XAL23" s="7"/>
      <c r="XAM23" s="7"/>
      <c r="XAN23" s="7"/>
      <c r="XAO23" s="7"/>
      <c r="XAP23" s="7"/>
      <c r="XAQ23" s="7"/>
      <c r="XAR23" s="7"/>
      <c r="XAS23" s="7"/>
      <c r="XAT23" s="7"/>
      <c r="XAU23" s="7"/>
      <c r="XAV23" s="7"/>
      <c r="XAW23" s="7"/>
      <c r="XAX23" s="7"/>
      <c r="XAY23" s="7"/>
      <c r="XAZ23" s="7"/>
      <c r="XBA23" s="7"/>
      <c r="XBB23" s="7"/>
      <c r="XBC23" s="7"/>
      <c r="XBD23" s="7"/>
      <c r="XBE23" s="7"/>
      <c r="XBF23" s="7"/>
      <c r="XBG23" s="7"/>
      <c r="XBH23" s="7"/>
      <c r="XBI23" s="7"/>
      <c r="XBJ23" s="7"/>
      <c r="XBK23" s="7"/>
      <c r="XBL23" s="7"/>
      <c r="XBM23" s="7"/>
      <c r="XBN23" s="7"/>
      <c r="XBO23" s="7"/>
      <c r="XBP23" s="7"/>
      <c r="XBQ23" s="7"/>
      <c r="XBR23" s="7"/>
      <c r="XBS23" s="7"/>
      <c r="XBT23" s="7"/>
      <c r="XBU23" s="7"/>
      <c r="XBV23" s="7"/>
      <c r="XBW23" s="7"/>
      <c r="XBX23" s="7"/>
      <c r="XBY23" s="7"/>
      <c r="XBZ23" s="7"/>
      <c r="XCA23" s="7"/>
      <c r="XCB23" s="7"/>
      <c r="XCC23" s="7"/>
      <c r="XCD23" s="7"/>
      <c r="XCE23" s="7"/>
      <c r="XCF23" s="7"/>
      <c r="XCG23" s="7"/>
      <c r="XCH23" s="7"/>
      <c r="XCI23" s="7"/>
      <c r="XCJ23" s="7"/>
      <c r="XCK23" s="7"/>
      <c r="XCL23" s="7"/>
      <c r="XCM23" s="7"/>
      <c r="XCN23" s="7"/>
      <c r="XCO23" s="7"/>
      <c r="XCP23" s="7"/>
      <c r="XCQ23" s="7"/>
      <c r="XCR23" s="7"/>
      <c r="XCS23" s="7"/>
      <c r="XCT23" s="7"/>
      <c r="XCU23" s="7"/>
      <c r="XCV23" s="7"/>
      <c r="XCW23" s="7"/>
      <c r="XCX23" s="7"/>
      <c r="XCY23" s="7"/>
      <c r="XCZ23" s="7"/>
      <c r="XDA23" s="7"/>
      <c r="XDB23" s="7"/>
      <c r="XDC23" s="7"/>
      <c r="XDD23" s="7"/>
      <c r="XDE23" s="7"/>
      <c r="XDF23" s="7"/>
      <c r="XDG23" s="7"/>
      <c r="XDH23" s="7"/>
      <c r="XDI23" s="7"/>
      <c r="XDJ23" s="7"/>
      <c r="XDK23" s="7"/>
      <c r="XDL23" s="7"/>
      <c r="XDM23" s="7"/>
      <c r="XDN23" s="7"/>
      <c r="XDO23" s="7"/>
      <c r="XDP23" s="7"/>
      <c r="XDQ23" s="7"/>
      <c r="XDR23" s="7"/>
      <c r="XDS23" s="7"/>
      <c r="XDT23" s="7"/>
      <c r="XDU23" s="7"/>
      <c r="XDV23" s="7"/>
      <c r="XDW23" s="7"/>
      <c r="XDX23" s="7"/>
      <c r="XDY23" s="7"/>
      <c r="XDZ23" s="7"/>
      <c r="XEA23" s="7"/>
      <c r="XEB23" s="7"/>
      <c r="XEC23" s="7"/>
      <c r="XED23" s="7"/>
      <c r="XEE23" s="7"/>
      <c r="XEF23" s="7"/>
      <c r="XEG23" s="7"/>
      <c r="XEH23" s="7"/>
      <c r="XEI23" s="7"/>
      <c r="XEJ23" s="7"/>
      <c r="XEK23" s="7"/>
      <c r="XEL23" s="7"/>
      <c r="XEM23" s="7"/>
      <c r="XEN23" s="7"/>
      <c r="XEO23" s="7"/>
      <c r="XEP23" s="7"/>
      <c r="XEQ23" s="7"/>
      <c r="XER23" s="7"/>
      <c r="XES23" s="7"/>
      <c r="XET23" s="7"/>
      <c r="XEU23" s="7"/>
      <c r="XEV23" s="7"/>
      <c r="XEW23" s="7"/>
      <c r="XEX23" s="7"/>
      <c r="XEY23" s="7"/>
      <c r="XEZ23" s="7"/>
      <c r="XFA23" s="7"/>
      <c r="XFB23" s="7"/>
      <c r="XFC23" s="7"/>
    </row>
  </sheetData>
  <sheetProtection selectLockedCells="1" sort="0" autoFilter="0"/>
  <mergeCells count="6">
    <mergeCell ref="A1:A2"/>
    <mergeCell ref="B1:B2"/>
    <mergeCell ref="A12:A15"/>
    <mergeCell ref="B12:B15"/>
    <mergeCell ref="C12:C15"/>
    <mergeCell ref="L12:L15"/>
  </mergeCells>
  <pageMargins left="0" right="0" top="0" bottom="0" header="0.31496062992125984" footer="0.31496062992125984"/>
  <pageSetup paperSize="9" scale="24"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8ED2B-181C-47C7-B0E2-6071A133B83E}">
  <sheetPr>
    <tabColor rgb="FFFF0000"/>
    <pageSetUpPr fitToPage="1"/>
  </sheetPr>
  <dimension ref="A1:Y67"/>
  <sheetViews>
    <sheetView zoomScaleNormal="100" workbookViewId="0">
      <selection activeCell="P33" sqref="P33"/>
    </sheetView>
  </sheetViews>
  <sheetFormatPr baseColWidth="10" defaultRowHeight="15" x14ac:dyDescent="0.25"/>
  <cols>
    <col min="1" max="1" width="6" style="88" customWidth="1"/>
    <col min="2" max="2" width="5.28515625" style="88" customWidth="1"/>
    <col min="3" max="3" width="11.42578125" style="88" customWidth="1"/>
    <col min="4" max="6" width="11.42578125" style="88"/>
    <col min="7" max="7" width="8.7109375" style="88" customWidth="1"/>
    <col min="8" max="8" width="4.85546875" style="88" customWidth="1"/>
    <col min="9" max="9" width="7.140625" style="88" customWidth="1"/>
    <col min="10" max="10" width="11.42578125" style="88"/>
    <col min="11" max="11" width="9.7109375" style="88" customWidth="1"/>
    <col min="12" max="12" width="11.42578125" style="88"/>
    <col min="13" max="13" width="11" style="88" customWidth="1"/>
    <col min="14" max="14" width="11.42578125" style="88"/>
    <col min="15" max="16" width="11.42578125" style="88" customWidth="1"/>
    <col min="17" max="16384" width="11.42578125" style="88"/>
  </cols>
  <sheetData>
    <row r="1" spans="1:25" ht="15.75" customHeight="1" x14ac:dyDescent="0.25">
      <c r="A1"/>
      <c r="B1"/>
      <c r="C1"/>
      <c r="D1"/>
      <c r="E1"/>
      <c r="F1"/>
      <c r="G1"/>
      <c r="H1"/>
    </row>
    <row r="2" spans="1:25" ht="15.75" customHeight="1" x14ac:dyDescent="0.25">
      <c r="A2"/>
      <c r="B2"/>
      <c r="C2"/>
      <c r="D2"/>
      <c r="E2"/>
      <c r="F2"/>
      <c r="G2"/>
      <c r="H2"/>
    </row>
    <row r="3" spans="1:25" ht="15.75" customHeight="1" x14ac:dyDescent="0.25">
      <c r="A3"/>
      <c r="B3"/>
      <c r="C3"/>
      <c r="D3"/>
      <c r="E3"/>
      <c r="F3"/>
      <c r="G3"/>
      <c r="H3"/>
    </row>
    <row r="4" spans="1:25" ht="15.75" customHeight="1" x14ac:dyDescent="0.3">
      <c r="A4" s="128" t="s">
        <v>69</v>
      </c>
      <c r="B4" s="133"/>
      <c r="C4" s="133"/>
      <c r="D4" s="133"/>
      <c r="E4" s="133"/>
      <c r="F4" s="133"/>
      <c r="G4" s="133"/>
      <c r="H4" s="133"/>
      <c r="I4" s="133"/>
      <c r="J4" s="133"/>
      <c r="K4" s="133"/>
      <c r="L4" s="133"/>
      <c r="M4" s="133"/>
    </row>
    <row r="5" spans="1:25" ht="15.75" customHeight="1" x14ac:dyDescent="0.3">
      <c r="A5" s="134"/>
      <c r="B5" s="3"/>
      <c r="C5" s="3"/>
      <c r="D5" s="3"/>
      <c r="E5" s="3"/>
      <c r="F5" s="3"/>
      <c r="G5" s="3"/>
      <c r="H5" s="3"/>
      <c r="I5" s="3"/>
      <c r="J5" s="3"/>
      <c r="K5" s="3"/>
      <c r="L5" s="3"/>
      <c r="M5" s="3"/>
    </row>
    <row r="6" spans="1:25" ht="15.75" customHeight="1" x14ac:dyDescent="0.3">
      <c r="A6" s="134"/>
      <c r="B6" s="3"/>
      <c r="C6" s="3"/>
      <c r="D6" s="3"/>
      <c r="E6" s="3"/>
      <c r="F6" s="3"/>
      <c r="G6" s="3"/>
      <c r="H6" s="3"/>
      <c r="I6" s="3"/>
      <c r="J6" s="3"/>
      <c r="K6" s="3"/>
      <c r="L6" s="3"/>
      <c r="M6" s="3"/>
    </row>
    <row r="7" spans="1:25" ht="21" customHeight="1" x14ac:dyDescent="0.25">
      <c r="A7" s="146" t="s">
        <v>70</v>
      </c>
      <c r="B7" s="147"/>
      <c r="C7" s="147"/>
      <c r="D7" s="147"/>
      <c r="E7" s="147"/>
      <c r="F7" s="147"/>
      <c r="G7" s="147"/>
      <c r="H7" s="147"/>
      <c r="I7" s="147"/>
      <c r="J7" s="147"/>
      <c r="K7" s="147"/>
      <c r="L7" s="147"/>
      <c r="M7" s="148"/>
    </row>
    <row r="8" spans="1:25" ht="15.75" customHeight="1" x14ac:dyDescent="0.25">
      <c r="A8" s="135"/>
      <c r="B8" s="135"/>
      <c r="C8" s="135"/>
      <c r="D8" s="135"/>
      <c r="E8" s="135"/>
      <c r="F8" s="135"/>
      <c r="G8" s="135"/>
      <c r="H8" s="135"/>
      <c r="I8" s="135"/>
    </row>
    <row r="9" spans="1:25" ht="39" customHeight="1" x14ac:dyDescent="0.25">
      <c r="A9" s="149"/>
      <c r="B9" s="149"/>
      <c r="C9" s="150" t="s">
        <v>71</v>
      </c>
      <c r="D9" s="150"/>
      <c r="E9" s="150" t="s">
        <v>72</v>
      </c>
      <c r="F9" s="150"/>
      <c r="G9" s="95"/>
      <c r="H9" s="149"/>
      <c r="I9" s="149"/>
      <c r="J9" s="150" t="s">
        <v>71</v>
      </c>
      <c r="K9" s="150"/>
      <c r="L9" s="150" t="s">
        <v>72</v>
      </c>
      <c r="M9" s="150"/>
    </row>
    <row r="10" spans="1:25" ht="15.75" x14ac:dyDescent="0.25">
      <c r="A10" s="151" t="s">
        <v>73</v>
      </c>
      <c r="B10" s="151"/>
      <c r="C10" s="152">
        <v>1.2050000000000001</v>
      </c>
      <c r="D10" s="152"/>
      <c r="E10" s="153">
        <v>0</v>
      </c>
      <c r="F10" s="153"/>
      <c r="G10" s="95"/>
      <c r="H10" s="151" t="s">
        <v>73</v>
      </c>
      <c r="I10" s="151"/>
      <c r="J10" s="152">
        <f>+C45+0.025</f>
        <v>2.1049999999999969</v>
      </c>
      <c r="K10" s="152"/>
      <c r="L10" s="153">
        <v>0.18</v>
      </c>
      <c r="M10" s="153"/>
      <c r="P10" s="113"/>
      <c r="Q10" s="113"/>
      <c r="R10" s="113"/>
      <c r="S10" s="113"/>
      <c r="T10" s="113"/>
      <c r="U10" s="113"/>
      <c r="V10" s="113"/>
      <c r="X10" s="113"/>
      <c r="Y10" s="113"/>
    </row>
    <row r="11" spans="1:25" ht="15.75" x14ac:dyDescent="0.25">
      <c r="A11" s="151" t="s">
        <v>73</v>
      </c>
      <c r="B11" s="151"/>
      <c r="C11" s="152">
        <f>+C10+0.025</f>
        <v>1.23</v>
      </c>
      <c r="D11" s="152"/>
      <c r="E11" s="153">
        <v>5.0000000000000001E-3</v>
      </c>
      <c r="F11" s="153"/>
      <c r="G11" s="136"/>
      <c r="H11" s="151" t="s">
        <v>73</v>
      </c>
      <c r="I11" s="151"/>
      <c r="J11" s="152">
        <f>J10+0.025</f>
        <v>2.1299999999999968</v>
      </c>
      <c r="K11" s="152"/>
      <c r="L11" s="153">
        <v>0.185</v>
      </c>
      <c r="M11" s="153"/>
      <c r="P11" s="113"/>
      <c r="Q11" s="113"/>
      <c r="R11" s="113"/>
      <c r="S11" s="113"/>
      <c r="T11" s="113"/>
      <c r="U11" s="113"/>
      <c r="V11" s="113"/>
      <c r="X11" s="113"/>
      <c r="Y11" s="113"/>
    </row>
    <row r="12" spans="1:25" ht="15.75" x14ac:dyDescent="0.25">
      <c r="A12" s="151" t="s">
        <v>73</v>
      </c>
      <c r="B12" s="151"/>
      <c r="C12" s="152">
        <f t="shared" ref="C12:C45" si="0">+C11+0.025</f>
        <v>1.2549999999999999</v>
      </c>
      <c r="D12" s="152"/>
      <c r="E12" s="153">
        <v>0.01</v>
      </c>
      <c r="F12" s="153"/>
      <c r="G12" s="136"/>
      <c r="H12" s="151" t="s">
        <v>73</v>
      </c>
      <c r="I12" s="151"/>
      <c r="J12" s="152">
        <f t="shared" ref="J12:J45" si="1">J11+0.025</f>
        <v>2.1549999999999967</v>
      </c>
      <c r="K12" s="152"/>
      <c r="L12" s="153">
        <v>0.19</v>
      </c>
      <c r="M12" s="153"/>
      <c r="P12" s="113"/>
      <c r="Q12" s="113"/>
      <c r="R12" s="113"/>
      <c r="S12" s="113"/>
      <c r="T12" s="113"/>
      <c r="U12" s="113"/>
      <c r="V12" s="113"/>
      <c r="X12" s="113"/>
      <c r="Y12" s="113"/>
    </row>
    <row r="13" spans="1:25" ht="15.75" x14ac:dyDescent="0.25">
      <c r="A13" s="151" t="s">
        <v>73</v>
      </c>
      <c r="B13" s="151"/>
      <c r="C13" s="152">
        <f t="shared" si="0"/>
        <v>1.2799999999999998</v>
      </c>
      <c r="D13" s="152"/>
      <c r="E13" s="153">
        <v>1.4999999999999999E-2</v>
      </c>
      <c r="F13" s="153"/>
      <c r="G13" s="136"/>
      <c r="H13" s="151" t="s">
        <v>73</v>
      </c>
      <c r="I13" s="151"/>
      <c r="J13" s="152">
        <f t="shared" si="1"/>
        <v>2.1799999999999966</v>
      </c>
      <c r="K13" s="152"/>
      <c r="L13" s="153">
        <v>0.19500000000000001</v>
      </c>
      <c r="M13" s="153"/>
      <c r="P13" s="113"/>
      <c r="Q13" s="113"/>
      <c r="R13" s="113"/>
      <c r="S13" s="113"/>
      <c r="T13" s="113"/>
      <c r="U13" s="113"/>
      <c r="V13" s="113"/>
      <c r="X13" s="113"/>
      <c r="Y13" s="113"/>
    </row>
    <row r="14" spans="1:25" ht="15.75" x14ac:dyDescent="0.25">
      <c r="A14" s="151" t="s">
        <v>73</v>
      </c>
      <c r="B14" s="151"/>
      <c r="C14" s="152">
        <f t="shared" si="0"/>
        <v>1.3049999999999997</v>
      </c>
      <c r="D14" s="152"/>
      <c r="E14" s="153">
        <v>0.02</v>
      </c>
      <c r="F14" s="153"/>
      <c r="G14" s="136"/>
      <c r="H14" s="151" t="s">
        <v>73</v>
      </c>
      <c r="I14" s="151"/>
      <c r="J14" s="152">
        <f t="shared" si="1"/>
        <v>2.2049999999999965</v>
      </c>
      <c r="K14" s="152"/>
      <c r="L14" s="153">
        <v>0.2</v>
      </c>
      <c r="M14" s="153"/>
      <c r="P14" s="113"/>
      <c r="Q14" s="113"/>
      <c r="R14" s="113"/>
      <c r="S14" s="113"/>
      <c r="T14" s="113"/>
      <c r="U14" s="113"/>
      <c r="V14" s="113"/>
      <c r="X14" s="113"/>
      <c r="Y14" s="113"/>
    </row>
    <row r="15" spans="1:25" ht="15.75" x14ac:dyDescent="0.25">
      <c r="A15" s="151" t="s">
        <v>73</v>
      </c>
      <c r="B15" s="151"/>
      <c r="C15" s="152">
        <f t="shared" si="0"/>
        <v>1.3299999999999996</v>
      </c>
      <c r="D15" s="152"/>
      <c r="E15" s="153">
        <v>2.5000000000000001E-2</v>
      </c>
      <c r="F15" s="153"/>
      <c r="G15" s="135"/>
      <c r="H15" s="151" t="s">
        <v>73</v>
      </c>
      <c r="I15" s="151"/>
      <c r="J15" s="152">
        <f t="shared" si="1"/>
        <v>2.2299999999999964</v>
      </c>
      <c r="K15" s="152"/>
      <c r="L15" s="153">
        <v>0.20499999999999999</v>
      </c>
      <c r="M15" s="153"/>
      <c r="P15" s="113"/>
      <c r="Q15" s="113"/>
      <c r="R15" s="113"/>
      <c r="S15" s="113"/>
      <c r="T15" s="113"/>
      <c r="U15" s="113"/>
      <c r="V15" s="113"/>
      <c r="X15" s="113"/>
      <c r="Y15" s="113"/>
    </row>
    <row r="16" spans="1:25" ht="15.75" x14ac:dyDescent="0.25">
      <c r="A16" s="151" t="s">
        <v>73</v>
      </c>
      <c r="B16" s="151"/>
      <c r="C16" s="152">
        <f t="shared" si="0"/>
        <v>1.3549999999999995</v>
      </c>
      <c r="D16" s="152"/>
      <c r="E16" s="153">
        <v>0.03</v>
      </c>
      <c r="F16" s="153"/>
      <c r="G16" s="136"/>
      <c r="H16" s="151" t="s">
        <v>73</v>
      </c>
      <c r="I16" s="151"/>
      <c r="J16" s="152">
        <f t="shared" si="1"/>
        <v>2.2549999999999963</v>
      </c>
      <c r="K16" s="152"/>
      <c r="L16" s="153">
        <v>0.21</v>
      </c>
      <c r="M16" s="153"/>
      <c r="P16" s="113"/>
      <c r="Q16" s="113"/>
      <c r="R16" s="113"/>
      <c r="S16" s="113"/>
      <c r="T16" s="113"/>
      <c r="U16" s="113"/>
      <c r="V16" s="113"/>
      <c r="X16" s="113"/>
      <c r="Y16" s="113"/>
    </row>
    <row r="17" spans="1:25" ht="15.75" x14ac:dyDescent="0.25">
      <c r="A17" s="151" t="s">
        <v>73</v>
      </c>
      <c r="B17" s="151"/>
      <c r="C17" s="152">
        <f t="shared" si="0"/>
        <v>1.3799999999999994</v>
      </c>
      <c r="D17" s="152"/>
      <c r="E17" s="153">
        <v>3.5000000000000003E-2</v>
      </c>
      <c r="F17" s="153"/>
      <c r="G17" s="136"/>
      <c r="H17" s="151" t="s">
        <v>73</v>
      </c>
      <c r="I17" s="151"/>
      <c r="J17" s="152">
        <f t="shared" si="1"/>
        <v>2.2799999999999963</v>
      </c>
      <c r="K17" s="152"/>
      <c r="L17" s="153">
        <v>0.215</v>
      </c>
      <c r="M17" s="153"/>
      <c r="P17" s="113"/>
      <c r="Q17" s="113"/>
      <c r="R17" s="113"/>
      <c r="S17" s="113"/>
      <c r="T17" s="113"/>
      <c r="U17" s="113"/>
      <c r="V17" s="113"/>
      <c r="X17" s="113"/>
      <c r="Y17" s="113"/>
    </row>
    <row r="18" spans="1:25" ht="15.75" x14ac:dyDescent="0.25">
      <c r="A18" s="151" t="s">
        <v>73</v>
      </c>
      <c r="B18" s="151"/>
      <c r="C18" s="152">
        <f t="shared" si="0"/>
        <v>1.4049999999999994</v>
      </c>
      <c r="D18" s="152"/>
      <c r="E18" s="153">
        <v>0.04</v>
      </c>
      <c r="F18" s="153"/>
      <c r="G18" s="137"/>
      <c r="H18" s="151" t="s">
        <v>73</v>
      </c>
      <c r="I18" s="151"/>
      <c r="J18" s="152">
        <f t="shared" si="1"/>
        <v>2.3049999999999962</v>
      </c>
      <c r="K18" s="152"/>
      <c r="L18" s="153">
        <v>0.22</v>
      </c>
      <c r="M18" s="153"/>
      <c r="P18" s="113"/>
      <c r="Q18" s="113"/>
      <c r="R18" s="113"/>
      <c r="S18" s="113"/>
      <c r="T18" s="113"/>
      <c r="U18" s="113"/>
      <c r="V18" s="113"/>
      <c r="X18" s="113"/>
      <c r="Y18" s="113"/>
    </row>
    <row r="19" spans="1:25" ht="15.75" x14ac:dyDescent="0.25">
      <c r="A19" s="151" t="s">
        <v>73</v>
      </c>
      <c r="B19" s="151"/>
      <c r="C19" s="152">
        <f t="shared" si="0"/>
        <v>1.4299999999999993</v>
      </c>
      <c r="D19" s="152"/>
      <c r="E19" s="153">
        <v>4.4999999999999998E-2</v>
      </c>
      <c r="F19" s="153"/>
      <c r="G19" s="95"/>
      <c r="H19" s="151" t="s">
        <v>73</v>
      </c>
      <c r="I19" s="151"/>
      <c r="J19" s="152">
        <f t="shared" si="1"/>
        <v>2.3299999999999961</v>
      </c>
      <c r="K19" s="152"/>
      <c r="L19" s="153">
        <v>0.22500000000000001</v>
      </c>
      <c r="M19" s="153"/>
      <c r="P19" s="113"/>
      <c r="Q19" s="113"/>
      <c r="R19" s="113"/>
      <c r="S19" s="113"/>
      <c r="T19" s="113"/>
      <c r="U19" s="113"/>
      <c r="V19" s="113"/>
      <c r="X19" s="113"/>
      <c r="Y19" s="113"/>
    </row>
    <row r="20" spans="1:25" ht="15.75" x14ac:dyDescent="0.25">
      <c r="A20" s="151" t="s">
        <v>73</v>
      </c>
      <c r="B20" s="151"/>
      <c r="C20" s="152">
        <f t="shared" si="0"/>
        <v>1.4549999999999992</v>
      </c>
      <c r="D20" s="152"/>
      <c r="E20" s="153">
        <v>0.05</v>
      </c>
      <c r="F20" s="153"/>
      <c r="G20" s="136"/>
      <c r="H20" s="151" t="s">
        <v>73</v>
      </c>
      <c r="I20" s="151"/>
      <c r="J20" s="152">
        <f t="shared" si="1"/>
        <v>2.354999999999996</v>
      </c>
      <c r="K20" s="152"/>
      <c r="L20" s="153">
        <v>0.23</v>
      </c>
      <c r="M20" s="153"/>
      <c r="P20" s="113"/>
      <c r="Q20" s="113"/>
      <c r="R20" s="113"/>
      <c r="S20" s="113"/>
      <c r="T20" s="113"/>
      <c r="U20" s="113"/>
      <c r="V20" s="113"/>
      <c r="X20" s="113"/>
      <c r="Y20" s="113"/>
    </row>
    <row r="21" spans="1:25" ht="15.75" x14ac:dyDescent="0.25">
      <c r="A21" s="151" t="s">
        <v>73</v>
      </c>
      <c r="B21" s="151"/>
      <c r="C21" s="152">
        <f t="shared" si="0"/>
        <v>1.4799999999999991</v>
      </c>
      <c r="D21" s="152"/>
      <c r="E21" s="153">
        <v>5.5E-2</v>
      </c>
      <c r="F21" s="153"/>
      <c r="G21" s="95"/>
      <c r="H21" s="151" t="s">
        <v>73</v>
      </c>
      <c r="I21" s="151"/>
      <c r="J21" s="152">
        <f t="shared" si="1"/>
        <v>2.3799999999999959</v>
      </c>
      <c r="K21" s="152"/>
      <c r="L21" s="153">
        <v>0.23499999999999999</v>
      </c>
      <c r="M21" s="153"/>
      <c r="P21" s="113"/>
      <c r="Q21" s="113"/>
      <c r="R21" s="113"/>
      <c r="S21" s="113"/>
      <c r="T21" s="113"/>
      <c r="U21" s="113"/>
      <c r="V21" s="113"/>
      <c r="X21" s="113"/>
      <c r="Y21" s="113"/>
    </row>
    <row r="22" spans="1:25" ht="15.75" x14ac:dyDescent="0.25">
      <c r="A22" s="151" t="s">
        <v>73</v>
      </c>
      <c r="B22" s="151"/>
      <c r="C22" s="152">
        <f t="shared" si="0"/>
        <v>1.504999999999999</v>
      </c>
      <c r="D22" s="152"/>
      <c r="E22" s="153">
        <v>0.06</v>
      </c>
      <c r="F22" s="153"/>
      <c r="G22" s="95"/>
      <c r="H22" s="151" t="s">
        <v>73</v>
      </c>
      <c r="I22" s="151"/>
      <c r="J22" s="152">
        <f t="shared" si="1"/>
        <v>2.4049999999999958</v>
      </c>
      <c r="K22" s="152"/>
      <c r="L22" s="153">
        <v>0.24</v>
      </c>
      <c r="M22" s="153"/>
      <c r="P22" s="113"/>
      <c r="Q22" s="113"/>
      <c r="R22" s="113"/>
      <c r="S22" s="113"/>
      <c r="T22" s="113"/>
      <c r="U22" s="113"/>
      <c r="V22" s="113"/>
      <c r="X22" s="113"/>
      <c r="Y22" s="113"/>
    </row>
    <row r="23" spans="1:25" ht="15.75" x14ac:dyDescent="0.25">
      <c r="A23" s="151" t="s">
        <v>73</v>
      </c>
      <c r="B23" s="151"/>
      <c r="C23" s="152">
        <f t="shared" si="0"/>
        <v>1.5299999999999989</v>
      </c>
      <c r="D23" s="152"/>
      <c r="E23" s="153">
        <v>6.5000000000000002E-2</v>
      </c>
      <c r="F23" s="153"/>
      <c r="G23" s="95"/>
      <c r="H23" s="151" t="s">
        <v>73</v>
      </c>
      <c r="I23" s="151"/>
      <c r="J23" s="152">
        <f t="shared" si="1"/>
        <v>2.4299999999999957</v>
      </c>
      <c r="K23" s="152"/>
      <c r="L23" s="153">
        <v>0.245</v>
      </c>
      <c r="M23" s="153"/>
      <c r="P23" s="113"/>
      <c r="Q23" s="113"/>
      <c r="R23" s="113"/>
      <c r="S23" s="113"/>
      <c r="T23" s="113"/>
      <c r="U23" s="113"/>
      <c r="V23" s="113"/>
      <c r="X23" s="113"/>
      <c r="Y23" s="113"/>
    </row>
    <row r="24" spans="1:25" ht="15.75" x14ac:dyDescent="0.25">
      <c r="A24" s="151" t="s">
        <v>73</v>
      </c>
      <c r="B24" s="151"/>
      <c r="C24" s="152">
        <f t="shared" si="0"/>
        <v>1.5549999999999988</v>
      </c>
      <c r="D24" s="152"/>
      <c r="E24" s="153">
        <v>7.0000000000000007E-2</v>
      </c>
      <c r="F24" s="153"/>
      <c r="G24" s="95"/>
      <c r="H24" s="151" t="s">
        <v>73</v>
      </c>
      <c r="I24" s="151"/>
      <c r="J24" s="152">
        <f t="shared" si="1"/>
        <v>2.4549999999999956</v>
      </c>
      <c r="K24" s="152"/>
      <c r="L24" s="153">
        <v>0.25</v>
      </c>
      <c r="M24" s="153"/>
      <c r="P24" s="113"/>
      <c r="Q24" s="113"/>
      <c r="R24" s="113"/>
      <c r="S24" s="113"/>
      <c r="T24" s="113"/>
      <c r="U24" s="113"/>
      <c r="V24" s="113"/>
      <c r="X24" s="113"/>
      <c r="Y24" s="113"/>
    </row>
    <row r="25" spans="1:25" ht="15.75" x14ac:dyDescent="0.25">
      <c r="A25" s="151" t="s">
        <v>73</v>
      </c>
      <c r="B25" s="151"/>
      <c r="C25" s="152">
        <f t="shared" si="0"/>
        <v>1.5799999999999987</v>
      </c>
      <c r="D25" s="152"/>
      <c r="E25" s="153">
        <v>7.4999999999999997E-2</v>
      </c>
      <c r="F25" s="153"/>
      <c r="G25" s="95"/>
      <c r="H25" s="151" t="s">
        <v>73</v>
      </c>
      <c r="I25" s="151"/>
      <c r="J25" s="152">
        <f t="shared" si="1"/>
        <v>2.4799999999999955</v>
      </c>
      <c r="K25" s="152"/>
      <c r="L25" s="153">
        <v>0.255</v>
      </c>
      <c r="M25" s="153"/>
      <c r="P25" s="113"/>
      <c r="Q25" s="113"/>
      <c r="R25" s="113"/>
      <c r="S25" s="113"/>
      <c r="T25" s="113"/>
      <c r="U25" s="113"/>
      <c r="V25" s="113"/>
      <c r="X25" s="113"/>
      <c r="Y25" s="113"/>
    </row>
    <row r="26" spans="1:25" ht="15.75" x14ac:dyDescent="0.25">
      <c r="A26" s="151" t="s">
        <v>73</v>
      </c>
      <c r="B26" s="151"/>
      <c r="C26" s="152">
        <f t="shared" si="0"/>
        <v>1.6049999999999986</v>
      </c>
      <c r="D26" s="152"/>
      <c r="E26" s="153">
        <v>0.08</v>
      </c>
      <c r="F26" s="153"/>
      <c r="G26" s="95"/>
      <c r="H26" s="151" t="s">
        <v>73</v>
      </c>
      <c r="I26" s="151"/>
      <c r="J26" s="152">
        <f t="shared" si="1"/>
        <v>2.5049999999999955</v>
      </c>
      <c r="K26" s="152"/>
      <c r="L26" s="153">
        <v>0.26</v>
      </c>
      <c r="M26" s="153"/>
      <c r="P26" s="113"/>
      <c r="Q26" s="113"/>
      <c r="R26" s="113"/>
      <c r="S26" s="113"/>
      <c r="T26" s="113"/>
      <c r="U26" s="113"/>
      <c r="V26" s="113"/>
      <c r="X26" s="113"/>
      <c r="Y26" s="113"/>
    </row>
    <row r="27" spans="1:25" ht="15.75" x14ac:dyDescent="0.25">
      <c r="A27" s="151" t="s">
        <v>73</v>
      </c>
      <c r="B27" s="151"/>
      <c r="C27" s="152">
        <f t="shared" si="0"/>
        <v>1.6299999999999986</v>
      </c>
      <c r="D27" s="152"/>
      <c r="E27" s="153">
        <v>8.5000000000000006E-2</v>
      </c>
      <c r="F27" s="153"/>
      <c r="G27" s="95"/>
      <c r="H27" s="151" t="s">
        <v>73</v>
      </c>
      <c r="I27" s="151"/>
      <c r="J27" s="152">
        <f t="shared" si="1"/>
        <v>2.5299999999999954</v>
      </c>
      <c r="K27" s="152"/>
      <c r="L27" s="153">
        <v>0.26500000000000001</v>
      </c>
      <c r="M27" s="153"/>
      <c r="P27" s="113"/>
      <c r="Q27" s="113"/>
      <c r="R27" s="113"/>
      <c r="S27" s="113"/>
      <c r="T27" s="113"/>
      <c r="U27" s="113"/>
      <c r="V27" s="113"/>
      <c r="X27" s="113"/>
      <c r="Y27" s="113"/>
    </row>
    <row r="28" spans="1:25" ht="15.75" x14ac:dyDescent="0.25">
      <c r="A28" s="151" t="s">
        <v>73</v>
      </c>
      <c r="B28" s="151"/>
      <c r="C28" s="152">
        <f t="shared" si="0"/>
        <v>1.6549999999999985</v>
      </c>
      <c r="D28" s="152"/>
      <c r="E28" s="153">
        <v>0.09</v>
      </c>
      <c r="F28" s="153"/>
      <c r="G28" s="95"/>
      <c r="H28" s="151" t="s">
        <v>73</v>
      </c>
      <c r="I28" s="151"/>
      <c r="J28" s="152">
        <f t="shared" si="1"/>
        <v>2.5549999999999953</v>
      </c>
      <c r="K28" s="152"/>
      <c r="L28" s="153">
        <v>0.27</v>
      </c>
      <c r="M28" s="153"/>
      <c r="P28" s="113"/>
      <c r="Q28" s="113"/>
      <c r="R28" s="113"/>
      <c r="S28" s="113"/>
      <c r="T28" s="113"/>
      <c r="U28" s="113"/>
      <c r="V28" s="113"/>
      <c r="X28" s="113"/>
      <c r="Y28" s="113"/>
    </row>
    <row r="29" spans="1:25" ht="15.75" x14ac:dyDescent="0.25">
      <c r="A29" s="151" t="s">
        <v>73</v>
      </c>
      <c r="B29" s="151"/>
      <c r="C29" s="152">
        <f t="shared" si="0"/>
        <v>1.6799999999999984</v>
      </c>
      <c r="D29" s="152"/>
      <c r="E29" s="153">
        <v>9.5000000000000001E-2</v>
      </c>
      <c r="F29" s="153"/>
      <c r="G29" s="95"/>
      <c r="H29" s="151" t="s">
        <v>73</v>
      </c>
      <c r="I29" s="151"/>
      <c r="J29" s="152">
        <f t="shared" si="1"/>
        <v>2.5799999999999952</v>
      </c>
      <c r="K29" s="152"/>
      <c r="L29" s="153">
        <v>0.27500000000000002</v>
      </c>
      <c r="M29" s="153"/>
      <c r="P29" s="113"/>
      <c r="Q29" s="113"/>
      <c r="R29" s="113"/>
      <c r="S29" s="113"/>
      <c r="T29" s="113"/>
      <c r="U29" s="113"/>
      <c r="V29" s="113"/>
      <c r="X29" s="113"/>
      <c r="Y29" s="113"/>
    </row>
    <row r="30" spans="1:25" ht="15.75" x14ac:dyDescent="0.25">
      <c r="A30" s="151" t="s">
        <v>73</v>
      </c>
      <c r="B30" s="151"/>
      <c r="C30" s="152">
        <f t="shared" si="0"/>
        <v>1.7049999999999983</v>
      </c>
      <c r="D30" s="152"/>
      <c r="E30" s="153">
        <v>0.1</v>
      </c>
      <c r="F30" s="153"/>
      <c r="G30" s="136"/>
      <c r="H30" s="151" t="s">
        <v>73</v>
      </c>
      <c r="I30" s="151"/>
      <c r="J30" s="152">
        <f t="shared" si="1"/>
        <v>2.6049999999999951</v>
      </c>
      <c r="K30" s="152"/>
      <c r="L30" s="153">
        <v>0.28000000000000003</v>
      </c>
      <c r="M30" s="153"/>
      <c r="P30" s="113"/>
      <c r="Q30" s="113"/>
      <c r="R30" s="113"/>
      <c r="S30" s="113"/>
      <c r="T30" s="113"/>
      <c r="U30" s="113"/>
      <c r="V30" s="113"/>
      <c r="X30" s="113"/>
      <c r="Y30" s="113"/>
    </row>
    <row r="31" spans="1:25" ht="15.75" x14ac:dyDescent="0.25">
      <c r="A31" s="151" t="s">
        <v>73</v>
      </c>
      <c r="B31" s="151"/>
      <c r="C31" s="152">
        <f t="shared" si="0"/>
        <v>1.7299999999999982</v>
      </c>
      <c r="D31" s="152"/>
      <c r="E31" s="153">
        <v>0.105</v>
      </c>
      <c r="F31" s="153"/>
      <c r="G31" s="135"/>
      <c r="H31" s="151" t="s">
        <v>73</v>
      </c>
      <c r="I31" s="151"/>
      <c r="J31" s="152">
        <f t="shared" si="1"/>
        <v>2.629999999999995</v>
      </c>
      <c r="K31" s="152"/>
      <c r="L31" s="153">
        <v>0.28499999999999998</v>
      </c>
      <c r="M31" s="153"/>
      <c r="P31" s="113"/>
      <c r="Q31" s="113"/>
      <c r="R31" s="113"/>
      <c r="S31" s="113"/>
      <c r="T31" s="113"/>
      <c r="U31" s="113"/>
      <c r="V31" s="113"/>
      <c r="X31" s="113"/>
      <c r="Y31" s="113"/>
    </row>
    <row r="32" spans="1:25" ht="15.75" x14ac:dyDescent="0.25">
      <c r="A32" s="151" t="s">
        <v>73</v>
      </c>
      <c r="B32" s="151"/>
      <c r="C32" s="152">
        <f t="shared" si="0"/>
        <v>1.7549999999999981</v>
      </c>
      <c r="D32" s="152"/>
      <c r="E32" s="153">
        <v>0.11</v>
      </c>
      <c r="F32" s="153"/>
      <c r="G32" s="138"/>
      <c r="H32" s="151" t="s">
        <v>73</v>
      </c>
      <c r="I32" s="151"/>
      <c r="J32" s="152">
        <f t="shared" si="1"/>
        <v>2.6549999999999949</v>
      </c>
      <c r="K32" s="152"/>
      <c r="L32" s="153">
        <v>0.28999999999999998</v>
      </c>
      <c r="M32" s="153"/>
      <c r="P32" s="113"/>
      <c r="Q32" s="113"/>
      <c r="R32" s="113"/>
      <c r="S32" s="113"/>
      <c r="T32" s="113"/>
      <c r="U32" s="113"/>
      <c r="V32" s="113"/>
      <c r="X32" s="113"/>
      <c r="Y32" s="113"/>
    </row>
    <row r="33" spans="1:25" ht="15.75" x14ac:dyDescent="0.25">
      <c r="A33" s="151" t="s">
        <v>73</v>
      </c>
      <c r="B33" s="151"/>
      <c r="C33" s="152">
        <f t="shared" si="0"/>
        <v>1.779999999999998</v>
      </c>
      <c r="D33" s="152"/>
      <c r="E33" s="153">
        <v>0.115</v>
      </c>
      <c r="F33" s="153"/>
      <c r="G33" s="136"/>
      <c r="H33" s="151" t="s">
        <v>73</v>
      </c>
      <c r="I33" s="151"/>
      <c r="J33" s="152">
        <f t="shared" si="1"/>
        <v>2.6799999999999948</v>
      </c>
      <c r="K33" s="152"/>
      <c r="L33" s="153">
        <v>0.29499999999999998</v>
      </c>
      <c r="M33" s="153"/>
      <c r="P33" s="113"/>
      <c r="Q33" s="113"/>
      <c r="R33" s="113"/>
      <c r="S33" s="113"/>
      <c r="T33" s="113"/>
      <c r="U33" s="113"/>
      <c r="V33" s="113"/>
      <c r="X33" s="113"/>
      <c r="Y33" s="113"/>
    </row>
    <row r="34" spans="1:25" ht="15.75" x14ac:dyDescent="0.25">
      <c r="A34" s="151" t="s">
        <v>73</v>
      </c>
      <c r="B34" s="151"/>
      <c r="C34" s="152">
        <f t="shared" si="0"/>
        <v>1.8049999999999979</v>
      </c>
      <c r="D34" s="152"/>
      <c r="E34" s="153">
        <v>0.12</v>
      </c>
      <c r="F34" s="153"/>
      <c r="G34" s="95"/>
      <c r="H34" s="151" t="s">
        <v>73</v>
      </c>
      <c r="I34" s="151"/>
      <c r="J34" s="152">
        <f t="shared" si="1"/>
        <v>2.7049999999999947</v>
      </c>
      <c r="K34" s="152"/>
      <c r="L34" s="153">
        <v>0.3</v>
      </c>
      <c r="M34" s="153"/>
      <c r="P34" s="113"/>
      <c r="Q34" s="113"/>
      <c r="R34" s="113"/>
      <c r="S34" s="113"/>
      <c r="T34" s="113"/>
      <c r="U34" s="113"/>
      <c r="V34" s="113"/>
      <c r="X34" s="113"/>
      <c r="Y34" s="113"/>
    </row>
    <row r="35" spans="1:25" ht="15.75" x14ac:dyDescent="0.25">
      <c r="A35" s="151" t="s">
        <v>73</v>
      </c>
      <c r="B35" s="151"/>
      <c r="C35" s="152">
        <f t="shared" si="0"/>
        <v>1.8299999999999979</v>
      </c>
      <c r="D35" s="152"/>
      <c r="E35" s="153">
        <v>0.125</v>
      </c>
      <c r="F35" s="153"/>
      <c r="G35" s="95"/>
      <c r="H35" s="151" t="s">
        <v>73</v>
      </c>
      <c r="I35" s="151"/>
      <c r="J35" s="152">
        <f t="shared" si="1"/>
        <v>2.7299999999999947</v>
      </c>
      <c r="K35" s="152"/>
      <c r="L35" s="153">
        <v>0.30499999999999999</v>
      </c>
      <c r="M35" s="153"/>
      <c r="P35" s="113"/>
      <c r="Q35" s="113"/>
      <c r="R35" s="113"/>
      <c r="S35" s="113"/>
      <c r="T35" s="113"/>
      <c r="U35" s="113"/>
      <c r="V35" s="113"/>
      <c r="X35" s="113"/>
      <c r="Y35" s="113"/>
    </row>
    <row r="36" spans="1:25" ht="15.75" x14ac:dyDescent="0.25">
      <c r="A36" s="151" t="s">
        <v>73</v>
      </c>
      <c r="B36" s="151"/>
      <c r="C36" s="152">
        <f t="shared" si="0"/>
        <v>1.8549999999999978</v>
      </c>
      <c r="D36" s="152"/>
      <c r="E36" s="153">
        <v>0.13</v>
      </c>
      <c r="F36" s="153"/>
      <c r="G36" s="95"/>
      <c r="H36" s="151" t="s">
        <v>73</v>
      </c>
      <c r="I36" s="151"/>
      <c r="J36" s="152">
        <f t="shared" si="1"/>
        <v>2.7549999999999946</v>
      </c>
      <c r="K36" s="152"/>
      <c r="L36" s="153">
        <v>0.31</v>
      </c>
      <c r="M36" s="153"/>
      <c r="P36" s="113"/>
      <c r="Q36" s="113"/>
      <c r="R36" s="113"/>
      <c r="S36" s="113"/>
      <c r="T36" s="113"/>
      <c r="U36" s="113"/>
      <c r="V36" s="113"/>
      <c r="X36" s="113"/>
      <c r="Y36" s="113"/>
    </row>
    <row r="37" spans="1:25" ht="15.75" x14ac:dyDescent="0.25">
      <c r="A37" s="151" t="s">
        <v>73</v>
      </c>
      <c r="B37" s="151"/>
      <c r="C37" s="152">
        <f t="shared" si="0"/>
        <v>1.8799999999999977</v>
      </c>
      <c r="D37" s="152"/>
      <c r="E37" s="153">
        <v>0.13500000000000001</v>
      </c>
      <c r="F37" s="153"/>
      <c r="G37" s="95"/>
      <c r="H37" s="151" t="s">
        <v>73</v>
      </c>
      <c r="I37" s="151"/>
      <c r="J37" s="152">
        <f t="shared" si="1"/>
        <v>2.7799999999999945</v>
      </c>
      <c r="K37" s="152"/>
      <c r="L37" s="153">
        <v>0.315</v>
      </c>
      <c r="M37" s="153"/>
      <c r="P37" s="113"/>
      <c r="Q37" s="113"/>
      <c r="R37" s="113"/>
      <c r="S37" s="113"/>
      <c r="T37" s="113"/>
      <c r="U37" s="113"/>
      <c r="V37" s="113"/>
      <c r="X37" s="113"/>
      <c r="Y37" s="113"/>
    </row>
    <row r="38" spans="1:25" ht="15.75" x14ac:dyDescent="0.25">
      <c r="A38" s="151" t="s">
        <v>73</v>
      </c>
      <c r="B38" s="151"/>
      <c r="C38" s="152">
        <f t="shared" si="0"/>
        <v>1.9049999999999976</v>
      </c>
      <c r="D38" s="152"/>
      <c r="E38" s="153">
        <v>0.14000000000000001</v>
      </c>
      <c r="F38" s="153"/>
      <c r="G38" s="95"/>
      <c r="H38" s="151" t="s">
        <v>73</v>
      </c>
      <c r="I38" s="151"/>
      <c r="J38" s="152">
        <f t="shared" si="1"/>
        <v>2.8049999999999944</v>
      </c>
      <c r="K38" s="152"/>
      <c r="L38" s="153">
        <v>0.32</v>
      </c>
      <c r="M38" s="153"/>
      <c r="P38" s="113"/>
      <c r="Q38" s="113"/>
      <c r="R38" s="113"/>
      <c r="S38" s="113"/>
      <c r="T38" s="113"/>
      <c r="U38" s="113"/>
      <c r="V38" s="113"/>
      <c r="X38" s="113"/>
      <c r="Y38" s="113"/>
    </row>
    <row r="39" spans="1:25" ht="15.75" x14ac:dyDescent="0.25">
      <c r="A39" s="151" t="s">
        <v>73</v>
      </c>
      <c r="B39" s="151"/>
      <c r="C39" s="152">
        <f t="shared" si="0"/>
        <v>1.9299999999999975</v>
      </c>
      <c r="D39" s="152"/>
      <c r="E39" s="153">
        <v>0.14499999999999999</v>
      </c>
      <c r="F39" s="153"/>
      <c r="G39" s="95"/>
      <c r="H39" s="151" t="s">
        <v>73</v>
      </c>
      <c r="I39" s="151"/>
      <c r="J39" s="152">
        <f t="shared" si="1"/>
        <v>2.8299999999999943</v>
      </c>
      <c r="K39" s="152"/>
      <c r="L39" s="153">
        <v>0.32500000000000001</v>
      </c>
      <c r="M39" s="153"/>
      <c r="P39" s="113"/>
      <c r="Q39" s="113"/>
      <c r="R39" s="113"/>
      <c r="S39" s="113"/>
      <c r="T39" s="113"/>
      <c r="U39" s="113"/>
      <c r="V39" s="113"/>
      <c r="X39" s="113"/>
      <c r="Y39" s="113"/>
    </row>
    <row r="40" spans="1:25" ht="15.75" x14ac:dyDescent="0.25">
      <c r="A40" s="151" t="s">
        <v>73</v>
      </c>
      <c r="B40" s="151"/>
      <c r="C40" s="152">
        <f t="shared" si="0"/>
        <v>1.9549999999999974</v>
      </c>
      <c r="D40" s="152"/>
      <c r="E40" s="153">
        <v>0.15</v>
      </c>
      <c r="F40" s="153"/>
      <c r="G40" s="95"/>
      <c r="H40" s="151" t="s">
        <v>73</v>
      </c>
      <c r="I40" s="151"/>
      <c r="J40" s="152">
        <f t="shared" si="1"/>
        <v>2.8549999999999942</v>
      </c>
      <c r="K40" s="152"/>
      <c r="L40" s="153">
        <v>0.33</v>
      </c>
      <c r="M40" s="153"/>
      <c r="P40" s="113"/>
      <c r="Q40" s="113"/>
      <c r="R40" s="113"/>
      <c r="S40" s="113"/>
      <c r="T40" s="113"/>
      <c r="U40" s="113"/>
      <c r="V40" s="113"/>
      <c r="X40" s="113"/>
      <c r="Y40" s="113"/>
    </row>
    <row r="41" spans="1:25" ht="15.75" x14ac:dyDescent="0.25">
      <c r="A41" s="151" t="s">
        <v>73</v>
      </c>
      <c r="B41" s="151"/>
      <c r="C41" s="152">
        <f t="shared" si="0"/>
        <v>1.9799999999999973</v>
      </c>
      <c r="D41" s="152"/>
      <c r="E41" s="153">
        <v>0.155</v>
      </c>
      <c r="F41" s="153"/>
      <c r="G41" s="95"/>
      <c r="H41" s="151" t="s">
        <v>73</v>
      </c>
      <c r="I41" s="151"/>
      <c r="J41" s="152">
        <f t="shared" si="1"/>
        <v>2.8799999999999941</v>
      </c>
      <c r="K41" s="152"/>
      <c r="L41" s="153">
        <v>0.33500000000000002</v>
      </c>
      <c r="M41" s="153"/>
      <c r="P41" s="113"/>
      <c r="Q41" s="113"/>
      <c r="R41" s="113"/>
      <c r="S41" s="113"/>
      <c r="T41" s="113"/>
      <c r="U41" s="113"/>
      <c r="V41" s="113"/>
      <c r="X41" s="113"/>
      <c r="Y41" s="113"/>
    </row>
    <row r="42" spans="1:25" ht="15.75" x14ac:dyDescent="0.25">
      <c r="A42" s="151" t="s">
        <v>73</v>
      </c>
      <c r="B42" s="151"/>
      <c r="C42" s="152">
        <f t="shared" si="0"/>
        <v>2.0049999999999972</v>
      </c>
      <c r="D42" s="152"/>
      <c r="E42" s="153">
        <v>0.16</v>
      </c>
      <c r="F42" s="153"/>
      <c r="G42" s="95"/>
      <c r="H42" s="151" t="s">
        <v>73</v>
      </c>
      <c r="I42" s="151"/>
      <c r="J42" s="152">
        <f t="shared" si="1"/>
        <v>2.904999999999994</v>
      </c>
      <c r="K42" s="152"/>
      <c r="L42" s="153">
        <v>0.34</v>
      </c>
      <c r="M42" s="153"/>
      <c r="P42" s="113"/>
      <c r="Q42" s="113"/>
      <c r="R42" s="113"/>
      <c r="S42" s="113"/>
      <c r="T42" s="113"/>
      <c r="U42" s="113"/>
      <c r="V42" s="113"/>
      <c r="X42" s="113"/>
      <c r="Y42" s="113"/>
    </row>
    <row r="43" spans="1:25" ht="15.75" x14ac:dyDescent="0.25">
      <c r="A43" s="151" t="s">
        <v>73</v>
      </c>
      <c r="B43" s="151"/>
      <c r="C43" s="152">
        <f t="shared" si="0"/>
        <v>2.0299999999999971</v>
      </c>
      <c r="D43" s="152"/>
      <c r="E43" s="153">
        <v>0.16500000000000001</v>
      </c>
      <c r="F43" s="153"/>
      <c r="G43" s="95"/>
      <c r="H43" s="151" t="s">
        <v>73</v>
      </c>
      <c r="I43" s="151"/>
      <c r="J43" s="152">
        <f t="shared" si="1"/>
        <v>2.9299999999999939</v>
      </c>
      <c r="K43" s="152"/>
      <c r="L43" s="153">
        <v>0.34499999999999997</v>
      </c>
      <c r="M43" s="153"/>
      <c r="P43" s="113"/>
      <c r="Q43" s="113"/>
      <c r="R43" s="113"/>
      <c r="S43" s="113"/>
      <c r="T43" s="113"/>
      <c r="U43" s="113"/>
      <c r="V43" s="113"/>
      <c r="X43" s="113"/>
      <c r="Y43" s="113"/>
    </row>
    <row r="44" spans="1:25" ht="15.75" x14ac:dyDescent="0.25">
      <c r="A44" s="151" t="s">
        <v>73</v>
      </c>
      <c r="B44" s="151"/>
      <c r="C44" s="152">
        <f t="shared" si="0"/>
        <v>2.0549999999999971</v>
      </c>
      <c r="D44" s="152"/>
      <c r="E44" s="153">
        <v>0.17</v>
      </c>
      <c r="F44" s="153"/>
      <c r="G44" s="95"/>
      <c r="H44" s="151" t="s">
        <v>73</v>
      </c>
      <c r="I44" s="151"/>
      <c r="J44" s="152">
        <f t="shared" si="1"/>
        <v>2.9549999999999939</v>
      </c>
      <c r="K44" s="152"/>
      <c r="L44" s="153">
        <v>0.35</v>
      </c>
      <c r="M44" s="153"/>
      <c r="P44" s="113"/>
      <c r="Q44" s="113"/>
      <c r="R44" s="113"/>
      <c r="S44" s="113"/>
      <c r="T44" s="113"/>
      <c r="U44" s="113"/>
      <c r="V44" s="113"/>
      <c r="X44" s="113"/>
      <c r="Y44" s="113"/>
    </row>
    <row r="45" spans="1:25" ht="15.75" x14ac:dyDescent="0.25">
      <c r="A45" s="151" t="s">
        <v>73</v>
      </c>
      <c r="B45" s="151"/>
      <c r="C45" s="152">
        <f t="shared" si="0"/>
        <v>2.079999999999997</v>
      </c>
      <c r="D45" s="152"/>
      <c r="E45" s="153">
        <v>0.17499999999999999</v>
      </c>
      <c r="F45" s="153"/>
      <c r="G45" s="95"/>
      <c r="H45" s="151" t="s">
        <v>73</v>
      </c>
      <c r="I45" s="151"/>
      <c r="J45" s="152">
        <f t="shared" si="1"/>
        <v>2.9799999999999938</v>
      </c>
      <c r="K45" s="152"/>
      <c r="L45" s="153">
        <v>0.35499999999999998</v>
      </c>
      <c r="M45" s="153"/>
      <c r="P45" s="113"/>
      <c r="Q45" s="113"/>
      <c r="R45" s="113"/>
      <c r="S45" s="113"/>
      <c r="T45" s="113"/>
      <c r="U45" s="113"/>
      <c r="V45" s="113"/>
      <c r="X45" s="113"/>
      <c r="Y45" s="113"/>
    </row>
    <row r="46" spans="1:25" x14ac:dyDescent="0.25">
      <c r="B46" s="139"/>
      <c r="C46" s="140"/>
      <c r="D46" s="139"/>
      <c r="E46" s="141"/>
      <c r="F46" s="142"/>
    </row>
    <row r="47" spans="1:25" ht="32.25" customHeight="1" x14ac:dyDescent="0.25">
      <c r="A47" s="136" t="s">
        <v>91</v>
      </c>
      <c r="B47" s="95"/>
      <c r="C47" s="143" t="s">
        <v>92</v>
      </c>
      <c r="D47" s="143"/>
      <c r="E47" s="143"/>
      <c r="F47" s="143"/>
      <c r="G47" s="143"/>
      <c r="H47" s="143"/>
      <c r="I47" s="143"/>
      <c r="J47" s="143"/>
      <c r="K47" s="143"/>
      <c r="L47" s="143"/>
      <c r="M47" s="143"/>
    </row>
    <row r="48" spans="1:25" x14ac:dyDescent="0.25">
      <c r="A48" s="89"/>
      <c r="E48" s="142"/>
      <c r="F48" s="142"/>
      <c r="G48" s="89"/>
    </row>
    <row r="49" spans="1:14" ht="72" customHeight="1" x14ac:dyDescent="0.25">
      <c r="A49" s="91" t="s">
        <v>93</v>
      </c>
      <c r="B49" s="91"/>
      <c r="C49" s="91"/>
      <c r="D49" s="91"/>
      <c r="E49" s="91"/>
      <c r="F49" s="91"/>
      <c r="G49" s="91"/>
      <c r="H49" s="91"/>
      <c r="I49" s="91"/>
      <c r="J49" s="91"/>
      <c r="K49" s="91"/>
      <c r="L49" s="91"/>
      <c r="M49" s="91"/>
    </row>
    <row r="50" spans="1:14" ht="16.350000000000001" customHeight="1" x14ac:dyDescent="0.25">
      <c r="A50" s="92" t="s">
        <v>94</v>
      </c>
      <c r="B50" s="92"/>
      <c r="C50" s="92"/>
      <c r="D50" s="92"/>
      <c r="E50" s="92"/>
      <c r="F50" s="92"/>
      <c r="G50" s="92"/>
      <c r="H50" s="92"/>
      <c r="I50" s="92"/>
      <c r="J50" s="92"/>
      <c r="K50" s="92"/>
      <c r="L50" s="92"/>
      <c r="M50" s="92"/>
    </row>
    <row r="51" spans="1:14" ht="15" customHeight="1" x14ac:dyDescent="0.25">
      <c r="A51" s="89"/>
      <c r="E51" s="142"/>
      <c r="F51" s="144"/>
      <c r="G51" s="89"/>
      <c r="H51" s="95"/>
      <c r="I51" s="95"/>
    </row>
    <row r="52" spans="1:14" ht="30" customHeight="1" x14ac:dyDescent="0.25">
      <c r="A52" s="93" t="s">
        <v>74</v>
      </c>
      <c r="B52" s="93"/>
      <c r="C52" s="93"/>
      <c r="D52" s="93"/>
      <c r="E52" s="93"/>
      <c r="F52" s="93"/>
      <c r="G52" s="93"/>
      <c r="H52" s="93"/>
      <c r="I52" s="93"/>
      <c r="J52" s="93"/>
      <c r="K52" s="93"/>
      <c r="L52" s="93"/>
      <c r="M52" s="93"/>
      <c r="N52" s="94"/>
    </row>
    <row r="53" spans="1:14" ht="30" customHeight="1" x14ac:dyDescent="0.25">
      <c r="A53" s="93"/>
      <c r="B53" s="93"/>
      <c r="C53" s="93"/>
      <c r="D53" s="93"/>
      <c r="E53" s="93"/>
      <c r="F53" s="93"/>
      <c r="G53" s="93"/>
      <c r="H53" s="93"/>
      <c r="I53" s="93"/>
      <c r="J53" s="93"/>
      <c r="K53" s="93"/>
      <c r="L53" s="93"/>
      <c r="M53" s="93"/>
      <c r="N53" s="94"/>
    </row>
    <row r="54" spans="1:14" ht="30" customHeight="1" x14ac:dyDescent="0.25">
      <c r="A54" s="93"/>
      <c r="B54" s="93"/>
      <c r="C54" s="93"/>
      <c r="D54" s="93"/>
      <c r="E54" s="93"/>
      <c r="F54" s="93"/>
      <c r="G54" s="93"/>
      <c r="H54" s="93"/>
      <c r="I54" s="93"/>
      <c r="J54" s="93"/>
      <c r="K54" s="93"/>
      <c r="L54" s="93"/>
      <c r="M54" s="93"/>
      <c r="N54" s="94"/>
    </row>
    <row r="55" spans="1:14" ht="30" customHeight="1" x14ac:dyDescent="0.25">
      <c r="A55" s="93"/>
      <c r="B55" s="93"/>
      <c r="C55" s="93"/>
      <c r="D55" s="93"/>
      <c r="E55" s="93"/>
      <c r="F55" s="93"/>
      <c r="G55" s="93"/>
      <c r="H55" s="93"/>
      <c r="I55" s="93"/>
      <c r="J55" s="93"/>
      <c r="K55" s="93"/>
      <c r="L55" s="93"/>
      <c r="M55" s="93"/>
      <c r="N55" s="94"/>
    </row>
    <row r="56" spans="1:14" ht="60" customHeight="1" x14ac:dyDescent="0.25">
      <c r="A56" s="93"/>
      <c r="B56" s="93"/>
      <c r="C56" s="93"/>
      <c r="D56" s="93"/>
      <c r="E56" s="93"/>
      <c r="F56" s="93"/>
      <c r="G56" s="93"/>
      <c r="H56" s="93"/>
      <c r="I56" s="93"/>
      <c r="J56" s="93"/>
      <c r="K56" s="93"/>
      <c r="L56" s="93"/>
      <c r="M56" s="93"/>
      <c r="N56" s="94"/>
    </row>
    <row r="57" spans="1:14" ht="15" customHeight="1" x14ac:dyDescent="0.25">
      <c r="A57" s="93"/>
      <c r="B57" s="93"/>
      <c r="C57" s="93"/>
      <c r="D57" s="93"/>
      <c r="E57" s="93"/>
      <c r="F57" s="93"/>
      <c r="G57" s="93"/>
      <c r="H57" s="93"/>
      <c r="I57" s="93"/>
      <c r="J57" s="93"/>
      <c r="K57" s="93"/>
      <c r="L57" s="93"/>
      <c r="M57" s="93"/>
    </row>
    <row r="58" spans="1:14" ht="15" customHeight="1" x14ac:dyDescent="0.25">
      <c r="A58" s="145"/>
      <c r="B58" s="145"/>
      <c r="C58" s="145"/>
      <c r="D58" s="145"/>
      <c r="E58" s="145"/>
      <c r="F58" s="145"/>
      <c r="G58" s="145"/>
      <c r="H58" s="145"/>
    </row>
    <row r="59" spans="1:14" ht="15" customHeight="1" x14ac:dyDescent="0.25">
      <c r="A59" s="145"/>
      <c r="B59" s="145"/>
      <c r="C59" s="145"/>
      <c r="D59" s="145"/>
      <c r="E59" s="145"/>
      <c r="F59" s="145"/>
      <c r="G59" s="145"/>
      <c r="H59" s="145"/>
    </row>
    <row r="60" spans="1:14" ht="15" customHeight="1" x14ac:dyDescent="0.25">
      <c r="A60" s="145"/>
      <c r="B60" s="145"/>
      <c r="C60" s="145"/>
      <c r="D60" s="145"/>
      <c r="E60" s="145"/>
      <c r="F60" s="145"/>
      <c r="G60" s="145"/>
      <c r="H60" s="145"/>
    </row>
    <row r="61" spans="1:14" ht="15" customHeight="1" x14ac:dyDescent="0.25">
      <c r="A61" s="145"/>
      <c r="B61" s="145"/>
      <c r="C61" s="145"/>
      <c r="D61" s="145"/>
      <c r="E61" s="145"/>
      <c r="F61" s="145"/>
      <c r="G61" s="145"/>
      <c r="H61" s="145"/>
    </row>
    <row r="62" spans="1:14" ht="15" customHeight="1" x14ac:dyDescent="0.25">
      <c r="A62" s="145"/>
      <c r="B62" s="145"/>
      <c r="C62" s="145"/>
      <c r="D62" s="145"/>
      <c r="E62" s="145"/>
      <c r="F62" s="145"/>
      <c r="G62" s="145"/>
      <c r="H62" s="145"/>
    </row>
    <row r="63" spans="1:14" ht="15" customHeight="1" x14ac:dyDescent="0.25">
      <c r="A63" s="145"/>
      <c r="B63" s="145"/>
      <c r="C63" s="145"/>
      <c r="D63" s="145"/>
      <c r="E63" s="145"/>
      <c r="F63" s="145"/>
      <c r="G63" s="145"/>
      <c r="H63" s="145"/>
    </row>
    <row r="64" spans="1:14" ht="15" customHeight="1" x14ac:dyDescent="0.25"/>
    <row r="65" ht="15" customHeight="1" x14ac:dyDescent="0.25"/>
    <row r="66" ht="15" customHeight="1" x14ac:dyDescent="0.25"/>
    <row r="67" ht="15" customHeight="1" x14ac:dyDescent="0.25"/>
  </sheetData>
  <mergeCells count="228">
    <mergeCell ref="C47:M47"/>
    <mergeCell ref="A49:M49"/>
    <mergeCell ref="A50:M50"/>
    <mergeCell ref="A52:M57"/>
    <mergeCell ref="A45:B45"/>
    <mergeCell ref="C45:D45"/>
    <mergeCell ref="E45:F45"/>
    <mergeCell ref="H45:I45"/>
    <mergeCell ref="J45:K45"/>
    <mergeCell ref="L45:M45"/>
    <mergeCell ref="A44:B44"/>
    <mergeCell ref="C44:D44"/>
    <mergeCell ref="E44:F44"/>
    <mergeCell ref="H44:I44"/>
    <mergeCell ref="J44:K44"/>
    <mergeCell ref="L44:M44"/>
    <mergeCell ref="A43:B43"/>
    <mergeCell ref="C43:D43"/>
    <mergeCell ref="E43:F43"/>
    <mergeCell ref="H43:I43"/>
    <mergeCell ref="J43:K43"/>
    <mergeCell ref="L43:M43"/>
    <mergeCell ref="A42:B42"/>
    <mergeCell ref="C42:D42"/>
    <mergeCell ref="E42:F42"/>
    <mergeCell ref="H42:I42"/>
    <mergeCell ref="J42:K42"/>
    <mergeCell ref="L42:M42"/>
    <mergeCell ref="A41:B41"/>
    <mergeCell ref="C41:D41"/>
    <mergeCell ref="E41:F41"/>
    <mergeCell ref="H41:I41"/>
    <mergeCell ref="J41:K41"/>
    <mergeCell ref="L41:M41"/>
    <mergeCell ref="A40:B40"/>
    <mergeCell ref="C40:D40"/>
    <mergeCell ref="E40:F40"/>
    <mergeCell ref="H40:I40"/>
    <mergeCell ref="J40:K40"/>
    <mergeCell ref="L40:M40"/>
    <mergeCell ref="A39:B39"/>
    <mergeCell ref="C39:D39"/>
    <mergeCell ref="E39:F39"/>
    <mergeCell ref="H39:I39"/>
    <mergeCell ref="J39:K39"/>
    <mergeCell ref="L39:M39"/>
    <mergeCell ref="A38:B38"/>
    <mergeCell ref="C38:D38"/>
    <mergeCell ref="E38:F38"/>
    <mergeCell ref="H38:I38"/>
    <mergeCell ref="J38:K38"/>
    <mergeCell ref="L38:M38"/>
    <mergeCell ref="A37:B37"/>
    <mergeCell ref="C37:D37"/>
    <mergeCell ref="E37:F37"/>
    <mergeCell ref="H37:I37"/>
    <mergeCell ref="J37:K37"/>
    <mergeCell ref="L37:M37"/>
    <mergeCell ref="A36:B36"/>
    <mergeCell ref="C36:D36"/>
    <mergeCell ref="E36:F36"/>
    <mergeCell ref="H36:I36"/>
    <mergeCell ref="J36:K36"/>
    <mergeCell ref="L36:M36"/>
    <mergeCell ref="A35:B35"/>
    <mergeCell ref="C35:D35"/>
    <mergeCell ref="E35:F35"/>
    <mergeCell ref="H35:I35"/>
    <mergeCell ref="J35:K35"/>
    <mergeCell ref="L35:M35"/>
    <mergeCell ref="A34:B34"/>
    <mergeCell ref="C34:D34"/>
    <mergeCell ref="E34:F34"/>
    <mergeCell ref="H34:I34"/>
    <mergeCell ref="J34:K34"/>
    <mergeCell ref="L34:M34"/>
    <mergeCell ref="A33:B33"/>
    <mergeCell ref="C33:D33"/>
    <mergeCell ref="E33:F33"/>
    <mergeCell ref="H33:I33"/>
    <mergeCell ref="J33:K33"/>
    <mergeCell ref="L33:M33"/>
    <mergeCell ref="A32:B32"/>
    <mergeCell ref="C32:D32"/>
    <mergeCell ref="E32:F32"/>
    <mergeCell ref="H32:I32"/>
    <mergeCell ref="J32:K32"/>
    <mergeCell ref="L32:M32"/>
    <mergeCell ref="A31:B31"/>
    <mergeCell ref="C31:D31"/>
    <mergeCell ref="E31:F31"/>
    <mergeCell ref="H31:I31"/>
    <mergeCell ref="J31:K31"/>
    <mergeCell ref="L31:M31"/>
    <mergeCell ref="A30:B30"/>
    <mergeCell ref="C30:D30"/>
    <mergeCell ref="E30:F30"/>
    <mergeCell ref="H30:I30"/>
    <mergeCell ref="J30:K30"/>
    <mergeCell ref="L30:M30"/>
    <mergeCell ref="A29:B29"/>
    <mergeCell ref="C29:D29"/>
    <mergeCell ref="E29:F29"/>
    <mergeCell ref="H29:I29"/>
    <mergeCell ref="J29:K29"/>
    <mergeCell ref="L29:M29"/>
    <mergeCell ref="A28:B28"/>
    <mergeCell ref="C28:D28"/>
    <mergeCell ref="E28:F28"/>
    <mergeCell ref="H28:I28"/>
    <mergeCell ref="J28:K28"/>
    <mergeCell ref="L28:M28"/>
    <mergeCell ref="A27:B27"/>
    <mergeCell ref="C27:D27"/>
    <mergeCell ref="E27:F27"/>
    <mergeCell ref="H27:I27"/>
    <mergeCell ref="J27:K27"/>
    <mergeCell ref="L27:M27"/>
    <mergeCell ref="A26:B26"/>
    <mergeCell ref="C26:D26"/>
    <mergeCell ref="E26:F26"/>
    <mergeCell ref="H26:I26"/>
    <mergeCell ref="J26:K26"/>
    <mergeCell ref="L26:M26"/>
    <mergeCell ref="A25:B25"/>
    <mergeCell ref="C25:D25"/>
    <mergeCell ref="E25:F25"/>
    <mergeCell ref="H25:I25"/>
    <mergeCell ref="J25:K25"/>
    <mergeCell ref="L25:M25"/>
    <mergeCell ref="A24:B24"/>
    <mergeCell ref="C24:D24"/>
    <mergeCell ref="E24:F24"/>
    <mergeCell ref="H24:I24"/>
    <mergeCell ref="J24:K24"/>
    <mergeCell ref="L24:M24"/>
    <mergeCell ref="A23:B23"/>
    <mergeCell ref="C23:D23"/>
    <mergeCell ref="E23:F23"/>
    <mergeCell ref="H23:I23"/>
    <mergeCell ref="J23:K23"/>
    <mergeCell ref="L23:M23"/>
    <mergeCell ref="A22:B22"/>
    <mergeCell ref="C22:D22"/>
    <mergeCell ref="E22:F22"/>
    <mergeCell ref="H22:I22"/>
    <mergeCell ref="J22:K22"/>
    <mergeCell ref="L22:M22"/>
    <mergeCell ref="A21:B21"/>
    <mergeCell ref="C21:D21"/>
    <mergeCell ref="E21:F21"/>
    <mergeCell ref="H21:I21"/>
    <mergeCell ref="J21:K21"/>
    <mergeCell ref="L21:M21"/>
    <mergeCell ref="A20:B20"/>
    <mergeCell ref="C20:D20"/>
    <mergeCell ref="E20:F20"/>
    <mergeCell ref="H20:I20"/>
    <mergeCell ref="J20:K20"/>
    <mergeCell ref="L20:M20"/>
    <mergeCell ref="A19:B19"/>
    <mergeCell ref="C19:D19"/>
    <mergeCell ref="E19:F19"/>
    <mergeCell ref="H19:I19"/>
    <mergeCell ref="J19:K19"/>
    <mergeCell ref="L19:M19"/>
    <mergeCell ref="A18:B18"/>
    <mergeCell ref="C18:D18"/>
    <mergeCell ref="E18:F18"/>
    <mergeCell ref="H18:I18"/>
    <mergeCell ref="J18:K18"/>
    <mergeCell ref="L18:M18"/>
    <mergeCell ref="A17:B17"/>
    <mergeCell ref="C17:D17"/>
    <mergeCell ref="E17:F17"/>
    <mergeCell ref="H17:I17"/>
    <mergeCell ref="J17:K17"/>
    <mergeCell ref="L17:M17"/>
    <mergeCell ref="A16:B16"/>
    <mergeCell ref="C16:D16"/>
    <mergeCell ref="E16:F16"/>
    <mergeCell ref="H16:I16"/>
    <mergeCell ref="J16:K16"/>
    <mergeCell ref="L16:M16"/>
    <mergeCell ref="A15:B15"/>
    <mergeCell ref="C15:D15"/>
    <mergeCell ref="E15:F15"/>
    <mergeCell ref="H15:I15"/>
    <mergeCell ref="J15:K15"/>
    <mergeCell ref="L15:M15"/>
    <mergeCell ref="A14:B14"/>
    <mergeCell ref="C14:D14"/>
    <mergeCell ref="E14:F14"/>
    <mergeCell ref="H14:I14"/>
    <mergeCell ref="J14:K14"/>
    <mergeCell ref="L14:M14"/>
    <mergeCell ref="A13:B13"/>
    <mergeCell ref="C13:D13"/>
    <mergeCell ref="E13:F13"/>
    <mergeCell ref="H13:I13"/>
    <mergeCell ref="J13:K13"/>
    <mergeCell ref="L13:M13"/>
    <mergeCell ref="A12:B12"/>
    <mergeCell ref="C12:D12"/>
    <mergeCell ref="E12:F12"/>
    <mergeCell ref="H12:I12"/>
    <mergeCell ref="J12:K12"/>
    <mergeCell ref="L12:M12"/>
    <mergeCell ref="A11:B11"/>
    <mergeCell ref="C11:D11"/>
    <mergeCell ref="E11:F11"/>
    <mergeCell ref="H11:I11"/>
    <mergeCell ref="J11:K11"/>
    <mergeCell ref="L11:M11"/>
    <mergeCell ref="A10:B10"/>
    <mergeCell ref="C10:D10"/>
    <mergeCell ref="E10:F10"/>
    <mergeCell ref="H10:I10"/>
    <mergeCell ref="J10:K10"/>
    <mergeCell ref="L10:M10"/>
    <mergeCell ref="A4:M4"/>
    <mergeCell ref="A7:M7"/>
    <mergeCell ref="A9:B9"/>
    <mergeCell ref="C9:D9"/>
    <mergeCell ref="E9:F9"/>
    <mergeCell ref="H9:I9"/>
    <mergeCell ref="J9:K9"/>
    <mergeCell ref="L9:M9"/>
  </mergeCells>
  <hyperlinks>
    <hyperlink ref="A50" r:id="rId1" xr:uid="{334F5794-DE0F-44D3-BFE7-36F6AC9B3437}"/>
  </hyperlinks>
  <printOptions horizontalCentered="1"/>
  <pageMargins left="0.23622047244094491" right="0.23622047244094491" top="0.35433070866141736" bottom="0.19685039370078741" header="0.31496062992125984" footer="0.11811023622047245"/>
  <pageSetup paperSize="9" scale="75"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E30AD-7646-4ADD-893F-01FC3223FEAC}">
  <sheetPr>
    <tabColor rgb="FFFF0000"/>
    <pageSetUpPr fitToPage="1"/>
  </sheetPr>
  <dimension ref="A1:AK36"/>
  <sheetViews>
    <sheetView workbookViewId="0">
      <selection activeCell="E41" sqref="E41"/>
    </sheetView>
  </sheetViews>
  <sheetFormatPr baseColWidth="10" defaultRowHeight="15" x14ac:dyDescent="0.25"/>
  <cols>
    <col min="1" max="1" width="31" customWidth="1"/>
    <col min="2" max="2" width="36.28515625" customWidth="1"/>
    <col min="3" max="3" width="19.28515625" customWidth="1"/>
    <col min="4" max="11" width="12.28515625" customWidth="1"/>
    <col min="12" max="12" width="17.7109375" customWidth="1"/>
    <col min="13" max="32" width="10.28515625" customWidth="1"/>
    <col min="33" max="33" width="10.85546875" customWidth="1"/>
    <col min="34" max="35" width="11.140625" customWidth="1"/>
    <col min="36" max="36" width="11" customWidth="1"/>
  </cols>
  <sheetData>
    <row r="1" spans="1:37" x14ac:dyDescent="0.25">
      <c r="A1" s="62" t="s">
        <v>0</v>
      </c>
      <c r="B1" s="63" t="s">
        <v>64</v>
      </c>
      <c r="AJ1">
        <v>0.158</v>
      </c>
    </row>
    <row r="2" spans="1:37" x14ac:dyDescent="0.25">
      <c r="A2" s="62"/>
      <c r="B2" s="63"/>
      <c r="AH2" t="s">
        <v>58</v>
      </c>
      <c r="AI2" t="s">
        <v>59</v>
      </c>
      <c r="AJ2" t="s">
        <v>60</v>
      </c>
    </row>
    <row r="3" spans="1:37" x14ac:dyDescent="0.25">
      <c r="A3" s="64"/>
      <c r="B3" s="64"/>
      <c r="AH3" t="s">
        <v>54</v>
      </c>
      <c r="AI3">
        <v>239</v>
      </c>
      <c r="AJ3" s="42">
        <f>AI3*$AJ$1</f>
        <v>37.762</v>
      </c>
    </row>
    <row r="4" spans="1:37" x14ac:dyDescent="0.25">
      <c r="A4" s="65" t="s">
        <v>1</v>
      </c>
      <c r="B4" s="66" t="s">
        <v>2</v>
      </c>
      <c r="AH4" t="s">
        <v>55</v>
      </c>
      <c r="AI4">
        <v>409</v>
      </c>
      <c r="AJ4" s="42">
        <f t="shared" ref="AJ4:AJ9" si="0">AI4*$AJ$1</f>
        <v>64.622</v>
      </c>
    </row>
    <row r="5" spans="1:37" x14ac:dyDescent="0.25">
      <c r="A5" s="64"/>
      <c r="B5" s="64"/>
      <c r="AH5" t="s">
        <v>56</v>
      </c>
      <c r="AI5">
        <v>421</v>
      </c>
      <c r="AJ5" s="42">
        <f t="shared" si="0"/>
        <v>66.518000000000001</v>
      </c>
    </row>
    <row r="6" spans="1:37" x14ac:dyDescent="0.25">
      <c r="A6" s="65" t="s">
        <v>3</v>
      </c>
      <c r="B6" s="67">
        <v>1500</v>
      </c>
      <c r="AH6" t="s">
        <v>57</v>
      </c>
      <c r="AI6">
        <v>367</v>
      </c>
      <c r="AJ6" s="42">
        <f t="shared" si="0"/>
        <v>57.985999999999997</v>
      </c>
    </row>
    <row r="7" spans="1:37" x14ac:dyDescent="0.25">
      <c r="A7" s="64"/>
      <c r="B7" s="64"/>
      <c r="AH7" t="s">
        <v>61</v>
      </c>
      <c r="AI7">
        <v>604</v>
      </c>
      <c r="AJ7" s="42">
        <f t="shared" si="0"/>
        <v>95.432000000000002</v>
      </c>
    </row>
    <row r="8" spans="1:37" x14ac:dyDescent="0.25">
      <c r="A8" s="65" t="s">
        <v>4</v>
      </c>
      <c r="B8" s="66" t="s">
        <v>5</v>
      </c>
      <c r="AH8" t="s">
        <v>62</v>
      </c>
      <c r="AI8">
        <v>533</v>
      </c>
      <c r="AJ8" s="42">
        <f t="shared" si="0"/>
        <v>84.213999999999999</v>
      </c>
    </row>
    <row r="9" spans="1:37" x14ac:dyDescent="0.25">
      <c r="A9" s="65" t="s">
        <v>6</v>
      </c>
      <c r="B9" s="68" t="s">
        <v>65</v>
      </c>
      <c r="AH9" t="s">
        <v>63</v>
      </c>
      <c r="AI9">
        <v>710</v>
      </c>
      <c r="AJ9" s="42">
        <f t="shared" si="0"/>
        <v>112.18</v>
      </c>
    </row>
    <row r="10" spans="1:37" s="3" customFormat="1" x14ac:dyDescent="0.25">
      <c r="A10" s="2"/>
      <c r="B10" s="2"/>
      <c r="C10"/>
      <c r="D10"/>
      <c r="E10"/>
      <c r="F10"/>
      <c r="G10"/>
      <c r="H10"/>
      <c r="I10"/>
      <c r="J10"/>
      <c r="K10"/>
      <c r="L10"/>
      <c r="M10"/>
      <c r="N10"/>
      <c r="O10"/>
      <c r="P10"/>
      <c r="Q10"/>
      <c r="R10"/>
      <c r="S10"/>
      <c r="T10"/>
      <c r="U10"/>
      <c r="V10"/>
      <c r="W10"/>
      <c r="X10"/>
      <c r="Y10"/>
      <c r="Z10"/>
      <c r="AA10"/>
      <c r="AB10"/>
      <c r="AC10"/>
      <c r="AD10"/>
      <c r="AE10"/>
      <c r="AF10"/>
      <c r="AG10"/>
      <c r="AH10"/>
      <c r="AI10"/>
      <c r="AJ10"/>
    </row>
    <row r="11" spans="1:37" s="76" customFormat="1" x14ac:dyDescent="0.25">
      <c r="A11" s="49" t="s">
        <v>7</v>
      </c>
      <c r="B11" s="49" t="s">
        <v>8</v>
      </c>
      <c r="C11" s="46"/>
      <c r="D11" s="1" t="s">
        <v>9</v>
      </c>
      <c r="E11" s="4"/>
      <c r="F11" s="4"/>
      <c r="G11" s="4"/>
      <c r="H11" s="4"/>
      <c r="I11" s="5"/>
      <c r="J11" s="5"/>
      <c r="K11" s="5"/>
      <c r="L11" s="46"/>
      <c r="M11" s="73" t="s">
        <v>10</v>
      </c>
      <c r="N11" s="74"/>
      <c r="O11" s="74"/>
      <c r="P11" s="74"/>
      <c r="Q11" s="74"/>
      <c r="R11" s="74"/>
      <c r="S11" s="74"/>
      <c r="T11" s="74"/>
      <c r="U11" s="74"/>
      <c r="V11" s="74"/>
      <c r="W11" s="74"/>
      <c r="X11" s="74"/>
      <c r="Y11" s="74"/>
      <c r="Z11" s="74"/>
      <c r="AA11" s="74"/>
      <c r="AB11" s="74"/>
      <c r="AC11" s="74"/>
      <c r="AD11" s="74"/>
      <c r="AE11" s="74"/>
      <c r="AF11" s="74"/>
      <c r="AG11" s="74"/>
      <c r="AH11" s="74"/>
      <c r="AI11" s="74"/>
      <c r="AJ11" s="74"/>
      <c r="AK11" s="75"/>
    </row>
    <row r="12" spans="1:37" s="76" customFormat="1" x14ac:dyDescent="0.25">
      <c r="A12" s="50"/>
      <c r="B12" s="50"/>
      <c r="C12" s="47"/>
      <c r="D12" s="77" t="s">
        <v>11</v>
      </c>
      <c r="E12" s="77" t="s">
        <v>11</v>
      </c>
      <c r="F12" s="77" t="s">
        <v>11</v>
      </c>
      <c r="G12" s="77" t="s">
        <v>11</v>
      </c>
      <c r="H12" s="77" t="s">
        <v>11</v>
      </c>
      <c r="I12" s="77" t="s">
        <v>11</v>
      </c>
      <c r="J12" s="77" t="s">
        <v>11</v>
      </c>
      <c r="K12" s="77" t="s">
        <v>11</v>
      </c>
      <c r="L12" s="47"/>
      <c r="M12" s="77" t="s">
        <v>11</v>
      </c>
      <c r="N12" s="77" t="s">
        <v>11</v>
      </c>
      <c r="O12" s="77" t="s">
        <v>11</v>
      </c>
      <c r="P12" s="77" t="s">
        <v>11</v>
      </c>
      <c r="Q12" s="77" t="s">
        <v>11</v>
      </c>
      <c r="R12" s="77" t="s">
        <v>11</v>
      </c>
      <c r="S12" s="77" t="s">
        <v>11</v>
      </c>
      <c r="T12" s="77" t="s">
        <v>11</v>
      </c>
      <c r="U12" s="77" t="s">
        <v>11</v>
      </c>
      <c r="V12" s="77" t="s">
        <v>11</v>
      </c>
      <c r="W12" s="77" t="s">
        <v>11</v>
      </c>
      <c r="X12" s="77" t="s">
        <v>11</v>
      </c>
      <c r="Y12" s="77" t="s">
        <v>11</v>
      </c>
      <c r="Z12" s="77" t="s">
        <v>11</v>
      </c>
      <c r="AA12" s="77" t="s">
        <v>11</v>
      </c>
      <c r="AB12" s="77" t="s">
        <v>11</v>
      </c>
      <c r="AC12" s="77" t="s">
        <v>11</v>
      </c>
      <c r="AD12" s="77" t="s">
        <v>11</v>
      </c>
      <c r="AE12" s="77" t="s">
        <v>11</v>
      </c>
      <c r="AF12" s="77" t="s">
        <v>11</v>
      </c>
      <c r="AG12" s="77" t="s">
        <v>11</v>
      </c>
      <c r="AH12" s="77" t="s">
        <v>11</v>
      </c>
      <c r="AI12" s="77" t="s">
        <v>11</v>
      </c>
      <c r="AJ12" s="77" t="s">
        <v>11</v>
      </c>
      <c r="AK12" s="77" t="s">
        <v>11</v>
      </c>
    </row>
    <row r="13" spans="1:37" s="76" customFormat="1" x14ac:dyDescent="0.25">
      <c r="A13" s="50"/>
      <c r="B13" s="50"/>
      <c r="C13" s="47"/>
      <c r="D13" s="78">
        <v>1</v>
      </c>
      <c r="E13" s="78">
        <f>D13+1</f>
        <v>2</v>
      </c>
      <c r="F13" s="78">
        <f t="shared" ref="F13:I13" si="1">E13+1</f>
        <v>3</v>
      </c>
      <c r="G13" s="78">
        <f t="shared" si="1"/>
        <v>4</v>
      </c>
      <c r="H13" s="78">
        <f t="shared" si="1"/>
        <v>5</v>
      </c>
      <c r="I13" s="78">
        <f t="shared" si="1"/>
        <v>6</v>
      </c>
      <c r="J13" s="78">
        <f>I13+1</f>
        <v>7</v>
      </c>
      <c r="K13" s="78">
        <v>8</v>
      </c>
      <c r="L13" s="47"/>
      <c r="M13" s="78">
        <v>9</v>
      </c>
      <c r="N13" s="78">
        <v>10</v>
      </c>
      <c r="O13" s="78">
        <v>11</v>
      </c>
      <c r="P13" s="78">
        <v>12</v>
      </c>
      <c r="Q13" s="78">
        <v>13</v>
      </c>
      <c r="R13" s="78">
        <v>14</v>
      </c>
      <c r="S13" s="78">
        <v>15</v>
      </c>
      <c r="T13" s="78">
        <v>16</v>
      </c>
      <c r="U13" s="78">
        <v>17</v>
      </c>
      <c r="V13" s="78">
        <v>18</v>
      </c>
      <c r="W13" s="78">
        <v>19</v>
      </c>
      <c r="X13" s="78">
        <v>20</v>
      </c>
      <c r="Y13" s="78">
        <v>21</v>
      </c>
      <c r="Z13" s="78">
        <v>22</v>
      </c>
      <c r="AA13" s="78">
        <v>23</v>
      </c>
      <c r="AB13" s="78">
        <v>24</v>
      </c>
      <c r="AC13" s="78">
        <v>25</v>
      </c>
      <c r="AD13" s="78">
        <v>26</v>
      </c>
      <c r="AE13" s="78">
        <v>27</v>
      </c>
      <c r="AF13" s="78">
        <v>28</v>
      </c>
      <c r="AG13" s="78">
        <v>29</v>
      </c>
      <c r="AH13" s="78">
        <v>30</v>
      </c>
      <c r="AI13" s="78">
        <v>31</v>
      </c>
      <c r="AJ13" s="78">
        <v>32</v>
      </c>
      <c r="AK13" s="78">
        <v>33</v>
      </c>
    </row>
    <row r="14" spans="1:37" s="76" customFormat="1" x14ac:dyDescent="0.25">
      <c r="A14" s="51"/>
      <c r="B14" s="51"/>
      <c r="C14" s="48"/>
      <c r="D14" s="77" t="s">
        <v>12</v>
      </c>
      <c r="E14" s="77" t="s">
        <v>12</v>
      </c>
      <c r="F14" s="77" t="s">
        <v>12</v>
      </c>
      <c r="G14" s="77" t="s">
        <v>12</v>
      </c>
      <c r="H14" s="77" t="s">
        <v>12</v>
      </c>
      <c r="I14" s="77" t="s">
        <v>12</v>
      </c>
      <c r="J14" s="77" t="s">
        <v>12</v>
      </c>
      <c r="K14" s="77" t="s">
        <v>12</v>
      </c>
      <c r="L14" s="48"/>
      <c r="M14" s="77" t="s">
        <v>12</v>
      </c>
      <c r="N14" s="77" t="s">
        <v>12</v>
      </c>
      <c r="O14" s="77" t="s">
        <v>12</v>
      </c>
      <c r="P14" s="77" t="s">
        <v>12</v>
      </c>
      <c r="Q14" s="77" t="s">
        <v>12</v>
      </c>
      <c r="R14" s="77" t="s">
        <v>12</v>
      </c>
      <c r="S14" s="77" t="s">
        <v>12</v>
      </c>
      <c r="T14" s="77" t="s">
        <v>12</v>
      </c>
      <c r="U14" s="77" t="s">
        <v>12</v>
      </c>
      <c r="V14" s="77" t="s">
        <v>12</v>
      </c>
      <c r="W14" s="77" t="s">
        <v>12</v>
      </c>
      <c r="X14" s="77" t="s">
        <v>12</v>
      </c>
      <c r="Y14" s="77" t="s">
        <v>12</v>
      </c>
      <c r="Z14" s="77" t="s">
        <v>12</v>
      </c>
      <c r="AA14" s="77" t="s">
        <v>12</v>
      </c>
      <c r="AB14" s="77" t="s">
        <v>12</v>
      </c>
      <c r="AC14" s="77" t="s">
        <v>12</v>
      </c>
      <c r="AD14" s="77" t="s">
        <v>12</v>
      </c>
      <c r="AE14" s="77" t="s">
        <v>12</v>
      </c>
      <c r="AF14" s="77" t="s">
        <v>12</v>
      </c>
      <c r="AG14" s="77" t="s">
        <v>12</v>
      </c>
      <c r="AH14" s="77" t="s">
        <v>12</v>
      </c>
      <c r="AI14" s="77" t="s">
        <v>12</v>
      </c>
      <c r="AJ14" s="77" t="s">
        <v>12</v>
      </c>
      <c r="AK14" s="77" t="s">
        <v>12</v>
      </c>
    </row>
    <row r="15" spans="1:37" s="76" customFormat="1" x14ac:dyDescent="0.25">
      <c r="A15" s="69" t="s">
        <v>68</v>
      </c>
      <c r="B15" s="70" t="s">
        <v>13</v>
      </c>
      <c r="C15" s="80" t="s">
        <v>14</v>
      </c>
      <c r="D15" s="81">
        <v>0.4</v>
      </c>
      <c r="E15" s="80">
        <f>D15+0.4</f>
        <v>0.8</v>
      </c>
      <c r="F15" s="80">
        <f t="shared" ref="F15:I15" si="2">E15+0.4</f>
        <v>1.2000000000000002</v>
      </c>
      <c r="G15" s="80">
        <f t="shared" si="2"/>
        <v>1.6</v>
      </c>
      <c r="H15" s="80">
        <f t="shared" si="2"/>
        <v>2</v>
      </c>
      <c r="I15" s="80">
        <f t="shared" si="2"/>
        <v>2.4</v>
      </c>
      <c r="J15" s="80">
        <f>I15+0.4</f>
        <v>2.8</v>
      </c>
      <c r="K15" s="81">
        <f>J15+0.4</f>
        <v>3.1999999999999997</v>
      </c>
      <c r="L15" s="80" t="s">
        <v>14</v>
      </c>
      <c r="M15" s="81">
        <f>K15+0.4</f>
        <v>3.5999999999999996</v>
      </c>
      <c r="N15" s="81">
        <f t="shared" ref="N15:AJ15" si="3">M15+0.4</f>
        <v>3.9999999999999996</v>
      </c>
      <c r="O15" s="81">
        <f t="shared" si="3"/>
        <v>4.3999999999999995</v>
      </c>
      <c r="P15" s="81">
        <f t="shared" si="3"/>
        <v>4.8</v>
      </c>
      <c r="Q15" s="81">
        <f t="shared" si="3"/>
        <v>5.2</v>
      </c>
      <c r="R15" s="81">
        <f t="shared" si="3"/>
        <v>5.6000000000000005</v>
      </c>
      <c r="S15" s="81">
        <f t="shared" si="3"/>
        <v>6.0000000000000009</v>
      </c>
      <c r="T15" s="81">
        <f t="shared" si="3"/>
        <v>6.4000000000000012</v>
      </c>
      <c r="U15" s="81">
        <f t="shared" si="3"/>
        <v>6.8000000000000016</v>
      </c>
      <c r="V15" s="81">
        <f t="shared" si="3"/>
        <v>7.200000000000002</v>
      </c>
      <c r="W15" s="81">
        <f t="shared" si="3"/>
        <v>7.6000000000000023</v>
      </c>
      <c r="X15" s="81">
        <f t="shared" si="3"/>
        <v>8.0000000000000018</v>
      </c>
      <c r="Y15" s="81">
        <f t="shared" si="3"/>
        <v>8.4000000000000021</v>
      </c>
      <c r="Z15" s="81">
        <f t="shared" si="3"/>
        <v>8.8000000000000025</v>
      </c>
      <c r="AA15" s="81">
        <f t="shared" si="3"/>
        <v>9.2000000000000028</v>
      </c>
      <c r="AB15" s="81">
        <f t="shared" si="3"/>
        <v>9.6000000000000032</v>
      </c>
      <c r="AC15" s="81">
        <f t="shared" si="3"/>
        <v>10.000000000000004</v>
      </c>
      <c r="AD15" s="81">
        <f t="shared" si="3"/>
        <v>10.400000000000004</v>
      </c>
      <c r="AE15" s="81">
        <f t="shared" si="3"/>
        <v>10.800000000000004</v>
      </c>
      <c r="AF15" s="81">
        <f t="shared" si="3"/>
        <v>11.200000000000005</v>
      </c>
      <c r="AG15" s="81">
        <f t="shared" si="3"/>
        <v>11.600000000000005</v>
      </c>
      <c r="AH15" s="81">
        <f t="shared" si="3"/>
        <v>12.000000000000005</v>
      </c>
      <c r="AI15" s="81">
        <f t="shared" si="3"/>
        <v>12.400000000000006</v>
      </c>
      <c r="AJ15" s="81">
        <f t="shared" si="3"/>
        <v>12.800000000000006</v>
      </c>
      <c r="AK15" s="81" t="s">
        <v>15</v>
      </c>
    </row>
    <row r="16" spans="1:37" s="76" customFormat="1" ht="16.5" x14ac:dyDescent="0.3">
      <c r="A16" s="71" t="s">
        <v>67</v>
      </c>
      <c r="B16" s="72"/>
      <c r="C16" s="72" t="s">
        <v>16</v>
      </c>
      <c r="D16" s="72" t="s">
        <v>17</v>
      </c>
      <c r="E16" s="72" t="s">
        <v>17</v>
      </c>
      <c r="F16" s="72" t="s">
        <v>17</v>
      </c>
      <c r="G16" s="72" t="s">
        <v>17</v>
      </c>
      <c r="H16" s="72" t="s">
        <v>17</v>
      </c>
      <c r="I16" s="72" t="s">
        <v>17</v>
      </c>
      <c r="J16" s="72" t="s">
        <v>17</v>
      </c>
      <c r="K16" s="72" t="s">
        <v>17</v>
      </c>
      <c r="L16" s="72" t="s">
        <v>18</v>
      </c>
      <c r="M16" s="72" t="s">
        <v>17</v>
      </c>
      <c r="N16" s="72" t="s">
        <v>17</v>
      </c>
      <c r="O16" s="72" t="s">
        <v>17</v>
      </c>
      <c r="P16" s="72" t="s">
        <v>17</v>
      </c>
      <c r="Q16" s="72" t="s">
        <v>17</v>
      </c>
      <c r="R16" s="72" t="s">
        <v>17</v>
      </c>
      <c r="S16" s="72" t="s">
        <v>17</v>
      </c>
      <c r="T16" s="72" t="s">
        <v>17</v>
      </c>
      <c r="U16" s="72" t="s">
        <v>17</v>
      </c>
      <c r="V16" s="72" t="s">
        <v>17</v>
      </c>
      <c r="W16" s="72" t="s">
        <v>17</v>
      </c>
      <c r="X16" s="72" t="s">
        <v>17</v>
      </c>
      <c r="Y16" s="72" t="s">
        <v>17</v>
      </c>
      <c r="Z16" s="72" t="s">
        <v>17</v>
      </c>
      <c r="AA16" s="72" t="s">
        <v>17</v>
      </c>
      <c r="AB16" s="72" t="s">
        <v>17</v>
      </c>
      <c r="AC16" s="72" t="s">
        <v>17</v>
      </c>
      <c r="AD16" s="72" t="s">
        <v>17</v>
      </c>
      <c r="AE16" s="72" t="s">
        <v>17</v>
      </c>
      <c r="AF16" s="72" t="s">
        <v>17</v>
      </c>
      <c r="AG16" s="72" t="s">
        <v>17</v>
      </c>
      <c r="AH16" s="72" t="s">
        <v>17</v>
      </c>
      <c r="AI16" s="72" t="s">
        <v>17</v>
      </c>
      <c r="AJ16" s="72" t="s">
        <v>17</v>
      </c>
      <c r="AK16" s="72" t="s">
        <v>17</v>
      </c>
    </row>
    <row r="17" spans="1:37" s="7" customFormat="1" ht="16.5" x14ac:dyDescent="0.3">
      <c r="A17" s="6" t="s">
        <v>66</v>
      </c>
      <c r="B17" s="41" t="s">
        <v>48</v>
      </c>
      <c r="C17" s="85"/>
      <c r="D17" s="87">
        <f t="shared" ref="D17:AI22" si="4">$AK17/13.6*D$15</f>
        <v>1.9005882352941179</v>
      </c>
      <c r="E17" s="87">
        <f t="shared" si="4"/>
        <v>3.8011764705882358</v>
      </c>
      <c r="F17" s="87">
        <f t="shared" si="4"/>
        <v>5.7017647058823542</v>
      </c>
      <c r="G17" s="87">
        <f t="shared" si="4"/>
        <v>7.6023529411764716</v>
      </c>
      <c r="H17" s="87">
        <f t="shared" si="4"/>
        <v>9.5029411764705891</v>
      </c>
      <c r="I17" s="87">
        <f t="shared" si="4"/>
        <v>11.403529411764707</v>
      </c>
      <c r="J17" s="87">
        <f t="shared" si="4"/>
        <v>13.304117647058824</v>
      </c>
      <c r="K17" s="87">
        <f t="shared" si="4"/>
        <v>15.204705882352942</v>
      </c>
      <c r="L17" s="87"/>
      <c r="M17" s="87">
        <f t="shared" si="4"/>
        <v>17.105294117647059</v>
      </c>
      <c r="N17" s="87">
        <f t="shared" si="4"/>
        <v>19.005882352941175</v>
      </c>
      <c r="O17" s="87">
        <f t="shared" si="4"/>
        <v>20.906470588235294</v>
      </c>
      <c r="P17" s="87">
        <f t="shared" si="4"/>
        <v>22.807058823529413</v>
      </c>
      <c r="Q17" s="87">
        <f t="shared" si="4"/>
        <v>24.707647058823532</v>
      </c>
      <c r="R17" s="87">
        <f t="shared" si="4"/>
        <v>26.608235294117652</v>
      </c>
      <c r="S17" s="87">
        <f t="shared" si="4"/>
        <v>28.508823529411771</v>
      </c>
      <c r="T17" s="87">
        <f t="shared" si="4"/>
        <v>30.40941176470589</v>
      </c>
      <c r="U17" s="87">
        <f t="shared" si="4"/>
        <v>32.310000000000009</v>
      </c>
      <c r="V17" s="87">
        <f t="shared" si="4"/>
        <v>34.210588235294132</v>
      </c>
      <c r="W17" s="87">
        <f t="shared" si="4"/>
        <v>36.111176470588248</v>
      </c>
      <c r="X17" s="87">
        <f t="shared" si="4"/>
        <v>38.011764705882364</v>
      </c>
      <c r="Y17" s="87">
        <f t="shared" si="4"/>
        <v>39.912352941176486</v>
      </c>
      <c r="Z17" s="87">
        <f t="shared" si="4"/>
        <v>41.812941176470602</v>
      </c>
      <c r="AA17" s="87">
        <f t="shared" si="4"/>
        <v>43.713529411764725</v>
      </c>
      <c r="AB17" s="87">
        <f t="shared" si="4"/>
        <v>45.614117647058841</v>
      </c>
      <c r="AC17" s="87">
        <f t="shared" si="4"/>
        <v>47.514705882352963</v>
      </c>
      <c r="AD17" s="87">
        <f t="shared" si="4"/>
        <v>49.415294117647079</v>
      </c>
      <c r="AE17" s="87">
        <f t="shared" si="4"/>
        <v>51.315882352941202</v>
      </c>
      <c r="AF17" s="87">
        <f t="shared" si="4"/>
        <v>53.216470588235318</v>
      </c>
      <c r="AG17" s="87">
        <f t="shared" si="4"/>
        <v>55.11705882352944</v>
      </c>
      <c r="AH17" s="87">
        <f t="shared" si="4"/>
        <v>57.017647058823563</v>
      </c>
      <c r="AI17" s="87">
        <f t="shared" si="4"/>
        <v>58.918235294117679</v>
      </c>
      <c r="AJ17" s="87">
        <f t="shared" ref="AJ17:AJ22" si="5">$AK17/13.6*AJ$15</f>
        <v>60.818823529411802</v>
      </c>
      <c r="AK17" s="87">
        <v>64.62</v>
      </c>
    </row>
    <row r="18" spans="1:37" s="7" customFormat="1" ht="16.5" x14ac:dyDescent="0.3">
      <c r="A18" s="6" t="s">
        <v>66</v>
      </c>
      <c r="B18" s="41" t="s">
        <v>49</v>
      </c>
      <c r="C18" s="85"/>
      <c r="D18" s="87">
        <f t="shared" si="4"/>
        <v>1.9005882352941179</v>
      </c>
      <c r="E18" s="87">
        <f t="shared" si="4"/>
        <v>3.8011764705882358</v>
      </c>
      <c r="F18" s="87">
        <f t="shared" si="4"/>
        <v>5.7017647058823542</v>
      </c>
      <c r="G18" s="87">
        <f t="shared" si="4"/>
        <v>7.6023529411764716</v>
      </c>
      <c r="H18" s="87">
        <f t="shared" si="4"/>
        <v>9.5029411764705891</v>
      </c>
      <c r="I18" s="87">
        <f t="shared" si="4"/>
        <v>11.403529411764707</v>
      </c>
      <c r="J18" s="87">
        <f t="shared" si="4"/>
        <v>13.304117647058824</v>
      </c>
      <c r="K18" s="87">
        <f t="shared" si="4"/>
        <v>15.204705882352942</v>
      </c>
      <c r="L18" s="87"/>
      <c r="M18" s="87">
        <f t="shared" si="4"/>
        <v>17.105294117647059</v>
      </c>
      <c r="N18" s="87">
        <f t="shared" si="4"/>
        <v>19.005882352941175</v>
      </c>
      <c r="O18" s="87">
        <f t="shared" si="4"/>
        <v>20.906470588235294</v>
      </c>
      <c r="P18" s="87">
        <f t="shared" si="4"/>
        <v>22.807058823529413</v>
      </c>
      <c r="Q18" s="87">
        <f t="shared" si="4"/>
        <v>24.707647058823532</v>
      </c>
      <c r="R18" s="87">
        <f t="shared" si="4"/>
        <v>26.608235294117652</v>
      </c>
      <c r="S18" s="87">
        <f t="shared" si="4"/>
        <v>28.508823529411771</v>
      </c>
      <c r="T18" s="87">
        <f t="shared" si="4"/>
        <v>30.40941176470589</v>
      </c>
      <c r="U18" s="87">
        <f t="shared" si="4"/>
        <v>32.310000000000009</v>
      </c>
      <c r="V18" s="87">
        <f t="shared" si="4"/>
        <v>34.210588235294132</v>
      </c>
      <c r="W18" s="87">
        <f t="shared" si="4"/>
        <v>36.111176470588248</v>
      </c>
      <c r="X18" s="87">
        <f t="shared" si="4"/>
        <v>38.011764705882364</v>
      </c>
      <c r="Y18" s="87">
        <f t="shared" si="4"/>
        <v>39.912352941176486</v>
      </c>
      <c r="Z18" s="87">
        <f t="shared" si="4"/>
        <v>41.812941176470602</v>
      </c>
      <c r="AA18" s="87">
        <f t="shared" si="4"/>
        <v>43.713529411764725</v>
      </c>
      <c r="AB18" s="87">
        <f t="shared" si="4"/>
        <v>45.614117647058841</v>
      </c>
      <c r="AC18" s="87">
        <f t="shared" si="4"/>
        <v>47.514705882352963</v>
      </c>
      <c r="AD18" s="87">
        <f t="shared" si="4"/>
        <v>49.415294117647079</v>
      </c>
      <c r="AE18" s="87">
        <f t="shared" si="4"/>
        <v>51.315882352941202</v>
      </c>
      <c r="AF18" s="87">
        <f t="shared" si="4"/>
        <v>53.216470588235318</v>
      </c>
      <c r="AG18" s="87">
        <f t="shared" si="4"/>
        <v>55.11705882352944</v>
      </c>
      <c r="AH18" s="87">
        <f t="shared" si="4"/>
        <v>57.017647058823563</v>
      </c>
      <c r="AI18" s="87">
        <f t="shared" si="4"/>
        <v>58.918235294117679</v>
      </c>
      <c r="AJ18" s="87">
        <f t="shared" si="5"/>
        <v>60.818823529411802</v>
      </c>
      <c r="AK18" s="87">
        <v>64.62</v>
      </c>
    </row>
    <row r="19" spans="1:37" s="7" customFormat="1" ht="16.5" x14ac:dyDescent="0.3">
      <c r="A19" s="6" t="s">
        <v>66</v>
      </c>
      <c r="B19" s="41" t="s">
        <v>50</v>
      </c>
      <c r="C19" s="85"/>
      <c r="D19" s="87">
        <f t="shared" si="4"/>
        <v>1.9005882352941179</v>
      </c>
      <c r="E19" s="87">
        <f t="shared" si="4"/>
        <v>3.8011764705882358</v>
      </c>
      <c r="F19" s="87">
        <f t="shared" si="4"/>
        <v>5.7017647058823542</v>
      </c>
      <c r="G19" s="87">
        <f t="shared" si="4"/>
        <v>7.6023529411764716</v>
      </c>
      <c r="H19" s="87">
        <f t="shared" si="4"/>
        <v>9.5029411764705891</v>
      </c>
      <c r="I19" s="87">
        <f t="shared" si="4"/>
        <v>11.403529411764707</v>
      </c>
      <c r="J19" s="87">
        <f t="shared" si="4"/>
        <v>13.304117647058824</v>
      </c>
      <c r="K19" s="87">
        <f t="shared" si="4"/>
        <v>15.204705882352942</v>
      </c>
      <c r="L19" s="87"/>
      <c r="M19" s="87">
        <f t="shared" si="4"/>
        <v>17.105294117647059</v>
      </c>
      <c r="N19" s="87">
        <f t="shared" si="4"/>
        <v>19.005882352941175</v>
      </c>
      <c r="O19" s="87">
        <f t="shared" si="4"/>
        <v>20.906470588235294</v>
      </c>
      <c r="P19" s="87">
        <f t="shared" si="4"/>
        <v>22.807058823529413</v>
      </c>
      <c r="Q19" s="87">
        <f t="shared" si="4"/>
        <v>24.707647058823532</v>
      </c>
      <c r="R19" s="87">
        <f t="shared" si="4"/>
        <v>26.608235294117652</v>
      </c>
      <c r="S19" s="87">
        <f t="shared" si="4"/>
        <v>28.508823529411771</v>
      </c>
      <c r="T19" s="87">
        <f t="shared" si="4"/>
        <v>30.40941176470589</v>
      </c>
      <c r="U19" s="87">
        <f t="shared" si="4"/>
        <v>32.310000000000009</v>
      </c>
      <c r="V19" s="87">
        <f t="shared" si="4"/>
        <v>34.210588235294132</v>
      </c>
      <c r="W19" s="87">
        <f t="shared" si="4"/>
        <v>36.111176470588248</v>
      </c>
      <c r="X19" s="87">
        <f t="shared" si="4"/>
        <v>38.011764705882364</v>
      </c>
      <c r="Y19" s="87">
        <f t="shared" si="4"/>
        <v>39.912352941176486</v>
      </c>
      <c r="Z19" s="87">
        <f t="shared" si="4"/>
        <v>41.812941176470602</v>
      </c>
      <c r="AA19" s="87">
        <f t="shared" si="4"/>
        <v>43.713529411764725</v>
      </c>
      <c r="AB19" s="87">
        <f t="shared" si="4"/>
        <v>45.614117647058841</v>
      </c>
      <c r="AC19" s="87">
        <f t="shared" si="4"/>
        <v>47.514705882352963</v>
      </c>
      <c r="AD19" s="87">
        <f t="shared" si="4"/>
        <v>49.415294117647079</v>
      </c>
      <c r="AE19" s="87">
        <f t="shared" si="4"/>
        <v>51.315882352941202</v>
      </c>
      <c r="AF19" s="87">
        <f t="shared" si="4"/>
        <v>53.216470588235318</v>
      </c>
      <c r="AG19" s="87">
        <f t="shared" si="4"/>
        <v>55.11705882352944</v>
      </c>
      <c r="AH19" s="87">
        <f t="shared" si="4"/>
        <v>57.017647058823563</v>
      </c>
      <c r="AI19" s="87">
        <f t="shared" si="4"/>
        <v>58.918235294117679</v>
      </c>
      <c r="AJ19" s="87">
        <f t="shared" si="5"/>
        <v>60.818823529411802</v>
      </c>
      <c r="AK19" s="87">
        <v>64.62</v>
      </c>
    </row>
    <row r="20" spans="1:37" s="7" customFormat="1" ht="16.5" x14ac:dyDescent="0.3">
      <c r="A20" s="6" t="s">
        <v>66</v>
      </c>
      <c r="B20" s="41" t="s">
        <v>51</v>
      </c>
      <c r="C20" s="85"/>
      <c r="D20" s="87">
        <f t="shared" si="4"/>
        <v>1.9005882352941179</v>
      </c>
      <c r="E20" s="87">
        <f t="shared" si="4"/>
        <v>3.8011764705882358</v>
      </c>
      <c r="F20" s="87">
        <f t="shared" si="4"/>
        <v>5.7017647058823542</v>
      </c>
      <c r="G20" s="87">
        <f t="shared" si="4"/>
        <v>7.6023529411764716</v>
      </c>
      <c r="H20" s="87">
        <f t="shared" si="4"/>
        <v>9.5029411764705891</v>
      </c>
      <c r="I20" s="87">
        <f t="shared" si="4"/>
        <v>11.403529411764707</v>
      </c>
      <c r="J20" s="87">
        <f t="shared" si="4"/>
        <v>13.304117647058824</v>
      </c>
      <c r="K20" s="87">
        <f t="shared" si="4"/>
        <v>15.204705882352942</v>
      </c>
      <c r="L20" s="87"/>
      <c r="M20" s="87">
        <f t="shared" si="4"/>
        <v>17.105294117647059</v>
      </c>
      <c r="N20" s="87">
        <f t="shared" si="4"/>
        <v>19.005882352941175</v>
      </c>
      <c r="O20" s="87">
        <f t="shared" si="4"/>
        <v>20.906470588235294</v>
      </c>
      <c r="P20" s="87">
        <f t="shared" si="4"/>
        <v>22.807058823529413</v>
      </c>
      <c r="Q20" s="87">
        <f t="shared" si="4"/>
        <v>24.707647058823532</v>
      </c>
      <c r="R20" s="87">
        <f t="shared" si="4"/>
        <v>26.608235294117652</v>
      </c>
      <c r="S20" s="87">
        <f t="shared" si="4"/>
        <v>28.508823529411771</v>
      </c>
      <c r="T20" s="87">
        <f t="shared" si="4"/>
        <v>30.40941176470589</v>
      </c>
      <c r="U20" s="87">
        <f t="shared" si="4"/>
        <v>32.310000000000009</v>
      </c>
      <c r="V20" s="87">
        <f t="shared" si="4"/>
        <v>34.210588235294132</v>
      </c>
      <c r="W20" s="87">
        <f t="shared" si="4"/>
        <v>36.111176470588248</v>
      </c>
      <c r="X20" s="87">
        <f t="shared" si="4"/>
        <v>38.011764705882364</v>
      </c>
      <c r="Y20" s="87">
        <f t="shared" si="4"/>
        <v>39.912352941176486</v>
      </c>
      <c r="Z20" s="87">
        <f t="shared" si="4"/>
        <v>41.812941176470602</v>
      </c>
      <c r="AA20" s="87">
        <f t="shared" si="4"/>
        <v>43.713529411764725</v>
      </c>
      <c r="AB20" s="87">
        <f t="shared" si="4"/>
        <v>45.614117647058841</v>
      </c>
      <c r="AC20" s="87">
        <f t="shared" si="4"/>
        <v>47.514705882352963</v>
      </c>
      <c r="AD20" s="87">
        <f t="shared" si="4"/>
        <v>49.415294117647079</v>
      </c>
      <c r="AE20" s="87">
        <f t="shared" si="4"/>
        <v>51.315882352941202</v>
      </c>
      <c r="AF20" s="87">
        <f t="shared" si="4"/>
        <v>53.216470588235318</v>
      </c>
      <c r="AG20" s="87">
        <f t="shared" si="4"/>
        <v>55.11705882352944</v>
      </c>
      <c r="AH20" s="87">
        <f t="shared" si="4"/>
        <v>57.017647058823563</v>
      </c>
      <c r="AI20" s="87">
        <f t="shared" si="4"/>
        <v>58.918235294117679</v>
      </c>
      <c r="AJ20" s="87">
        <f t="shared" si="5"/>
        <v>60.818823529411802</v>
      </c>
      <c r="AK20" s="87">
        <v>64.62</v>
      </c>
    </row>
    <row r="21" spans="1:37" s="7" customFormat="1" ht="16.5" x14ac:dyDescent="0.3">
      <c r="A21" s="6" t="s">
        <v>66</v>
      </c>
      <c r="B21" s="41" t="s">
        <v>52</v>
      </c>
      <c r="C21" s="85"/>
      <c r="D21" s="87">
        <f t="shared" si="4"/>
        <v>2.8067647058823533</v>
      </c>
      <c r="E21" s="87">
        <f t="shared" si="4"/>
        <v>5.6135294117647065</v>
      </c>
      <c r="F21" s="87">
        <f t="shared" si="4"/>
        <v>8.4202941176470603</v>
      </c>
      <c r="G21" s="87">
        <f t="shared" si="4"/>
        <v>11.227058823529413</v>
      </c>
      <c r="H21" s="87">
        <f t="shared" si="4"/>
        <v>14.033823529411766</v>
      </c>
      <c r="I21" s="87">
        <f t="shared" si="4"/>
        <v>16.840588235294117</v>
      </c>
      <c r="J21" s="87">
        <f t="shared" si="4"/>
        <v>19.647352941176472</v>
      </c>
      <c r="K21" s="87">
        <f t="shared" si="4"/>
        <v>22.454117647058823</v>
      </c>
      <c r="L21" s="87"/>
      <c r="M21" s="87">
        <f t="shared" si="4"/>
        <v>25.260882352941177</v>
      </c>
      <c r="N21" s="87">
        <f t="shared" si="4"/>
        <v>28.067647058823528</v>
      </c>
      <c r="O21" s="87">
        <f t="shared" si="4"/>
        <v>30.874411764705883</v>
      </c>
      <c r="P21" s="87">
        <f t="shared" si="4"/>
        <v>33.681176470588234</v>
      </c>
      <c r="Q21" s="87">
        <f t="shared" si="4"/>
        <v>36.487941176470592</v>
      </c>
      <c r="R21" s="87">
        <f t="shared" si="4"/>
        <v>39.29470588235295</v>
      </c>
      <c r="S21" s="87">
        <f t="shared" si="4"/>
        <v>42.101470588235301</v>
      </c>
      <c r="T21" s="87">
        <f t="shared" si="4"/>
        <v>44.908235294117659</v>
      </c>
      <c r="U21" s="87">
        <f t="shared" si="4"/>
        <v>47.715000000000018</v>
      </c>
      <c r="V21" s="87">
        <f t="shared" si="4"/>
        <v>50.521764705882369</v>
      </c>
      <c r="W21" s="87">
        <f t="shared" si="4"/>
        <v>53.328529411764727</v>
      </c>
      <c r="X21" s="87">
        <f t="shared" si="4"/>
        <v>56.135294117647078</v>
      </c>
      <c r="Y21" s="87">
        <f t="shared" si="4"/>
        <v>58.942058823529429</v>
      </c>
      <c r="Z21" s="87">
        <f t="shared" si="4"/>
        <v>61.748823529411787</v>
      </c>
      <c r="AA21" s="87">
        <f t="shared" si="4"/>
        <v>64.555588235294138</v>
      </c>
      <c r="AB21" s="87">
        <f t="shared" si="4"/>
        <v>67.362352941176496</v>
      </c>
      <c r="AC21" s="87">
        <f t="shared" si="4"/>
        <v>70.169117647058854</v>
      </c>
      <c r="AD21" s="87">
        <f t="shared" si="4"/>
        <v>72.975882352941213</v>
      </c>
      <c r="AE21" s="87">
        <f t="shared" si="4"/>
        <v>75.782647058823571</v>
      </c>
      <c r="AF21" s="87">
        <f t="shared" si="4"/>
        <v>78.589411764705915</v>
      </c>
      <c r="AG21" s="87">
        <f t="shared" si="4"/>
        <v>81.396176470588273</v>
      </c>
      <c r="AH21" s="87">
        <f t="shared" si="4"/>
        <v>84.202941176470631</v>
      </c>
      <c r="AI21" s="87">
        <f t="shared" si="4"/>
        <v>87.009705882352989</v>
      </c>
      <c r="AJ21" s="87">
        <f t="shared" si="5"/>
        <v>89.816470588235347</v>
      </c>
      <c r="AK21" s="87">
        <v>95.43</v>
      </c>
    </row>
    <row r="22" spans="1:37" s="7" customFormat="1" ht="16.5" x14ac:dyDescent="0.3">
      <c r="A22" s="6" t="s">
        <v>66</v>
      </c>
      <c r="B22" s="41" t="s">
        <v>53</v>
      </c>
      <c r="C22" s="85"/>
      <c r="D22" s="87">
        <f t="shared" si="4"/>
        <v>2.4767647058823528</v>
      </c>
      <c r="E22" s="87">
        <f t="shared" si="4"/>
        <v>4.9535294117647055</v>
      </c>
      <c r="F22" s="87">
        <f t="shared" si="4"/>
        <v>7.4302941176470592</v>
      </c>
      <c r="G22" s="87">
        <f t="shared" si="4"/>
        <v>9.907058823529411</v>
      </c>
      <c r="H22" s="87">
        <f t="shared" si="4"/>
        <v>12.383823529411764</v>
      </c>
      <c r="I22" s="87">
        <f t="shared" si="4"/>
        <v>14.860588235294117</v>
      </c>
      <c r="J22" s="87">
        <f t="shared" si="4"/>
        <v>17.337352941176469</v>
      </c>
      <c r="K22" s="87">
        <f t="shared" si="4"/>
        <v>19.814117647058822</v>
      </c>
      <c r="L22" s="87"/>
      <c r="M22" s="87">
        <f t="shared" si="4"/>
        <v>22.290882352941171</v>
      </c>
      <c r="N22" s="87">
        <f t="shared" si="4"/>
        <v>24.767647058823524</v>
      </c>
      <c r="O22" s="87">
        <f t="shared" si="4"/>
        <v>27.244411764705877</v>
      </c>
      <c r="P22" s="87">
        <f t="shared" si="4"/>
        <v>29.721176470588233</v>
      </c>
      <c r="Q22" s="87">
        <f t="shared" si="4"/>
        <v>32.197941176470586</v>
      </c>
      <c r="R22" s="87">
        <f t="shared" si="4"/>
        <v>34.674705882352939</v>
      </c>
      <c r="S22" s="87">
        <f t="shared" si="4"/>
        <v>37.151470588235298</v>
      </c>
      <c r="T22" s="87">
        <f t="shared" si="4"/>
        <v>39.628235294117651</v>
      </c>
      <c r="U22" s="87">
        <f t="shared" si="4"/>
        <v>42.105000000000004</v>
      </c>
      <c r="V22" s="87">
        <f t="shared" si="4"/>
        <v>44.581764705882364</v>
      </c>
      <c r="W22" s="87">
        <f t="shared" si="4"/>
        <v>47.058529411764717</v>
      </c>
      <c r="X22" s="87">
        <f t="shared" si="4"/>
        <v>49.535294117647069</v>
      </c>
      <c r="Y22" s="87">
        <f t="shared" si="4"/>
        <v>52.012058823529422</v>
      </c>
      <c r="Z22" s="87">
        <f t="shared" si="4"/>
        <v>54.488823529411775</v>
      </c>
      <c r="AA22" s="87">
        <f t="shared" si="4"/>
        <v>56.965588235294128</v>
      </c>
      <c r="AB22" s="87">
        <f t="shared" si="4"/>
        <v>59.442352941176487</v>
      </c>
      <c r="AC22" s="87">
        <f t="shared" si="4"/>
        <v>61.91911764705884</v>
      </c>
      <c r="AD22" s="87">
        <f t="shared" si="4"/>
        <v>64.3958823529412</v>
      </c>
      <c r="AE22" s="87">
        <f t="shared" si="4"/>
        <v>66.872647058823546</v>
      </c>
      <c r="AF22" s="87">
        <f t="shared" si="4"/>
        <v>69.349411764705906</v>
      </c>
      <c r="AG22" s="87">
        <f t="shared" si="4"/>
        <v>71.826176470588265</v>
      </c>
      <c r="AH22" s="87">
        <f t="shared" si="4"/>
        <v>74.302941176470611</v>
      </c>
      <c r="AI22" s="87">
        <f t="shared" si="4"/>
        <v>76.779705882352971</v>
      </c>
      <c r="AJ22" s="87">
        <f t="shared" si="5"/>
        <v>79.256470588235331</v>
      </c>
      <c r="AK22" s="87">
        <v>84.21</v>
      </c>
    </row>
    <row r="23" spans="1:37" s="76" customFormat="1" x14ac:dyDescent="0.25"/>
    <row r="24" spans="1:37" s="76" customFormat="1" x14ac:dyDescent="0.25"/>
    <row r="25" spans="1:37" s="76" customFormat="1" x14ac:dyDescent="0.25"/>
    <row r="26" spans="1:37" s="76" customFormat="1" x14ac:dyDescent="0.25"/>
    <row r="27" spans="1:37" s="76" customFormat="1" x14ac:dyDescent="0.25"/>
    <row r="28" spans="1:37" s="76" customFormat="1" x14ac:dyDescent="0.25"/>
    <row r="29" spans="1:37" s="76" customFormat="1" x14ac:dyDescent="0.25"/>
    <row r="30" spans="1:37" s="76" customFormat="1" ht="15" customHeight="1" x14ac:dyDescent="0.25"/>
    <row r="31" spans="1:37" s="76" customFormat="1" ht="15" customHeight="1" x14ac:dyDescent="0.25"/>
    <row r="32" spans="1:37" s="76" customFormat="1" ht="15" customHeight="1" x14ac:dyDescent="0.25"/>
    <row r="33" s="76" customFormat="1" ht="15" customHeight="1" x14ac:dyDescent="0.25"/>
    <row r="34" s="76" customFormat="1" ht="15" customHeight="1" x14ac:dyDescent="0.25"/>
    <row r="35" s="76" customFormat="1" x14ac:dyDescent="0.25"/>
    <row r="36" s="76" customFormat="1" x14ac:dyDescent="0.25"/>
  </sheetData>
  <mergeCells count="6">
    <mergeCell ref="L11:L14"/>
    <mergeCell ref="A1:A2"/>
    <mergeCell ref="B1:B2"/>
    <mergeCell ref="A11:A14"/>
    <mergeCell ref="B11:B14"/>
    <mergeCell ref="C11:C14"/>
  </mergeCells>
  <pageMargins left="0" right="0" top="0" bottom="0" header="0.31496062992125984" footer="0.31496062992125984"/>
  <pageSetup paperSize="9" scale="7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FAB3E-C2C2-48E9-9DC4-2BDF157E00DE}">
  <sheetPr>
    <tabColor rgb="FFFF0000"/>
  </sheetPr>
  <dimension ref="A1:AE87"/>
  <sheetViews>
    <sheetView zoomScale="90" zoomScaleNormal="90" workbookViewId="0">
      <selection activeCell="D20" sqref="D20"/>
    </sheetView>
  </sheetViews>
  <sheetFormatPr baseColWidth="10" defaultRowHeight="15" x14ac:dyDescent="0.25"/>
  <cols>
    <col min="1" max="2" width="1.85546875" customWidth="1"/>
    <col min="3" max="3" width="44" customWidth="1"/>
    <col min="5" max="5" width="12.28515625" customWidth="1"/>
    <col min="7" max="9" width="1.85546875" customWidth="1"/>
    <col min="10" max="10" width="24.5703125" bestFit="1" customWidth="1"/>
    <col min="14" max="16" width="1.85546875" customWidth="1"/>
    <col min="17" max="17" width="17.28515625" bestFit="1" customWidth="1"/>
    <col min="21" max="22" width="1.85546875" customWidth="1"/>
  </cols>
  <sheetData>
    <row r="1" spans="1:22" x14ac:dyDescent="0.25">
      <c r="A1" s="8"/>
      <c r="C1" s="9"/>
      <c r="H1" s="126"/>
      <c r="I1" s="100"/>
      <c r="O1" s="8"/>
      <c r="V1" s="8"/>
    </row>
    <row r="2" spans="1:22" x14ac:dyDescent="0.25">
      <c r="A2" s="8"/>
      <c r="B2" s="10"/>
      <c r="C2" s="53" t="s">
        <v>19</v>
      </c>
      <c r="D2" s="54"/>
      <c r="E2" s="54"/>
      <c r="F2" s="55"/>
      <c r="H2" s="8"/>
      <c r="I2" s="100"/>
      <c r="J2" s="38"/>
      <c r="K2" s="39" t="s">
        <v>20</v>
      </c>
      <c r="L2" s="39"/>
      <c r="M2" s="39"/>
      <c r="N2" s="10"/>
      <c r="O2" s="8"/>
      <c r="P2" s="10"/>
      <c r="Q2" s="101"/>
      <c r="R2" s="101"/>
      <c r="S2" s="101"/>
      <c r="T2" s="101"/>
      <c r="V2" s="8"/>
    </row>
    <row r="3" spans="1:22" ht="16.5" x14ac:dyDescent="0.3">
      <c r="A3" s="8"/>
      <c r="C3" s="11"/>
      <c r="F3" s="12"/>
      <c r="H3" s="8"/>
      <c r="I3" s="100"/>
      <c r="J3" s="56" t="s">
        <v>21</v>
      </c>
      <c r="K3" s="57"/>
      <c r="L3" s="58" t="s">
        <v>22</v>
      </c>
      <c r="M3" s="59"/>
      <c r="O3" s="8"/>
      <c r="Q3" s="102"/>
      <c r="R3" s="103"/>
      <c r="S3" s="103"/>
      <c r="T3" s="103"/>
      <c r="V3" s="8"/>
    </row>
    <row r="4" spans="1:22" ht="16.5" x14ac:dyDescent="0.3">
      <c r="A4" s="8"/>
      <c r="C4" s="13" t="s">
        <v>23</v>
      </c>
      <c r="D4" s="14">
        <v>44713</v>
      </c>
      <c r="E4" s="15" t="s">
        <v>24</v>
      </c>
      <c r="F4" s="16">
        <v>45077</v>
      </c>
      <c r="H4" s="8"/>
      <c r="I4" s="100"/>
      <c r="J4" s="17" t="s">
        <v>25</v>
      </c>
      <c r="K4" s="18">
        <v>19</v>
      </c>
      <c r="L4" s="60">
        <v>0.09</v>
      </c>
      <c r="M4" s="61"/>
      <c r="O4" s="8"/>
      <c r="Q4" s="104"/>
      <c r="R4" s="105"/>
      <c r="S4" s="106"/>
      <c r="T4" s="105"/>
      <c r="V4" s="8"/>
    </row>
    <row r="5" spans="1:22" x14ac:dyDescent="0.25">
      <c r="A5" s="8"/>
      <c r="C5" s="19"/>
      <c r="D5" s="20"/>
      <c r="E5" s="21"/>
      <c r="F5" s="22"/>
      <c r="H5" s="8"/>
      <c r="I5" s="100"/>
      <c r="O5" s="8"/>
      <c r="Q5" s="107"/>
      <c r="R5" s="107"/>
      <c r="S5" s="103"/>
      <c r="T5" s="103"/>
      <c r="V5" s="8"/>
    </row>
    <row r="6" spans="1:22" s="24" customFormat="1" ht="58.5" customHeight="1" x14ac:dyDescent="0.25">
      <c r="A6" s="23"/>
      <c r="C6" s="40" t="s">
        <v>26</v>
      </c>
      <c r="D6" s="25" t="s">
        <v>4</v>
      </c>
      <c r="E6" s="26" t="s">
        <v>27</v>
      </c>
      <c r="F6" s="26" t="s">
        <v>28</v>
      </c>
      <c r="G6" s="27"/>
      <c r="H6" s="23"/>
      <c r="I6" s="99"/>
      <c r="J6" s="28" t="s">
        <v>21</v>
      </c>
      <c r="K6" s="28" t="s">
        <v>29</v>
      </c>
      <c r="L6" s="28" t="s">
        <v>24</v>
      </c>
      <c r="M6" s="28" t="s">
        <v>22</v>
      </c>
      <c r="N6" s="27"/>
      <c r="O6" s="23"/>
      <c r="P6" s="99"/>
      <c r="Q6" s="108"/>
      <c r="R6" s="109"/>
      <c r="S6" s="109"/>
      <c r="T6" s="109"/>
      <c r="U6" s="27"/>
      <c r="V6" s="23"/>
    </row>
    <row r="7" spans="1:22" x14ac:dyDescent="0.25">
      <c r="A7" s="8"/>
      <c r="C7" s="29" t="s">
        <v>30</v>
      </c>
      <c r="D7" s="30" t="s">
        <v>5</v>
      </c>
      <c r="E7" s="97">
        <v>150</v>
      </c>
      <c r="F7" s="31" t="s">
        <v>31</v>
      </c>
      <c r="G7" s="12"/>
      <c r="H7" s="8"/>
      <c r="I7" s="100"/>
      <c r="J7" s="114">
        <v>1</v>
      </c>
      <c r="K7" s="118">
        <v>0</v>
      </c>
      <c r="L7" s="118">
        <v>120.5</v>
      </c>
      <c r="M7" s="115">
        <v>0</v>
      </c>
      <c r="N7" s="12"/>
      <c r="O7" s="8"/>
      <c r="P7" s="100"/>
      <c r="Q7" s="110"/>
      <c r="R7" s="111"/>
      <c r="S7" s="112"/>
      <c r="T7" s="112"/>
      <c r="U7" s="12"/>
      <c r="V7" s="8"/>
    </row>
    <row r="8" spans="1:22" x14ac:dyDescent="0.25">
      <c r="A8" s="8"/>
      <c r="C8" s="29" t="s">
        <v>32</v>
      </c>
      <c r="D8" s="30" t="s">
        <v>5</v>
      </c>
      <c r="E8" s="97">
        <v>150</v>
      </c>
      <c r="F8" s="31" t="s">
        <v>33</v>
      </c>
      <c r="G8" s="12"/>
      <c r="H8" s="8"/>
      <c r="I8" s="100"/>
      <c r="J8" s="114">
        <v>2</v>
      </c>
      <c r="K8" s="118">
        <v>120.51</v>
      </c>
      <c r="L8" s="118">
        <v>123</v>
      </c>
      <c r="M8" s="116">
        <v>5.0000000000000001E-3</v>
      </c>
      <c r="N8" s="12"/>
      <c r="O8" s="8"/>
      <c r="P8" s="100"/>
      <c r="Q8" s="110"/>
      <c r="R8" s="111"/>
      <c r="S8" s="112"/>
      <c r="T8" s="112"/>
      <c r="U8" s="12"/>
      <c r="V8" s="8"/>
    </row>
    <row r="9" spans="1:22" x14ac:dyDescent="0.25">
      <c r="A9" s="8"/>
      <c r="C9" s="29" t="s">
        <v>76</v>
      </c>
      <c r="D9" s="30" t="s">
        <v>5</v>
      </c>
      <c r="E9" s="97">
        <v>25</v>
      </c>
      <c r="F9" s="31" t="s">
        <v>34</v>
      </c>
      <c r="G9" s="12"/>
      <c r="H9" s="8"/>
      <c r="I9" s="100"/>
      <c r="J9" s="114">
        <v>3</v>
      </c>
      <c r="K9" s="118">
        <v>123.01</v>
      </c>
      <c r="L9" s="118">
        <v>125.49999999999999</v>
      </c>
      <c r="M9" s="116">
        <v>0.01</v>
      </c>
      <c r="N9" s="12"/>
      <c r="O9" s="8"/>
      <c r="P9" s="100"/>
      <c r="Q9" s="110"/>
      <c r="R9" s="111"/>
      <c r="S9" s="112"/>
      <c r="T9" s="112"/>
      <c r="U9" s="12"/>
      <c r="V9" s="8"/>
    </row>
    <row r="10" spans="1:22" x14ac:dyDescent="0.25">
      <c r="A10" s="8"/>
      <c r="C10" s="29" t="s">
        <v>36</v>
      </c>
      <c r="D10" s="30" t="s">
        <v>5</v>
      </c>
      <c r="E10" s="97">
        <v>25</v>
      </c>
      <c r="F10" s="31" t="s">
        <v>34</v>
      </c>
      <c r="G10" s="12"/>
      <c r="H10" s="8"/>
      <c r="I10" s="100"/>
      <c r="J10" s="114">
        <v>4</v>
      </c>
      <c r="K10" s="118">
        <v>125.50999999999999</v>
      </c>
      <c r="L10" s="118">
        <v>127.99999999999999</v>
      </c>
      <c r="M10" s="116">
        <v>1.4999999999999999E-2</v>
      </c>
      <c r="N10" s="12"/>
      <c r="O10" s="8"/>
      <c r="P10" s="100"/>
      <c r="Q10" s="110"/>
      <c r="R10" s="112"/>
      <c r="S10" s="112"/>
      <c r="T10" s="112"/>
      <c r="U10" s="12"/>
      <c r="V10" s="8"/>
    </row>
    <row r="11" spans="1:22" x14ac:dyDescent="0.25">
      <c r="A11" s="8"/>
      <c r="C11" s="29" t="s">
        <v>37</v>
      </c>
      <c r="D11" s="30" t="s">
        <v>5</v>
      </c>
      <c r="E11" s="97">
        <v>37.5</v>
      </c>
      <c r="F11" s="31" t="s">
        <v>34</v>
      </c>
      <c r="G11" s="12"/>
      <c r="H11" s="8"/>
      <c r="I11" s="100"/>
      <c r="J11" s="114">
        <v>5</v>
      </c>
      <c r="K11" s="118">
        <v>128.01</v>
      </c>
      <c r="L11" s="118">
        <v>130.49999999999997</v>
      </c>
      <c r="M11" s="116">
        <v>0.02</v>
      </c>
      <c r="N11" s="12"/>
      <c r="O11" s="8"/>
      <c r="P11" s="100"/>
      <c r="Q11" s="110"/>
      <c r="R11" s="112"/>
      <c r="S11" s="112"/>
      <c r="T11" s="112"/>
      <c r="U11" s="12"/>
      <c r="V11" s="8"/>
    </row>
    <row r="12" spans="1:22" x14ac:dyDescent="0.25">
      <c r="A12" s="8"/>
      <c r="C12" s="29" t="s">
        <v>38</v>
      </c>
      <c r="D12" s="30" t="s">
        <v>5</v>
      </c>
      <c r="E12" s="97">
        <v>75</v>
      </c>
      <c r="F12" s="31" t="s">
        <v>34</v>
      </c>
      <c r="G12" s="12"/>
      <c r="H12" s="8"/>
      <c r="I12" s="100"/>
      <c r="J12" s="114">
        <v>6</v>
      </c>
      <c r="K12" s="118">
        <v>130.50999999999996</v>
      </c>
      <c r="L12" s="118">
        <v>132.99999999999997</v>
      </c>
      <c r="M12" s="116">
        <v>2.5000000000000001E-2</v>
      </c>
      <c r="N12" s="12"/>
      <c r="O12" s="8"/>
      <c r="P12" s="100"/>
      <c r="Q12" s="110"/>
      <c r="R12" s="112"/>
      <c r="S12" s="112"/>
      <c r="T12" s="112"/>
      <c r="U12" s="12"/>
      <c r="V12" s="8"/>
    </row>
    <row r="13" spans="1:22" x14ac:dyDescent="0.25">
      <c r="A13" s="8"/>
      <c r="C13" s="29" t="s">
        <v>39</v>
      </c>
      <c r="D13" s="30" t="s">
        <v>5</v>
      </c>
      <c r="E13" s="97">
        <v>55</v>
      </c>
      <c r="F13" s="31" t="s">
        <v>34</v>
      </c>
      <c r="G13" s="12"/>
      <c r="H13" s="8"/>
      <c r="I13" s="100"/>
      <c r="J13" s="114">
        <v>7</v>
      </c>
      <c r="K13" s="118">
        <v>133.00999999999996</v>
      </c>
      <c r="L13" s="118">
        <v>135.49999999999994</v>
      </c>
      <c r="M13" s="116">
        <v>0.03</v>
      </c>
      <c r="N13" s="12"/>
      <c r="O13" s="8"/>
      <c r="P13" s="100"/>
      <c r="Q13" s="110"/>
      <c r="R13" s="112"/>
      <c r="S13" s="112"/>
      <c r="T13" s="112"/>
      <c r="U13" s="12"/>
      <c r="V13" s="8"/>
    </row>
    <row r="14" spans="1:22" x14ac:dyDescent="0.25">
      <c r="A14" s="8"/>
      <c r="C14" s="29" t="s">
        <v>40</v>
      </c>
      <c r="D14" s="30" t="s">
        <v>5</v>
      </c>
      <c r="E14" s="97">
        <v>65</v>
      </c>
      <c r="F14" s="31" t="s">
        <v>34</v>
      </c>
      <c r="G14" s="12"/>
      <c r="H14" s="8"/>
      <c r="I14" s="100"/>
      <c r="J14" s="114">
        <v>8</v>
      </c>
      <c r="K14" s="118">
        <v>135.50999999999993</v>
      </c>
      <c r="L14" s="118">
        <v>137.99999999999994</v>
      </c>
      <c r="M14" s="115">
        <v>3.5000000000000003E-2</v>
      </c>
      <c r="N14" s="12"/>
      <c r="O14" s="8"/>
      <c r="P14" s="100"/>
      <c r="Q14" s="110"/>
      <c r="R14" s="112"/>
      <c r="S14" s="112"/>
      <c r="T14" s="112"/>
      <c r="U14" s="12"/>
      <c r="V14" s="8"/>
    </row>
    <row r="15" spans="1:22" ht="14.25" customHeight="1" x14ac:dyDescent="0.25">
      <c r="A15" s="8"/>
      <c r="C15" s="29" t="s">
        <v>41</v>
      </c>
      <c r="D15" s="30" t="s">
        <v>5</v>
      </c>
      <c r="E15" s="97">
        <v>7.5</v>
      </c>
      <c r="F15" s="31" t="s">
        <v>34</v>
      </c>
      <c r="G15" s="12"/>
      <c r="H15" s="8"/>
      <c r="I15" s="100"/>
      <c r="J15" s="114">
        <v>9</v>
      </c>
      <c r="K15" s="118">
        <v>138.00999999999993</v>
      </c>
      <c r="L15" s="118">
        <v>140.49999999999994</v>
      </c>
      <c r="M15" s="116">
        <v>0.04</v>
      </c>
      <c r="N15" s="12"/>
      <c r="O15" s="8"/>
      <c r="P15" s="100"/>
      <c r="Q15" s="110"/>
      <c r="R15" s="112"/>
      <c r="S15" s="112"/>
      <c r="T15" s="112"/>
      <c r="U15" s="12"/>
      <c r="V15" s="8"/>
    </row>
    <row r="16" spans="1:22" x14ac:dyDescent="0.25">
      <c r="A16" s="8"/>
      <c r="C16" s="29" t="s">
        <v>42</v>
      </c>
      <c r="D16" s="30" t="s">
        <v>5</v>
      </c>
      <c r="E16" s="97">
        <v>60</v>
      </c>
      <c r="F16" s="31" t="s">
        <v>43</v>
      </c>
      <c r="G16" s="12"/>
      <c r="H16" s="8"/>
      <c r="I16" s="100"/>
      <c r="J16" s="114">
        <v>10</v>
      </c>
      <c r="K16" s="118">
        <v>140.50999999999993</v>
      </c>
      <c r="L16" s="118">
        <v>142.99999999999991</v>
      </c>
      <c r="M16" s="116">
        <v>4.4999999999999998E-2</v>
      </c>
      <c r="N16" s="12"/>
      <c r="O16" s="8"/>
      <c r="P16" s="100"/>
      <c r="Q16" s="110"/>
      <c r="R16" s="112"/>
      <c r="S16" s="112"/>
      <c r="T16" s="112"/>
      <c r="U16" s="12"/>
      <c r="V16" s="8"/>
    </row>
    <row r="17" spans="1:22" x14ac:dyDescent="0.25">
      <c r="A17" s="8"/>
      <c r="C17" s="29" t="s">
        <v>44</v>
      </c>
      <c r="D17" s="30" t="s">
        <v>5</v>
      </c>
      <c r="E17" s="97">
        <v>150</v>
      </c>
      <c r="F17" s="31" t="s">
        <v>43</v>
      </c>
      <c r="G17" s="12"/>
      <c r="H17" s="8"/>
      <c r="I17" s="100"/>
      <c r="J17" s="114">
        <v>11</v>
      </c>
      <c r="K17" s="118">
        <v>143.00999999999991</v>
      </c>
      <c r="L17" s="118">
        <v>145.49999999999991</v>
      </c>
      <c r="M17" s="115">
        <v>0.05</v>
      </c>
      <c r="N17" s="12"/>
      <c r="O17" s="8"/>
      <c r="P17" s="100"/>
      <c r="Q17" s="110"/>
      <c r="R17" s="112"/>
      <c r="S17" s="112"/>
      <c r="T17" s="112"/>
      <c r="U17" s="12"/>
      <c r="V17" s="8"/>
    </row>
    <row r="18" spans="1:22" x14ac:dyDescent="0.25">
      <c r="A18" s="8"/>
      <c r="C18" s="29" t="s">
        <v>35</v>
      </c>
      <c r="D18" s="30" t="s">
        <v>5</v>
      </c>
      <c r="E18" s="98" t="s">
        <v>78</v>
      </c>
      <c r="F18" s="97" t="s">
        <v>77</v>
      </c>
      <c r="G18" s="12"/>
      <c r="H18" s="8"/>
      <c r="I18" s="100"/>
      <c r="J18" s="114">
        <v>12</v>
      </c>
      <c r="K18" s="118">
        <v>145.50999999999991</v>
      </c>
      <c r="L18" s="119">
        <v>147.99999999999991</v>
      </c>
      <c r="M18" s="117">
        <v>5.5E-2</v>
      </c>
      <c r="N18" s="12"/>
      <c r="O18" s="8"/>
      <c r="P18" s="100"/>
      <c r="Q18" s="110"/>
      <c r="R18" s="112"/>
      <c r="S18" s="112"/>
      <c r="T18" s="112"/>
      <c r="U18" s="12"/>
      <c r="V18" s="8"/>
    </row>
    <row r="19" spans="1:22" x14ac:dyDescent="0.25">
      <c r="A19" s="8"/>
      <c r="C19" s="29" t="s">
        <v>79</v>
      </c>
      <c r="D19" s="30" t="s">
        <v>5</v>
      </c>
      <c r="E19" s="97">
        <v>25</v>
      </c>
      <c r="F19" s="31" t="s">
        <v>34</v>
      </c>
      <c r="G19" s="12"/>
      <c r="H19" s="8"/>
      <c r="I19" s="100"/>
      <c r="J19" s="114">
        <v>13</v>
      </c>
      <c r="K19" s="118">
        <v>148.00999999999991</v>
      </c>
      <c r="L19" s="118">
        <v>150.49999999999989</v>
      </c>
      <c r="M19" s="116">
        <v>0.06</v>
      </c>
      <c r="N19" s="12"/>
      <c r="O19" s="8"/>
      <c r="P19" s="100"/>
      <c r="Q19" s="110"/>
      <c r="R19" s="112"/>
      <c r="S19" s="112"/>
      <c r="T19" s="112"/>
      <c r="U19" s="12"/>
      <c r="V19" s="8"/>
    </row>
    <row r="20" spans="1:22" x14ac:dyDescent="0.25">
      <c r="A20" s="8"/>
      <c r="C20" s="154" t="s">
        <v>95</v>
      </c>
      <c r="D20" s="30" t="s">
        <v>5</v>
      </c>
      <c r="E20" s="97">
        <v>25</v>
      </c>
      <c r="F20" s="31" t="s">
        <v>96</v>
      </c>
      <c r="G20" s="12"/>
      <c r="H20" s="8"/>
      <c r="I20" s="100"/>
      <c r="J20" s="114">
        <v>14</v>
      </c>
      <c r="K20" s="118">
        <v>150.50999999999988</v>
      </c>
      <c r="L20" s="118">
        <v>152.99999999999989</v>
      </c>
      <c r="M20" s="116">
        <v>6.5000000000000002E-2</v>
      </c>
      <c r="N20" s="12"/>
      <c r="O20" s="8"/>
      <c r="P20" s="100"/>
      <c r="Q20" s="110"/>
      <c r="R20" s="112"/>
      <c r="S20" s="112"/>
      <c r="T20" s="112"/>
      <c r="U20" s="12"/>
      <c r="V20" s="8"/>
    </row>
    <row r="21" spans="1:22" x14ac:dyDescent="0.25">
      <c r="A21" s="8"/>
      <c r="C21" s="155"/>
      <c r="D21" s="156" t="s">
        <v>97</v>
      </c>
      <c r="E21" s="157"/>
      <c r="F21" s="158"/>
      <c r="G21" s="12"/>
      <c r="H21" s="8"/>
      <c r="I21" s="100"/>
      <c r="J21" s="114">
        <v>15</v>
      </c>
      <c r="K21" s="118">
        <v>153.00999999999988</v>
      </c>
      <c r="L21" s="118">
        <v>155.49999999999989</v>
      </c>
      <c r="M21" s="116">
        <v>7.0000000000000007E-2</v>
      </c>
      <c r="N21" s="12"/>
      <c r="O21" s="8"/>
      <c r="P21" s="100"/>
      <c r="Q21" s="110"/>
      <c r="R21" s="112"/>
      <c r="S21" s="112"/>
      <c r="T21" s="112"/>
      <c r="U21" s="12"/>
      <c r="V21" s="8"/>
    </row>
    <row r="22" spans="1:22" ht="16.5" customHeight="1" x14ac:dyDescent="0.25">
      <c r="A22" s="8"/>
      <c r="C22" s="29"/>
      <c r="D22" s="30" t="s">
        <v>5</v>
      </c>
      <c r="E22" s="97"/>
      <c r="F22" s="31"/>
      <c r="G22" s="12"/>
      <c r="H22" s="8"/>
      <c r="I22" s="100"/>
      <c r="J22" s="114">
        <v>16</v>
      </c>
      <c r="K22" s="118">
        <v>155.50999999999988</v>
      </c>
      <c r="L22" s="118">
        <v>157.99999999999989</v>
      </c>
      <c r="M22" s="116">
        <v>7.4999999999999997E-2</v>
      </c>
      <c r="N22" s="12"/>
      <c r="O22" s="8"/>
      <c r="P22" s="100"/>
      <c r="Q22" s="110"/>
      <c r="R22" s="112"/>
      <c r="S22" s="112"/>
      <c r="T22" s="112"/>
      <c r="U22" s="12"/>
      <c r="V22" s="8"/>
    </row>
    <row r="23" spans="1:22" x14ac:dyDescent="0.25">
      <c r="A23" s="8"/>
      <c r="C23" s="29"/>
      <c r="D23" s="30" t="s">
        <v>5</v>
      </c>
      <c r="E23" s="31"/>
      <c r="F23" s="31"/>
      <c r="G23" s="12"/>
      <c r="H23" s="8"/>
      <c r="I23" s="100"/>
      <c r="J23" s="114">
        <v>17</v>
      </c>
      <c r="K23" s="118">
        <v>158.00999999999988</v>
      </c>
      <c r="L23" s="118">
        <v>160.49999999999986</v>
      </c>
      <c r="M23" s="116">
        <v>0.08</v>
      </c>
      <c r="N23" s="12"/>
      <c r="O23" s="8"/>
      <c r="P23" s="100"/>
      <c r="Q23" s="110"/>
      <c r="R23" s="112"/>
      <c r="S23" s="112"/>
      <c r="T23" s="112"/>
      <c r="U23" s="12"/>
      <c r="V23" s="8"/>
    </row>
    <row r="24" spans="1:22" x14ac:dyDescent="0.25">
      <c r="A24" s="8"/>
      <c r="G24" s="12"/>
      <c r="H24" s="8"/>
      <c r="I24" s="100"/>
      <c r="J24" s="114">
        <v>18</v>
      </c>
      <c r="K24" s="118">
        <v>160.50999999999985</v>
      </c>
      <c r="L24" s="118">
        <v>162.99999999999986</v>
      </c>
      <c r="M24" s="116">
        <v>8.5000000000000006E-2</v>
      </c>
      <c r="N24" s="12"/>
      <c r="O24" s="8"/>
      <c r="P24" s="100"/>
      <c r="Q24" s="110"/>
      <c r="R24" s="112"/>
      <c r="S24" s="112"/>
      <c r="T24" s="112"/>
      <c r="U24" s="12"/>
      <c r="V24" s="8"/>
    </row>
    <row r="25" spans="1:22" x14ac:dyDescent="0.25">
      <c r="A25" s="8"/>
      <c r="C25" s="9"/>
      <c r="G25" s="12"/>
      <c r="H25" s="8"/>
      <c r="I25" s="100"/>
      <c r="J25" s="122">
        <v>19</v>
      </c>
      <c r="K25" s="123">
        <v>163.00999999999985</v>
      </c>
      <c r="L25" s="123">
        <v>165.49999999999986</v>
      </c>
      <c r="M25" s="124">
        <v>0.09</v>
      </c>
      <c r="N25" s="12"/>
      <c r="O25" s="8"/>
      <c r="P25" s="100"/>
      <c r="Q25" s="110"/>
      <c r="R25" s="112"/>
      <c r="S25" s="112"/>
      <c r="T25" s="112"/>
      <c r="U25" s="12"/>
      <c r="V25" s="8"/>
    </row>
    <row r="26" spans="1:22" x14ac:dyDescent="0.25">
      <c r="A26" s="8"/>
      <c r="C26" s="9"/>
      <c r="G26" s="12"/>
      <c r="H26" s="8"/>
      <c r="I26" s="100"/>
      <c r="J26" s="114">
        <v>20</v>
      </c>
      <c r="K26" s="118">
        <v>165.50999999999985</v>
      </c>
      <c r="L26" s="118">
        <v>167.99999999999983</v>
      </c>
      <c r="M26" s="116">
        <v>9.5000000000000001E-2</v>
      </c>
      <c r="N26" s="12"/>
      <c r="O26" s="8"/>
      <c r="P26" s="100"/>
      <c r="Q26" s="110"/>
      <c r="R26" s="112"/>
      <c r="S26" s="112"/>
      <c r="T26" s="112"/>
      <c r="U26" s="12"/>
      <c r="V26" s="8"/>
    </row>
    <row r="27" spans="1:22" x14ac:dyDescent="0.25">
      <c r="A27" s="8"/>
      <c r="C27" s="9"/>
      <c r="G27" s="12"/>
      <c r="H27" s="8"/>
      <c r="I27" s="100"/>
      <c r="J27" s="114">
        <v>21</v>
      </c>
      <c r="K27" s="118">
        <v>168.00999999999982</v>
      </c>
      <c r="L27" s="118">
        <v>170.49999999999983</v>
      </c>
      <c r="M27" s="116">
        <v>0.1</v>
      </c>
      <c r="N27" s="12"/>
      <c r="O27" s="8"/>
      <c r="P27" s="100"/>
      <c r="Q27" s="110"/>
      <c r="R27" s="112"/>
      <c r="S27" s="112"/>
      <c r="T27" s="112"/>
      <c r="U27" s="12"/>
      <c r="V27" s="8"/>
    </row>
    <row r="28" spans="1:22" x14ac:dyDescent="0.25">
      <c r="A28" s="8"/>
      <c r="C28" s="9"/>
      <c r="G28" s="12"/>
      <c r="H28" s="8"/>
      <c r="I28" s="100"/>
      <c r="J28" s="114">
        <v>22</v>
      </c>
      <c r="K28" s="118">
        <v>170.50999999999982</v>
      </c>
      <c r="L28" s="118">
        <v>172.99999999999983</v>
      </c>
      <c r="M28" s="116">
        <v>0.105</v>
      </c>
      <c r="N28" s="12"/>
      <c r="O28" s="8"/>
      <c r="P28" s="100"/>
      <c r="Q28" s="110"/>
      <c r="R28" s="112"/>
      <c r="S28" s="112"/>
      <c r="T28" s="112"/>
      <c r="U28" s="12"/>
      <c r="V28" s="8"/>
    </row>
    <row r="29" spans="1:22" x14ac:dyDescent="0.25">
      <c r="A29" s="8"/>
      <c r="C29" s="9"/>
      <c r="G29" s="12"/>
      <c r="H29" s="8"/>
      <c r="I29" s="100"/>
      <c r="J29" s="114">
        <v>23</v>
      </c>
      <c r="K29" s="118">
        <v>173.00999999999982</v>
      </c>
      <c r="L29" s="118">
        <v>175.4999999999998</v>
      </c>
      <c r="M29" s="116">
        <v>0.11</v>
      </c>
      <c r="N29" s="12"/>
      <c r="O29" s="8"/>
      <c r="P29" s="100"/>
      <c r="Q29" s="110"/>
      <c r="R29" s="112"/>
      <c r="S29" s="112"/>
      <c r="T29" s="112"/>
      <c r="U29" s="12"/>
      <c r="V29" s="8"/>
    </row>
    <row r="30" spans="1:22" x14ac:dyDescent="0.25">
      <c r="A30" s="8"/>
      <c r="C30" s="9"/>
      <c r="G30" s="12"/>
      <c r="H30" s="8"/>
      <c r="I30" s="100"/>
      <c r="J30" s="114">
        <v>24</v>
      </c>
      <c r="K30" s="118">
        <v>175.50999999999979</v>
      </c>
      <c r="L30" s="118">
        <v>177.9999999999998</v>
      </c>
      <c r="M30" s="116">
        <v>0.115</v>
      </c>
      <c r="N30" s="12"/>
      <c r="O30" s="8"/>
      <c r="P30" s="100"/>
      <c r="Q30" s="110"/>
      <c r="R30" s="112"/>
      <c r="S30" s="112"/>
      <c r="T30" s="112"/>
      <c r="U30" s="12"/>
      <c r="V30" s="8"/>
    </row>
    <row r="31" spans="1:22" x14ac:dyDescent="0.25">
      <c r="A31" s="8"/>
      <c r="C31" s="9"/>
      <c r="G31" s="12"/>
      <c r="H31" s="8"/>
      <c r="I31" s="100"/>
      <c r="J31" s="114">
        <v>25</v>
      </c>
      <c r="K31" s="118">
        <v>178.00999999999979</v>
      </c>
      <c r="L31" s="118">
        <v>180.4999999999998</v>
      </c>
      <c r="M31" s="116">
        <v>0.12</v>
      </c>
      <c r="N31" s="12"/>
      <c r="O31" s="8"/>
      <c r="P31" s="100"/>
      <c r="Q31" s="110"/>
      <c r="R31" s="112"/>
      <c r="S31" s="112"/>
      <c r="T31" s="112"/>
      <c r="U31" s="12"/>
      <c r="V31" s="8"/>
    </row>
    <row r="32" spans="1:22" x14ac:dyDescent="0.25">
      <c r="A32" s="8"/>
      <c r="C32" s="9"/>
      <c r="H32" s="8"/>
      <c r="I32" s="100"/>
      <c r="J32" s="114">
        <v>26</v>
      </c>
      <c r="K32" s="118">
        <v>180.50999999999979</v>
      </c>
      <c r="L32" s="118">
        <v>182.99999999999977</v>
      </c>
      <c r="M32" s="116">
        <v>0.125</v>
      </c>
      <c r="N32" s="12"/>
      <c r="O32" s="8"/>
      <c r="Q32" s="110"/>
      <c r="R32" s="112"/>
      <c r="S32" s="112"/>
      <c r="T32" s="112"/>
      <c r="V32" s="8"/>
    </row>
    <row r="33" spans="1:22" x14ac:dyDescent="0.25">
      <c r="A33" s="8"/>
      <c r="C33" s="9"/>
      <c r="H33" s="8"/>
      <c r="I33" s="100"/>
      <c r="J33" s="114">
        <v>27</v>
      </c>
      <c r="K33" s="118">
        <v>183.00999999999976</v>
      </c>
      <c r="L33" s="118">
        <v>185.49999999999977</v>
      </c>
      <c r="M33" s="116">
        <v>0.13</v>
      </c>
      <c r="N33" s="12"/>
      <c r="O33" s="8"/>
      <c r="Q33" s="110"/>
      <c r="R33" s="112"/>
      <c r="S33" s="112"/>
      <c r="T33" s="112"/>
      <c r="V33" s="8"/>
    </row>
    <row r="34" spans="1:22" ht="14.65" customHeight="1" x14ac:dyDescent="0.25">
      <c r="A34" s="8"/>
      <c r="C34" s="9"/>
      <c r="H34" s="8"/>
      <c r="I34" s="100"/>
      <c r="J34" s="114">
        <v>28</v>
      </c>
      <c r="K34" s="118">
        <v>185.50999999999976</v>
      </c>
      <c r="L34" s="118">
        <v>187.99999999999977</v>
      </c>
      <c r="M34" s="116">
        <v>0.13500000000000001</v>
      </c>
      <c r="N34" s="12"/>
      <c r="O34" s="8"/>
      <c r="V34" s="8"/>
    </row>
    <row r="35" spans="1:22" x14ac:dyDescent="0.25">
      <c r="A35" s="8"/>
      <c r="C35" s="9"/>
      <c r="H35" s="8"/>
      <c r="I35" s="100"/>
      <c r="J35" s="114">
        <v>29</v>
      </c>
      <c r="K35" s="118">
        <v>188.00999999999976</v>
      </c>
      <c r="L35" s="118">
        <v>190.49999999999977</v>
      </c>
      <c r="M35" s="116">
        <v>0.14000000000000001</v>
      </c>
      <c r="N35" s="12"/>
      <c r="O35" s="8"/>
      <c r="V35" s="8"/>
    </row>
    <row r="36" spans="1:22" x14ac:dyDescent="0.25">
      <c r="A36" s="8"/>
      <c r="C36" s="9"/>
      <c r="H36" s="8"/>
      <c r="I36" s="100"/>
      <c r="J36" s="114">
        <v>30</v>
      </c>
      <c r="K36" s="118">
        <v>190.50999999999976</v>
      </c>
      <c r="L36" s="118">
        <v>192.99999999999974</v>
      </c>
      <c r="M36" s="116">
        <v>0.14499999999999999</v>
      </c>
      <c r="N36" s="12"/>
      <c r="O36" s="8"/>
      <c r="V36" s="8"/>
    </row>
    <row r="37" spans="1:22" s="35" customFormat="1" x14ac:dyDescent="0.25">
      <c r="A37" s="125"/>
      <c r="H37" s="8"/>
      <c r="I37" s="100"/>
      <c r="J37" s="114">
        <v>31</v>
      </c>
      <c r="K37" s="118">
        <v>193.00999999999974</v>
      </c>
      <c r="L37" s="120">
        <v>195.49999999999974</v>
      </c>
      <c r="M37" s="116">
        <v>0.15</v>
      </c>
      <c r="N37" s="12"/>
      <c r="O37" s="8"/>
      <c r="V37" s="34"/>
    </row>
    <row r="38" spans="1:22" x14ac:dyDescent="0.25">
      <c r="A38" s="8"/>
      <c r="H38" s="8"/>
      <c r="I38" s="100"/>
      <c r="J38" s="114">
        <v>32</v>
      </c>
      <c r="K38" s="118">
        <v>195.50999999999974</v>
      </c>
      <c r="L38" s="118">
        <v>197.99999999999974</v>
      </c>
      <c r="M38" s="116">
        <v>0.155</v>
      </c>
      <c r="N38" s="12"/>
      <c r="O38" s="8"/>
    </row>
    <row r="39" spans="1:22" x14ac:dyDescent="0.25">
      <c r="A39" s="8"/>
      <c r="H39" s="8"/>
      <c r="I39" s="100"/>
      <c r="J39" s="114">
        <v>33</v>
      </c>
      <c r="K39" s="118">
        <v>198.00999999999974</v>
      </c>
      <c r="L39" s="118">
        <v>200.49999999999972</v>
      </c>
      <c r="M39" s="116">
        <v>0.16</v>
      </c>
      <c r="N39" s="12"/>
      <c r="O39" s="8"/>
    </row>
    <row r="40" spans="1:22" x14ac:dyDescent="0.25">
      <c r="A40" s="8"/>
      <c r="H40" s="8"/>
      <c r="I40" s="100"/>
      <c r="J40" s="114">
        <v>34</v>
      </c>
      <c r="K40" s="118">
        <v>200.50999999999971</v>
      </c>
      <c r="L40" s="118">
        <v>202.99999999999972</v>
      </c>
      <c r="M40" s="116">
        <v>0.16500000000000001</v>
      </c>
      <c r="N40" s="12"/>
      <c r="O40" s="8"/>
    </row>
    <row r="41" spans="1:22" x14ac:dyDescent="0.25">
      <c r="A41" s="8"/>
      <c r="H41" s="8"/>
      <c r="I41" s="100"/>
      <c r="J41" s="114">
        <v>35</v>
      </c>
      <c r="K41" s="118">
        <v>203.00999999999971</v>
      </c>
      <c r="L41" s="118">
        <v>205.49999999999972</v>
      </c>
      <c r="M41" s="116">
        <v>0.17</v>
      </c>
      <c r="N41" s="12"/>
      <c r="O41" s="8"/>
    </row>
    <row r="42" spans="1:22" x14ac:dyDescent="0.25">
      <c r="A42" s="8"/>
      <c r="H42" s="8"/>
      <c r="I42" s="100"/>
      <c r="J42" s="114">
        <v>36</v>
      </c>
      <c r="K42" s="118">
        <v>205.50999999999971</v>
      </c>
      <c r="L42" s="118">
        <v>207.99999999999969</v>
      </c>
      <c r="M42" s="116">
        <v>0.17499999999999999</v>
      </c>
      <c r="N42" s="12"/>
      <c r="O42" s="8"/>
    </row>
    <row r="43" spans="1:22" x14ac:dyDescent="0.25">
      <c r="A43" s="8"/>
      <c r="H43" s="8"/>
      <c r="I43" s="100"/>
      <c r="J43" s="114">
        <v>37</v>
      </c>
      <c r="K43" s="118">
        <v>208.00999999999968</v>
      </c>
      <c r="L43" s="121">
        <v>210.49999999999969</v>
      </c>
      <c r="M43" s="116">
        <v>0.18</v>
      </c>
      <c r="N43" s="12"/>
      <c r="O43" s="8"/>
    </row>
    <row r="44" spans="1:22" x14ac:dyDescent="0.25">
      <c r="A44" s="8"/>
      <c r="H44" s="8"/>
      <c r="I44" s="100"/>
      <c r="J44" s="114">
        <v>38</v>
      </c>
      <c r="K44" s="118">
        <v>210.50999999999968</v>
      </c>
      <c r="L44" s="121">
        <v>212.99999999999969</v>
      </c>
      <c r="M44" s="116">
        <v>0.185</v>
      </c>
      <c r="N44" s="12"/>
      <c r="O44" s="8"/>
    </row>
    <row r="45" spans="1:22" x14ac:dyDescent="0.25">
      <c r="A45" s="8"/>
      <c r="H45" s="8"/>
      <c r="I45" s="100"/>
      <c r="J45" s="114">
        <v>39</v>
      </c>
      <c r="K45" s="118">
        <v>213.00999999999968</v>
      </c>
      <c r="L45" s="121">
        <v>215.49999999999966</v>
      </c>
      <c r="M45" s="116">
        <v>0.19</v>
      </c>
      <c r="N45" s="12"/>
      <c r="O45" s="8"/>
    </row>
    <row r="46" spans="1:22" x14ac:dyDescent="0.25">
      <c r="A46" s="8"/>
      <c r="H46" s="8"/>
      <c r="I46" s="100"/>
      <c r="J46" s="114">
        <v>40</v>
      </c>
      <c r="K46" s="118">
        <v>215.50999999999965</v>
      </c>
      <c r="L46" s="121">
        <v>217.99999999999966</v>
      </c>
      <c r="M46" s="116">
        <v>0.19500000000000001</v>
      </c>
      <c r="O46" s="8"/>
    </row>
    <row r="47" spans="1:22" ht="16.5" customHeight="1" x14ac:dyDescent="0.25">
      <c r="A47" s="8"/>
      <c r="H47" s="8"/>
      <c r="I47" s="100"/>
      <c r="J47" s="114">
        <v>41</v>
      </c>
      <c r="K47" s="118">
        <v>218.00999999999965</v>
      </c>
      <c r="L47" s="121">
        <v>220.49999999999966</v>
      </c>
      <c r="M47" s="116">
        <v>0.2</v>
      </c>
      <c r="O47" s="8"/>
    </row>
    <row r="48" spans="1:22" x14ac:dyDescent="0.25">
      <c r="A48" s="8"/>
      <c r="H48" s="8"/>
      <c r="I48" s="100"/>
      <c r="J48" s="114">
        <v>42</v>
      </c>
      <c r="K48" s="118">
        <v>220.50999999999965</v>
      </c>
      <c r="L48" s="121">
        <v>222.99999999999963</v>
      </c>
      <c r="M48" s="116">
        <v>0.20499999999999999</v>
      </c>
      <c r="O48" s="8"/>
    </row>
    <row r="49" spans="1:31" ht="16.5" customHeight="1" x14ac:dyDescent="0.25">
      <c r="A49" s="8"/>
      <c r="H49" s="8"/>
      <c r="I49" s="100"/>
      <c r="J49" s="114">
        <v>43</v>
      </c>
      <c r="K49" s="118">
        <v>223.00999999999962</v>
      </c>
      <c r="L49" s="121">
        <v>225.49999999999963</v>
      </c>
      <c r="M49" s="116">
        <v>0.21</v>
      </c>
      <c r="O49" s="8"/>
    </row>
    <row r="50" spans="1:31" x14ac:dyDescent="0.25">
      <c r="A50" s="8"/>
      <c r="H50" s="8"/>
      <c r="I50" s="100"/>
      <c r="J50" s="114">
        <v>44</v>
      </c>
      <c r="K50" s="118">
        <v>225.50999999999962</v>
      </c>
      <c r="L50" s="121">
        <v>227.99999999999963</v>
      </c>
      <c r="M50" s="116">
        <v>0.215</v>
      </c>
      <c r="O50" s="8"/>
    </row>
    <row r="51" spans="1:31" x14ac:dyDescent="0.25">
      <c r="A51" s="8"/>
      <c r="H51" s="8"/>
      <c r="I51" s="100"/>
      <c r="J51" s="114">
        <v>45</v>
      </c>
      <c r="K51" s="118">
        <v>228.00999999999962</v>
      </c>
      <c r="L51" s="121">
        <v>230.4999999999996</v>
      </c>
      <c r="M51" s="116">
        <v>0.22</v>
      </c>
      <c r="O51" s="8"/>
    </row>
    <row r="52" spans="1:31" x14ac:dyDescent="0.25">
      <c r="A52" s="8"/>
      <c r="H52" s="8"/>
      <c r="I52" s="100"/>
      <c r="J52" s="114">
        <v>46</v>
      </c>
      <c r="K52" s="118">
        <v>230.50999999999959</v>
      </c>
      <c r="L52" s="121">
        <v>232.9999999999996</v>
      </c>
      <c r="M52" s="116">
        <v>0.22500000000000001</v>
      </c>
      <c r="O52" s="8"/>
      <c r="Y52" s="103"/>
      <c r="Z52" s="103"/>
      <c r="AA52" s="103"/>
      <c r="AB52" s="103"/>
      <c r="AC52" s="103"/>
      <c r="AD52" s="103"/>
      <c r="AE52" s="103"/>
    </row>
    <row r="53" spans="1:31" x14ac:dyDescent="0.25">
      <c r="A53" s="8"/>
      <c r="H53" s="8"/>
      <c r="I53" s="100"/>
      <c r="J53" s="114">
        <v>47</v>
      </c>
      <c r="K53" s="118">
        <v>233.00999999999959</v>
      </c>
      <c r="L53" s="121">
        <v>235.4999999999996</v>
      </c>
      <c r="M53" s="116">
        <v>0.23</v>
      </c>
      <c r="O53" s="8"/>
      <c r="Y53" s="103"/>
      <c r="Z53" s="103"/>
      <c r="AA53" s="103"/>
      <c r="AB53" s="103"/>
      <c r="AC53" s="103"/>
      <c r="AD53" s="103"/>
      <c r="AE53" s="103"/>
    </row>
    <row r="54" spans="1:31" x14ac:dyDescent="0.25">
      <c r="A54" s="8"/>
      <c r="H54" s="8"/>
      <c r="I54" s="100"/>
      <c r="J54" s="114">
        <v>48</v>
      </c>
      <c r="K54" s="118">
        <v>235.50999999999959</v>
      </c>
      <c r="L54" s="121">
        <v>237.9999999999996</v>
      </c>
      <c r="M54" s="116">
        <v>0.23499999999999999</v>
      </c>
      <c r="O54" s="8"/>
      <c r="Y54" s="127"/>
      <c r="Z54" s="127"/>
      <c r="AA54" s="127"/>
      <c r="AB54" s="127"/>
      <c r="AC54" s="127"/>
      <c r="AD54" s="127"/>
      <c r="AE54" s="103"/>
    </row>
    <row r="55" spans="1:31" x14ac:dyDescent="0.25">
      <c r="A55" s="8"/>
      <c r="H55" s="8"/>
      <c r="I55" s="100"/>
      <c r="J55" s="114">
        <v>49</v>
      </c>
      <c r="K55" s="118">
        <v>238.00999999999959</v>
      </c>
      <c r="L55" s="121">
        <v>240.49999999999957</v>
      </c>
      <c r="M55" s="116">
        <v>0.24</v>
      </c>
      <c r="O55" s="8"/>
      <c r="Y55" s="103"/>
      <c r="Z55" s="103"/>
      <c r="AA55" s="103"/>
      <c r="AB55" s="103"/>
      <c r="AC55" s="103"/>
      <c r="AD55" s="103"/>
      <c r="AE55" s="103"/>
    </row>
    <row r="56" spans="1:31" x14ac:dyDescent="0.25">
      <c r="A56" s="8"/>
      <c r="H56" s="8"/>
      <c r="I56" s="100"/>
      <c r="J56" s="114">
        <v>50</v>
      </c>
      <c r="K56" s="118">
        <v>240.50999999999956</v>
      </c>
      <c r="L56" s="121">
        <v>242.99999999999957</v>
      </c>
      <c r="M56" s="116">
        <v>0.245</v>
      </c>
      <c r="O56" s="8"/>
      <c r="Y56" s="103"/>
      <c r="Z56" s="103"/>
      <c r="AA56" s="103"/>
      <c r="AB56" s="103"/>
      <c r="AC56" s="103"/>
      <c r="AD56" s="103"/>
      <c r="AE56" s="103"/>
    </row>
    <row r="57" spans="1:31" x14ac:dyDescent="0.25">
      <c r="A57" s="8"/>
      <c r="H57" s="8"/>
      <c r="I57" s="100"/>
      <c r="J57" s="114">
        <v>51</v>
      </c>
      <c r="K57" s="118">
        <v>243.00999999999956</v>
      </c>
      <c r="L57" s="121">
        <v>245.49999999999957</v>
      </c>
      <c r="M57" s="116">
        <v>0.25</v>
      </c>
      <c r="O57" s="8"/>
      <c r="Y57" s="103"/>
      <c r="Z57" s="103"/>
      <c r="AA57" s="103"/>
      <c r="AB57" s="103"/>
      <c r="AC57" s="103"/>
      <c r="AD57" s="103"/>
      <c r="AE57" s="103"/>
    </row>
    <row r="58" spans="1:31" x14ac:dyDescent="0.25">
      <c r="A58" s="8"/>
      <c r="H58" s="8"/>
      <c r="I58" s="100"/>
      <c r="J58" s="114">
        <v>52</v>
      </c>
      <c r="K58" s="118">
        <v>245.50999999999956</v>
      </c>
      <c r="L58" s="121">
        <v>247.99999999999955</v>
      </c>
      <c r="M58" s="116">
        <v>0.255</v>
      </c>
      <c r="O58" s="8"/>
      <c r="Y58" s="103"/>
      <c r="Z58" s="103"/>
      <c r="AA58" s="103"/>
      <c r="AB58" s="103"/>
      <c r="AC58" s="103"/>
      <c r="AD58" s="103"/>
      <c r="AE58" s="103"/>
    </row>
    <row r="59" spans="1:31" x14ac:dyDescent="0.25">
      <c r="A59" s="8"/>
      <c r="H59" s="8"/>
      <c r="J59" s="114">
        <v>53</v>
      </c>
      <c r="K59" s="118">
        <v>248.00999999999954</v>
      </c>
      <c r="L59" s="118">
        <v>250.49999999999955</v>
      </c>
      <c r="M59" s="116">
        <v>0.26</v>
      </c>
      <c r="O59" s="8"/>
    </row>
    <row r="60" spans="1:31" x14ac:dyDescent="0.25">
      <c r="A60" s="8"/>
      <c r="H60" s="8"/>
      <c r="J60" s="114">
        <v>54</v>
      </c>
      <c r="K60" s="118">
        <v>250.50999999999954</v>
      </c>
      <c r="L60" s="118">
        <v>252.99999999999955</v>
      </c>
      <c r="M60" s="116">
        <v>0.26500000000000001</v>
      </c>
      <c r="O60" s="8"/>
    </row>
    <row r="61" spans="1:31" x14ac:dyDescent="0.25">
      <c r="A61" s="8"/>
      <c r="H61" s="8"/>
      <c r="J61" s="114">
        <v>55</v>
      </c>
      <c r="K61" s="118">
        <v>253.00999999999954</v>
      </c>
      <c r="L61" s="118">
        <v>255.49999999999952</v>
      </c>
      <c r="M61" s="116">
        <v>0.27</v>
      </c>
      <c r="O61" s="8"/>
    </row>
    <row r="62" spans="1:31" x14ac:dyDescent="0.25">
      <c r="A62" s="8"/>
      <c r="H62" s="8"/>
      <c r="J62" s="114">
        <v>56</v>
      </c>
      <c r="K62" s="118">
        <v>255.50999999999951</v>
      </c>
      <c r="L62" s="118">
        <v>257.99999999999955</v>
      </c>
      <c r="M62" s="116">
        <v>0.27500000000000002</v>
      </c>
      <c r="O62" s="8"/>
    </row>
    <row r="63" spans="1:31" x14ac:dyDescent="0.25">
      <c r="A63" s="8"/>
      <c r="H63" s="8"/>
      <c r="J63" s="114">
        <v>57</v>
      </c>
      <c r="K63" s="118">
        <v>258.00999999999954</v>
      </c>
      <c r="L63" s="118">
        <v>260.49999999999949</v>
      </c>
      <c r="M63" s="116">
        <v>0.28000000000000003</v>
      </c>
      <c r="O63" s="8"/>
    </row>
    <row r="64" spans="1:31" x14ac:dyDescent="0.25">
      <c r="A64" s="8"/>
      <c r="H64" s="8"/>
      <c r="J64" s="114">
        <v>58</v>
      </c>
      <c r="K64" s="118">
        <v>260.50999999999948</v>
      </c>
      <c r="L64" s="118">
        <v>262.99999999999949</v>
      </c>
      <c r="M64" s="116">
        <v>0.28499999999999998</v>
      </c>
      <c r="O64" s="8"/>
    </row>
    <row r="65" spans="1:15" x14ac:dyDescent="0.25">
      <c r="A65" s="8"/>
      <c r="H65" s="8"/>
      <c r="J65" s="114">
        <v>59</v>
      </c>
      <c r="K65" s="118">
        <v>263.00999999999948</v>
      </c>
      <c r="L65" s="118">
        <v>265.49999999999949</v>
      </c>
      <c r="M65" s="116">
        <v>0.28999999999999998</v>
      </c>
      <c r="O65" s="8"/>
    </row>
    <row r="66" spans="1:15" x14ac:dyDescent="0.25">
      <c r="A66" s="8"/>
      <c r="H66" s="8"/>
      <c r="J66" s="114">
        <v>60</v>
      </c>
      <c r="K66" s="118">
        <v>265.50999999999948</v>
      </c>
      <c r="L66" s="118">
        <v>267.99999999999949</v>
      </c>
      <c r="M66" s="116">
        <v>0.29499999999999998</v>
      </c>
      <c r="O66" s="8"/>
    </row>
    <row r="67" spans="1:15" x14ac:dyDescent="0.25">
      <c r="A67" s="8"/>
      <c r="H67" s="8"/>
      <c r="J67" s="114">
        <v>61</v>
      </c>
      <c r="K67" s="118">
        <v>268.00999999999948</v>
      </c>
      <c r="L67" s="118">
        <v>270.49999999999949</v>
      </c>
      <c r="M67" s="116">
        <v>0.3</v>
      </c>
      <c r="O67" s="8"/>
    </row>
    <row r="68" spans="1:15" x14ac:dyDescent="0.25">
      <c r="A68" s="8"/>
      <c r="H68" s="8"/>
      <c r="J68" s="114">
        <v>62</v>
      </c>
      <c r="K68" s="118">
        <v>270.50999999999948</v>
      </c>
      <c r="L68" s="118">
        <v>272.99999999999949</v>
      </c>
      <c r="M68" s="116">
        <v>0.30499999999999999</v>
      </c>
      <c r="O68" s="8"/>
    </row>
    <row r="69" spans="1:15" x14ac:dyDescent="0.25">
      <c r="A69" s="8"/>
      <c r="H69" s="8"/>
      <c r="J69" s="114">
        <v>63</v>
      </c>
      <c r="K69" s="118">
        <v>273.00999999999948</v>
      </c>
      <c r="L69" s="118">
        <v>275.49999999999943</v>
      </c>
      <c r="M69" s="116">
        <v>0.31</v>
      </c>
      <c r="O69" s="8"/>
    </row>
    <row r="70" spans="1:15" x14ac:dyDescent="0.25">
      <c r="A70" s="8"/>
      <c r="H70" s="8"/>
      <c r="J70" s="114">
        <v>64</v>
      </c>
      <c r="K70" s="118">
        <v>275.50999999999942</v>
      </c>
      <c r="L70" s="118">
        <v>277.99999999999943</v>
      </c>
      <c r="M70" s="116">
        <v>0.315</v>
      </c>
      <c r="O70" s="8"/>
    </row>
    <row r="71" spans="1:15" x14ac:dyDescent="0.25">
      <c r="A71" s="8"/>
      <c r="H71" s="8"/>
      <c r="J71" s="114">
        <v>65</v>
      </c>
      <c r="K71" s="118">
        <v>278.00999999999942</v>
      </c>
      <c r="L71" s="118">
        <v>280.49999999999943</v>
      </c>
      <c r="M71" s="116">
        <v>0.32</v>
      </c>
      <c r="O71" s="8"/>
    </row>
    <row r="72" spans="1:15" x14ac:dyDescent="0.25">
      <c r="A72" s="8"/>
      <c r="H72" s="8"/>
      <c r="J72" s="114">
        <v>66</v>
      </c>
      <c r="K72" s="118">
        <v>280.50999999999942</v>
      </c>
      <c r="L72" s="118">
        <v>282.99999999999943</v>
      </c>
      <c r="M72" s="116">
        <v>0.32500000000000001</v>
      </c>
      <c r="O72" s="8"/>
    </row>
    <row r="73" spans="1:15" x14ac:dyDescent="0.25">
      <c r="A73" s="8"/>
      <c r="H73" s="8"/>
      <c r="J73" s="114">
        <v>67</v>
      </c>
      <c r="K73" s="118">
        <v>283.00999999999942</v>
      </c>
      <c r="L73" s="118">
        <v>285.49999999999943</v>
      </c>
      <c r="M73" s="116">
        <v>0.33</v>
      </c>
      <c r="O73" s="8"/>
    </row>
    <row r="74" spans="1:15" x14ac:dyDescent="0.25">
      <c r="A74" s="8"/>
      <c r="H74" s="8"/>
      <c r="J74" s="114">
        <v>68</v>
      </c>
      <c r="K74" s="118">
        <v>285.50999999999942</v>
      </c>
      <c r="L74" s="118">
        <v>287.99999999999943</v>
      </c>
      <c r="M74" s="116">
        <v>0.33500000000000002</v>
      </c>
      <c r="O74" s="8"/>
    </row>
    <row r="75" spans="1:15" x14ac:dyDescent="0.25">
      <c r="A75" s="8"/>
      <c r="H75" s="8"/>
      <c r="J75" s="114">
        <v>69</v>
      </c>
      <c r="K75" s="118">
        <v>288.00999999999942</v>
      </c>
      <c r="L75" s="118">
        <v>290.49999999999943</v>
      </c>
      <c r="M75" s="116">
        <v>0.34</v>
      </c>
      <c r="O75" s="8"/>
    </row>
    <row r="76" spans="1:15" x14ac:dyDescent="0.25">
      <c r="A76" s="8"/>
      <c r="H76" s="8"/>
      <c r="J76" s="114">
        <v>70</v>
      </c>
      <c r="K76" s="118">
        <v>290.50999999999942</v>
      </c>
      <c r="L76" s="118">
        <v>292.99999999999937</v>
      </c>
      <c r="M76" s="116">
        <v>0.34499999999999997</v>
      </c>
      <c r="O76" s="8"/>
    </row>
    <row r="77" spans="1:15" x14ac:dyDescent="0.25">
      <c r="A77" s="8"/>
      <c r="H77" s="8"/>
      <c r="J77" s="114">
        <v>71</v>
      </c>
      <c r="K77" s="118">
        <v>293.00999999999937</v>
      </c>
      <c r="L77" s="118">
        <v>295.49999999999937</v>
      </c>
      <c r="M77" s="116">
        <v>0.35</v>
      </c>
      <c r="O77" s="8"/>
    </row>
    <row r="78" spans="1:15" x14ac:dyDescent="0.25">
      <c r="A78" s="8"/>
      <c r="H78" s="8"/>
      <c r="J78" s="114">
        <v>72</v>
      </c>
      <c r="K78" s="118">
        <v>295.50999999999937</v>
      </c>
      <c r="L78" s="118">
        <v>297.99999999999937</v>
      </c>
      <c r="M78" s="116">
        <v>0.35499999999999998</v>
      </c>
      <c r="O78" s="8"/>
    </row>
    <row r="79" spans="1:15" x14ac:dyDescent="0.25">
      <c r="A79" s="8"/>
      <c r="H79" s="8"/>
      <c r="O79" s="8"/>
    </row>
    <row r="80" spans="1:15" x14ac:dyDescent="0.25">
      <c r="A80" s="8"/>
      <c r="H80" s="8"/>
      <c r="O80" s="8"/>
    </row>
    <row r="81" spans="1:21" x14ac:dyDescent="0.25">
      <c r="A81" s="8"/>
      <c r="H81" s="8"/>
      <c r="O81" s="8"/>
    </row>
    <row r="82" spans="1:21" x14ac:dyDescent="0.25">
      <c r="A82" s="8"/>
      <c r="H82" s="8"/>
      <c r="I82" s="100"/>
      <c r="K82" s="32"/>
      <c r="L82" s="32"/>
      <c r="M82" s="32"/>
      <c r="O82" s="8"/>
    </row>
    <row r="83" spans="1:21" x14ac:dyDescent="0.25">
      <c r="A83" s="8"/>
      <c r="H83" s="8"/>
      <c r="I83" s="100"/>
      <c r="J83" s="33" t="s">
        <v>45</v>
      </c>
      <c r="O83" s="8"/>
    </row>
    <row r="84" spans="1:21" x14ac:dyDescent="0.25">
      <c r="A84" s="8"/>
      <c r="H84" s="8"/>
      <c r="I84" s="100"/>
      <c r="J84" s="52" t="s">
        <v>47</v>
      </c>
      <c r="K84" s="52"/>
      <c r="L84" s="52"/>
      <c r="M84" s="52"/>
      <c r="O84" s="8"/>
    </row>
    <row r="85" spans="1:21" x14ac:dyDescent="0.25">
      <c r="A85" s="8"/>
      <c r="H85" s="8"/>
      <c r="I85" s="100"/>
      <c r="J85" s="52"/>
      <c r="K85" s="52"/>
      <c r="L85" s="52"/>
      <c r="M85" s="52"/>
      <c r="O85" s="8"/>
    </row>
    <row r="86" spans="1:21" x14ac:dyDescent="0.25">
      <c r="A86" s="8"/>
      <c r="H86" s="8"/>
      <c r="I86" s="100"/>
      <c r="J86" s="52"/>
      <c r="K86" s="52"/>
      <c r="L86" s="52"/>
      <c r="M86" s="52"/>
      <c r="O86" s="8"/>
    </row>
    <row r="87" spans="1:21" x14ac:dyDescent="0.25">
      <c r="A87" s="125"/>
      <c r="B87" s="35"/>
      <c r="C87" s="36"/>
      <c r="D87" s="35"/>
      <c r="E87" s="35"/>
      <c r="F87" s="35"/>
      <c r="G87" s="35"/>
      <c r="H87" s="125"/>
      <c r="I87" s="35"/>
      <c r="J87" s="35"/>
      <c r="K87" s="35"/>
      <c r="L87" s="35"/>
      <c r="M87" s="35"/>
      <c r="N87" s="35"/>
      <c r="O87" s="35"/>
      <c r="P87" s="35"/>
      <c r="Q87" s="35"/>
      <c r="R87" s="35"/>
      <c r="S87" s="35"/>
      <c r="T87" s="35"/>
      <c r="U87" s="34"/>
    </row>
  </sheetData>
  <mergeCells count="8">
    <mergeCell ref="C20:C21"/>
    <mergeCell ref="D21:F21"/>
    <mergeCell ref="J84:M86"/>
    <mergeCell ref="C2:F2"/>
    <mergeCell ref="Q2:T2"/>
    <mergeCell ref="J3:K3"/>
    <mergeCell ref="L3:M3"/>
    <mergeCell ref="L4:M4"/>
  </mergeCells>
  <hyperlinks>
    <hyperlink ref="J32:O32" r:id="rId1" display="https://www.aral.de/de/retail/kraftstoffe-und-preise/kraftstoffpreise/kraftstoffpreis-archiv.html" xr:uid="{137F285A-4D3A-42BF-BE09-874754AF2A85}"/>
    <hyperlink ref="J84" r:id="rId2" xr:uid="{D4F375B6-A85A-49CF-A1C7-FA4385031C8D}"/>
  </hyperlink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06EC06AAC4DF094CBF9129D49C6CF119" ma:contentTypeVersion="12" ma:contentTypeDescription="Ein neues Dokument erstellen." ma:contentTypeScope="" ma:versionID="18c2985d36f86f28c84fb05e462a96ca">
  <xsd:schema xmlns:xsd="http://www.w3.org/2001/XMLSchema" xmlns:xs="http://www.w3.org/2001/XMLSchema" xmlns:p="http://schemas.microsoft.com/office/2006/metadata/properties" xmlns:ns2="7fccca3f-fc46-4126-8b38-d6abb0c4b531" xmlns:ns3="0e5fc656-6d02-40c3-8f51-edb14b3b7b28" targetNamespace="http://schemas.microsoft.com/office/2006/metadata/properties" ma:root="true" ma:fieldsID="068c877d48b8aac4471e5454a2238705" ns2:_="" ns3:_="">
    <xsd:import namespace="7fccca3f-fc46-4126-8b38-d6abb0c4b531"/>
    <xsd:import namespace="0e5fc656-6d02-40c3-8f51-edb14b3b7b2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ccca3f-fc46-4126-8b38-d6abb0c4b531" elementFormDefault="qualified">
    <xsd:import namespace="http://schemas.microsoft.com/office/2006/documentManagement/types"/>
    <xsd:import namespace="http://schemas.microsoft.com/office/infopath/2007/PartnerControls"/>
    <xsd:element name="SharedWithUsers" ma:index="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e5fc656-6d02-40c3-8f51-edb14b3b7b2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Bildmarkierungen" ma:readOnly="false" ma:fieldId="{5cf76f15-5ced-4ddc-b409-7134ff3c332f}" ma:taxonomyMulti="true" ma:sspId="75197abd-cf26-49ac-9172-782c218506ba"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e5fc656-6d02-40c3-8f51-edb14b3b7b2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72FC0BC-05BC-4DAF-914F-13AAB242DB8F}"/>
</file>

<file path=customXml/itemProps2.xml><?xml version="1.0" encoding="utf-8"?>
<ds:datastoreItem xmlns:ds="http://schemas.openxmlformats.org/officeDocument/2006/customXml" ds:itemID="{2C886533-D0CD-4C43-BB2D-E109771011A9}"/>
</file>

<file path=customXml/itemProps3.xml><?xml version="1.0" encoding="utf-8"?>
<ds:datastoreItem xmlns:ds="http://schemas.openxmlformats.org/officeDocument/2006/customXml" ds:itemID="{3C7122A9-2380-4A45-B2A7-BA0508391E48}"/>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2</vt:i4>
      </vt:variant>
    </vt:vector>
  </HeadingPairs>
  <TitlesOfParts>
    <vt:vector size="7" baseType="lpstr">
      <vt:lpstr>Remarks</vt:lpstr>
      <vt:lpstr>Preise ab12.05.25-31.12.25 </vt:lpstr>
      <vt:lpstr>Dieselfloater V1</vt:lpstr>
      <vt:lpstr>Maut</vt:lpstr>
      <vt:lpstr>Surcharges</vt:lpstr>
      <vt:lpstr>'Dieselfloater V1'!Druckbereich</vt:lpstr>
      <vt:lpstr>Remarks!Druckbereich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Hermann Ruell</dc:creator>
  <cp:lastModifiedBy>Schell Kristina</cp:lastModifiedBy>
  <cp:lastPrinted>2024-12-11T12:16:43Z</cp:lastPrinted>
  <dcterms:created xsi:type="dcterms:W3CDTF">2021-08-11T09:05:17Z</dcterms:created>
  <dcterms:modified xsi:type="dcterms:W3CDTF">2025-05-12T09:04:17Z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0x01010006EC06AAC4DF094CBF9129D49C6CF119</vt:lpwstr>
  </property>
</Properties>
</file>