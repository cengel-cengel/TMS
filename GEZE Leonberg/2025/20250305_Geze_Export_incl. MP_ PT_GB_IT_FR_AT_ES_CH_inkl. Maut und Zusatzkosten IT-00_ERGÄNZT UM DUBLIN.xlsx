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3" documentId="13_ncr:1_{8A59BB07-572D-464E-A476-9DDD0448EF15}" xr6:coauthVersionLast="47" xr6:coauthVersionMax="47" xr10:uidLastSave="{6FC1BFED-3BEC-46A1-9A8E-BC761F4B3A17}"/>
  <bookViews>
    <workbookView xWindow="-120" yWindow="-120" windowWidth="29040" windowHeight="15720" xr2:uid="{00000000-000D-0000-FFFF-FFFF00000000}"/>
  </bookViews>
  <sheets>
    <sheet name="Exporttarife" sheetId="4" r:id="rId1"/>
    <sheet name="CH-Währungsfloater" sheetId="6" r:id="rId2"/>
    <sheet name="Dieselfloater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2">#REF!</definedName>
    <definedName name="a">#REF!</definedName>
    <definedName name="A1Col_Del_Cost_" localSheetId="1">#REF!</definedName>
    <definedName name="A1Col_Del_Cost_" localSheetId="2">#REF!</definedName>
    <definedName name="A1Col_Del_Cost_">#REF!</definedName>
    <definedName name="AB" localSheetId="1">#REF!</definedName>
    <definedName name="AB" localSheetId="2">#REF!</definedName>
    <definedName name="AB">#REF!</definedName>
    <definedName name="abhldm">[3]Basisvereinbarungen!$C$22</definedName>
    <definedName name="ADD" localSheetId="1">#REF!</definedName>
    <definedName name="ADD" localSheetId="2">#REF!</definedName>
    <definedName name="ADD">#REF!</definedName>
    <definedName name="ADRESS" localSheetId="1">#REF!</definedName>
    <definedName name="ADRESS" localSheetId="2">#REF!</definedName>
    <definedName name="ADRESS">#REF!</definedName>
    <definedName name="ADRESSE" localSheetId="1">#REF!</definedName>
    <definedName name="ADRESSE" localSheetId="2">#REF!</definedName>
    <definedName name="ADRESSE">#REF!</definedName>
    <definedName name="ADS">[1]EBARCALL!$L$20:$L$25</definedName>
    <definedName name="aed" localSheetId="1">#REF!</definedName>
    <definedName name="aed" localSheetId="2">#REF!</definedName>
    <definedName name="aed">#REF!</definedName>
    <definedName name="AFF" localSheetId="1">#REF!</definedName>
    <definedName name="AFF" localSheetId="2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 localSheetId="2">#REF!</definedName>
    <definedName name="alpha">#REF!</definedName>
    <definedName name="ARCHI_TEMP" localSheetId="1">#REF!</definedName>
    <definedName name="ARCHI_TEMP" localSheetId="2">#REF!</definedName>
    <definedName name="ARCHI_TEMP">#REF!</definedName>
    <definedName name="as" localSheetId="1">#REF!</definedName>
    <definedName name="as" localSheetId="2">#REF!</definedName>
    <definedName name="as">#REF!</definedName>
    <definedName name="asdas" localSheetId="1">#REF!</definedName>
    <definedName name="asdas" localSheetId="2">#REF!</definedName>
    <definedName name="asdas">#REF!</definedName>
    <definedName name="ase" localSheetId="1">#REF!</definedName>
    <definedName name="ase" localSheetId="2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 localSheetId="2">#REF!</definedName>
    <definedName name="Auswahl_Monatswerte_Abfrage_Team_1">#REF!</definedName>
    <definedName name="AutomatisationGroupage" localSheetId="1">'[10]Indicateurs MOA_12 Mois'!#REF!</definedName>
    <definedName name="AutomatisationGroupage" localSheetId="2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 localSheetId="2">'[10]Indicateurs MOA_12 Mois'!#REF!</definedName>
    <definedName name="AutomatisationLot">'[10]Indicateurs MOA_12 Mois'!#REF!</definedName>
    <definedName name="Balkans" localSheetId="1">#REF!</definedName>
    <definedName name="Balkans" localSheetId="2">#REF!</definedName>
    <definedName name="Balkans">#REF!</definedName>
    <definedName name="bas" localSheetId="1">#REF!</definedName>
    <definedName name="bas" localSheetId="2">#REF!</definedName>
    <definedName name="bas">#REF!</definedName>
    <definedName name="BASE10" localSheetId="1">#REF!</definedName>
    <definedName name="BASE10" localSheetId="2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 localSheetId="2">#REF!</definedName>
    <definedName name="CDHWL_10">#REF!</definedName>
    <definedName name="CDHWL_11" localSheetId="1">#REF!</definedName>
    <definedName name="CDHWL_11" localSheetId="2">#REF!</definedName>
    <definedName name="CDHWL_11">#REF!</definedName>
    <definedName name="CLIENT" localSheetId="1">#REF!</definedName>
    <definedName name="CLIENT" localSheetId="2">#REF!</definedName>
    <definedName name="CLIENT">#REF!</definedName>
    <definedName name="Co_Del_Costs_SI2" localSheetId="1">#REF!</definedName>
    <definedName name="Co_Del_Costs_SI2" localSheetId="2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 localSheetId="2">#REF!</definedName>
    <definedName name="Col_Del_Cost_1">#REF!</definedName>
    <definedName name="Col_Del_Cost_2" localSheetId="1">#REF!</definedName>
    <definedName name="Col_Del_Cost_2" localSheetId="2">#REF!</definedName>
    <definedName name="Col_Del_Cost_2">#REF!</definedName>
    <definedName name="Col_Del_Cost_HWL" localSheetId="1">#REF!</definedName>
    <definedName name="Col_Del_Cost_HWL" localSheetId="2">#REF!</definedName>
    <definedName name="Col_Del_Cost_HWL">#REF!</definedName>
    <definedName name="Col_Del_Costs_blank" localSheetId="1">#REF!</definedName>
    <definedName name="Col_Del_Costs_blank" localSheetId="2">#REF!</definedName>
    <definedName name="Col_Del_Costs_blank">#REF!</definedName>
    <definedName name="Col_Del_Costs_HR" localSheetId="1">#REF!</definedName>
    <definedName name="Col_Del_Costs_HR" localSheetId="2">#REF!</definedName>
    <definedName name="Col_Del_Costs_HR">#REF!</definedName>
    <definedName name="Col_Del_Costs_HU" localSheetId="1">#REF!</definedName>
    <definedName name="Col_Del_Costs_HU" localSheetId="2">#REF!</definedName>
    <definedName name="Col_Del_Costs_HU">#REF!</definedName>
    <definedName name="Col_Del_Costs_SI" localSheetId="1">#REF!</definedName>
    <definedName name="Col_Del_Costs_SI" localSheetId="2">#REF!</definedName>
    <definedName name="Col_Del_Costs_SI">#REF!</definedName>
    <definedName name="COM" localSheetId="1">#REF!</definedName>
    <definedName name="COM" localSheetId="2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 localSheetId="2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 localSheetId="2">[14]Guide!#REF!</definedName>
    <definedName name="data8">[14]Guide!#REF!</definedName>
    <definedName name="Data9" localSheetId="1">[14]Guide!#REF!</definedName>
    <definedName name="Data9" localSheetId="2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 localSheetId="2">#REF!</definedName>
    <definedName name="Del_BA">#REF!</definedName>
    <definedName name="Delivery_time_GW" localSheetId="1">'[17]Delivery times GW'!#REF!</definedName>
    <definedName name="Delivery_time_GW" localSheetId="2">'[17]Delivery times GW'!#REF!</definedName>
    <definedName name="Delivery_time_GW">'[17]Delivery times GW'!#REF!</definedName>
    <definedName name="DeploiementLot" localSheetId="1">#REF!</definedName>
    <definedName name="DeploiementLot" localSheetId="2">#REF!</definedName>
    <definedName name="DeploiementLot">#REF!</definedName>
    <definedName name="DerMois" localSheetId="1">[14]Guide!#REF!</definedName>
    <definedName name="DerMois" localSheetId="2">[14]Guide!#REF!</definedName>
    <definedName name="DerMois">[14]Guide!#REF!</definedName>
    <definedName name="det" localSheetId="1">'[17]Delivery times GW'!#REF!</definedName>
    <definedName name="det" localSheetId="2">'[17]Delivery times GW'!#REF!</definedName>
    <definedName name="det">'[17]Delivery times GW'!#REF!</definedName>
    <definedName name="_xlnm.Print_Area" localSheetId="1">'CH-Währungsfloater'!$A$1:$H$58</definedName>
    <definedName name="_xlnm.Print_Area" localSheetId="2">Dieselfloater!$A$1:$M$59</definedName>
    <definedName name="_xlnm.Print_Area" localSheetId="0">Exporttarife!$A$1:$P$104</definedName>
    <definedName name="_xlnm.Print_Area">#REF!</definedName>
    <definedName name="E_Dec" localSheetId="1">#REF!</definedName>
    <definedName name="E_Dec" localSheetId="2">#REF!</definedName>
    <definedName name="E_Dec">#REF!</definedName>
    <definedName name="eda" localSheetId="1">#REF!</definedName>
    <definedName name="eda" localSheetId="2">#REF!</definedName>
    <definedName name="eda">#REF!</definedName>
    <definedName name="edec" localSheetId="1">#REF!</definedName>
    <definedName name="edec" localSheetId="2">#REF!</definedName>
    <definedName name="edec">#REF!</definedName>
    <definedName name="Entfernung_Hauptlauf" localSheetId="1">[18]Kalkulation!#REF!</definedName>
    <definedName name="Entfernung_Hauptlauf" localSheetId="2">[18]Kalkulation!#REF!</definedName>
    <definedName name="Entfernung_Hauptlauf">[18]Kalkulation!#REF!</definedName>
    <definedName name="Est">[4]BASE!$B$9948:$B$9956</definedName>
    <definedName name="EURO" localSheetId="1">#REF!</definedName>
    <definedName name="EURO" localSheetId="2">#REF!</definedName>
    <definedName name="EURO">#REF!</definedName>
    <definedName name="EURO_IMPR" localSheetId="1">#REF!</definedName>
    <definedName name="EURO_IMPR" localSheetId="2">#REF!</definedName>
    <definedName name="EURO_IMPR">#REF!</definedName>
    <definedName name="ewr" localSheetId="1">#REF!</definedName>
    <definedName name="ewr" localSheetId="2">#REF!</definedName>
    <definedName name="ewr">#REF!</definedName>
    <definedName name="Excel_BuiltIn__FilterDatabase_1" localSheetId="1">'[19]2007 in Euro'!#REF!</definedName>
    <definedName name="Excel_BuiltIn__FilterDatabase_1" localSheetId="2">'[19]2007 in Euro'!#REF!</definedName>
    <definedName name="Excel_BuiltIn__FilterDatabase_1">'[19]2007 in Euro'!#REF!</definedName>
    <definedName name="Excel_BuiltIn_Print_Area" localSheetId="1">#REF!</definedName>
    <definedName name="Excel_BuiltIn_Print_Area" localSheetId="2">#REF!</definedName>
    <definedName name="Excel_BuiltIn_Print_Area">#REF!</definedName>
    <definedName name="Excel_BuiltIn_Print_Area_10" localSheetId="1">#REF!</definedName>
    <definedName name="Excel_BuiltIn_Print_Area_10" localSheetId="2">#REF!</definedName>
    <definedName name="Excel_BuiltIn_Print_Area_10">#REF!</definedName>
    <definedName name="Excel_BuiltIn_Print_Area_11" localSheetId="1">#REF!</definedName>
    <definedName name="Excel_BuiltIn_Print_Area_11" localSheetId="2">#REF!</definedName>
    <definedName name="Excel_BuiltIn_Print_Area_11">#REF!</definedName>
    <definedName name="Excel_BuiltIn_Print_Titles_10" localSheetId="1">#REF!</definedName>
    <definedName name="Excel_BuiltIn_Print_Titles_10" localSheetId="2">#REF!</definedName>
    <definedName name="Excel_BuiltIn_Print_Titles_10">#REF!</definedName>
    <definedName name="Excel_BuiltIn_Print_Titles_11" localSheetId="1">#REF!</definedName>
    <definedName name="Excel_BuiltIn_Print_Titles_11" localSheetId="2">#REF!</definedName>
    <definedName name="Excel_BuiltIn_Print_Titles_11">#REF!</definedName>
    <definedName name="Exclusion">[11]Menus!$A$1:$A$16</definedName>
    <definedName name="fact" localSheetId="1">#REF!</definedName>
    <definedName name="fact" localSheetId="2">#REF!</definedName>
    <definedName name="fact">#REF!</definedName>
    <definedName name="FAIT" localSheetId="1">#REF!</definedName>
    <definedName name="FAIT" localSheetId="2">#REF!</definedName>
    <definedName name="FAIT">#REF!</definedName>
    <definedName name="FM" localSheetId="1">#REF!</definedName>
    <definedName name="FM" localSheetId="2">#REF!</definedName>
    <definedName name="FM">#REF!</definedName>
    <definedName name="From">[6]LISTES!$I$1</definedName>
    <definedName name="G" localSheetId="1">#REF!</definedName>
    <definedName name="G" localSheetId="2">#REF!</definedName>
    <definedName name="G">#REF!</definedName>
    <definedName name="Gants" localSheetId="1">#REF!</definedName>
    <definedName name="Gants" localSheetId="2">#REF!</definedName>
    <definedName name="Gants">#REF!</definedName>
    <definedName name="GEN">'[20]Hausse 001'!$A:$IV</definedName>
    <definedName name="genn" localSheetId="1">#REF!</definedName>
    <definedName name="genn" localSheetId="2">#REF!</definedName>
    <definedName name="genn">#REF!</definedName>
    <definedName name="gh" localSheetId="1">#REF!</definedName>
    <definedName name="gh" localSheetId="2">#REF!</definedName>
    <definedName name="gh">#REF!</definedName>
    <definedName name="ghj" localSheetId="1">#REF!</definedName>
    <definedName name="ghj" localSheetId="2">#REF!</definedName>
    <definedName name="ghj">#REF!</definedName>
    <definedName name="GW_an_HWL" localSheetId="1">'[17]GW-HWL'!#REF!</definedName>
    <definedName name="GW_an_HWL" localSheetId="2">'[17]GW-HWL'!#REF!</definedName>
    <definedName name="GW_an_HWL">'[17]GW-HWL'!#REF!</definedName>
    <definedName name="Hauss" localSheetId="1">#REF!</definedName>
    <definedName name="Hauss" localSheetId="2">#REF!</definedName>
    <definedName name="Hauss">#REF!</definedName>
    <definedName name="HAUT">[21]Lots_Final!$N$74</definedName>
    <definedName name="hell" localSheetId="1">#REF!</definedName>
    <definedName name="hell" localSheetId="2">#REF!</definedName>
    <definedName name="hell">#REF!</definedName>
    <definedName name="HGFK">[22]Lots_Final!$N$74</definedName>
    <definedName name="hhh" localSheetId="1">#REF!</definedName>
    <definedName name="hhh" localSheetId="2">#REF!</definedName>
    <definedName name="hhh">#REF!</definedName>
    <definedName name="hj" localSheetId="1">#REF!</definedName>
    <definedName name="hj" localSheetId="2">#REF!</definedName>
    <definedName name="hj">#REF!</definedName>
    <definedName name="HWL_an_GW" localSheetId="1">'[17]HWL-GW'!#REF!</definedName>
    <definedName name="HWL_an_GW" localSheetId="2">'[17]HWL-GW'!#REF!</definedName>
    <definedName name="HWL_an_GW">'[17]HWL-GW'!#REF!</definedName>
    <definedName name="I" localSheetId="1">'[23]Lots_Final gennevilliers'!#REF!</definedName>
    <definedName name="I" localSheetId="2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 localSheetId="2">#REF!</definedName>
    <definedName name="Incidents">#REF!</definedName>
    <definedName name="incidentsCr" localSheetId="1">#REF!</definedName>
    <definedName name="incidentsCr" localSheetId="2">#REF!</definedName>
    <definedName name="incidentsCr">#REF!</definedName>
    <definedName name="incidentscroises" localSheetId="1">[24]Data!#REF!</definedName>
    <definedName name="incidentscroises" localSheetId="2">[24]Data!#REF!</definedName>
    <definedName name="incidentscroises">[24]Data!#REF!</definedName>
    <definedName name="int.freigth_2" localSheetId="1">#REF!</definedName>
    <definedName name="int.freigth_2" localSheetId="2">#REF!</definedName>
    <definedName name="int.freigth_2">#REF!</definedName>
    <definedName name="int_freight_BG" localSheetId="1">#REF!</definedName>
    <definedName name="int_freight_BG" localSheetId="2">#REF!</definedName>
    <definedName name="int_freight_BG">#REF!</definedName>
    <definedName name="int_freight_blank" localSheetId="1">#REF!</definedName>
    <definedName name="int_freight_blank" localSheetId="2">#REF!</definedName>
    <definedName name="int_freight_blank">#REF!</definedName>
    <definedName name="int_freight_HR" localSheetId="1">#REF!</definedName>
    <definedName name="int_freight_HR" localSheetId="2">#REF!</definedName>
    <definedName name="int_freight_HR">#REF!</definedName>
    <definedName name="int_freight_HU" localSheetId="1">#REF!</definedName>
    <definedName name="int_freight_HU" localSheetId="2">#REF!</definedName>
    <definedName name="int_freight_HU">#REF!</definedName>
    <definedName name="int_freight_RO" localSheetId="1">#REF!</definedName>
    <definedName name="int_freight_RO" localSheetId="2">#REF!</definedName>
    <definedName name="int_freight_RO">#REF!</definedName>
    <definedName name="int_freight_SI" localSheetId="1">#REF!</definedName>
    <definedName name="int_freight_SI" localSheetId="2">#REF!</definedName>
    <definedName name="int_freight_SI">#REF!</definedName>
    <definedName name="Int_freight_sk" localSheetId="1">#REF!</definedName>
    <definedName name="Int_freight_sk" localSheetId="2">#REF!</definedName>
    <definedName name="Int_freight_sk">#REF!</definedName>
    <definedName name="Intern_Freight_blank1" localSheetId="1">#REF!</definedName>
    <definedName name="Intern_Freight_blank1" localSheetId="2">#REF!</definedName>
    <definedName name="Intern_Freight_blank1">#REF!</definedName>
    <definedName name="JPP" localSheetId="1">#REF!</definedName>
    <definedName name="JPP" localSheetId="2">#REF!</definedName>
    <definedName name="JPP">#REF!</definedName>
    <definedName name="kgh" localSheetId="1">#REF!</definedName>
    <definedName name="kgh" localSheetId="2">#REF!</definedName>
    <definedName name="kgh">#REF!</definedName>
    <definedName name="khj" localSheetId="1">#REF!</definedName>
    <definedName name="khj" localSheetId="2">#REF!</definedName>
    <definedName name="khj">#REF!</definedName>
    <definedName name="KME" localSheetId="1">#REF!</definedName>
    <definedName name="KME" localSheetId="2">#REF!</definedName>
    <definedName name="KME">#REF!</definedName>
    <definedName name="Kpi_Moa2" localSheetId="1">[14]Guide!#REF!</definedName>
    <definedName name="Kpi_Moa2" localSheetId="2">[14]Guide!#REF!</definedName>
    <definedName name="Kpi_Moa2">[14]Guide!#REF!</definedName>
    <definedName name="Kpi_Moa3" localSheetId="1">[14]Guide!#REF!</definedName>
    <definedName name="Kpi_Moa3" localSheetId="2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 localSheetId="2">#REF!</definedName>
    <definedName name="LOCALIT">#REF!</definedName>
    <definedName name="LOT" localSheetId="1">#REF!</definedName>
    <definedName name="LOT" localSheetId="2">#REF!</definedName>
    <definedName name="LOT">#REF!</definedName>
    <definedName name="Manager">[11]Menus!$C$126:$C$161</definedName>
    <definedName name="MESS" localSheetId="1">#REF!</definedName>
    <definedName name="MESS" localSheetId="2">#REF!</definedName>
    <definedName name="MESS">#REF!</definedName>
    <definedName name="MESSINTER" localSheetId="1">#REF!</definedName>
    <definedName name="MESSINTER" localSheetId="2">#REF!</definedName>
    <definedName name="MESSINTER">#REF!</definedName>
    <definedName name="MESSNAT" localSheetId="1">#REF!</definedName>
    <definedName name="MESSNAT" localSheetId="2">#REF!</definedName>
    <definedName name="MESSNAT">#REF!</definedName>
    <definedName name="metier" localSheetId="1">#REF!</definedName>
    <definedName name="metier" localSheetId="2">#REF!</definedName>
    <definedName name="metier">#REF!</definedName>
    <definedName name="ML">[27]Feuil2!$A$1:$A$7</definedName>
    <definedName name="MM" localSheetId="1">#REF!</definedName>
    <definedName name="MM" localSheetId="2">#REF!</definedName>
    <definedName name="MM">#REF!</definedName>
    <definedName name="MOEL" localSheetId="1">#REF!</definedName>
    <definedName name="MOEL" localSheetId="2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 localSheetId="2">#REF!</definedName>
    <definedName name="moissy">#REF!</definedName>
    <definedName name="Motifs_refus">OFFSET([6]LISTES!$K$2,0,0,COUNTA([6]LISTES!$K:$K)-1,1)</definedName>
    <definedName name="NM" localSheetId="1">#REF!</definedName>
    <definedName name="NM" localSheetId="2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 localSheetId="2">#REF!</definedName>
    <definedName name="OUVERT">#REF!</definedName>
    <definedName name="Paletten" localSheetId="1">[18]Kalkulation!#REF!</definedName>
    <definedName name="Paletten" localSheetId="2">[18]Kalkulation!#REF!</definedName>
    <definedName name="Paletten">[18]Kalkulation!#REF!</definedName>
    <definedName name="Pallet_Concept" localSheetId="1">#REF!</definedName>
    <definedName name="Pallet_Concept" localSheetId="2">#REF!</definedName>
    <definedName name="Pallet_Concept">#REF!</definedName>
    <definedName name="PalmaresGroupage" localSheetId="1">'[10]Indicateurs MOA_12 Mois'!#REF!</definedName>
    <definedName name="PalmaresGroupage" localSheetId="2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 localSheetId="2">'[10]Indicateurs MOA_12 Mois'!#REF!</definedName>
    <definedName name="PalmaresLot">'[10]Indicateurs MOA_12 Mois'!#REF!</definedName>
    <definedName name="Porte" localSheetId="1">#REF!</definedName>
    <definedName name="Porte" localSheetId="2">#REF!</definedName>
    <definedName name="Porte">#REF!</definedName>
    <definedName name="PrFact" localSheetId="1">#REF!</definedName>
    <definedName name="PrFact" localSheetId="2">#REF!</definedName>
    <definedName name="PrFact">#REF!</definedName>
    <definedName name="qw" localSheetId="1">#REF!</definedName>
    <definedName name="qw" localSheetId="2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 localSheetId="2">#REF!</definedName>
    <definedName name="réf">#REF!</definedName>
    <definedName name="RENTA" localSheetId="1">#REF!</definedName>
    <definedName name="RENTA" localSheetId="2">#REF!</definedName>
    <definedName name="RENTA">#REF!</definedName>
    <definedName name="RENTAMI" localSheetId="1">#REF!</definedName>
    <definedName name="RENTAMI" localSheetId="2">#REF!</definedName>
    <definedName name="RENTAMI">#REF!</definedName>
    <definedName name="RENTAMN" localSheetId="1">#REF!</definedName>
    <definedName name="RENTAMN" localSheetId="2">#REF!</definedName>
    <definedName name="RENTAMN">#REF!</definedName>
    <definedName name="rewt" localSheetId="1">[18]Kalkulation!#REF!</definedName>
    <definedName name="rewt" localSheetId="2">[18]Kalkulation!#REF!</definedName>
    <definedName name="rewt">[18]Kalkulation!#REF!</definedName>
    <definedName name="ROU">'[20]Hausse 022'!$A:$IV</definedName>
    <definedName name="ROUEN" localSheetId="1">#REF!</definedName>
    <definedName name="ROUEN" localSheetId="2">#REF!</definedName>
    <definedName name="ROUEN">#REF!</definedName>
    <definedName name="rtz" localSheetId="1">#REF!</definedName>
    <definedName name="rtz" localSheetId="2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 localSheetId="2">#REF!</definedName>
    <definedName name="SM">#REF!</definedName>
    <definedName name="SO">[4]BASE!$G$9948:$G$9955</definedName>
    <definedName name="SR" localSheetId="1">#REF!</definedName>
    <definedName name="SR" localSheetId="2">#REF!</definedName>
    <definedName name="SR">#REF!</definedName>
    <definedName name="STIDF" localSheetId="1">#REF!</definedName>
    <definedName name="STIDF" localSheetId="2">#REF!</definedName>
    <definedName name="STIDF">#REF!</definedName>
    <definedName name="T_Incident" localSheetId="1">#REF!</definedName>
    <definedName name="T_Incident" localSheetId="2">#REF!</definedName>
    <definedName name="T_Incident">#REF!</definedName>
    <definedName name="table" localSheetId="1">#REF!</definedName>
    <definedName name="table" localSheetId="2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 localSheetId="2">#REF!</definedName>
    <definedName name="test">#REF!</definedName>
    <definedName name="Tlibox" localSheetId="1">'[10]Indicateurs MOA_12 Mois'!#REF!</definedName>
    <definedName name="Tlibox" localSheetId="2">'[10]Indicateurs MOA_12 Mois'!#REF!</definedName>
    <definedName name="Tlibox">'[10]Indicateurs MOA_12 Mois'!#REF!</definedName>
    <definedName name="TPays" localSheetId="1">#REF!</definedName>
    <definedName name="TPays" localSheetId="2">#REF!</definedName>
    <definedName name="TPays">#REF!</definedName>
    <definedName name="TRO">'[20]Hausse 033'!$A:$IV</definedName>
    <definedName name="troyes" localSheetId="1">#REF!</definedName>
    <definedName name="troyes" localSheetId="2">#REF!</definedName>
    <definedName name="troyes">#REF!</definedName>
    <definedName name="TSGENNA" localSheetId="1">#REF!</definedName>
    <definedName name="TSGENNA" localSheetId="2">#REF!</definedName>
    <definedName name="TSGENNA">#REF!</definedName>
    <definedName name="tsmoiA" localSheetId="1">#REF!</definedName>
    <definedName name="tsmoiA" localSheetId="2">#REF!</definedName>
    <definedName name="tsmoiA">#REF!</definedName>
    <definedName name="TSorl" localSheetId="1">#REF!</definedName>
    <definedName name="TSorl" localSheetId="2">#REF!</definedName>
    <definedName name="TSorl">#REF!</definedName>
    <definedName name="TSorlA" localSheetId="1">#REF!</definedName>
    <definedName name="TSorlA" localSheetId="2">#REF!</definedName>
    <definedName name="TSorlA">#REF!</definedName>
    <definedName name="TSORLEANS" localSheetId="1">#REF!</definedName>
    <definedName name="TSORLEANS" localSheetId="2">#REF!</definedName>
    <definedName name="TSORLEANS">#REF!</definedName>
    <definedName name="TSR" localSheetId="1">#REF!</definedName>
    <definedName name="TSR" localSheetId="2">#REF!</definedName>
    <definedName name="TSR">#REF!</definedName>
    <definedName name="TSROUEN" localSheetId="1">#REF!</definedName>
    <definedName name="TSROUEN" localSheetId="2">#REF!</definedName>
    <definedName name="TSROUEN">#REF!</definedName>
    <definedName name="TSROUENA" localSheetId="1">#REF!</definedName>
    <definedName name="TSROUENA" localSheetId="2">#REF!</definedName>
    <definedName name="TSROUENA">#REF!</definedName>
    <definedName name="tstroyes" localSheetId="1">#REF!</definedName>
    <definedName name="tstroyes" localSheetId="2">#REF!</definedName>
    <definedName name="tstroyes">#REF!</definedName>
    <definedName name="tstroyesa" localSheetId="1">#REF!</definedName>
    <definedName name="tstroyesa" localSheetId="2">#REF!</definedName>
    <definedName name="tstroyesa">#REF!</definedName>
    <definedName name="type">'[29]Simulation Tarif Client'!$CB$2:$CB$4</definedName>
    <definedName name="wer" localSheetId="1">#REF!</definedName>
    <definedName name="wer" localSheetId="2">#REF!</definedName>
    <definedName name="wer">#REF!</definedName>
    <definedName name="YN">[27]Feuil2!$B$1:$B$2</definedName>
    <definedName name="zone" localSheetId="1">#REF!</definedName>
    <definedName name="zone" localSheetId="2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4" l="1"/>
  <c r="M50" i="4"/>
  <c r="K50" i="4"/>
  <c r="K69" i="4"/>
  <c r="L69" i="4" s="1"/>
  <c r="C14" i="7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D32" i="6"/>
  <c r="C33" i="6" s="1"/>
  <c r="C32" i="6"/>
  <c r="D30" i="6"/>
  <c r="C31" i="6" s="1"/>
  <c r="C23" i="6"/>
  <c r="F22" i="6"/>
  <c r="E22" i="6"/>
  <c r="C22" i="6"/>
  <c r="D29" i="6" l="1"/>
  <c r="D33" i="6"/>
  <c r="D34" i="6" l="1"/>
  <c r="C34" i="6"/>
  <c r="C30" i="6"/>
  <c r="D28" i="6"/>
  <c r="D27" i="6" l="1"/>
  <c r="C29" i="6"/>
  <c r="D35" i="6"/>
  <c r="C35" i="6"/>
  <c r="D36" i="6" l="1"/>
  <c r="C36" i="6"/>
  <c r="C28" i="6"/>
  <c r="D26" i="6"/>
  <c r="C27" i="6" l="1"/>
  <c r="D25" i="6"/>
  <c r="D37" i="6"/>
  <c r="C37" i="6"/>
  <c r="D38" i="6" l="1"/>
  <c r="C38" i="6"/>
  <c r="C26" i="6"/>
  <c r="D24" i="6"/>
  <c r="C25" i="6" l="1"/>
  <c r="D23" i="6"/>
  <c r="C24" i="6" s="1"/>
  <c r="D39" i="6"/>
  <c r="C39" i="6"/>
  <c r="D40" i="6" l="1"/>
  <c r="C40" i="6"/>
</calcChain>
</file>

<file path=xl/sharedStrings.xml><?xml version="1.0" encoding="utf-8"?>
<sst xmlns="http://schemas.openxmlformats.org/spreadsheetml/2006/main" count="346" uniqueCount="135">
  <si>
    <t>Portugal</t>
  </si>
  <si>
    <t>PLZ</t>
  </si>
  <si>
    <t>Minimum</t>
  </si>
  <si>
    <t>bis 300 kg</t>
  </si>
  <si>
    <t>bis 500 kg</t>
  </si>
  <si>
    <t>bis 1.000 kg</t>
  </si>
  <si>
    <t>bis 2.000 kg</t>
  </si>
  <si>
    <t>bis 2.500 kg</t>
  </si>
  <si>
    <t>bis 3.000 kg</t>
  </si>
  <si>
    <t>Zone 1</t>
  </si>
  <si>
    <t>10-19, 26-29, 40-44</t>
  </si>
  <si>
    <t>Zone 2</t>
  </si>
  <si>
    <t>20-23, 37-39, 45-49</t>
  </si>
  <si>
    <t>Zone 3</t>
  </si>
  <si>
    <t>24-25, 30-36</t>
  </si>
  <si>
    <t>Zone 4</t>
  </si>
  <si>
    <t>70-89, 50-69</t>
  </si>
  <si>
    <t>bis 3.500 kg</t>
  </si>
  <si>
    <t>bis 4.000 kg</t>
  </si>
  <si>
    <t>bis 5.000 kg</t>
  </si>
  <si>
    <t>bis 7.500 kg</t>
  </si>
  <si>
    <t>bis 10.000 kg</t>
  </si>
  <si>
    <t>bis 12.500 kg</t>
  </si>
  <si>
    <t>bis 15.000 kg</t>
  </si>
  <si>
    <t>bis 20.000 kg</t>
  </si>
  <si>
    <t>WS13 8SY; WS13 8SX</t>
  </si>
  <si>
    <t>MK100 AL</t>
  </si>
  <si>
    <t>G32 8RE; G32 8RF</t>
  </si>
  <si>
    <t>Italien</t>
  </si>
  <si>
    <t>39</t>
  </si>
  <si>
    <t>20 - 22, 238, 239, 24, 25, 29, 30 - 38</t>
  </si>
  <si>
    <t>10 - 19, 26 - 28, 40 - 47, 50 - 59</t>
  </si>
  <si>
    <t>00 - 06, 230 - 237, 48, 61</t>
  </si>
  <si>
    <t>Zone 5</t>
  </si>
  <si>
    <t>60, 62 - 66, 70, 71, 80 - 84</t>
  </si>
  <si>
    <t>Zone 6</t>
  </si>
  <si>
    <t>07 - 09, 72 - 75, 85, 87 - 89, 90 - 98</t>
  </si>
  <si>
    <t>Frankreich</t>
  </si>
  <si>
    <t>67</t>
  </si>
  <si>
    <t>38, 42, 69, 74, 75, 77, 78, 91-95</t>
  </si>
  <si>
    <t>27, 57, 60, 68, 76</t>
  </si>
  <si>
    <t>10, 14, 21, 28, 45, 52, 59, 70, 72, 89</t>
  </si>
  <si>
    <t>01-03, 06-08, 12, 13, 15, 19, 23, 25, 26, 37, 39, 41, 43, 44, 46-49, 51, 54, 55, 62, 63, 71, 79, 80, 85, 87, 88, 90</t>
  </si>
  <si>
    <t>04, 05, 09, 11, 16-18, 22, 24, 29-36, 40, 50, 53, 56, 58, 61, 64-66, 73, 81-84, 86</t>
  </si>
  <si>
    <t>Frankreich Zone 7</t>
  </si>
  <si>
    <t>Zone 7</t>
  </si>
  <si>
    <t>77127, 77160, 77170, 77390</t>
  </si>
  <si>
    <t>Österreich</t>
  </si>
  <si>
    <t>67-69</t>
  </si>
  <si>
    <t>60-66</t>
  </si>
  <si>
    <t>10-28</t>
  </si>
  <si>
    <t>30-39, 70-73</t>
  </si>
  <si>
    <t>50-57</t>
  </si>
  <si>
    <t>40-49</t>
  </si>
  <si>
    <t>74-76, 80-89</t>
  </si>
  <si>
    <t>Zone 8</t>
  </si>
  <si>
    <t>90-99</t>
  </si>
  <si>
    <t>Spanien</t>
  </si>
  <si>
    <t>bis. 7.500 kg</t>
  </si>
  <si>
    <t>Barcelona 08</t>
  </si>
  <si>
    <t>Madrit 28</t>
  </si>
  <si>
    <t>Bilbao, Irun, 01, 17, 20, 25, 26, 31, 43, 48, 50</t>
  </si>
  <si>
    <t>Valencia, Alicante, 02, 03, 05, 09, 13, 24, 33, 34, 39, 46</t>
  </si>
  <si>
    <t>Sevilla, Malaga, La Coruna, 04, 06, 10-16, 18, 19, 21-23, 27, 29, 30, 32, 36, 37, 41, 42, 44, 45, 47, 49</t>
  </si>
  <si>
    <t>07: Mallorca, Menorca, Ibiza</t>
  </si>
  <si>
    <t>35, 38: Gran Canaria, Fuerteventura, Teneriffa, Las Plamas Funchal (Madeira)</t>
  </si>
  <si>
    <t>Andorra</t>
  </si>
  <si>
    <t>Schweiz</t>
  </si>
  <si>
    <t>bis 800 kg</t>
  </si>
  <si>
    <t>bis 1.500 kg</t>
  </si>
  <si>
    <t>bis 1.800 kg</t>
  </si>
  <si>
    <t>bis. 2.500 kg</t>
  </si>
  <si>
    <t>40-44, 80-81, 83-84</t>
  </si>
  <si>
    <t>27-28, 45-49, 50-57, 82, 85-86, 89, 92, 95</t>
  </si>
  <si>
    <t>25-26, 29, 33-34, 60-63, 87-88, 90-91, 93, 96</t>
  </si>
  <si>
    <t>23, 30-32, 35, 94</t>
  </si>
  <si>
    <t>17, 20, 22, 24, 36, 64, 73</t>
  </si>
  <si>
    <t>15, 21, 38, 70</t>
  </si>
  <si>
    <t>10, 13-14, 16, 67, 71-72</t>
  </si>
  <si>
    <t xml:space="preserve">ab Werk Leonberg </t>
  </si>
  <si>
    <t>Vertragslaufzeit</t>
  </si>
  <si>
    <t xml:space="preserve">Der Versand erfolgt ab Leonberg an 2. Abholstellen: </t>
  </si>
  <si>
    <t xml:space="preserve">1. Reinhold-Vöster-Straße 21-29 </t>
  </si>
  <si>
    <t xml:space="preserve">2. Breitwiesenstrasse 8 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</si>
  <si>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</si>
  <si>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t>11-12, 18, 37, 65,66, 69, 76</t>
  </si>
  <si>
    <t>Zone 9</t>
  </si>
  <si>
    <t>Verzollungskosten = € 35,00</t>
  </si>
  <si>
    <t>Kanarische Inseln (PLZ 35+38) -&gt; T1 Erstellung € 90,--€</t>
  </si>
  <si>
    <t>Ausfuhrabfertigung =  € 25,00 pro Verladung</t>
  </si>
  <si>
    <t>In den Frachtsätzen inkludierte Kosten:</t>
  </si>
  <si>
    <t>Mobility Package für Austria, Spanien, Frankreich, Italien und England</t>
  </si>
  <si>
    <t>Verzollungskosten = € 35,00  // Währungsfloater gem. Anlage</t>
  </si>
  <si>
    <t>Exkludierte Kosten:</t>
  </si>
  <si>
    <t>Dieselfloater gem. Anlage // länderbezogene Kosten wie im Tarif genannt</t>
  </si>
  <si>
    <t xml:space="preserve">Zusatzkosten für PLZ IT-00 gem. Email von Accounting vom 31.07.2024 / 15:31 Uhr: </t>
  </si>
  <si>
    <t>für Sendungen &gt; 5 Paletten, &gt; 1000 kg oder einer Bundlänge &gt; 6 Meter</t>
  </si>
  <si>
    <t>Gültig von 01.01.2025 bis 31.12.2025</t>
  </si>
  <si>
    <t>Maut-Mehrkosten ab 01.12.2023 // AT-Mauterhöhung 2025</t>
  </si>
  <si>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</si>
  <si>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</si>
  <si>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</si>
  <si>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</si>
  <si>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</si>
  <si>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</si>
  <si>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Angebot vom:</t>
  </si>
  <si>
    <t>Internationale Spedition GmbH</t>
  </si>
  <si>
    <t>Währungszuschlag Schweiz</t>
  </si>
  <si>
    <t>GEZE GmbH, Reinhold-Vöster-Straße 21-29, DE-71229 Leonberg</t>
  </si>
  <si>
    <t>CHF / EUR KURS</t>
  </si>
  <si>
    <t>Stückgut-sendungen</t>
  </si>
  <si>
    <t>Teil- und Komplett-partien</t>
  </si>
  <si>
    <t>von CHF</t>
  </si>
  <si>
    <t>bis CHF</t>
  </si>
  <si>
    <t>bis 3000 kg</t>
  </si>
  <si>
    <t>ab 3001 kg</t>
  </si>
  <si>
    <t>Bei der Berechnung des Währungsfloaters wurde der deutsche Streckenanteil, der in € beglichen wird, berücksichtigt.</t>
  </si>
  <si>
    <t>Stand:</t>
  </si>
  <si>
    <t>Dieselfloater</t>
  </si>
  <si>
    <t>GEZE GmbH &amp; Co., Reinhold-Vöster-Strasse 21 -29, DE-71229 Leonberg</t>
  </si>
  <si>
    <t>Dieselpreis € pro Liter brutto</t>
  </si>
  <si>
    <t>Treibstoffzuschlag</t>
  </si>
  <si>
    <t>bis</t>
  </si>
  <si>
    <r>
      <t>Basis</t>
    </r>
    <r>
      <rPr>
        <sz val="11"/>
        <color theme="1"/>
        <rFont val="Calibri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</si>
  <si>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</si>
  <si>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</si>
  <si>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</si>
  <si>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</si>
  <si>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</si>
  <si>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Saftey &amp; Security Declaration (ab 01.01.2025) =  € 15,00 pro Verladung = Sendung</t>
  </si>
  <si>
    <t>Irland</t>
  </si>
  <si>
    <t xml:space="preserve">Großbritanien </t>
  </si>
  <si>
    <t>Dublin D22 DE00</t>
  </si>
  <si>
    <t xml:space="preserve">BT3 9LE </t>
  </si>
  <si>
    <t>ab Werk Leonberg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</si>
</sst>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\ &quot;kg&quot;"/>
    <numFmt numFmtId="165" formatCode="0.0000"/>
    <numFmt numFmtId="166" formatCode="0.0%"/>
    <numFmt numFmtId="167" formatCode="#,##0.0000\ &quot;€&quot;;\-#,##0.0000\ &quot;€&quot;"/>
    <numFmt numFmtId="168" formatCode="_-* #,##0.0000\ &quot;€&quot;_-;\-* #,##0.0000\ &quot;€&quot;_-;_-* &quot;-&quot;??\ &quot;€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8">
    <xf numFmtId="0" fontId="0" fillId="0" borderId="0" xfId="0"/>
    <xf numFmtId="44" fontId="0" fillId="0" borderId="0" xfId="1" applyFont="1"/>
    <xf numFmtId="44" fontId="0" fillId="0" borderId="1" xfId="1" applyFont="1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1" xfId="0" applyBorder="1"/>
    <xf numFmtId="0" fontId="5" fillId="0" borderId="0" xfId="2" applyFont="1" applyAlignment="1">
      <alignment vertical="center"/>
    </xf>
    <xf numFmtId="44" fontId="0" fillId="0" borderId="0" xfId="0" applyNumberFormat="1"/>
    <xf numFmtId="44" fontId="0" fillId="0" borderId="0" xfId="1" applyFont="1" applyFill="1" applyBorder="1"/>
    <xf numFmtId="0" fontId="0" fillId="0" borderId="1" xfId="0" applyBorder="1" applyAlignment="1">
      <alignment horizontal="left"/>
    </xf>
    <xf numFmtId="0" fontId="6" fillId="0" borderId="0" xfId="2" applyFont="1" applyAlignment="1">
      <alignment vertical="center"/>
    </xf>
    <xf numFmtId="0" fontId="4" fillId="0" borderId="3" xfId="0" applyFont="1" applyBorder="1"/>
    <xf numFmtId="44" fontId="0" fillId="0" borderId="0" xfId="1" applyFont="1" applyBorder="1"/>
    <xf numFmtId="44" fontId="0" fillId="0" borderId="1" xfId="1" applyFont="1" applyFill="1" applyBorder="1"/>
    <xf numFmtId="0" fontId="0" fillId="0" borderId="5" xfId="0" applyBorder="1"/>
    <xf numFmtId="10" fontId="0" fillId="0" borderId="0" xfId="0" applyNumberFormat="1"/>
    <xf numFmtId="0" fontId="4" fillId="0" borderId="6" xfId="0" applyFont="1" applyBorder="1"/>
    <xf numFmtId="0" fontId="4" fillId="0" borderId="7" xfId="0" applyFont="1" applyBorder="1"/>
    <xf numFmtId="10" fontId="0" fillId="0" borderId="1" xfId="0" applyNumberFormat="1" applyBorder="1"/>
    <xf numFmtId="8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/>
    <xf numFmtId="44" fontId="0" fillId="0" borderId="5" xfId="1" applyFont="1" applyBorder="1"/>
    <xf numFmtId="44" fontId="2" fillId="0" borderId="0" xfId="1" applyFont="1" applyFill="1" applyBorder="1"/>
    <xf numFmtId="0" fontId="8" fillId="0" borderId="0" xfId="0" applyFont="1"/>
    <xf numFmtId="0" fontId="9" fillId="0" borderId="0" xfId="2" applyFont="1" applyAlignment="1">
      <alignment vertical="center"/>
    </xf>
    <xf numFmtId="0" fontId="14" fillId="0" borderId="0" xfId="0" applyFont="1" applyAlignment="1">
      <alignment horizontal="right"/>
    </xf>
    <xf numFmtId="14" fontId="14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164" fontId="2" fillId="3" borderId="14" xfId="1" applyNumberFormat="1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/>
    </xf>
    <xf numFmtId="8" fontId="2" fillId="3" borderId="16" xfId="1" applyNumberFormat="1" applyFont="1" applyFill="1" applyBorder="1" applyAlignment="1">
      <alignment horizontal="center" vertical="center"/>
    </xf>
    <xf numFmtId="44" fontId="2" fillId="3" borderId="15" xfId="1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0" fillId="0" borderId="21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14" fillId="0" borderId="0" xfId="0" applyFont="1"/>
    <xf numFmtId="0" fontId="19" fillId="0" borderId="0" xfId="0" applyFont="1" applyAlignment="1">
      <alignment vertical="center" wrapText="1"/>
    </xf>
    <xf numFmtId="0" fontId="11" fillId="0" borderId="0" xfId="0" applyFont="1"/>
    <xf numFmtId="0" fontId="10" fillId="0" borderId="0" xfId="4" applyAlignment="1"/>
    <xf numFmtId="0" fontId="13" fillId="0" borderId="0" xfId="0" applyFont="1"/>
    <xf numFmtId="14" fontId="0" fillId="0" borderId="0" xfId="0" applyNumberFormat="1"/>
    <xf numFmtId="0" fontId="18" fillId="0" borderId="0" xfId="0" applyFont="1"/>
    <xf numFmtId="0" fontId="2" fillId="0" borderId="0" xfId="0" applyFont="1" applyAlignment="1">
      <alignment horizontal="center" vertical="center"/>
    </xf>
    <xf numFmtId="0" fontId="24" fillId="0" borderId="0" xfId="0" applyFont="1"/>
    <xf numFmtId="168" fontId="0" fillId="0" borderId="0" xfId="1" applyNumberFormat="1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9" fontId="0" fillId="0" borderId="0" xfId="3" applyFont="1" applyFill="1" applyBorder="1"/>
    <xf numFmtId="9" fontId="19" fillId="0" borderId="0" xfId="3" applyFont="1" applyFill="1" applyBorder="1"/>
    <xf numFmtId="0" fontId="0" fillId="0" borderId="0" xfId="0" applyAlignment="1">
      <alignment vertical="center" wrapText="1"/>
    </xf>
    <xf numFmtId="0" fontId="25" fillId="0" borderId="5" xfId="0" applyFont="1" applyBorder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41" xfId="0" applyBorder="1"/>
    <xf numFmtId="0" fontId="0" fillId="0" borderId="40" xfId="0" applyBorder="1"/>
    <xf numFmtId="0" fontId="0" fillId="0" borderId="4" xfId="0" applyBorder="1" applyAlignment="1">
      <alignment horizontal="center"/>
    </xf>
    <xf numFmtId="44" fontId="0" fillId="0" borderId="41" xfId="1" applyFont="1" applyBorder="1" applyAlignment="1">
      <alignment horizontal="center"/>
    </xf>
    <xf numFmtId="0" fontId="0" fillId="0" borderId="34" xfId="0" applyBorder="1"/>
    <xf numFmtId="44" fontId="0" fillId="0" borderId="0" xfId="1" applyFont="1" applyBorder="1" applyAlignment="1">
      <alignment horizontal="center"/>
    </xf>
    <xf numFmtId="166" fontId="0" fillId="0" borderId="20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4" applyAlignment="1">
      <alignment horizontal="left"/>
    </xf>
    <xf numFmtId="0" fontId="13" fillId="0" borderId="0" xfId="0" applyFont="1" applyAlignment="1">
      <alignment horizontal="left"/>
    </xf>
    <xf numFmtId="0" fontId="15" fillId="2" borderId="0" xfId="0" applyFont="1" applyFill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0" fillId="0" borderId="0" xfId="4" applyFill="1" applyBorder="1" applyAlignment="1">
      <alignment horizontal="left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67" fontId="1" fillId="0" borderId="38" xfId="1" applyNumberFormat="1" applyFont="1" applyFill="1" applyBorder="1" applyAlignment="1">
      <alignment horizontal="center" vertical="center"/>
    </xf>
    <xf numFmtId="167" fontId="1" fillId="0" borderId="37" xfId="1" applyNumberFormat="1" applyFont="1" applyFill="1" applyBorder="1" applyAlignment="1">
      <alignment horizontal="center" vertical="center"/>
    </xf>
    <xf numFmtId="166" fontId="0" fillId="0" borderId="38" xfId="3" applyNumberFormat="1" applyFont="1" applyFill="1" applyBorder="1" applyAlignment="1">
      <alignment horizontal="center" vertical="center"/>
    </xf>
    <xf numFmtId="166" fontId="0" fillId="0" borderId="39" xfId="3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7" fontId="1" fillId="0" borderId="34" xfId="1" applyNumberFormat="1" applyFont="1" applyFill="1" applyBorder="1" applyAlignment="1">
      <alignment horizontal="center" vertical="center"/>
    </xf>
    <xf numFmtId="167" fontId="1" fillId="0" borderId="4" xfId="1" applyNumberFormat="1" applyFont="1" applyFill="1" applyBorder="1" applyAlignment="1">
      <alignment horizontal="center" vertical="center"/>
    </xf>
    <xf numFmtId="166" fontId="0" fillId="0" borderId="34" xfId="3" applyNumberFormat="1" applyFont="1" applyFill="1" applyBorder="1" applyAlignment="1">
      <alignment horizontal="center" vertical="center"/>
    </xf>
    <xf numFmtId="166" fontId="0" fillId="0" borderId="35" xfId="3" applyNumberFormat="1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/>
    </xf>
    <xf numFmtId="164" fontId="2" fillId="2" borderId="30" xfId="0" applyNumberFormat="1" applyFont="1" applyFill="1" applyBorder="1" applyAlignment="1">
      <alignment horizontal="center" vertical="center"/>
    </xf>
    <xf numFmtId="167" fontId="1" fillId="0" borderId="31" xfId="1" applyNumberFormat="1" applyFont="1" applyFill="1" applyBorder="1" applyAlignment="1">
      <alignment horizontal="center" vertical="center"/>
    </xf>
    <xf numFmtId="167" fontId="1" fillId="0" borderId="30" xfId="1" applyNumberFormat="1" applyFont="1" applyFill="1" applyBorder="1" applyAlignment="1">
      <alignment horizontal="center" vertical="center"/>
    </xf>
    <xf numFmtId="166" fontId="0" fillId="0" borderId="31" xfId="3" applyNumberFormat="1" applyFont="1" applyFill="1" applyBorder="1" applyAlignment="1">
      <alignment horizontal="center" vertical="center"/>
    </xf>
    <xf numFmtId="166" fontId="0" fillId="0" borderId="32" xfId="3" applyNumberFormat="1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wrapText="1"/>
    </xf>
    <xf numFmtId="0" fontId="23" fillId="0" borderId="24" xfId="0" applyFont="1" applyBorder="1" applyAlignment="1">
      <alignment horizontal="center" wrapText="1"/>
    </xf>
    <xf numFmtId="0" fontId="23" fillId="0" borderId="25" xfId="0" applyFont="1" applyBorder="1" applyAlignment="1">
      <alignment horizontal="center" wrapText="1"/>
    </xf>
    <xf numFmtId="0" fontId="18" fillId="0" borderId="26" xfId="0" applyFont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44" fontId="0" fillId="0" borderId="1" xfId="0" applyNumberFormat="1" applyBorder="1"/>
  </cellXfs>
  <cellStyles count="5">
    <cellStyle name="Link" xfId="4" builtinId="8"/>
    <cellStyle name="Normal" xfId="2" xr:uid="{00000000-0005-0000-0000-000000000000}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142875</xdr:rowOff>
    </xdr:from>
    <xdr:to>
      <xdr:col>0</xdr:col>
      <xdr:colOff>2152650</xdr:colOff>
      <xdr:row>4</xdr:row>
      <xdr:rowOff>24765</xdr:rowOff>
    </xdr:to>
    <xdr:pic>
      <xdr:nvPicPr>
        <xdr:cNvPr id="3" name="Grafik 2" descr="Bildergebnis für geze logo">
          <a:extLst>
            <a:ext uri="{FF2B5EF4-FFF2-40B4-BE49-F238E27FC236}">
              <a16:creationId xmlns:a16="http://schemas.microsoft.com/office/drawing/2014/main" id="{B1274465-EE39-4EE0-9575-69B458FF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2875"/>
          <a:ext cx="1971675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142875</xdr:colOff>
      <xdr:row>0</xdr:row>
      <xdr:rowOff>152400</xdr:rowOff>
    </xdr:from>
    <xdr:to>
      <xdr:col>15</xdr:col>
      <xdr:colOff>714018</xdr:colOff>
      <xdr:row>5</xdr:row>
      <xdr:rowOff>18948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BB2E05E-F9D1-40BD-B76F-D50EFBCE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3025" y="152400"/>
          <a:ext cx="2857143" cy="8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0</xdr:row>
      <xdr:rowOff>190500</xdr:rowOff>
    </xdr:from>
    <xdr:to>
      <xdr:col>7</xdr:col>
      <xdr:colOff>717173</xdr:colOff>
      <xdr:row>2</xdr:row>
      <xdr:rowOff>180902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CFB2B0D-A6AC-4438-B7F5-CACE22988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190500"/>
          <a:ext cx="1907798" cy="457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3CB58C2-73CE-4555-B40E-00AF2333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pedition-erk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topLeftCell="A24" zoomScaleNormal="100" workbookViewId="0">
      <selection activeCell="M50" sqref="M50"/>
    </sheetView>
  </sheetViews>
  <sheetFormatPr baseColWidth="10" defaultRowHeight="15" x14ac:dyDescent="0.25"/>
  <cols>
    <col min="1" max="1" width="41" bestFit="1" customWidth="1"/>
    <col min="2" max="2" width="91.28515625" bestFit="1" customWidth="1"/>
  </cols>
  <sheetData>
    <row r="1" spans="1:10" x14ac:dyDescent="0.25">
      <c r="B1" s="25" t="s">
        <v>90</v>
      </c>
      <c r="C1" s="3"/>
    </row>
    <row r="2" spans="1:10" x14ac:dyDescent="0.25">
      <c r="B2" t="s">
        <v>91</v>
      </c>
    </row>
    <row r="3" spans="1:10" x14ac:dyDescent="0.25">
      <c r="B3" s="3" t="s">
        <v>98</v>
      </c>
      <c r="C3" s="7" t="s">
        <v>81</v>
      </c>
    </row>
    <row r="4" spans="1:10" x14ac:dyDescent="0.25">
      <c r="B4" s="25" t="s">
        <v>93</v>
      </c>
      <c r="C4" s="7" t="s">
        <v>82</v>
      </c>
    </row>
    <row r="5" spans="1:10" x14ac:dyDescent="0.25">
      <c r="B5" t="s">
        <v>94</v>
      </c>
      <c r="C5" s="7" t="s">
        <v>83</v>
      </c>
    </row>
    <row r="6" spans="1:10" x14ac:dyDescent="0.25">
      <c r="B6" s="26" t="s">
        <v>80</v>
      </c>
    </row>
    <row r="7" spans="1:10" ht="15.75" thickBot="1" x14ac:dyDescent="0.3">
      <c r="B7" s="11" t="s">
        <v>97</v>
      </c>
    </row>
    <row r="8" spans="1:10" x14ac:dyDescent="0.25">
      <c r="A8" s="5" t="s">
        <v>0</v>
      </c>
      <c r="I8" s="21"/>
      <c r="J8" s="20"/>
    </row>
    <row r="9" spans="1:10" x14ac:dyDescent="0.25">
      <c r="A9" s="6" t="s">
        <v>79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10" x14ac:dyDescent="0.25">
      <c r="A10" s="6" t="s">
        <v>9</v>
      </c>
      <c r="B10" s="6" t="s">
        <v>10</v>
      </c>
      <c r="C10" s="2">
        <v>58.96</v>
      </c>
      <c r="D10" s="2">
        <v>41.23</v>
      </c>
      <c r="E10" s="2">
        <v>39.07</v>
      </c>
      <c r="F10" s="2">
        <v>35.79</v>
      </c>
      <c r="G10" s="2">
        <v>33.950000000000003</v>
      </c>
      <c r="H10" s="2">
        <v>33.74</v>
      </c>
      <c r="I10" s="2">
        <v>33.54</v>
      </c>
    </row>
    <row r="11" spans="1:10" x14ac:dyDescent="0.25">
      <c r="A11" s="6" t="s">
        <v>11</v>
      </c>
      <c r="B11" s="6" t="s">
        <v>12</v>
      </c>
      <c r="C11" s="2">
        <v>58.96</v>
      </c>
      <c r="D11" s="2">
        <v>41.23</v>
      </c>
      <c r="E11" s="2">
        <v>39.07</v>
      </c>
      <c r="F11" s="2">
        <v>35.79</v>
      </c>
      <c r="G11" s="2">
        <v>33.950000000000003</v>
      </c>
      <c r="H11" s="2">
        <v>33.74</v>
      </c>
      <c r="I11" s="2">
        <v>33.54</v>
      </c>
    </row>
    <row r="12" spans="1:10" x14ac:dyDescent="0.25">
      <c r="A12" s="6" t="s">
        <v>13</v>
      </c>
      <c r="B12" s="6" t="s">
        <v>14</v>
      </c>
      <c r="C12" s="2">
        <v>58.96</v>
      </c>
      <c r="D12" s="2">
        <v>41.23</v>
      </c>
      <c r="E12" s="2">
        <v>39.07</v>
      </c>
      <c r="F12" s="2">
        <v>35.79</v>
      </c>
      <c r="G12" s="2">
        <v>33.950000000000003</v>
      </c>
      <c r="H12" s="2">
        <v>33.74</v>
      </c>
      <c r="I12" s="2">
        <v>33.54</v>
      </c>
    </row>
    <row r="13" spans="1:10" x14ac:dyDescent="0.25">
      <c r="A13" s="6" t="s">
        <v>15</v>
      </c>
      <c r="B13" s="6" t="s">
        <v>16</v>
      </c>
      <c r="C13" s="2">
        <v>78.23</v>
      </c>
      <c r="D13" s="2">
        <v>49.63</v>
      </c>
      <c r="E13" s="2">
        <v>46.15</v>
      </c>
      <c r="F13" s="2">
        <v>40.71</v>
      </c>
      <c r="G13" s="2">
        <v>37.950000000000003</v>
      </c>
      <c r="H13" s="2">
        <v>37.43</v>
      </c>
      <c r="I13" s="2">
        <v>37.130000000000003</v>
      </c>
    </row>
    <row r="16" spans="1:10" ht="15.75" thickBot="1" x14ac:dyDescent="0.3"/>
    <row r="17" spans="1:17" x14ac:dyDescent="0.25">
      <c r="A17" s="5" t="s">
        <v>131</v>
      </c>
      <c r="N17" s="21"/>
      <c r="O17" s="20"/>
    </row>
    <row r="18" spans="1:17" x14ac:dyDescent="0.25">
      <c r="A18" s="6" t="s">
        <v>79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8</v>
      </c>
      <c r="I18" s="6" t="s">
        <v>17</v>
      </c>
      <c r="J18" s="6" t="s">
        <v>18</v>
      </c>
      <c r="K18" s="6" t="s">
        <v>19</v>
      </c>
      <c r="L18" s="6" t="s">
        <v>20</v>
      </c>
      <c r="M18" s="6" t="s">
        <v>21</v>
      </c>
      <c r="N18" s="6" t="s">
        <v>22</v>
      </c>
      <c r="O18" s="6" t="s">
        <v>23</v>
      </c>
      <c r="P18" s="6" t="s">
        <v>24</v>
      </c>
    </row>
    <row r="19" spans="1:17" x14ac:dyDescent="0.25">
      <c r="A19" s="6" t="s">
        <v>9</v>
      </c>
      <c r="B19" s="6" t="s">
        <v>25</v>
      </c>
      <c r="C19" s="2">
        <v>83.29</v>
      </c>
      <c r="D19" s="2">
        <v>50.05</v>
      </c>
      <c r="E19" s="2">
        <v>47.99</v>
      </c>
      <c r="F19" s="2">
        <v>45.47</v>
      </c>
      <c r="G19" s="2">
        <v>44.8</v>
      </c>
      <c r="H19" s="2">
        <v>43.83</v>
      </c>
      <c r="I19" s="2">
        <v>42.74</v>
      </c>
      <c r="J19" s="2">
        <v>41.1</v>
      </c>
      <c r="K19" s="2">
        <v>39.04</v>
      </c>
      <c r="L19" s="2">
        <v>36.880000000000003</v>
      </c>
      <c r="M19" s="2">
        <v>32.200000000000003</v>
      </c>
      <c r="N19" s="2">
        <v>28.8</v>
      </c>
      <c r="O19" s="2">
        <v>24.43</v>
      </c>
      <c r="P19" s="2">
        <v>21.08</v>
      </c>
    </row>
    <row r="20" spans="1:17" x14ac:dyDescent="0.25">
      <c r="A20" s="6" t="s">
        <v>11</v>
      </c>
      <c r="B20" s="6" t="s">
        <v>26</v>
      </c>
      <c r="C20" s="2">
        <v>89.15</v>
      </c>
      <c r="D20" s="2">
        <v>59.31</v>
      </c>
      <c r="E20" s="2">
        <v>56.48</v>
      </c>
      <c r="F20" s="2">
        <v>55.71</v>
      </c>
      <c r="G20" s="2">
        <v>53.86</v>
      </c>
      <c r="H20" s="2">
        <v>51.8</v>
      </c>
      <c r="I20" s="2">
        <v>51.03</v>
      </c>
      <c r="J20" s="2">
        <v>49.48</v>
      </c>
      <c r="K20" s="2">
        <v>45.27</v>
      </c>
      <c r="L20" s="2">
        <v>40.58</v>
      </c>
      <c r="M20" s="2">
        <v>36.31</v>
      </c>
      <c r="N20" s="2">
        <v>28.49</v>
      </c>
      <c r="O20" s="2">
        <v>23.76</v>
      </c>
      <c r="P20" s="2">
        <v>20.83</v>
      </c>
    </row>
    <row r="21" spans="1:17" x14ac:dyDescent="0.25">
      <c r="A21" s="6" t="s">
        <v>13</v>
      </c>
      <c r="B21" s="6" t="s">
        <v>27</v>
      </c>
      <c r="C21" s="2">
        <v>108.81</v>
      </c>
      <c r="D21" s="2">
        <v>85.35</v>
      </c>
      <c r="E21" s="2">
        <v>82.41</v>
      </c>
      <c r="F21" s="2">
        <v>77.16</v>
      </c>
      <c r="G21" s="2">
        <v>73.459999999999994</v>
      </c>
      <c r="H21" s="2">
        <v>68.98</v>
      </c>
      <c r="I21" s="2">
        <v>67.8</v>
      </c>
      <c r="J21" s="2">
        <v>66.05</v>
      </c>
      <c r="K21" s="2">
        <v>63.12</v>
      </c>
      <c r="L21" s="2">
        <v>60.19</v>
      </c>
      <c r="M21" s="2">
        <v>50.15</v>
      </c>
      <c r="N21" s="2">
        <v>40.89</v>
      </c>
      <c r="O21" s="2">
        <v>35.130000000000003</v>
      </c>
      <c r="P21" s="2">
        <v>30.86</v>
      </c>
    </row>
    <row r="22" spans="1:17" x14ac:dyDescent="0.25">
      <c r="A22" s="6" t="s">
        <v>15</v>
      </c>
      <c r="B22" s="6" t="s">
        <v>133</v>
      </c>
      <c r="C22" s="2">
        <v>106.65</v>
      </c>
      <c r="D22" s="2">
        <v>90.39</v>
      </c>
      <c r="E22" s="2">
        <v>87.45</v>
      </c>
      <c r="F22" s="2">
        <v>85.71</v>
      </c>
      <c r="G22" s="2">
        <v>83.96</v>
      </c>
      <c r="H22" s="2">
        <v>82.26</v>
      </c>
      <c r="I22" s="2">
        <v>80.41</v>
      </c>
      <c r="J22" s="2">
        <v>78.66</v>
      </c>
      <c r="K22" s="2">
        <v>76.91</v>
      </c>
      <c r="L22" s="2">
        <v>71.66</v>
      </c>
      <c r="M22" s="2">
        <v>62.3</v>
      </c>
      <c r="N22" s="2">
        <v>48.87</v>
      </c>
      <c r="O22" s="2">
        <v>40.07</v>
      </c>
      <c r="P22" s="2">
        <v>35.49</v>
      </c>
    </row>
    <row r="23" spans="1:17" x14ac:dyDescent="0.25">
      <c r="C23" s="12" t="s">
        <v>87</v>
      </c>
      <c r="D23" s="4"/>
      <c r="H23" s="66" t="s">
        <v>129</v>
      </c>
    </row>
    <row r="24" spans="1:17" x14ac:dyDescent="0.25">
      <c r="C24" s="18" t="s">
        <v>89</v>
      </c>
    </row>
    <row r="25" spans="1:17" ht="15.75" thickBot="1" x14ac:dyDescent="0.3">
      <c r="A25" s="70"/>
    </row>
    <row r="26" spans="1:17" x14ac:dyDescent="0.25">
      <c r="A26" s="5" t="s">
        <v>130</v>
      </c>
      <c r="Q26" s="31"/>
    </row>
    <row r="27" spans="1:17" x14ac:dyDescent="0.25">
      <c r="A27" s="73" t="s">
        <v>134</v>
      </c>
      <c r="B27" s="6" t="s">
        <v>1</v>
      </c>
      <c r="C27" s="71" t="s">
        <v>2</v>
      </c>
      <c r="D27" s="67" t="s">
        <v>3</v>
      </c>
      <c r="E27" s="67" t="s">
        <v>4</v>
      </c>
      <c r="F27" s="67" t="s">
        <v>5</v>
      </c>
      <c r="G27" s="67" t="s">
        <v>6</v>
      </c>
      <c r="H27" s="67" t="s">
        <v>8</v>
      </c>
      <c r="I27" s="67" t="s">
        <v>17</v>
      </c>
      <c r="J27" s="67" t="s">
        <v>18</v>
      </c>
      <c r="K27" s="67" t="s">
        <v>19</v>
      </c>
      <c r="L27" s="67" t="s">
        <v>20</v>
      </c>
      <c r="M27" s="67" t="s">
        <v>21</v>
      </c>
      <c r="N27" s="67" t="s">
        <v>22</v>
      </c>
      <c r="O27" s="67" t="s">
        <v>23</v>
      </c>
      <c r="P27" s="67" t="s">
        <v>24</v>
      </c>
      <c r="Q27" s="31"/>
    </row>
    <row r="28" spans="1:17" x14ac:dyDescent="0.25">
      <c r="A28" s="69" t="s">
        <v>9</v>
      </c>
      <c r="B28" s="69" t="s">
        <v>132</v>
      </c>
      <c r="C28" s="72">
        <v>106.65</v>
      </c>
      <c r="D28" s="68">
        <v>90.39</v>
      </c>
      <c r="E28" s="68">
        <v>87.45</v>
      </c>
      <c r="F28" s="68">
        <v>85.71</v>
      </c>
      <c r="G28" s="68">
        <v>83.96</v>
      </c>
      <c r="H28" s="68">
        <v>82.26</v>
      </c>
      <c r="I28" s="68">
        <v>80.41</v>
      </c>
      <c r="J28" s="68">
        <v>78.66</v>
      </c>
      <c r="K28" s="68">
        <v>76.91</v>
      </c>
      <c r="L28" s="68">
        <v>71.66</v>
      </c>
      <c r="M28" s="68">
        <v>62.3</v>
      </c>
      <c r="N28" s="68">
        <v>48.87</v>
      </c>
      <c r="O28" s="68">
        <v>40.07</v>
      </c>
      <c r="P28" s="68">
        <v>35.49</v>
      </c>
      <c r="Q28" s="31"/>
    </row>
    <row r="29" spans="1:17" x14ac:dyDescent="0.25"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31"/>
    </row>
    <row r="30" spans="1:17" x14ac:dyDescent="0.25"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31"/>
    </row>
    <row r="31" spans="1:17" ht="15.75" thickBot="1" x14ac:dyDescent="0.3"/>
    <row r="32" spans="1:17" x14ac:dyDescent="0.25">
      <c r="A32" s="5" t="s">
        <v>28</v>
      </c>
      <c r="M32" s="21"/>
      <c r="N32" s="20"/>
    </row>
    <row r="33" spans="1:16" x14ac:dyDescent="0.25">
      <c r="A33" s="6" t="s">
        <v>79</v>
      </c>
      <c r="B33" s="6" t="s">
        <v>1</v>
      </c>
      <c r="C33" s="6" t="s">
        <v>2</v>
      </c>
      <c r="D33" s="6" t="s">
        <v>3</v>
      </c>
      <c r="E33" s="6" t="s">
        <v>4</v>
      </c>
      <c r="F33" s="6" t="s">
        <v>5</v>
      </c>
      <c r="G33" s="6" t="s">
        <v>6</v>
      </c>
      <c r="H33" s="6" t="s">
        <v>7</v>
      </c>
      <c r="I33" s="6" t="s">
        <v>8</v>
      </c>
      <c r="J33" s="6" t="s">
        <v>17</v>
      </c>
      <c r="K33" s="6" t="s">
        <v>18</v>
      </c>
      <c r="L33" s="6" t="s">
        <v>19</v>
      </c>
      <c r="M33" s="6" t="s">
        <v>20</v>
      </c>
      <c r="N33" s="6" t="s">
        <v>21</v>
      </c>
    </row>
    <row r="34" spans="1:16" x14ac:dyDescent="0.25">
      <c r="A34" s="6" t="s">
        <v>9</v>
      </c>
      <c r="B34" s="6" t="s">
        <v>29</v>
      </c>
      <c r="C34" s="2">
        <v>26.06</v>
      </c>
      <c r="D34" s="2">
        <v>24.67</v>
      </c>
      <c r="E34" s="2">
        <v>23.74</v>
      </c>
      <c r="F34" s="2">
        <v>23.74</v>
      </c>
      <c r="G34" s="2">
        <v>22.2</v>
      </c>
      <c r="H34" s="2">
        <v>21.53</v>
      </c>
      <c r="I34" s="2">
        <v>21.01</v>
      </c>
      <c r="J34" s="2">
        <v>20.45</v>
      </c>
      <c r="K34" s="2">
        <v>19.670000000000002</v>
      </c>
      <c r="L34" s="2">
        <v>19.11</v>
      </c>
      <c r="M34" s="19"/>
      <c r="N34" s="6"/>
    </row>
    <row r="35" spans="1:16" x14ac:dyDescent="0.25">
      <c r="A35" s="6" t="s">
        <v>11</v>
      </c>
      <c r="B35" s="6" t="s">
        <v>30</v>
      </c>
      <c r="C35" s="2">
        <v>44.96</v>
      </c>
      <c r="D35" s="2">
        <v>38.83</v>
      </c>
      <c r="E35" s="2">
        <v>37.340000000000003</v>
      </c>
      <c r="F35" s="2">
        <v>34.71</v>
      </c>
      <c r="G35" s="2">
        <v>33.11</v>
      </c>
      <c r="H35" s="2">
        <v>30.9</v>
      </c>
      <c r="I35" s="2">
        <v>26.27</v>
      </c>
      <c r="J35" s="2">
        <v>25.7</v>
      </c>
      <c r="K35" s="2">
        <v>25.18</v>
      </c>
      <c r="L35" s="2">
        <v>24.62</v>
      </c>
      <c r="M35" s="2">
        <v>22.56</v>
      </c>
      <c r="N35" s="2">
        <v>19.98</v>
      </c>
    </row>
    <row r="36" spans="1:16" x14ac:dyDescent="0.25">
      <c r="A36" s="6" t="s">
        <v>13</v>
      </c>
      <c r="B36" s="6" t="s">
        <v>31</v>
      </c>
      <c r="C36" s="2">
        <v>53.87</v>
      </c>
      <c r="D36" s="2">
        <v>43.98</v>
      </c>
      <c r="E36" s="2">
        <v>42.23</v>
      </c>
      <c r="F36" s="2">
        <v>42.23</v>
      </c>
      <c r="G36" s="2">
        <v>38.520000000000003</v>
      </c>
      <c r="H36" s="2">
        <v>32.24</v>
      </c>
      <c r="I36" s="2">
        <v>30.18</v>
      </c>
      <c r="J36" s="2">
        <v>29.51</v>
      </c>
      <c r="K36" s="2">
        <v>29.05</v>
      </c>
      <c r="L36" s="2">
        <v>28.43</v>
      </c>
      <c r="M36" s="19"/>
      <c r="N36" s="6"/>
    </row>
    <row r="37" spans="1:16" x14ac:dyDescent="0.25">
      <c r="A37" s="6" t="s">
        <v>15</v>
      </c>
      <c r="B37" s="6" t="s">
        <v>32</v>
      </c>
      <c r="C37" s="2">
        <v>50.32</v>
      </c>
      <c r="D37" s="2">
        <v>46.3</v>
      </c>
      <c r="E37" s="2">
        <v>44.65</v>
      </c>
      <c r="F37" s="2">
        <v>40.43</v>
      </c>
      <c r="G37" s="2">
        <v>38.26</v>
      </c>
      <c r="H37" s="2">
        <v>37.08</v>
      </c>
      <c r="I37" s="2">
        <v>35.229999999999997</v>
      </c>
      <c r="J37" s="2">
        <v>34.450000000000003</v>
      </c>
      <c r="K37" s="2">
        <v>33.89</v>
      </c>
      <c r="L37" s="2">
        <v>32.81</v>
      </c>
      <c r="M37" s="19"/>
      <c r="N37" s="6"/>
    </row>
    <row r="38" spans="1:16" x14ac:dyDescent="0.25">
      <c r="A38" s="6" t="s">
        <v>33</v>
      </c>
      <c r="B38" s="6" t="s">
        <v>34</v>
      </c>
      <c r="C38" s="2">
        <v>51.6</v>
      </c>
      <c r="D38" s="2">
        <v>47.17</v>
      </c>
      <c r="E38" s="2">
        <v>44.86</v>
      </c>
      <c r="F38" s="2">
        <v>43.67</v>
      </c>
      <c r="G38" s="2">
        <v>42.08</v>
      </c>
      <c r="H38" s="2">
        <v>40.32</v>
      </c>
      <c r="I38" s="2">
        <v>39.24</v>
      </c>
      <c r="J38" s="2">
        <v>38.78</v>
      </c>
      <c r="K38" s="2">
        <v>37.700000000000003</v>
      </c>
      <c r="L38" s="2">
        <v>36.619999999999997</v>
      </c>
      <c r="M38" s="19"/>
      <c r="N38" s="6"/>
    </row>
    <row r="39" spans="1:16" x14ac:dyDescent="0.25">
      <c r="A39" s="6" t="s">
        <v>35</v>
      </c>
      <c r="B39" s="6" t="s">
        <v>36</v>
      </c>
      <c r="C39" s="2">
        <v>58.09</v>
      </c>
      <c r="D39" s="2">
        <v>51.86</v>
      </c>
      <c r="E39" s="2">
        <v>49.39</v>
      </c>
      <c r="F39" s="2">
        <v>48.62</v>
      </c>
      <c r="G39" s="2">
        <v>46.25</v>
      </c>
      <c r="H39" s="2">
        <v>43.72</v>
      </c>
      <c r="I39" s="2">
        <v>46.25</v>
      </c>
      <c r="J39" s="2">
        <v>45.17</v>
      </c>
      <c r="K39" s="2">
        <v>44.6</v>
      </c>
      <c r="L39" s="2">
        <v>44.03</v>
      </c>
      <c r="M39" s="19"/>
      <c r="N39" s="6"/>
    </row>
    <row r="40" spans="1:16" x14ac:dyDescent="0.25">
      <c r="C40" s="23"/>
      <c r="D40" s="13"/>
      <c r="E40" s="13"/>
      <c r="F40" s="13"/>
      <c r="G40" s="13"/>
      <c r="H40" s="13"/>
      <c r="I40" s="13"/>
      <c r="J40" s="13"/>
      <c r="K40" s="13"/>
      <c r="L40" s="13"/>
      <c r="M40" s="16"/>
    </row>
    <row r="41" spans="1:16" x14ac:dyDescent="0.25">
      <c r="A41" s="22" t="s">
        <v>95</v>
      </c>
      <c r="C41" s="24">
        <v>450</v>
      </c>
      <c r="D41" s="3" t="s">
        <v>96</v>
      </c>
    </row>
    <row r="44" spans="1:16" ht="15.75" thickBot="1" x14ac:dyDescent="0.3"/>
    <row r="45" spans="1:16" x14ac:dyDescent="0.25">
      <c r="A45" s="5" t="s">
        <v>37</v>
      </c>
      <c r="L45" s="21"/>
      <c r="M45" s="20"/>
    </row>
    <row r="46" spans="1:16" x14ac:dyDescent="0.25">
      <c r="A46" s="6" t="s">
        <v>79</v>
      </c>
      <c r="B46" s="6" t="s">
        <v>1</v>
      </c>
      <c r="C46" s="6" t="s">
        <v>2</v>
      </c>
      <c r="D46" s="6" t="s">
        <v>3</v>
      </c>
      <c r="E46" s="6" t="s">
        <v>4</v>
      </c>
      <c r="F46" s="6" t="s">
        <v>5</v>
      </c>
      <c r="G46" s="6" t="s">
        <v>6</v>
      </c>
      <c r="H46" s="6" t="s">
        <v>8</v>
      </c>
      <c r="I46" s="6" t="s">
        <v>19</v>
      </c>
      <c r="J46" s="6" t="s">
        <v>20</v>
      </c>
      <c r="K46" s="6" t="s">
        <v>21</v>
      </c>
      <c r="L46" s="6" t="s">
        <v>23</v>
      </c>
      <c r="M46" s="6" t="s">
        <v>24</v>
      </c>
      <c r="O46" s="16"/>
    </row>
    <row r="47" spans="1:16" x14ac:dyDescent="0.25">
      <c r="A47" s="6" t="s">
        <v>9</v>
      </c>
      <c r="B47" s="6" t="s">
        <v>38</v>
      </c>
      <c r="C47" s="2">
        <v>52.45</v>
      </c>
      <c r="D47" s="2">
        <v>46.58</v>
      </c>
      <c r="E47" s="2">
        <v>45.45</v>
      </c>
      <c r="F47" s="2">
        <v>32.07</v>
      </c>
      <c r="G47" s="2">
        <v>23.33</v>
      </c>
      <c r="H47" s="2">
        <v>18.7</v>
      </c>
      <c r="I47" s="2">
        <v>17.149999999999999</v>
      </c>
      <c r="J47" s="2">
        <v>14.07</v>
      </c>
      <c r="K47" s="6"/>
      <c r="L47" s="14"/>
      <c r="M47" s="6"/>
      <c r="N47" s="8"/>
      <c r="O47" s="8"/>
      <c r="P47" s="8"/>
    </row>
    <row r="48" spans="1:16" x14ac:dyDescent="0.25">
      <c r="A48" s="6" t="s">
        <v>11</v>
      </c>
      <c r="B48" s="6" t="s">
        <v>39</v>
      </c>
      <c r="C48" s="2">
        <v>73.39</v>
      </c>
      <c r="D48" s="2">
        <v>64.13</v>
      </c>
      <c r="E48" s="2">
        <v>58.93</v>
      </c>
      <c r="F48" s="2">
        <v>37.58</v>
      </c>
      <c r="G48" s="2">
        <v>31.04</v>
      </c>
      <c r="H48" s="2">
        <v>25.85</v>
      </c>
      <c r="I48" s="2">
        <v>22.86</v>
      </c>
      <c r="J48" s="2">
        <v>20.190000000000001</v>
      </c>
      <c r="K48" s="6"/>
      <c r="L48" s="14"/>
      <c r="M48" s="6"/>
      <c r="N48" s="8"/>
      <c r="O48" s="8"/>
      <c r="P48" s="8"/>
    </row>
    <row r="49" spans="1:16" x14ac:dyDescent="0.25">
      <c r="A49" s="6" t="s">
        <v>13</v>
      </c>
      <c r="B49" s="6" t="s">
        <v>40</v>
      </c>
      <c r="C49" s="2">
        <v>75.7</v>
      </c>
      <c r="D49" s="2">
        <v>66.44</v>
      </c>
      <c r="E49" s="2">
        <v>51.93</v>
      </c>
      <c r="F49" s="2">
        <v>44.52</v>
      </c>
      <c r="G49" s="2">
        <v>34.49</v>
      </c>
      <c r="H49" s="2">
        <v>29.81</v>
      </c>
      <c r="I49" s="2">
        <v>24.72</v>
      </c>
      <c r="J49" s="2">
        <v>24.05</v>
      </c>
      <c r="K49" s="6"/>
      <c r="L49" s="14"/>
      <c r="M49" s="6"/>
      <c r="N49" s="8"/>
      <c r="O49" s="8"/>
      <c r="P49" s="8"/>
    </row>
    <row r="50" spans="1:16" x14ac:dyDescent="0.25">
      <c r="A50" s="6" t="s">
        <v>15</v>
      </c>
      <c r="B50" s="6" t="s">
        <v>41</v>
      </c>
      <c r="C50" s="2">
        <v>85.22</v>
      </c>
      <c r="D50" s="2">
        <v>73.59</v>
      </c>
      <c r="E50" s="2">
        <v>65.930000000000007</v>
      </c>
      <c r="F50" s="2">
        <v>50.34</v>
      </c>
      <c r="G50" s="2">
        <v>39.74</v>
      </c>
      <c r="H50" s="2">
        <v>32.33</v>
      </c>
      <c r="I50" s="2">
        <v>30.02</v>
      </c>
      <c r="J50" s="2">
        <v>28.22</v>
      </c>
      <c r="K50" s="117">
        <f>J50-1.8</f>
        <v>26.419999999999998</v>
      </c>
      <c r="L50" s="117">
        <f t="shared" ref="L50:M50" si="0">K50-1.8</f>
        <v>24.619999999999997</v>
      </c>
      <c r="M50" s="117">
        <f t="shared" si="0"/>
        <v>22.819999999999997</v>
      </c>
      <c r="N50" s="8"/>
      <c r="O50" s="8"/>
      <c r="P50" s="8"/>
    </row>
    <row r="51" spans="1:16" x14ac:dyDescent="0.25">
      <c r="A51" s="6" t="s">
        <v>33</v>
      </c>
      <c r="B51" s="6" t="s">
        <v>42</v>
      </c>
      <c r="C51" s="2">
        <v>92.17</v>
      </c>
      <c r="D51" s="2">
        <v>78.790000000000006</v>
      </c>
      <c r="E51" s="2">
        <v>74.569999999999993</v>
      </c>
      <c r="F51" s="2">
        <v>53.79</v>
      </c>
      <c r="G51" s="2">
        <v>45.04</v>
      </c>
      <c r="H51" s="2">
        <v>37.06</v>
      </c>
      <c r="I51" s="2">
        <v>35.11</v>
      </c>
      <c r="J51" s="2">
        <v>30.68</v>
      </c>
      <c r="K51" s="6"/>
      <c r="L51" s="14"/>
      <c r="M51" s="6"/>
      <c r="N51" s="8"/>
      <c r="O51" s="8"/>
      <c r="P51" s="8"/>
    </row>
    <row r="52" spans="1:16" x14ac:dyDescent="0.25">
      <c r="A52" s="6" t="s">
        <v>35</v>
      </c>
      <c r="B52" s="6" t="s">
        <v>43</v>
      </c>
      <c r="C52" s="2">
        <v>123.24</v>
      </c>
      <c r="D52" s="2">
        <v>90.16</v>
      </c>
      <c r="E52" s="2">
        <v>82.65</v>
      </c>
      <c r="F52" s="2">
        <v>60.63</v>
      </c>
      <c r="G52" s="2">
        <v>52.45</v>
      </c>
      <c r="H52" s="2">
        <v>44.83</v>
      </c>
      <c r="I52" s="2">
        <v>40.61</v>
      </c>
      <c r="J52" s="2">
        <v>38.299999999999997</v>
      </c>
      <c r="K52" s="6"/>
      <c r="L52" s="14"/>
      <c r="M52" s="6"/>
      <c r="N52" s="8"/>
      <c r="O52" s="8"/>
      <c r="P52" s="8"/>
    </row>
    <row r="53" spans="1:16" x14ac:dyDescent="0.25">
      <c r="A53" s="15"/>
      <c r="B53" s="15"/>
    </row>
    <row r="55" spans="1:16" ht="15.75" thickBot="1" x14ac:dyDescent="0.3"/>
    <row r="56" spans="1:16" x14ac:dyDescent="0.25">
      <c r="A56" s="5" t="s">
        <v>44</v>
      </c>
      <c r="L56" s="21"/>
      <c r="M56" s="20"/>
    </row>
    <row r="57" spans="1:16" x14ac:dyDescent="0.25">
      <c r="A57" s="6" t="s">
        <v>79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8</v>
      </c>
      <c r="I57" s="6" t="s">
        <v>19</v>
      </c>
      <c r="J57" s="6" t="s">
        <v>20</v>
      </c>
      <c r="K57" s="6" t="s">
        <v>21</v>
      </c>
      <c r="L57" s="6" t="s">
        <v>23</v>
      </c>
      <c r="M57" s="6" t="s">
        <v>24</v>
      </c>
    </row>
    <row r="58" spans="1:16" x14ac:dyDescent="0.25">
      <c r="A58" s="6" t="s">
        <v>45</v>
      </c>
      <c r="B58" s="6" t="s">
        <v>46</v>
      </c>
      <c r="C58" s="2">
        <v>77.09</v>
      </c>
      <c r="D58" s="2">
        <v>62.89</v>
      </c>
      <c r="E58" s="2">
        <v>54.51</v>
      </c>
      <c r="F58" s="2">
        <v>42.57</v>
      </c>
      <c r="G58" s="2">
        <v>33.51</v>
      </c>
      <c r="H58" s="2">
        <v>26.21</v>
      </c>
      <c r="I58" s="2">
        <v>22.86</v>
      </c>
      <c r="J58" s="2">
        <v>19.98</v>
      </c>
      <c r="K58" s="2">
        <v>17.2</v>
      </c>
      <c r="L58" s="2">
        <v>15.46</v>
      </c>
      <c r="M58" s="2">
        <v>12.21</v>
      </c>
      <c r="O58" s="8"/>
      <c r="P58" s="8"/>
    </row>
    <row r="59" spans="1:16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1" spans="1:16" ht="15.75" thickBot="1" x14ac:dyDescent="0.3"/>
    <row r="62" spans="1:16" x14ac:dyDescent="0.25">
      <c r="A62" s="5" t="s">
        <v>47</v>
      </c>
      <c r="I62" s="21"/>
      <c r="J62" s="20"/>
    </row>
    <row r="63" spans="1:16" x14ac:dyDescent="0.25">
      <c r="A63" s="6" t="s">
        <v>79</v>
      </c>
      <c r="B63" s="6" t="s">
        <v>1</v>
      </c>
      <c r="C63" s="6" t="s">
        <v>2</v>
      </c>
      <c r="D63" s="6" t="s">
        <v>3</v>
      </c>
      <c r="E63" s="6" t="s">
        <v>4</v>
      </c>
      <c r="F63" s="6" t="s">
        <v>5</v>
      </c>
      <c r="G63" s="6" t="s">
        <v>6</v>
      </c>
      <c r="H63" s="6" t="s">
        <v>8</v>
      </c>
      <c r="I63" s="6" t="s">
        <v>19</v>
      </c>
      <c r="J63" s="6" t="s">
        <v>20</v>
      </c>
    </row>
    <row r="64" spans="1:16" x14ac:dyDescent="0.25">
      <c r="A64" s="6" t="s">
        <v>9</v>
      </c>
      <c r="B64" s="6" t="s">
        <v>48</v>
      </c>
      <c r="C64" s="2">
        <v>35.6</v>
      </c>
      <c r="D64" s="2">
        <v>26.13</v>
      </c>
      <c r="E64" s="2">
        <v>25.67</v>
      </c>
      <c r="F64" s="2">
        <v>25.1</v>
      </c>
      <c r="G64" s="2">
        <v>23.75</v>
      </c>
      <c r="H64" s="2">
        <v>22.98</v>
      </c>
      <c r="I64" s="2">
        <v>19.510000000000002</v>
      </c>
      <c r="J64" s="2">
        <v>14.96</v>
      </c>
    </row>
    <row r="65" spans="1:16" x14ac:dyDescent="0.25">
      <c r="A65" s="6" t="s">
        <v>11</v>
      </c>
      <c r="B65" s="6" t="s">
        <v>49</v>
      </c>
      <c r="C65" s="2">
        <v>45.33</v>
      </c>
      <c r="D65" s="2">
        <v>34.26</v>
      </c>
      <c r="E65" s="2">
        <v>32.6</v>
      </c>
      <c r="F65" s="2">
        <v>29.03</v>
      </c>
      <c r="G65" s="2">
        <v>26.81</v>
      </c>
      <c r="H65" s="2">
        <v>26.13</v>
      </c>
      <c r="I65" s="2">
        <v>20.96</v>
      </c>
      <c r="J65" s="2">
        <v>16.87</v>
      </c>
    </row>
    <row r="66" spans="1:16" x14ac:dyDescent="0.25">
      <c r="A66" s="6" t="s">
        <v>13</v>
      </c>
      <c r="B66" s="6" t="s">
        <v>50</v>
      </c>
      <c r="C66" s="2">
        <v>30.33</v>
      </c>
      <c r="D66" s="2">
        <v>26.08</v>
      </c>
      <c r="E66" s="2">
        <v>25.41</v>
      </c>
      <c r="F66" s="2">
        <v>24.43</v>
      </c>
      <c r="G66" s="2">
        <v>23.86</v>
      </c>
      <c r="H66" s="2">
        <v>23.18</v>
      </c>
      <c r="I66" s="2">
        <v>20.39</v>
      </c>
      <c r="J66" s="2">
        <v>19.98</v>
      </c>
    </row>
    <row r="67" spans="1:16" x14ac:dyDescent="0.25">
      <c r="A67" s="6" t="s">
        <v>15</v>
      </c>
      <c r="B67" s="6" t="s">
        <v>51</v>
      </c>
      <c r="C67" s="2">
        <v>35.14</v>
      </c>
      <c r="D67" s="2">
        <v>31.46</v>
      </c>
      <c r="E67" s="2">
        <v>30.58</v>
      </c>
      <c r="F67" s="2">
        <v>29.81</v>
      </c>
      <c r="G67" s="2">
        <v>27.69</v>
      </c>
      <c r="H67" s="2">
        <v>25.67</v>
      </c>
      <c r="I67" s="2">
        <v>20.86</v>
      </c>
      <c r="J67" s="2">
        <v>20.18</v>
      </c>
    </row>
    <row r="68" spans="1:16" x14ac:dyDescent="0.25">
      <c r="A68" s="6" t="s">
        <v>33</v>
      </c>
      <c r="B68" s="6" t="s">
        <v>52</v>
      </c>
      <c r="C68" s="2">
        <v>31.05</v>
      </c>
      <c r="D68" s="2">
        <v>27.79</v>
      </c>
      <c r="E68" s="2">
        <v>24.32</v>
      </c>
      <c r="F68" s="2">
        <v>23.44</v>
      </c>
      <c r="G68" s="2">
        <v>22.67</v>
      </c>
      <c r="H68" s="2">
        <v>19.98</v>
      </c>
      <c r="I68" s="2">
        <v>17.079999999999998</v>
      </c>
      <c r="J68" s="2">
        <v>15.53</v>
      </c>
    </row>
    <row r="69" spans="1:16" x14ac:dyDescent="0.25">
      <c r="A69" s="6" t="s">
        <v>35</v>
      </c>
      <c r="B69" s="6" t="s">
        <v>53</v>
      </c>
      <c r="C69" s="2">
        <v>32.14</v>
      </c>
      <c r="D69" s="2">
        <v>29.03</v>
      </c>
      <c r="E69" s="2">
        <v>25.56</v>
      </c>
      <c r="F69" s="2">
        <v>24.53</v>
      </c>
      <c r="G69" s="2">
        <v>23.86</v>
      </c>
      <c r="H69" s="2">
        <v>21.17</v>
      </c>
      <c r="I69" s="2">
        <v>18.16</v>
      </c>
      <c r="J69" s="2">
        <v>16.61</v>
      </c>
      <c r="K69">
        <f>+I69*40</f>
        <v>726.4</v>
      </c>
      <c r="L69">
        <f>+K69/1.035</f>
        <v>701.83574879227058</v>
      </c>
    </row>
    <row r="70" spans="1:16" x14ac:dyDescent="0.25">
      <c r="A70" s="6" t="s">
        <v>45</v>
      </c>
      <c r="B70" s="6" t="s">
        <v>54</v>
      </c>
      <c r="C70" s="2">
        <v>38.61</v>
      </c>
      <c r="D70" s="2">
        <v>31.21</v>
      </c>
      <c r="E70" s="2">
        <v>28</v>
      </c>
      <c r="F70" s="2">
        <v>26.55</v>
      </c>
      <c r="G70" s="2">
        <v>24.06</v>
      </c>
      <c r="H70" s="2">
        <v>21.94</v>
      </c>
      <c r="I70" s="2">
        <v>20.39</v>
      </c>
      <c r="J70" s="2">
        <v>19.61</v>
      </c>
    </row>
    <row r="71" spans="1:16" x14ac:dyDescent="0.25">
      <c r="A71" s="6" t="s">
        <v>55</v>
      </c>
      <c r="B71" s="6" t="s">
        <v>56</v>
      </c>
      <c r="C71" s="2">
        <v>57.7</v>
      </c>
      <c r="D71" s="2">
        <v>42.59</v>
      </c>
      <c r="E71" s="2">
        <v>36.79</v>
      </c>
      <c r="F71" s="2">
        <v>34.57</v>
      </c>
      <c r="G71" s="2">
        <v>31.46</v>
      </c>
      <c r="H71" s="2">
        <v>29.08</v>
      </c>
      <c r="I71" s="2">
        <v>24.06</v>
      </c>
      <c r="J71" s="2">
        <v>20.6</v>
      </c>
    </row>
    <row r="75" spans="1:16" ht="15.75" thickBot="1" x14ac:dyDescent="0.3"/>
    <row r="76" spans="1:16" x14ac:dyDescent="0.25">
      <c r="A76" s="5" t="s">
        <v>57</v>
      </c>
      <c r="L76" s="21"/>
      <c r="M76" s="20"/>
    </row>
    <row r="77" spans="1:16" x14ac:dyDescent="0.25">
      <c r="A77" s="6" t="s">
        <v>79</v>
      </c>
      <c r="B77" s="6" t="s">
        <v>1</v>
      </c>
      <c r="C77" s="6" t="s">
        <v>2</v>
      </c>
      <c r="D77" s="6" t="s">
        <v>3</v>
      </c>
      <c r="E77" s="6" t="s">
        <v>4</v>
      </c>
      <c r="F77" s="6" t="s">
        <v>5</v>
      </c>
      <c r="G77" s="6" t="s">
        <v>6</v>
      </c>
      <c r="H77" s="6" t="s">
        <v>7</v>
      </c>
      <c r="I77" s="6" t="s">
        <v>8</v>
      </c>
      <c r="J77" s="6" t="s">
        <v>19</v>
      </c>
      <c r="K77" s="6" t="s">
        <v>58</v>
      </c>
      <c r="L77" s="6" t="s">
        <v>21</v>
      </c>
      <c r="M77" s="6" t="s">
        <v>23</v>
      </c>
      <c r="N77" s="16"/>
    </row>
    <row r="78" spans="1:16" x14ac:dyDescent="0.25">
      <c r="A78" s="6" t="s">
        <v>9</v>
      </c>
      <c r="B78" s="6" t="s">
        <v>59</v>
      </c>
      <c r="C78" s="2">
        <v>53.63</v>
      </c>
      <c r="D78" s="2">
        <v>35.590000000000003</v>
      </c>
      <c r="E78" s="2">
        <v>34</v>
      </c>
      <c r="F78" s="2">
        <v>33.33</v>
      </c>
      <c r="G78" s="2">
        <v>29.18</v>
      </c>
      <c r="H78" s="2">
        <v>28.31</v>
      </c>
      <c r="I78" s="2">
        <v>27.7</v>
      </c>
      <c r="J78" s="2">
        <v>25.39</v>
      </c>
      <c r="K78" s="2">
        <v>23.13</v>
      </c>
      <c r="L78" s="2">
        <v>21.49</v>
      </c>
      <c r="M78" s="2">
        <v>18.010000000000002</v>
      </c>
      <c r="O78" s="9"/>
      <c r="P78" s="9"/>
    </row>
    <row r="79" spans="1:16" x14ac:dyDescent="0.25">
      <c r="A79" s="6" t="s">
        <v>11</v>
      </c>
      <c r="B79" s="6" t="s">
        <v>60</v>
      </c>
      <c r="C79" s="2">
        <v>60.09</v>
      </c>
      <c r="D79" s="2">
        <v>43.17</v>
      </c>
      <c r="E79" s="2">
        <v>41.43</v>
      </c>
      <c r="F79" s="2">
        <v>40.659999999999997</v>
      </c>
      <c r="G79" s="2">
        <v>36.200000000000003</v>
      </c>
      <c r="H79" s="2">
        <v>35.020000000000003</v>
      </c>
      <c r="I79" s="2">
        <v>34.36</v>
      </c>
      <c r="J79" s="2">
        <v>33.08</v>
      </c>
      <c r="K79" s="2">
        <v>32.1</v>
      </c>
      <c r="L79" s="2">
        <v>29.08</v>
      </c>
      <c r="M79" s="2">
        <v>22.31</v>
      </c>
      <c r="O79" s="9"/>
      <c r="P79" s="9"/>
    </row>
    <row r="80" spans="1:16" x14ac:dyDescent="0.25">
      <c r="A80" s="6" t="s">
        <v>13</v>
      </c>
      <c r="B80" s="6" t="s">
        <v>61</v>
      </c>
      <c r="C80" s="2">
        <v>64.900000000000006</v>
      </c>
      <c r="D80" s="2">
        <v>53.17</v>
      </c>
      <c r="E80" s="2">
        <v>44.81</v>
      </c>
      <c r="F80" s="2">
        <v>44.1</v>
      </c>
      <c r="G80" s="2">
        <v>38</v>
      </c>
      <c r="H80" s="2">
        <v>37.020000000000003</v>
      </c>
      <c r="I80" s="2">
        <v>36.36</v>
      </c>
      <c r="J80" s="2">
        <v>28</v>
      </c>
      <c r="K80" s="2">
        <v>25.18</v>
      </c>
      <c r="L80" s="2">
        <v>22.57</v>
      </c>
      <c r="M80" s="2">
        <v>18.68</v>
      </c>
      <c r="O80" s="9"/>
      <c r="P80" s="9"/>
    </row>
    <row r="81" spans="1:16" x14ac:dyDescent="0.25">
      <c r="A81" s="6" t="s">
        <v>15</v>
      </c>
      <c r="B81" s="6" t="s">
        <v>62</v>
      </c>
      <c r="C81" s="2">
        <v>68.59</v>
      </c>
      <c r="D81" s="2">
        <v>60.65</v>
      </c>
      <c r="E81" s="2">
        <v>55.42</v>
      </c>
      <c r="F81" s="2">
        <v>54.65</v>
      </c>
      <c r="G81" s="2">
        <v>48.71</v>
      </c>
      <c r="H81" s="2">
        <v>42.1</v>
      </c>
      <c r="I81" s="2">
        <v>41.33</v>
      </c>
      <c r="J81" s="2">
        <v>35.130000000000003</v>
      </c>
      <c r="K81" s="2">
        <v>33.08</v>
      </c>
      <c r="L81" s="2">
        <v>31.9</v>
      </c>
      <c r="M81" s="2">
        <v>22.88</v>
      </c>
      <c r="O81" s="9"/>
      <c r="P81" s="9"/>
    </row>
    <row r="82" spans="1:16" x14ac:dyDescent="0.25">
      <c r="A82" s="6" t="s">
        <v>33</v>
      </c>
      <c r="B82" s="6" t="s">
        <v>63</v>
      </c>
      <c r="C82" s="2">
        <v>72.64</v>
      </c>
      <c r="D82" s="2">
        <v>68.64</v>
      </c>
      <c r="E82" s="2">
        <v>62.34</v>
      </c>
      <c r="F82" s="2">
        <v>61.47</v>
      </c>
      <c r="G82" s="2">
        <v>56.91</v>
      </c>
      <c r="H82" s="2">
        <v>51.83</v>
      </c>
      <c r="I82" s="2">
        <v>50.96</v>
      </c>
      <c r="J82" s="2">
        <v>42.92</v>
      </c>
      <c r="K82" s="2">
        <v>41.07</v>
      </c>
      <c r="L82" s="2">
        <v>37.69</v>
      </c>
      <c r="M82" s="2">
        <v>30.31</v>
      </c>
      <c r="O82" s="9"/>
      <c r="P82" s="9"/>
    </row>
    <row r="83" spans="1:16" x14ac:dyDescent="0.25">
      <c r="A83" s="6" t="s">
        <v>35</v>
      </c>
      <c r="B83" s="6" t="s">
        <v>64</v>
      </c>
      <c r="C83" s="2">
        <v>103.34</v>
      </c>
      <c r="D83" s="2">
        <v>76.84</v>
      </c>
      <c r="E83" s="2">
        <v>67.260000000000005</v>
      </c>
      <c r="F83" s="2">
        <v>61.52</v>
      </c>
      <c r="G83" s="2">
        <v>50.91</v>
      </c>
      <c r="H83" s="2">
        <v>50.91</v>
      </c>
      <c r="I83" s="2">
        <v>50.91</v>
      </c>
      <c r="J83" s="2"/>
      <c r="K83" s="2"/>
      <c r="L83" s="2"/>
      <c r="M83" s="2"/>
      <c r="O83" s="9"/>
      <c r="P83" s="9"/>
    </row>
    <row r="84" spans="1:16" x14ac:dyDescent="0.25">
      <c r="A84" s="6" t="s">
        <v>45</v>
      </c>
      <c r="B84" s="6" t="s">
        <v>65</v>
      </c>
      <c r="C84" s="2">
        <v>165.61</v>
      </c>
      <c r="D84" s="2">
        <v>69</v>
      </c>
      <c r="E84" s="2">
        <v>71.72</v>
      </c>
      <c r="F84" s="2">
        <v>71.72</v>
      </c>
      <c r="G84" s="2">
        <v>71.72</v>
      </c>
      <c r="H84" s="2">
        <v>71.72</v>
      </c>
      <c r="I84" s="2">
        <v>71.72</v>
      </c>
      <c r="J84" s="2"/>
      <c r="K84" s="2"/>
      <c r="L84" s="2"/>
      <c r="M84" s="2"/>
      <c r="O84" s="9"/>
      <c r="P84" s="9"/>
    </row>
    <row r="85" spans="1:16" x14ac:dyDescent="0.25">
      <c r="A85" s="6" t="s">
        <v>55</v>
      </c>
      <c r="B85" s="6" t="s">
        <v>66</v>
      </c>
      <c r="C85" s="2">
        <v>127.12</v>
      </c>
      <c r="D85" s="2">
        <v>111.8</v>
      </c>
      <c r="E85" s="2">
        <v>68.95</v>
      </c>
      <c r="F85" s="2">
        <v>68.95</v>
      </c>
      <c r="G85" s="2">
        <v>51.32</v>
      </c>
      <c r="H85" s="2">
        <v>40.51</v>
      </c>
      <c r="I85" s="2">
        <v>35.69</v>
      </c>
      <c r="J85" s="2"/>
      <c r="K85" s="2"/>
      <c r="L85" s="2"/>
      <c r="M85" s="2"/>
      <c r="O85" s="9"/>
      <c r="P85" s="9"/>
    </row>
    <row r="86" spans="1:16" x14ac:dyDescent="0.25">
      <c r="C86" s="17" t="s">
        <v>88</v>
      </c>
    </row>
    <row r="89" spans="1:16" ht="15.75" thickBot="1" x14ac:dyDescent="0.3"/>
    <row r="90" spans="1:16" x14ac:dyDescent="0.25">
      <c r="A90" s="5" t="s">
        <v>67</v>
      </c>
      <c r="K90" s="21"/>
      <c r="L90" s="20"/>
    </row>
    <row r="91" spans="1:16" x14ac:dyDescent="0.25">
      <c r="A91" s="6" t="s">
        <v>79</v>
      </c>
      <c r="B91" s="6" t="s">
        <v>1</v>
      </c>
      <c r="C91" s="6" t="s">
        <v>2</v>
      </c>
      <c r="D91" s="6" t="s">
        <v>3</v>
      </c>
      <c r="E91" s="6" t="s">
        <v>4</v>
      </c>
      <c r="F91" s="6" t="s">
        <v>68</v>
      </c>
      <c r="G91" s="6" t="s">
        <v>5</v>
      </c>
      <c r="H91" s="6" t="s">
        <v>69</v>
      </c>
      <c r="I91" s="6" t="s">
        <v>70</v>
      </c>
      <c r="J91" s="6" t="s">
        <v>6</v>
      </c>
      <c r="K91" s="6" t="s">
        <v>71</v>
      </c>
      <c r="L91" s="6" t="s">
        <v>8</v>
      </c>
      <c r="M91" s="16"/>
    </row>
    <row r="92" spans="1:16" x14ac:dyDescent="0.25">
      <c r="A92" s="6" t="s">
        <v>9</v>
      </c>
      <c r="B92" s="6" t="s">
        <v>72</v>
      </c>
      <c r="C92" s="2">
        <v>51.41</v>
      </c>
      <c r="D92" s="2">
        <v>35.83</v>
      </c>
      <c r="E92" s="2">
        <v>30.45</v>
      </c>
      <c r="F92" s="2">
        <v>26.41</v>
      </c>
      <c r="G92" s="2">
        <v>25.74</v>
      </c>
      <c r="H92" s="2">
        <v>21.55</v>
      </c>
      <c r="I92" s="2">
        <v>21.34</v>
      </c>
      <c r="J92" s="2">
        <v>20.05</v>
      </c>
      <c r="K92" s="2">
        <v>19.27</v>
      </c>
      <c r="L92" s="2">
        <v>18.39</v>
      </c>
      <c r="M92" s="16"/>
    </row>
    <row r="93" spans="1:16" x14ac:dyDescent="0.25">
      <c r="A93" s="6" t="s">
        <v>11</v>
      </c>
      <c r="B93" s="6" t="s">
        <v>73</v>
      </c>
      <c r="C93" s="2">
        <v>54.25</v>
      </c>
      <c r="D93" s="2">
        <v>39.090000000000003</v>
      </c>
      <c r="E93" s="2">
        <v>33.869999999999997</v>
      </c>
      <c r="F93" s="2">
        <v>29.16</v>
      </c>
      <c r="G93" s="2">
        <v>28.59</v>
      </c>
      <c r="H93" s="2">
        <v>23.88</v>
      </c>
      <c r="I93" s="2">
        <v>23.67</v>
      </c>
      <c r="J93" s="2">
        <v>21.91</v>
      </c>
      <c r="K93" s="2">
        <v>21.03</v>
      </c>
      <c r="L93" s="2">
        <v>20.05</v>
      </c>
      <c r="M93" s="16"/>
    </row>
    <row r="94" spans="1:16" x14ac:dyDescent="0.25">
      <c r="A94" s="6" t="s">
        <v>13</v>
      </c>
      <c r="B94" s="6" t="s">
        <v>74</v>
      </c>
      <c r="C94" s="2">
        <v>55.76</v>
      </c>
      <c r="D94" s="2">
        <v>41.32</v>
      </c>
      <c r="E94" s="2">
        <v>36.25</v>
      </c>
      <c r="F94" s="2">
        <v>31.02</v>
      </c>
      <c r="G94" s="2">
        <v>30.55</v>
      </c>
      <c r="H94" s="2">
        <v>25.64</v>
      </c>
      <c r="I94" s="2">
        <v>25.43</v>
      </c>
      <c r="J94" s="2">
        <v>23.67</v>
      </c>
      <c r="K94" s="2">
        <v>22.69</v>
      </c>
      <c r="L94" s="2">
        <v>21.13</v>
      </c>
      <c r="M94" s="16"/>
    </row>
    <row r="95" spans="1:16" x14ac:dyDescent="0.25">
      <c r="A95" s="6" t="s">
        <v>15</v>
      </c>
      <c r="B95" s="6" t="s">
        <v>75</v>
      </c>
      <c r="C95" s="2">
        <v>57.41</v>
      </c>
      <c r="D95" s="2">
        <v>44.58</v>
      </c>
      <c r="E95" s="2">
        <v>39.76</v>
      </c>
      <c r="F95" s="2">
        <v>33.97</v>
      </c>
      <c r="G95" s="2">
        <v>33.5</v>
      </c>
      <c r="H95" s="2">
        <v>28.17</v>
      </c>
      <c r="I95" s="2">
        <v>27.81</v>
      </c>
      <c r="J95" s="2">
        <v>25.74</v>
      </c>
      <c r="K95" s="2">
        <v>24.55</v>
      </c>
      <c r="L95" s="2">
        <v>23.1</v>
      </c>
      <c r="M95" s="16"/>
    </row>
    <row r="96" spans="1:16" x14ac:dyDescent="0.25">
      <c r="A96" s="6" t="s">
        <v>33</v>
      </c>
      <c r="B96" s="6" t="s">
        <v>76</v>
      </c>
      <c r="C96" s="2">
        <v>60.26</v>
      </c>
      <c r="D96" s="2">
        <v>48.2</v>
      </c>
      <c r="E96" s="2">
        <v>43.49</v>
      </c>
      <c r="F96" s="2">
        <v>36.92</v>
      </c>
      <c r="G96" s="2">
        <v>36.25</v>
      </c>
      <c r="H96" s="2">
        <v>30.24</v>
      </c>
      <c r="I96" s="2">
        <v>29.88</v>
      </c>
      <c r="J96" s="2">
        <v>28.02</v>
      </c>
      <c r="K96" s="2">
        <v>26.41</v>
      </c>
      <c r="L96" s="2">
        <v>24.65</v>
      </c>
      <c r="M96" s="16"/>
    </row>
    <row r="97" spans="1:16" x14ac:dyDescent="0.25">
      <c r="A97" s="6" t="s">
        <v>35</v>
      </c>
      <c r="B97" s="6" t="s">
        <v>77</v>
      </c>
      <c r="C97" s="2">
        <v>62.69</v>
      </c>
      <c r="D97" s="2">
        <v>51.82</v>
      </c>
      <c r="E97" s="2">
        <v>47.11</v>
      </c>
      <c r="F97" s="2">
        <v>39.76</v>
      </c>
      <c r="G97" s="2">
        <v>38.99</v>
      </c>
      <c r="H97" s="2">
        <v>32.42</v>
      </c>
      <c r="I97" s="2">
        <v>32.21</v>
      </c>
      <c r="J97" s="2">
        <v>29.78</v>
      </c>
      <c r="K97" s="2">
        <v>28.38</v>
      </c>
      <c r="L97" s="2">
        <v>26.15</v>
      </c>
      <c r="M97" s="16"/>
    </row>
    <row r="98" spans="1:16" x14ac:dyDescent="0.25">
      <c r="A98" s="6" t="s">
        <v>45</v>
      </c>
      <c r="B98" s="6" t="s">
        <v>78</v>
      </c>
      <c r="C98" s="2">
        <v>62.69</v>
      </c>
      <c r="D98" s="2">
        <v>52.5</v>
      </c>
      <c r="E98" s="2">
        <v>47.99</v>
      </c>
      <c r="F98" s="2">
        <v>40.64</v>
      </c>
      <c r="G98" s="2">
        <v>39.76</v>
      </c>
      <c r="H98" s="2">
        <v>33.19</v>
      </c>
      <c r="I98" s="2">
        <v>32.99</v>
      </c>
      <c r="J98" s="2">
        <v>30.45</v>
      </c>
      <c r="K98" s="2">
        <v>28.9</v>
      </c>
      <c r="L98" s="2">
        <v>26.72</v>
      </c>
      <c r="M98" s="16"/>
    </row>
    <row r="99" spans="1:16" x14ac:dyDescent="0.25">
      <c r="A99" s="6" t="s">
        <v>55</v>
      </c>
      <c r="B99" s="6" t="s">
        <v>85</v>
      </c>
      <c r="C99" s="2">
        <v>72.42</v>
      </c>
      <c r="D99" s="2">
        <v>61.91</v>
      </c>
      <c r="E99" s="2">
        <v>55.96</v>
      </c>
      <c r="F99" s="2">
        <v>46.91</v>
      </c>
      <c r="G99" s="2">
        <v>46.23</v>
      </c>
      <c r="H99" s="2">
        <v>38.01</v>
      </c>
      <c r="I99" s="2">
        <v>37.799999999999997</v>
      </c>
      <c r="J99" s="2">
        <v>34.49</v>
      </c>
      <c r="K99" s="2">
        <v>32.99</v>
      </c>
      <c r="L99" s="2">
        <v>30.45</v>
      </c>
      <c r="M99" s="16"/>
    </row>
    <row r="100" spans="1:16" x14ac:dyDescent="0.25">
      <c r="A100" s="6" t="s">
        <v>86</v>
      </c>
      <c r="B100" s="10">
        <v>19</v>
      </c>
      <c r="C100" s="2">
        <v>98.09</v>
      </c>
      <c r="D100" s="2">
        <v>75.16</v>
      </c>
      <c r="E100" s="2">
        <v>68.38</v>
      </c>
      <c r="F100" s="2">
        <v>56.84</v>
      </c>
      <c r="G100" s="2">
        <v>55.13</v>
      </c>
      <c r="H100" s="2">
        <v>45.46</v>
      </c>
      <c r="I100" s="2">
        <v>43.7</v>
      </c>
      <c r="J100" s="2">
        <v>40.85</v>
      </c>
      <c r="K100" s="2">
        <v>39.659999999999997</v>
      </c>
      <c r="L100" s="2">
        <v>36.81</v>
      </c>
      <c r="M100" s="16"/>
    </row>
    <row r="101" spans="1:16" x14ac:dyDescent="0.25">
      <c r="C101" s="12" t="s">
        <v>92</v>
      </c>
      <c r="D101" s="4"/>
      <c r="P101" s="3"/>
    </row>
    <row r="102" spans="1:1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6" x14ac:dyDescent="0.25">
      <c r="A103" s="4" t="s">
        <v>84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</sheetData>
  <pageMargins left="0.23622047244094491" right="0.23622047244094491" top="0.74803149606299213" bottom="0.74803149606299213" header="0.31496062992125984" footer="0.31496062992125984"/>
  <pageSetup paperSize="8" scale="70" pageOrder="overThenDown" orientation="landscape" r:id="rId1"/>
  <rowBreaks count="1" manualBreakCount="1">
    <brk id="74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6B74-D54A-44C0-AF25-5B624189570F}">
  <sheetPr>
    <pageSetUpPr fitToPage="1"/>
  </sheetPr>
  <dimension ref="A1:H69"/>
  <sheetViews>
    <sheetView zoomScaleNormal="100" workbookViewId="0">
      <selection sqref="A1:C1"/>
    </sheetView>
  </sheetViews>
  <sheetFormatPr baseColWidth="10" defaultRowHeight="15" x14ac:dyDescent="0.25"/>
  <cols>
    <col min="1" max="2" width="13.7109375" customWidth="1"/>
    <col min="3" max="4" width="13.28515625" customWidth="1"/>
    <col min="5" max="6" width="16" customWidth="1"/>
  </cols>
  <sheetData>
    <row r="1" spans="1:8" ht="21" customHeight="1" x14ac:dyDescent="0.25">
      <c r="A1" s="78" t="s">
        <v>99</v>
      </c>
      <c r="B1" s="78"/>
      <c r="C1" s="78"/>
      <c r="E1" s="21"/>
    </row>
    <row r="2" spans="1:8" ht="15.75" customHeight="1" x14ac:dyDescent="0.25">
      <c r="A2" s="79" t="s">
        <v>100</v>
      </c>
      <c r="B2" s="79"/>
      <c r="C2" s="79"/>
    </row>
    <row r="3" spans="1:8" ht="15.75" customHeight="1" x14ac:dyDescent="0.25">
      <c r="A3" s="79" t="s">
        <v>101</v>
      </c>
      <c r="B3" s="79"/>
      <c r="C3" s="79"/>
    </row>
    <row r="4" spans="1:8" ht="15.75" customHeight="1" x14ac:dyDescent="0.25">
      <c r="A4" s="79" t="s">
        <v>102</v>
      </c>
      <c r="B4" s="79"/>
      <c r="C4" s="79"/>
    </row>
    <row r="5" spans="1:8" ht="15.75" customHeight="1" x14ac:dyDescent="0.25">
      <c r="A5" s="79" t="s">
        <v>103</v>
      </c>
      <c r="B5" s="79"/>
      <c r="C5" s="79"/>
    </row>
    <row r="6" spans="1:8" ht="15.75" customHeight="1" x14ac:dyDescent="0.25">
      <c r="A6" s="80" t="s">
        <v>104</v>
      </c>
      <c r="B6" s="81"/>
      <c r="C6" s="81"/>
      <c r="G6" s="27" t="s">
        <v>105</v>
      </c>
      <c r="H6" s="28">
        <v>44816</v>
      </c>
    </row>
    <row r="7" spans="1:8" ht="15.75" customHeight="1" x14ac:dyDescent="0.25">
      <c r="A7" s="82" t="s">
        <v>106</v>
      </c>
      <c r="B7" s="82"/>
      <c r="C7" s="82"/>
      <c r="D7" s="82"/>
      <c r="E7" s="82"/>
      <c r="F7" s="82"/>
      <c r="G7" s="82"/>
      <c r="H7" s="82"/>
    </row>
    <row r="10" spans="1:8" ht="16.5" thickBot="1" x14ac:dyDescent="0.3">
      <c r="A10" s="29"/>
      <c r="B10" s="29"/>
      <c r="C10" s="29"/>
      <c r="D10" s="29"/>
      <c r="E10" s="29"/>
      <c r="F10" s="29"/>
      <c r="G10" s="29"/>
      <c r="H10" s="29"/>
    </row>
    <row r="11" spans="1:8" ht="22.5" thickTop="1" thickBot="1" x14ac:dyDescent="0.4">
      <c r="A11" s="83" t="s">
        <v>107</v>
      </c>
      <c r="B11" s="84"/>
      <c r="C11" s="84"/>
      <c r="D11" s="84"/>
      <c r="E11" s="84"/>
      <c r="F11" s="84"/>
      <c r="G11" s="84"/>
      <c r="H11" s="85"/>
    </row>
    <row r="12" spans="1:8" ht="16.5" thickTop="1" x14ac:dyDescent="0.25">
      <c r="A12" s="29"/>
      <c r="B12" s="29"/>
      <c r="C12" s="29"/>
      <c r="D12" s="29"/>
      <c r="E12" s="29"/>
      <c r="F12" s="29"/>
      <c r="G12" s="29"/>
      <c r="H12" s="29"/>
    </row>
    <row r="13" spans="1:8" ht="17.25" x14ac:dyDescent="0.3">
      <c r="A13" s="86" t="s">
        <v>108</v>
      </c>
      <c r="B13" s="86"/>
      <c r="C13" s="86"/>
      <c r="D13" s="86"/>
      <c r="E13" s="86"/>
      <c r="F13" s="86"/>
      <c r="G13" s="86"/>
      <c r="H13" s="86"/>
    </row>
    <row r="14" spans="1:8" ht="15.75" x14ac:dyDescent="0.25">
      <c r="A14" s="29"/>
      <c r="B14" s="29"/>
      <c r="C14" s="29"/>
      <c r="D14" s="29"/>
      <c r="E14" s="29"/>
      <c r="F14" s="29"/>
      <c r="G14" s="29"/>
      <c r="H14" s="29"/>
    </row>
    <row r="15" spans="1:8" s="30" customFormat="1" x14ac:dyDescent="0.25">
      <c r="A15"/>
      <c r="B15"/>
      <c r="C15"/>
      <c r="D15"/>
      <c r="E15"/>
      <c r="F15"/>
      <c r="G15"/>
      <c r="H15"/>
    </row>
    <row r="19" spans="2:8" ht="15.75" thickBot="1" x14ac:dyDescent="0.3">
      <c r="B19" s="31"/>
      <c r="C19" s="31"/>
      <c r="D19" s="31"/>
      <c r="E19" s="31"/>
      <c r="F19" s="31"/>
      <c r="G19" s="31"/>
      <c r="H19" s="31"/>
    </row>
    <row r="20" spans="2:8" s="30" customFormat="1" ht="45" x14ac:dyDescent="0.25">
      <c r="C20" s="87" t="s">
        <v>109</v>
      </c>
      <c r="D20" s="88"/>
      <c r="E20" s="32" t="s">
        <v>110</v>
      </c>
      <c r="F20" s="33" t="s">
        <v>111</v>
      </c>
      <c r="G20"/>
      <c r="H20"/>
    </row>
    <row r="21" spans="2:8" s="30" customFormat="1" ht="20.100000000000001" customHeight="1" thickBot="1" x14ac:dyDescent="0.3">
      <c r="C21" s="34" t="s">
        <v>112</v>
      </c>
      <c r="D21" s="35" t="s">
        <v>113</v>
      </c>
      <c r="E21" s="36" t="s">
        <v>114</v>
      </c>
      <c r="F21" s="37" t="s">
        <v>115</v>
      </c>
      <c r="G21"/>
      <c r="H21"/>
    </row>
    <row r="22" spans="2:8" s="30" customFormat="1" ht="19.5" customHeight="1" x14ac:dyDescent="0.25">
      <c r="C22" s="38">
        <f>+ROUND(D22*0.95,4)</f>
        <v>1.0209999999999999</v>
      </c>
      <c r="D22" s="39">
        <v>1.0747</v>
      </c>
      <c r="E22" s="40">
        <f>+I22</f>
        <v>0</v>
      </c>
      <c r="F22" s="41">
        <f>+L22</f>
        <v>0</v>
      </c>
    </row>
    <row r="23" spans="2:8" s="30" customFormat="1" ht="19.5" customHeight="1" x14ac:dyDescent="0.25">
      <c r="C23" s="42">
        <f>+D22-0.0001</f>
        <v>1.0746</v>
      </c>
      <c r="D23" s="43">
        <f t="shared" ref="D23:D30" si="0">+D24+0.0098</f>
        <v>1.0548000000000002</v>
      </c>
      <c r="E23" s="44">
        <v>8.5000000000000006E-3</v>
      </c>
      <c r="F23" s="75">
        <v>8.9999999999999993E-3</v>
      </c>
    </row>
    <row r="24" spans="2:8" s="30" customFormat="1" ht="19.5" customHeight="1" x14ac:dyDescent="0.25">
      <c r="C24" s="42">
        <f t="shared" ref="C24:C40" si="1">+D23-0.0001</f>
        <v>1.0547000000000002</v>
      </c>
      <c r="D24" s="43">
        <f t="shared" si="0"/>
        <v>1.0450000000000002</v>
      </c>
      <c r="E24" s="44">
        <v>1.7000000000000001E-2</v>
      </c>
      <c r="F24" s="75"/>
    </row>
    <row r="25" spans="2:8" s="30" customFormat="1" ht="19.5" customHeight="1" x14ac:dyDescent="0.25">
      <c r="C25" s="42">
        <f t="shared" si="1"/>
        <v>1.0449000000000002</v>
      </c>
      <c r="D25" s="43">
        <f t="shared" si="0"/>
        <v>1.0352000000000001</v>
      </c>
      <c r="E25" s="44">
        <v>2.5499999999999998E-2</v>
      </c>
      <c r="F25" s="75">
        <v>1.7000000000000001E-2</v>
      </c>
    </row>
    <row r="26" spans="2:8" s="30" customFormat="1" ht="19.5" customHeight="1" x14ac:dyDescent="0.25">
      <c r="B26" s="45"/>
      <c r="C26" s="42">
        <f t="shared" si="1"/>
        <v>1.0351000000000001</v>
      </c>
      <c r="D26" s="43">
        <f t="shared" si="0"/>
        <v>1.0254000000000001</v>
      </c>
      <c r="E26" s="44">
        <v>3.4000000000000002E-2</v>
      </c>
      <c r="F26" s="75"/>
    </row>
    <row r="27" spans="2:8" s="30" customFormat="1" ht="19.5" customHeight="1" x14ac:dyDescent="0.25">
      <c r="C27" s="42">
        <f t="shared" si="1"/>
        <v>1.0253000000000001</v>
      </c>
      <c r="D27" s="43">
        <f t="shared" si="0"/>
        <v>1.0156000000000001</v>
      </c>
      <c r="E27" s="44">
        <v>4.2500000000000003E-2</v>
      </c>
      <c r="F27" s="75">
        <v>2.5999999999999999E-2</v>
      </c>
    </row>
    <row r="28" spans="2:8" s="30" customFormat="1" ht="19.5" customHeight="1" x14ac:dyDescent="0.25">
      <c r="C28" s="42">
        <f t="shared" si="1"/>
        <v>1.0155000000000001</v>
      </c>
      <c r="D28" s="43">
        <f t="shared" si="0"/>
        <v>1.0058</v>
      </c>
      <c r="E28" s="44">
        <v>5.0999999999999997E-2</v>
      </c>
      <c r="F28" s="75"/>
    </row>
    <row r="29" spans="2:8" s="30" customFormat="1" ht="19.5" customHeight="1" x14ac:dyDescent="0.25">
      <c r="C29" s="42">
        <f t="shared" si="1"/>
        <v>1.0057</v>
      </c>
      <c r="D29" s="43">
        <f t="shared" si="0"/>
        <v>0.99600000000000011</v>
      </c>
      <c r="E29" s="44">
        <v>5.9499999999999997E-2</v>
      </c>
      <c r="F29" s="75">
        <v>3.4000000000000002E-2</v>
      </c>
    </row>
    <row r="30" spans="2:8" s="30" customFormat="1" ht="19.5" customHeight="1" x14ac:dyDescent="0.25">
      <c r="C30" s="42">
        <f t="shared" si="1"/>
        <v>0.99590000000000012</v>
      </c>
      <c r="D30" s="43">
        <f t="shared" si="0"/>
        <v>0.98620000000000008</v>
      </c>
      <c r="E30" s="44">
        <v>6.8000000000000005E-2</v>
      </c>
      <c r="F30" s="75"/>
    </row>
    <row r="31" spans="2:8" s="30" customFormat="1" ht="19.5" customHeight="1" x14ac:dyDescent="0.25">
      <c r="C31" s="42">
        <f t="shared" si="1"/>
        <v>0.98610000000000009</v>
      </c>
      <c r="D31" s="43">
        <v>0.97640000000000005</v>
      </c>
      <c r="E31" s="44">
        <v>7.6499999999999999E-2</v>
      </c>
      <c r="F31" s="75">
        <v>4.2999999999999997E-2</v>
      </c>
    </row>
    <row r="32" spans="2:8" s="30" customFormat="1" ht="19.5" customHeight="1" x14ac:dyDescent="0.25">
      <c r="C32" s="42">
        <f t="shared" si="1"/>
        <v>0.97630000000000006</v>
      </c>
      <c r="D32" s="43">
        <f t="shared" ref="D32:D40" si="2">+D31-0.0098</f>
        <v>0.96660000000000001</v>
      </c>
      <c r="E32" s="44">
        <v>8.5000000000000006E-2</v>
      </c>
      <c r="F32" s="75"/>
    </row>
    <row r="33" spans="1:8" s="30" customFormat="1" ht="19.5" customHeight="1" x14ac:dyDescent="0.25">
      <c r="C33" s="42">
        <f t="shared" si="1"/>
        <v>0.96650000000000003</v>
      </c>
      <c r="D33" s="43">
        <f t="shared" si="2"/>
        <v>0.95679999999999998</v>
      </c>
      <c r="E33" s="44">
        <v>9.35E-2</v>
      </c>
      <c r="F33" s="75">
        <v>5.0999999999999997E-2</v>
      </c>
    </row>
    <row r="34" spans="1:8" s="30" customFormat="1" ht="19.5" customHeight="1" x14ac:dyDescent="0.25">
      <c r="C34" s="42">
        <f t="shared" si="1"/>
        <v>0.95669999999999999</v>
      </c>
      <c r="D34" s="43">
        <f t="shared" si="2"/>
        <v>0.94699999999999995</v>
      </c>
      <c r="E34" s="44">
        <v>0.10199999999999999</v>
      </c>
      <c r="F34" s="75"/>
    </row>
    <row r="35" spans="1:8" s="30" customFormat="1" ht="19.5" customHeight="1" x14ac:dyDescent="0.25">
      <c r="A35" s="46"/>
      <c r="B35" s="46"/>
      <c r="C35" s="42">
        <f t="shared" si="1"/>
        <v>0.94689999999999996</v>
      </c>
      <c r="D35" s="43">
        <f t="shared" si="2"/>
        <v>0.93719999999999992</v>
      </c>
      <c r="E35" s="44">
        <v>0.1105</v>
      </c>
      <c r="F35" s="75">
        <v>0.06</v>
      </c>
    </row>
    <row r="36" spans="1:8" s="30" customFormat="1" ht="19.5" customHeight="1" x14ac:dyDescent="0.25">
      <c r="A36" s="46"/>
      <c r="B36" s="46"/>
      <c r="C36" s="42">
        <f t="shared" si="1"/>
        <v>0.93709999999999993</v>
      </c>
      <c r="D36" s="43">
        <f t="shared" si="2"/>
        <v>0.92739999999999989</v>
      </c>
      <c r="E36" s="44">
        <v>0.11899999999999999</v>
      </c>
      <c r="F36" s="75"/>
    </row>
    <row r="37" spans="1:8" s="30" customFormat="1" ht="19.5" customHeight="1" x14ac:dyDescent="0.25">
      <c r="A37" s="46"/>
      <c r="B37" s="46"/>
      <c r="C37" s="42">
        <f t="shared" si="1"/>
        <v>0.9272999999999999</v>
      </c>
      <c r="D37" s="43">
        <f t="shared" si="2"/>
        <v>0.91759999999999986</v>
      </c>
      <c r="E37" s="44">
        <v>0.1275</v>
      </c>
      <c r="F37" s="75">
        <v>6.8000000000000005E-2</v>
      </c>
    </row>
    <row r="38" spans="1:8" s="30" customFormat="1" ht="19.5" customHeight="1" x14ac:dyDescent="0.25">
      <c r="A38" s="46"/>
      <c r="B38" s="46"/>
      <c r="C38" s="42">
        <f t="shared" si="1"/>
        <v>0.91749999999999987</v>
      </c>
      <c r="D38" s="43">
        <f t="shared" si="2"/>
        <v>0.90779999999999983</v>
      </c>
      <c r="E38" s="44">
        <v>0.13600000000000001</v>
      </c>
      <c r="F38" s="75"/>
    </row>
    <row r="39" spans="1:8" s="30" customFormat="1" ht="19.5" customHeight="1" x14ac:dyDescent="0.25">
      <c r="A39" s="46"/>
      <c r="B39" s="46"/>
      <c r="C39" s="42">
        <f t="shared" si="1"/>
        <v>0.90769999999999984</v>
      </c>
      <c r="D39" s="43">
        <f t="shared" si="2"/>
        <v>0.8979999999999998</v>
      </c>
      <c r="E39" s="44">
        <v>0.14449999999999999</v>
      </c>
      <c r="F39" s="75">
        <v>7.6999999999999999E-2</v>
      </c>
    </row>
    <row r="40" spans="1:8" s="30" customFormat="1" ht="19.5" customHeight="1" thickBot="1" x14ac:dyDescent="0.3">
      <c r="A40" s="46"/>
      <c r="B40" s="46"/>
      <c r="C40" s="47">
        <f t="shared" si="1"/>
        <v>0.89789999999999981</v>
      </c>
      <c r="D40" s="48">
        <f t="shared" si="2"/>
        <v>0.88819999999999977</v>
      </c>
      <c r="E40" s="49">
        <v>0.153</v>
      </c>
      <c r="F40" s="76"/>
      <c r="G40" s="50"/>
      <c r="H40" s="50"/>
    </row>
    <row r="41" spans="1:8" x14ac:dyDescent="0.25">
      <c r="A41" s="3"/>
    </row>
    <row r="42" spans="1:8" x14ac:dyDescent="0.25">
      <c r="A42" s="3"/>
    </row>
    <row r="43" spans="1:8" ht="33" customHeight="1" x14ac:dyDescent="0.25">
      <c r="A43" s="77" t="s">
        <v>116</v>
      </c>
      <c r="B43" s="77"/>
      <c r="C43" s="77"/>
      <c r="D43" s="77"/>
      <c r="E43" s="77"/>
      <c r="F43" s="77"/>
      <c r="G43" s="77"/>
      <c r="H43" s="77"/>
    </row>
    <row r="44" spans="1:8" ht="15.75" x14ac:dyDescent="0.25">
      <c r="A44" s="3"/>
      <c r="G44" s="51"/>
      <c r="H44" s="51"/>
    </row>
    <row r="45" spans="1:8" ht="15.75" x14ac:dyDescent="0.25">
      <c r="G45" s="51"/>
      <c r="H45" s="51"/>
    </row>
    <row r="46" spans="1:8" ht="15.75" x14ac:dyDescent="0.25">
      <c r="G46" s="51"/>
      <c r="H46" s="51"/>
    </row>
    <row r="47" spans="1:8" ht="15.75" x14ac:dyDescent="0.25">
      <c r="G47" s="51"/>
      <c r="H47" s="51"/>
    </row>
    <row r="48" spans="1:8" ht="15.75" x14ac:dyDescent="0.25">
      <c r="A48" s="3"/>
      <c r="G48" s="51"/>
      <c r="H48" s="51"/>
    </row>
    <row r="49" spans="1:8" ht="15.75" x14ac:dyDescent="0.25">
      <c r="A49" s="3"/>
      <c r="B49" s="3"/>
      <c r="G49" s="51"/>
      <c r="H49" s="51"/>
    </row>
    <row r="50" spans="1:8" ht="15.75" x14ac:dyDescent="0.25">
      <c r="A50" s="3"/>
      <c r="B50" s="3"/>
      <c r="D50" s="51"/>
      <c r="E50" s="51"/>
      <c r="F50" s="51"/>
      <c r="G50" s="51"/>
      <c r="H50" s="51"/>
    </row>
    <row r="51" spans="1:8" ht="15.75" x14ac:dyDescent="0.25">
      <c r="A51" s="3"/>
      <c r="D51" s="51"/>
      <c r="E51" s="51"/>
      <c r="F51" s="51"/>
      <c r="G51" s="51"/>
      <c r="H51" s="51"/>
    </row>
    <row r="52" spans="1:8" ht="15.75" x14ac:dyDescent="0.25">
      <c r="A52" s="3"/>
      <c r="D52" s="51"/>
      <c r="E52" s="51"/>
      <c r="F52" s="51"/>
      <c r="G52" s="51"/>
      <c r="H52" s="51"/>
    </row>
    <row r="53" spans="1:8" ht="15.75" x14ac:dyDescent="0.25">
      <c r="B53" s="52"/>
      <c r="C53" s="52"/>
      <c r="D53" s="52"/>
      <c r="E53" s="52"/>
      <c r="F53" s="52"/>
      <c r="G53" s="52"/>
      <c r="H53" s="51"/>
    </row>
    <row r="54" spans="1:8" ht="30" customHeight="1" x14ac:dyDescent="0.25">
      <c r="A54" s="77" t="s">
        <v>128</v>
      </c>
      <c r="B54" s="77"/>
      <c r="C54" s="77"/>
      <c r="D54" s="77"/>
      <c r="E54" s="77"/>
      <c r="F54" s="77"/>
      <c r="G54" s="77"/>
      <c r="H54" s="77"/>
    </row>
    <row r="55" spans="1:8" ht="30" customHeight="1" x14ac:dyDescent="0.25">
      <c r="A55" s="77"/>
      <c r="B55" s="77"/>
      <c r="C55" s="77"/>
      <c r="D55" s="77"/>
      <c r="E55" s="77"/>
      <c r="F55" s="77"/>
      <c r="G55" s="77"/>
      <c r="H55" s="77"/>
    </row>
    <row r="56" spans="1:8" ht="30" customHeight="1" x14ac:dyDescent="0.25">
      <c r="A56" s="77"/>
      <c r="B56" s="77"/>
      <c r="C56" s="77"/>
      <c r="D56" s="77"/>
      <c r="E56" s="77"/>
      <c r="F56" s="77"/>
      <c r="G56" s="77"/>
      <c r="H56" s="77"/>
    </row>
    <row r="57" spans="1:8" ht="30" customHeight="1" x14ac:dyDescent="0.25">
      <c r="A57" s="77"/>
      <c r="B57" s="77"/>
      <c r="C57" s="77"/>
      <c r="D57" s="77"/>
      <c r="E57" s="77"/>
      <c r="F57" s="77"/>
      <c r="G57" s="77"/>
      <c r="H57" s="77"/>
    </row>
    <row r="58" spans="1:8" ht="30" customHeight="1" x14ac:dyDescent="0.25">
      <c r="A58" s="77"/>
      <c r="B58" s="77"/>
      <c r="C58" s="77"/>
      <c r="D58" s="77"/>
      <c r="E58" s="77"/>
      <c r="F58" s="77"/>
      <c r="G58" s="77"/>
      <c r="H58" s="77"/>
    </row>
    <row r="59" spans="1:8" ht="15" customHeight="1" x14ac:dyDescent="0.25">
      <c r="A59" s="53"/>
      <c r="B59" s="53"/>
      <c r="C59" s="53"/>
      <c r="D59" s="53"/>
      <c r="E59" s="53"/>
      <c r="F59" s="53"/>
      <c r="G59" s="53"/>
      <c r="H59" s="53"/>
    </row>
    <row r="60" spans="1:8" ht="15" customHeight="1" x14ac:dyDescent="0.25"/>
    <row r="61" spans="1:8" ht="15" customHeight="1" x14ac:dyDescent="0.25"/>
    <row r="62" spans="1:8" ht="15" customHeight="1" x14ac:dyDescent="0.25"/>
    <row r="63" spans="1:8" ht="15" customHeight="1" x14ac:dyDescent="0.25"/>
    <row r="64" spans="1: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1">
    <mergeCell ref="F25:F26"/>
    <mergeCell ref="A1:C1"/>
    <mergeCell ref="A2:C2"/>
    <mergeCell ref="A3:C3"/>
    <mergeCell ref="A4:C4"/>
    <mergeCell ref="A5:C5"/>
    <mergeCell ref="A6:C6"/>
    <mergeCell ref="A7:H7"/>
    <mergeCell ref="A11:H11"/>
    <mergeCell ref="A13:H13"/>
    <mergeCell ref="C20:D20"/>
    <mergeCell ref="F23:F24"/>
    <mergeCell ref="F39:F40"/>
    <mergeCell ref="A43:H43"/>
    <mergeCell ref="A54:H58"/>
    <mergeCell ref="F27:F28"/>
    <mergeCell ref="F29:F30"/>
    <mergeCell ref="F31:F32"/>
    <mergeCell ref="F33:F34"/>
    <mergeCell ref="F35:F36"/>
    <mergeCell ref="F37:F38"/>
  </mergeCells>
  <hyperlinks>
    <hyperlink ref="A6" r:id="rId1" xr:uid="{9D5CBE99-FBAE-4B6D-8391-08618B747177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4880-4B8B-49E8-9160-FDDC422B42AA}">
  <sheetPr>
    <pageSetUpPr fitToPage="1"/>
  </sheetPr>
  <dimension ref="A1:O70"/>
  <sheetViews>
    <sheetView zoomScaleNormal="100" workbookViewId="0"/>
  </sheetViews>
  <sheetFormatPr baseColWidth="10" defaultRowHeight="15" x14ac:dyDescent="0.25"/>
  <cols>
    <col min="1" max="1" width="6" customWidth="1"/>
    <col min="2" max="2" width="5.28515625" customWidth="1"/>
    <col min="3" max="3" width="11.42578125" customWidth="1"/>
    <col min="7" max="7" width="8.7109375" customWidth="1"/>
    <col min="8" max="8" width="4.85546875" customWidth="1"/>
    <col min="9" max="9" width="7.140625" customWidth="1"/>
    <col min="11" max="11" width="9.7109375" customWidth="1"/>
    <col min="13" max="13" width="11" customWidth="1"/>
    <col min="15" max="16" width="11.42578125" customWidth="1"/>
  </cols>
  <sheetData>
    <row r="1" spans="1:13" ht="21" customHeight="1" x14ac:dyDescent="0.25">
      <c r="A1" s="54" t="s">
        <v>99</v>
      </c>
      <c r="B1" s="54"/>
      <c r="C1" s="54"/>
      <c r="G1" s="54"/>
    </row>
    <row r="2" spans="1:13" ht="15.75" customHeight="1" x14ac:dyDescent="0.25">
      <c r="A2" t="s">
        <v>100</v>
      </c>
    </row>
    <row r="3" spans="1:13" ht="15.75" customHeight="1" x14ac:dyDescent="0.25">
      <c r="A3" t="s">
        <v>101</v>
      </c>
    </row>
    <row r="4" spans="1:13" ht="15.75" customHeight="1" x14ac:dyDescent="0.25">
      <c r="A4" t="s">
        <v>102</v>
      </c>
    </row>
    <row r="5" spans="1:13" ht="15.75" customHeight="1" x14ac:dyDescent="0.25">
      <c r="A5" t="s">
        <v>103</v>
      </c>
    </row>
    <row r="6" spans="1:13" ht="15.75" customHeight="1" x14ac:dyDescent="0.25">
      <c r="A6" s="55" t="s">
        <v>104</v>
      </c>
      <c r="B6" s="56"/>
      <c r="C6" s="56"/>
      <c r="G6" s="55"/>
      <c r="L6" s="21" t="s">
        <v>117</v>
      </c>
      <c r="M6" s="57">
        <v>45383</v>
      </c>
    </row>
    <row r="7" spans="1:13" ht="15.75" customHeight="1" x14ac:dyDescent="0.25">
      <c r="A7" s="82" t="s">
        <v>106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</row>
    <row r="8" spans="1:13" ht="16.5" thickBot="1" x14ac:dyDescent="0.3">
      <c r="A8" s="29"/>
      <c r="B8" s="29"/>
      <c r="C8" s="29"/>
      <c r="D8" s="29"/>
      <c r="E8" s="29"/>
      <c r="F8" s="29"/>
      <c r="G8" s="29"/>
      <c r="H8" s="29"/>
      <c r="I8" s="29"/>
    </row>
    <row r="9" spans="1:13" ht="22.15" customHeight="1" thickBot="1" x14ac:dyDescent="0.4">
      <c r="A9" s="108" t="s">
        <v>118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10"/>
    </row>
    <row r="10" spans="1:13" ht="17.25" x14ac:dyDescent="0.3">
      <c r="A10" s="111" t="s">
        <v>119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</row>
    <row r="11" spans="1:13" ht="18" thickBot="1" x14ac:dyDescent="0.35">
      <c r="A11" s="58"/>
      <c r="B11" s="58"/>
      <c r="C11" s="58"/>
      <c r="D11" s="58"/>
      <c r="E11" s="58"/>
      <c r="F11" s="58"/>
      <c r="G11" s="58"/>
      <c r="H11" s="58"/>
      <c r="I11" s="58"/>
    </row>
    <row r="12" spans="1:13" ht="39" customHeight="1" thickBot="1" x14ac:dyDescent="0.3">
      <c r="A12" s="112"/>
      <c r="B12" s="113"/>
      <c r="C12" s="114" t="s">
        <v>120</v>
      </c>
      <c r="D12" s="115"/>
      <c r="E12" s="114" t="s">
        <v>121</v>
      </c>
      <c r="F12" s="116"/>
      <c r="H12" s="112"/>
      <c r="I12" s="113"/>
      <c r="J12" s="114" t="s">
        <v>120</v>
      </c>
      <c r="K12" s="115"/>
      <c r="L12" s="114" t="s">
        <v>121</v>
      </c>
      <c r="M12" s="116"/>
    </row>
    <row r="13" spans="1:13" s="30" customFormat="1" x14ac:dyDescent="0.25">
      <c r="A13" s="102" t="s">
        <v>122</v>
      </c>
      <c r="B13" s="103"/>
      <c r="C13" s="104">
        <v>1.5159</v>
      </c>
      <c r="D13" s="105"/>
      <c r="E13" s="106">
        <v>0</v>
      </c>
      <c r="F13" s="107"/>
      <c r="H13" s="102" t="s">
        <v>122</v>
      </c>
      <c r="I13" s="103"/>
      <c r="J13" s="104">
        <f>+C48+0.025</f>
        <v>2.415899999999997</v>
      </c>
      <c r="K13" s="105"/>
      <c r="L13" s="106">
        <v>0.18</v>
      </c>
      <c r="M13" s="107"/>
    </row>
    <row r="14" spans="1:13" s="30" customFormat="1" x14ac:dyDescent="0.25">
      <c r="A14" s="96" t="s">
        <v>122</v>
      </c>
      <c r="B14" s="97"/>
      <c r="C14" s="98">
        <f>+C13+0.025</f>
        <v>1.5408999999999999</v>
      </c>
      <c r="D14" s="99"/>
      <c r="E14" s="100">
        <v>5.0000000000000001E-3</v>
      </c>
      <c r="F14" s="101"/>
      <c r="G14" s="46"/>
      <c r="H14" s="96" t="s">
        <v>122</v>
      </c>
      <c r="I14" s="97"/>
      <c r="J14" s="98">
        <f>J13+0.025</f>
        <v>2.440899999999997</v>
      </c>
      <c r="K14" s="99"/>
      <c r="L14" s="100">
        <v>0.185</v>
      </c>
      <c r="M14" s="101"/>
    </row>
    <row r="15" spans="1:13" s="30" customFormat="1" x14ac:dyDescent="0.25">
      <c r="A15" s="96" t="s">
        <v>122</v>
      </c>
      <c r="B15" s="97"/>
      <c r="C15" s="98">
        <f t="shared" ref="C15:C48" si="0">+C14+0.025</f>
        <v>1.5658999999999998</v>
      </c>
      <c r="D15" s="99"/>
      <c r="E15" s="100">
        <v>0.01</v>
      </c>
      <c r="F15" s="101"/>
      <c r="G15" s="46"/>
      <c r="H15" s="96" t="s">
        <v>122</v>
      </c>
      <c r="I15" s="97"/>
      <c r="J15" s="98">
        <f t="shared" ref="J15:J48" si="1">J14+0.025</f>
        <v>2.4658999999999969</v>
      </c>
      <c r="K15" s="99"/>
      <c r="L15" s="100">
        <v>0.19</v>
      </c>
      <c r="M15" s="101"/>
    </row>
    <row r="16" spans="1:13" s="30" customFormat="1" x14ac:dyDescent="0.25">
      <c r="A16" s="96" t="s">
        <v>122</v>
      </c>
      <c r="B16" s="97"/>
      <c r="C16" s="98">
        <f t="shared" si="0"/>
        <v>1.5908999999999998</v>
      </c>
      <c r="D16" s="99"/>
      <c r="E16" s="100">
        <v>1.4999999999999999E-2</v>
      </c>
      <c r="F16" s="101"/>
      <c r="G16" s="46"/>
      <c r="H16" s="96" t="s">
        <v>122</v>
      </c>
      <c r="I16" s="97"/>
      <c r="J16" s="98">
        <f t="shared" si="1"/>
        <v>2.4908999999999968</v>
      </c>
      <c r="K16" s="99"/>
      <c r="L16" s="100">
        <v>0.19500000000000001</v>
      </c>
      <c r="M16" s="101"/>
    </row>
    <row r="17" spans="1:15" s="30" customFormat="1" x14ac:dyDescent="0.25">
      <c r="A17" s="96" t="s">
        <v>122</v>
      </c>
      <c r="B17" s="97"/>
      <c r="C17" s="98">
        <f t="shared" si="0"/>
        <v>1.6158999999999997</v>
      </c>
      <c r="D17" s="99"/>
      <c r="E17" s="100">
        <v>0.02</v>
      </c>
      <c r="F17" s="101"/>
      <c r="G17" s="46"/>
      <c r="H17" s="96" t="s">
        <v>122</v>
      </c>
      <c r="I17" s="97"/>
      <c r="J17" s="98">
        <f t="shared" si="1"/>
        <v>2.5158999999999967</v>
      </c>
      <c r="K17" s="99"/>
      <c r="L17" s="100">
        <v>0.2</v>
      </c>
      <c r="M17" s="101"/>
    </row>
    <row r="18" spans="1:15" s="30" customFormat="1" x14ac:dyDescent="0.25">
      <c r="A18" s="96" t="s">
        <v>122</v>
      </c>
      <c r="B18" s="97"/>
      <c r="C18" s="98">
        <f t="shared" si="0"/>
        <v>1.6408999999999996</v>
      </c>
      <c r="D18" s="99"/>
      <c r="E18" s="100">
        <v>2.5000000000000001E-2</v>
      </c>
      <c r="F18" s="101"/>
      <c r="G18" s="59"/>
      <c r="H18" s="96" t="s">
        <v>122</v>
      </c>
      <c r="I18" s="97"/>
      <c r="J18" s="98">
        <f t="shared" si="1"/>
        <v>2.5408999999999966</v>
      </c>
      <c r="K18" s="99"/>
      <c r="L18" s="100">
        <v>0.20499999999999999</v>
      </c>
      <c r="M18" s="101"/>
    </row>
    <row r="19" spans="1:15" s="30" customFormat="1" x14ac:dyDescent="0.25">
      <c r="A19" s="96" t="s">
        <v>122</v>
      </c>
      <c r="B19" s="97"/>
      <c r="C19" s="98">
        <f t="shared" si="0"/>
        <v>1.6658999999999995</v>
      </c>
      <c r="D19" s="99"/>
      <c r="E19" s="100">
        <v>0.03</v>
      </c>
      <c r="F19" s="101"/>
      <c r="G19" s="46"/>
      <c r="H19" s="96" t="s">
        <v>122</v>
      </c>
      <c r="I19" s="97"/>
      <c r="J19" s="98">
        <f t="shared" si="1"/>
        <v>2.5658999999999965</v>
      </c>
      <c r="K19" s="99"/>
      <c r="L19" s="100">
        <v>0.21</v>
      </c>
      <c r="M19" s="101"/>
    </row>
    <row r="20" spans="1:15" s="30" customFormat="1" x14ac:dyDescent="0.25">
      <c r="A20" s="96" t="s">
        <v>122</v>
      </c>
      <c r="B20" s="97"/>
      <c r="C20" s="98">
        <f t="shared" si="0"/>
        <v>1.6908999999999994</v>
      </c>
      <c r="D20" s="99"/>
      <c r="E20" s="100">
        <v>3.5000000000000003E-2</v>
      </c>
      <c r="F20" s="101"/>
      <c r="G20" s="46"/>
      <c r="H20" s="96" t="s">
        <v>122</v>
      </c>
      <c r="I20" s="97"/>
      <c r="J20" s="98">
        <f t="shared" si="1"/>
        <v>2.5908999999999964</v>
      </c>
      <c r="K20" s="99"/>
      <c r="L20" s="100">
        <v>0.215</v>
      </c>
      <c r="M20" s="101"/>
    </row>
    <row r="21" spans="1:15" x14ac:dyDescent="0.25">
      <c r="A21" s="96" t="s">
        <v>122</v>
      </c>
      <c r="B21" s="97"/>
      <c r="C21" s="98">
        <f t="shared" si="0"/>
        <v>1.7158999999999993</v>
      </c>
      <c r="D21" s="99"/>
      <c r="E21" s="100">
        <v>0.04</v>
      </c>
      <c r="F21" s="101"/>
      <c r="G21" s="4"/>
      <c r="H21" s="96" t="s">
        <v>122</v>
      </c>
      <c r="I21" s="97"/>
      <c r="J21" s="98">
        <f t="shared" si="1"/>
        <v>2.6158999999999963</v>
      </c>
      <c r="K21" s="99"/>
      <c r="L21" s="100">
        <v>0.22</v>
      </c>
      <c r="M21" s="101"/>
      <c r="O21" s="30"/>
    </row>
    <row r="22" spans="1:15" x14ac:dyDescent="0.25">
      <c r="A22" s="96" t="s">
        <v>122</v>
      </c>
      <c r="B22" s="97"/>
      <c r="C22" s="98">
        <f t="shared" si="0"/>
        <v>1.7408999999999992</v>
      </c>
      <c r="D22" s="99"/>
      <c r="E22" s="100">
        <v>4.4999999999999998E-2</v>
      </c>
      <c r="F22" s="101"/>
      <c r="H22" s="96" t="s">
        <v>122</v>
      </c>
      <c r="I22" s="97"/>
      <c r="J22" s="98">
        <f t="shared" si="1"/>
        <v>2.6408999999999963</v>
      </c>
      <c r="K22" s="99"/>
      <c r="L22" s="100">
        <v>0.22500000000000001</v>
      </c>
      <c r="M22" s="101"/>
      <c r="O22" s="30"/>
    </row>
    <row r="23" spans="1:15" x14ac:dyDescent="0.25">
      <c r="A23" s="96" t="s">
        <v>122</v>
      </c>
      <c r="B23" s="97"/>
      <c r="C23" s="98">
        <f t="shared" si="0"/>
        <v>1.7658999999999991</v>
      </c>
      <c r="D23" s="99"/>
      <c r="E23" s="100">
        <v>0.05</v>
      </c>
      <c r="F23" s="101"/>
      <c r="G23" s="3"/>
      <c r="H23" s="96" t="s">
        <v>122</v>
      </c>
      <c r="I23" s="97"/>
      <c r="J23" s="98">
        <f t="shared" si="1"/>
        <v>2.6658999999999962</v>
      </c>
      <c r="K23" s="99"/>
      <c r="L23" s="100">
        <v>0.23</v>
      </c>
      <c r="M23" s="101"/>
      <c r="O23" s="30"/>
    </row>
    <row r="24" spans="1:15" x14ac:dyDescent="0.25">
      <c r="A24" s="96" t="s">
        <v>122</v>
      </c>
      <c r="B24" s="97"/>
      <c r="C24" s="98">
        <f t="shared" si="0"/>
        <v>1.790899999999999</v>
      </c>
      <c r="D24" s="99"/>
      <c r="E24" s="100">
        <v>5.5E-2</v>
      </c>
      <c r="F24" s="101"/>
      <c r="H24" s="96" t="s">
        <v>122</v>
      </c>
      <c r="I24" s="97"/>
      <c r="J24" s="98">
        <f t="shared" si="1"/>
        <v>2.6908999999999961</v>
      </c>
      <c r="K24" s="99"/>
      <c r="L24" s="100">
        <v>0.23499999999999999</v>
      </c>
      <c r="M24" s="101"/>
      <c r="O24" s="30"/>
    </row>
    <row r="25" spans="1:15" x14ac:dyDescent="0.25">
      <c r="A25" s="96" t="s">
        <v>122</v>
      </c>
      <c r="B25" s="97"/>
      <c r="C25" s="98">
        <f t="shared" si="0"/>
        <v>1.815899999999999</v>
      </c>
      <c r="D25" s="99"/>
      <c r="E25" s="100">
        <v>0.06</v>
      </c>
      <c r="F25" s="101"/>
      <c r="H25" s="96" t="s">
        <v>122</v>
      </c>
      <c r="I25" s="97"/>
      <c r="J25" s="98">
        <f t="shared" si="1"/>
        <v>2.715899999999996</v>
      </c>
      <c r="K25" s="99"/>
      <c r="L25" s="100">
        <v>0.24</v>
      </c>
      <c r="M25" s="101"/>
      <c r="O25" s="30"/>
    </row>
    <row r="26" spans="1:15" x14ac:dyDescent="0.25">
      <c r="A26" s="96" t="s">
        <v>122</v>
      </c>
      <c r="B26" s="97"/>
      <c r="C26" s="98">
        <f t="shared" si="0"/>
        <v>1.8408999999999989</v>
      </c>
      <c r="D26" s="99"/>
      <c r="E26" s="100">
        <v>6.5000000000000002E-2</v>
      </c>
      <c r="F26" s="101"/>
      <c r="H26" s="96" t="s">
        <v>122</v>
      </c>
      <c r="I26" s="97"/>
      <c r="J26" s="98">
        <f t="shared" si="1"/>
        <v>2.7408999999999959</v>
      </c>
      <c r="K26" s="99"/>
      <c r="L26" s="100">
        <v>0.245</v>
      </c>
      <c r="M26" s="101"/>
      <c r="O26" s="30"/>
    </row>
    <row r="27" spans="1:15" x14ac:dyDescent="0.25">
      <c r="A27" s="96" t="s">
        <v>122</v>
      </c>
      <c r="B27" s="97"/>
      <c r="C27" s="98">
        <f t="shared" si="0"/>
        <v>1.8658999999999988</v>
      </c>
      <c r="D27" s="99"/>
      <c r="E27" s="100">
        <v>7.0000000000000007E-2</v>
      </c>
      <c r="F27" s="101"/>
      <c r="H27" s="96" t="s">
        <v>122</v>
      </c>
      <c r="I27" s="97"/>
      <c r="J27" s="98">
        <f t="shared" si="1"/>
        <v>2.7658999999999958</v>
      </c>
      <c r="K27" s="99"/>
      <c r="L27" s="100">
        <v>0.25</v>
      </c>
      <c r="M27" s="101"/>
      <c r="O27" s="30"/>
    </row>
    <row r="28" spans="1:15" x14ac:dyDescent="0.25">
      <c r="A28" s="96" t="s">
        <v>122</v>
      </c>
      <c r="B28" s="97"/>
      <c r="C28" s="98">
        <f t="shared" si="0"/>
        <v>1.8908999999999987</v>
      </c>
      <c r="D28" s="99"/>
      <c r="E28" s="100">
        <v>7.4999999999999997E-2</v>
      </c>
      <c r="F28" s="101"/>
      <c r="H28" s="96" t="s">
        <v>122</v>
      </c>
      <c r="I28" s="97"/>
      <c r="J28" s="98">
        <f t="shared" si="1"/>
        <v>2.7908999999999957</v>
      </c>
      <c r="K28" s="99"/>
      <c r="L28" s="100">
        <v>0.255</v>
      </c>
      <c r="M28" s="101"/>
      <c r="O28" s="30"/>
    </row>
    <row r="29" spans="1:15" x14ac:dyDescent="0.25">
      <c r="A29" s="96" t="s">
        <v>122</v>
      </c>
      <c r="B29" s="97"/>
      <c r="C29" s="98">
        <f t="shared" si="0"/>
        <v>1.9158999999999986</v>
      </c>
      <c r="D29" s="99"/>
      <c r="E29" s="100">
        <v>0.08</v>
      </c>
      <c r="F29" s="101"/>
      <c r="H29" s="96" t="s">
        <v>122</v>
      </c>
      <c r="I29" s="97"/>
      <c r="J29" s="98">
        <f t="shared" si="1"/>
        <v>2.8158999999999956</v>
      </c>
      <c r="K29" s="99"/>
      <c r="L29" s="100">
        <v>0.26</v>
      </c>
      <c r="M29" s="101"/>
      <c r="O29" s="30"/>
    </row>
    <row r="30" spans="1:15" x14ac:dyDescent="0.25">
      <c r="A30" s="96" t="s">
        <v>122</v>
      </c>
      <c r="B30" s="97"/>
      <c r="C30" s="98">
        <f t="shared" si="0"/>
        <v>1.9408999999999985</v>
      </c>
      <c r="D30" s="99"/>
      <c r="E30" s="100">
        <v>8.5000000000000006E-2</v>
      </c>
      <c r="F30" s="101"/>
      <c r="H30" s="96" t="s">
        <v>122</v>
      </c>
      <c r="I30" s="97"/>
      <c r="J30" s="98">
        <f t="shared" si="1"/>
        <v>2.8408999999999955</v>
      </c>
      <c r="K30" s="99"/>
      <c r="L30" s="100">
        <v>0.26500000000000001</v>
      </c>
      <c r="M30" s="101"/>
      <c r="O30" s="30"/>
    </row>
    <row r="31" spans="1:15" x14ac:dyDescent="0.25">
      <c r="A31" s="96" t="s">
        <v>122</v>
      </c>
      <c r="B31" s="97"/>
      <c r="C31" s="98">
        <f t="shared" si="0"/>
        <v>1.9658999999999984</v>
      </c>
      <c r="D31" s="99"/>
      <c r="E31" s="100">
        <v>0.09</v>
      </c>
      <c r="F31" s="101"/>
      <c r="H31" s="96" t="s">
        <v>122</v>
      </c>
      <c r="I31" s="97"/>
      <c r="J31" s="98">
        <f t="shared" si="1"/>
        <v>2.8658999999999955</v>
      </c>
      <c r="K31" s="99"/>
      <c r="L31" s="100">
        <v>0.27</v>
      </c>
      <c r="M31" s="101"/>
      <c r="O31" s="30"/>
    </row>
    <row r="32" spans="1:15" x14ac:dyDescent="0.25">
      <c r="A32" s="96" t="s">
        <v>122</v>
      </c>
      <c r="B32" s="97"/>
      <c r="C32" s="98">
        <f t="shared" si="0"/>
        <v>1.9908999999999983</v>
      </c>
      <c r="D32" s="99"/>
      <c r="E32" s="100">
        <v>9.5000000000000001E-2</v>
      </c>
      <c r="F32" s="101"/>
      <c r="H32" s="96" t="s">
        <v>122</v>
      </c>
      <c r="I32" s="97"/>
      <c r="J32" s="98">
        <f t="shared" si="1"/>
        <v>2.8908999999999954</v>
      </c>
      <c r="K32" s="99"/>
      <c r="L32" s="100">
        <v>0.27500000000000002</v>
      </c>
      <c r="M32" s="101"/>
      <c r="O32" s="30"/>
    </row>
    <row r="33" spans="1:15" x14ac:dyDescent="0.25">
      <c r="A33" s="96" t="s">
        <v>122</v>
      </c>
      <c r="B33" s="97"/>
      <c r="C33" s="98">
        <f t="shared" si="0"/>
        <v>2.0158999999999985</v>
      </c>
      <c r="D33" s="99"/>
      <c r="E33" s="100">
        <v>0.1</v>
      </c>
      <c r="F33" s="101"/>
      <c r="G33" s="3"/>
      <c r="H33" s="96" t="s">
        <v>122</v>
      </c>
      <c r="I33" s="97"/>
      <c r="J33" s="98">
        <f t="shared" si="1"/>
        <v>2.9158999999999953</v>
      </c>
      <c r="K33" s="99"/>
      <c r="L33" s="100">
        <v>0.28000000000000003</v>
      </c>
      <c r="M33" s="101"/>
      <c r="O33" s="30"/>
    </row>
    <row r="34" spans="1:15" ht="15.75" x14ac:dyDescent="0.25">
      <c r="A34" s="96" t="s">
        <v>122</v>
      </c>
      <c r="B34" s="97"/>
      <c r="C34" s="98">
        <f t="shared" si="0"/>
        <v>2.0408999999999984</v>
      </c>
      <c r="D34" s="99"/>
      <c r="E34" s="100">
        <v>0.105</v>
      </c>
      <c r="F34" s="101"/>
      <c r="G34" s="29"/>
      <c r="H34" s="96" t="s">
        <v>122</v>
      </c>
      <c r="I34" s="97"/>
      <c r="J34" s="98">
        <f t="shared" si="1"/>
        <v>2.9408999999999952</v>
      </c>
      <c r="K34" s="99"/>
      <c r="L34" s="100">
        <v>0.28499999999999998</v>
      </c>
      <c r="M34" s="101"/>
      <c r="O34" s="30"/>
    </row>
    <row r="35" spans="1:15" x14ac:dyDescent="0.25">
      <c r="A35" s="96" t="s">
        <v>122</v>
      </c>
      <c r="B35" s="97"/>
      <c r="C35" s="98">
        <f t="shared" si="0"/>
        <v>2.0658999999999983</v>
      </c>
      <c r="D35" s="99"/>
      <c r="E35" s="100">
        <v>0.11</v>
      </c>
      <c r="F35" s="101"/>
      <c r="G35" s="60"/>
      <c r="H35" s="96" t="s">
        <v>122</v>
      </c>
      <c r="I35" s="97"/>
      <c r="J35" s="98">
        <f t="shared" si="1"/>
        <v>2.9658999999999951</v>
      </c>
      <c r="K35" s="99"/>
      <c r="L35" s="100">
        <v>0.28999999999999998</v>
      </c>
      <c r="M35" s="101"/>
      <c r="O35" s="30"/>
    </row>
    <row r="36" spans="1:15" x14ac:dyDescent="0.25">
      <c r="A36" s="96" t="s">
        <v>122</v>
      </c>
      <c r="B36" s="97"/>
      <c r="C36" s="98">
        <f t="shared" si="0"/>
        <v>2.0908999999999982</v>
      </c>
      <c r="D36" s="99"/>
      <c r="E36" s="100">
        <v>0.115</v>
      </c>
      <c r="F36" s="101"/>
      <c r="G36" s="3"/>
      <c r="H36" s="96" t="s">
        <v>122</v>
      </c>
      <c r="I36" s="97"/>
      <c r="J36" s="98">
        <f t="shared" si="1"/>
        <v>2.990899999999995</v>
      </c>
      <c r="K36" s="99"/>
      <c r="L36" s="100">
        <v>0.29499999999999998</v>
      </c>
      <c r="M36" s="101"/>
      <c r="O36" s="30"/>
    </row>
    <row r="37" spans="1:15" x14ac:dyDescent="0.25">
      <c r="A37" s="96" t="s">
        <v>122</v>
      </c>
      <c r="B37" s="97"/>
      <c r="C37" s="98">
        <f t="shared" si="0"/>
        <v>2.1158999999999981</v>
      </c>
      <c r="D37" s="99"/>
      <c r="E37" s="100">
        <v>0.12</v>
      </c>
      <c r="F37" s="101"/>
      <c r="H37" s="96" t="s">
        <v>122</v>
      </c>
      <c r="I37" s="97"/>
      <c r="J37" s="98">
        <f t="shared" si="1"/>
        <v>3.0158999999999949</v>
      </c>
      <c r="K37" s="99"/>
      <c r="L37" s="100">
        <v>0.3</v>
      </c>
      <c r="M37" s="101"/>
      <c r="O37" s="30"/>
    </row>
    <row r="38" spans="1:15" x14ac:dyDescent="0.25">
      <c r="A38" s="96" t="s">
        <v>122</v>
      </c>
      <c r="B38" s="97"/>
      <c r="C38" s="98">
        <f t="shared" si="0"/>
        <v>2.140899999999998</v>
      </c>
      <c r="D38" s="99"/>
      <c r="E38" s="100">
        <v>0.125</v>
      </c>
      <c r="F38" s="101"/>
      <c r="H38" s="96" t="s">
        <v>122</v>
      </c>
      <c r="I38" s="97"/>
      <c r="J38" s="98">
        <f t="shared" si="1"/>
        <v>3.0408999999999948</v>
      </c>
      <c r="K38" s="99"/>
      <c r="L38" s="100">
        <v>0.30499999999999999</v>
      </c>
      <c r="M38" s="101"/>
      <c r="O38" s="30"/>
    </row>
    <row r="39" spans="1:15" x14ac:dyDescent="0.25">
      <c r="A39" s="96" t="s">
        <v>122</v>
      </c>
      <c r="B39" s="97"/>
      <c r="C39" s="98">
        <f t="shared" si="0"/>
        <v>2.1658999999999979</v>
      </c>
      <c r="D39" s="99"/>
      <c r="E39" s="100">
        <v>0.13</v>
      </c>
      <c r="F39" s="101"/>
      <c r="H39" s="96" t="s">
        <v>122</v>
      </c>
      <c r="I39" s="97"/>
      <c r="J39" s="98">
        <f t="shared" si="1"/>
        <v>3.0658999999999947</v>
      </c>
      <c r="K39" s="99"/>
      <c r="L39" s="100">
        <v>0.31</v>
      </c>
      <c r="M39" s="101"/>
      <c r="O39" s="30"/>
    </row>
    <row r="40" spans="1:15" x14ac:dyDescent="0.25">
      <c r="A40" s="96" t="s">
        <v>122</v>
      </c>
      <c r="B40" s="97"/>
      <c r="C40" s="98">
        <f t="shared" si="0"/>
        <v>2.1908999999999978</v>
      </c>
      <c r="D40" s="99"/>
      <c r="E40" s="100">
        <v>0.13500000000000001</v>
      </c>
      <c r="F40" s="101"/>
      <c r="H40" s="96" t="s">
        <v>122</v>
      </c>
      <c r="I40" s="97"/>
      <c r="J40" s="98">
        <f t="shared" si="1"/>
        <v>3.0908999999999947</v>
      </c>
      <c r="K40" s="99"/>
      <c r="L40" s="100">
        <v>0.315</v>
      </c>
      <c r="M40" s="101"/>
      <c r="O40" s="30"/>
    </row>
    <row r="41" spans="1:15" x14ac:dyDescent="0.25">
      <c r="A41" s="96" t="s">
        <v>122</v>
      </c>
      <c r="B41" s="97"/>
      <c r="C41" s="98">
        <f t="shared" si="0"/>
        <v>2.2158999999999978</v>
      </c>
      <c r="D41" s="99"/>
      <c r="E41" s="100">
        <v>0.14000000000000001</v>
      </c>
      <c r="F41" s="101"/>
      <c r="H41" s="96" t="s">
        <v>122</v>
      </c>
      <c r="I41" s="97"/>
      <c r="J41" s="98">
        <f t="shared" si="1"/>
        <v>3.1158999999999946</v>
      </c>
      <c r="K41" s="99"/>
      <c r="L41" s="100">
        <v>0.32</v>
      </c>
      <c r="M41" s="101"/>
      <c r="O41" s="30"/>
    </row>
    <row r="42" spans="1:15" x14ac:dyDescent="0.25">
      <c r="A42" s="96" t="s">
        <v>122</v>
      </c>
      <c r="B42" s="97"/>
      <c r="C42" s="98">
        <f t="shared" si="0"/>
        <v>2.2408999999999977</v>
      </c>
      <c r="D42" s="99"/>
      <c r="E42" s="100">
        <v>0.14499999999999999</v>
      </c>
      <c r="F42" s="101"/>
      <c r="H42" s="96" t="s">
        <v>122</v>
      </c>
      <c r="I42" s="97"/>
      <c r="J42" s="98">
        <f t="shared" si="1"/>
        <v>3.1408999999999945</v>
      </c>
      <c r="K42" s="99"/>
      <c r="L42" s="100">
        <v>0.32500000000000001</v>
      </c>
      <c r="M42" s="101"/>
      <c r="O42" s="30"/>
    </row>
    <row r="43" spans="1:15" x14ac:dyDescent="0.25">
      <c r="A43" s="96" t="s">
        <v>122</v>
      </c>
      <c r="B43" s="97"/>
      <c r="C43" s="98">
        <f t="shared" si="0"/>
        <v>2.2658999999999976</v>
      </c>
      <c r="D43" s="99"/>
      <c r="E43" s="100">
        <v>0.15</v>
      </c>
      <c r="F43" s="101"/>
      <c r="H43" s="96" t="s">
        <v>122</v>
      </c>
      <c r="I43" s="97"/>
      <c r="J43" s="98">
        <f t="shared" si="1"/>
        <v>3.1658999999999944</v>
      </c>
      <c r="K43" s="99"/>
      <c r="L43" s="100">
        <v>0.33</v>
      </c>
      <c r="M43" s="101"/>
      <c r="O43" s="30"/>
    </row>
    <row r="44" spans="1:15" x14ac:dyDescent="0.25">
      <c r="A44" s="96" t="s">
        <v>122</v>
      </c>
      <c r="B44" s="97"/>
      <c r="C44" s="98">
        <f t="shared" si="0"/>
        <v>2.2908999999999975</v>
      </c>
      <c r="D44" s="99"/>
      <c r="E44" s="100">
        <v>0.155</v>
      </c>
      <c r="F44" s="101"/>
      <c r="H44" s="96" t="s">
        <v>122</v>
      </c>
      <c r="I44" s="97"/>
      <c r="J44" s="98">
        <f t="shared" si="1"/>
        <v>3.1908999999999943</v>
      </c>
      <c r="K44" s="99"/>
      <c r="L44" s="100">
        <v>0.33500000000000002</v>
      </c>
      <c r="M44" s="101"/>
      <c r="O44" s="30"/>
    </row>
    <row r="45" spans="1:15" x14ac:dyDescent="0.25">
      <c r="A45" s="96" t="s">
        <v>122</v>
      </c>
      <c r="B45" s="97"/>
      <c r="C45" s="98">
        <f t="shared" si="0"/>
        <v>2.3158999999999974</v>
      </c>
      <c r="D45" s="99"/>
      <c r="E45" s="100">
        <v>0.16</v>
      </c>
      <c r="F45" s="101"/>
      <c r="H45" s="96" t="s">
        <v>122</v>
      </c>
      <c r="I45" s="97"/>
      <c r="J45" s="98">
        <f t="shared" si="1"/>
        <v>3.2158999999999942</v>
      </c>
      <c r="K45" s="99"/>
      <c r="L45" s="100">
        <v>0.34</v>
      </c>
      <c r="M45" s="101"/>
      <c r="O45" s="30"/>
    </row>
    <row r="46" spans="1:15" x14ac:dyDescent="0.25">
      <c r="A46" s="96" t="s">
        <v>122</v>
      </c>
      <c r="B46" s="97"/>
      <c r="C46" s="98">
        <f t="shared" si="0"/>
        <v>2.3408999999999973</v>
      </c>
      <c r="D46" s="99"/>
      <c r="E46" s="100">
        <v>0.16500000000000001</v>
      </c>
      <c r="F46" s="101"/>
      <c r="H46" s="96" t="s">
        <v>122</v>
      </c>
      <c r="I46" s="97"/>
      <c r="J46" s="98">
        <f t="shared" si="1"/>
        <v>3.2408999999999941</v>
      </c>
      <c r="K46" s="99"/>
      <c r="L46" s="100">
        <v>0.34499999999999997</v>
      </c>
      <c r="M46" s="101"/>
      <c r="O46" s="30"/>
    </row>
    <row r="47" spans="1:15" x14ac:dyDescent="0.25">
      <c r="A47" s="96" t="s">
        <v>122</v>
      </c>
      <c r="B47" s="97"/>
      <c r="C47" s="98">
        <f t="shared" si="0"/>
        <v>2.3658999999999972</v>
      </c>
      <c r="D47" s="99"/>
      <c r="E47" s="100">
        <v>0.17</v>
      </c>
      <c r="F47" s="101"/>
      <c r="H47" s="96" t="s">
        <v>122</v>
      </c>
      <c r="I47" s="97"/>
      <c r="J47" s="98">
        <f t="shared" si="1"/>
        <v>3.265899999999994</v>
      </c>
      <c r="K47" s="99"/>
      <c r="L47" s="100">
        <v>0.35</v>
      </c>
      <c r="M47" s="101"/>
      <c r="O47" s="30"/>
    </row>
    <row r="48" spans="1:15" ht="15.75" thickBot="1" x14ac:dyDescent="0.3">
      <c r="A48" s="90" t="s">
        <v>122</v>
      </c>
      <c r="B48" s="91"/>
      <c r="C48" s="92">
        <f t="shared" si="0"/>
        <v>2.3908999999999971</v>
      </c>
      <c r="D48" s="93"/>
      <c r="E48" s="94">
        <v>0.17499999999999999</v>
      </c>
      <c r="F48" s="95"/>
      <c r="H48" s="90" t="s">
        <v>122</v>
      </c>
      <c r="I48" s="91"/>
      <c r="J48" s="92">
        <f t="shared" si="1"/>
        <v>3.2908999999999939</v>
      </c>
      <c r="K48" s="93"/>
      <c r="L48" s="94">
        <v>0.35499999999999998</v>
      </c>
      <c r="M48" s="95"/>
      <c r="O48" s="30"/>
    </row>
    <row r="49" spans="1:14" x14ac:dyDescent="0.25">
      <c r="B49" s="31"/>
      <c r="C49" s="61"/>
      <c r="D49" s="31"/>
      <c r="E49" s="62"/>
      <c r="F49" s="63"/>
    </row>
    <row r="50" spans="1:14" ht="47.25" customHeight="1" x14ac:dyDescent="0.25">
      <c r="A50" s="46" t="s">
        <v>123</v>
      </c>
      <c r="C50" s="77" t="s">
        <v>124</v>
      </c>
      <c r="D50" s="77"/>
      <c r="E50" s="77"/>
      <c r="F50" s="77"/>
      <c r="G50" s="77"/>
      <c r="H50" s="77"/>
      <c r="I50" s="77"/>
      <c r="J50" s="77"/>
      <c r="K50" s="77"/>
      <c r="L50" s="77"/>
      <c r="M50" s="77"/>
    </row>
    <row r="51" spans="1:14" x14ac:dyDescent="0.25">
      <c r="A51" s="3"/>
      <c r="E51" s="63"/>
      <c r="F51" s="63"/>
      <c r="G51" s="3"/>
    </row>
    <row r="52" spans="1:14" ht="72" customHeight="1" x14ac:dyDescent="0.25">
      <c r="A52" s="77" t="s">
        <v>125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</row>
    <row r="53" spans="1:14" ht="16.350000000000001" customHeight="1" x14ac:dyDescent="0.25">
      <c r="A53" s="89" t="s">
        <v>126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</row>
    <row r="54" spans="1:14" ht="15.75" x14ac:dyDescent="0.25">
      <c r="A54" s="3"/>
      <c r="E54" s="63"/>
      <c r="F54" s="64"/>
      <c r="G54" s="3"/>
      <c r="H54" s="51"/>
      <c r="I54" s="51"/>
    </row>
    <row r="55" spans="1:14" ht="30" customHeight="1" x14ac:dyDescent="0.25">
      <c r="A55" s="77" t="s">
        <v>127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65"/>
    </row>
    <row r="56" spans="1:14" ht="30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65"/>
    </row>
    <row r="57" spans="1:14" ht="30" customHeight="1" x14ac:dyDescent="0.2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65"/>
    </row>
    <row r="58" spans="1:14" ht="30" customHeight="1" x14ac:dyDescent="0.2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65"/>
    </row>
    <row r="59" spans="1:14" ht="30" customHeight="1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65"/>
    </row>
    <row r="60" spans="1:14" ht="1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9">
    <mergeCell ref="A13:B13"/>
    <mergeCell ref="C13:D13"/>
    <mergeCell ref="E13:F13"/>
    <mergeCell ref="H13:I13"/>
    <mergeCell ref="J13:K13"/>
    <mergeCell ref="L13:M13"/>
    <mergeCell ref="A7:M7"/>
    <mergeCell ref="A9:M9"/>
    <mergeCell ref="A10:M10"/>
    <mergeCell ref="A12:B12"/>
    <mergeCell ref="C12:D12"/>
    <mergeCell ref="E12:F12"/>
    <mergeCell ref="H12:I12"/>
    <mergeCell ref="J12:K12"/>
    <mergeCell ref="L12:M12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</mergeCells>
  <hyperlinks>
    <hyperlink ref="A53" r:id="rId1" xr:uid="{6C3A548C-20CF-4856-87EA-F30DC0244F17}"/>
    <hyperlink ref="A6" r:id="rId2" xr:uid="{6F1D8D3D-99DA-4691-9C71-72A80E11264D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FE65B9-418D-47D9-A33A-4F2C662E75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44212D-36F2-491B-9AD5-CCADEDC1AC5A}"/>
</file>

<file path=customXml/itemProps3.xml><?xml version="1.0" encoding="utf-8"?>
<ds:datastoreItem xmlns:ds="http://schemas.openxmlformats.org/officeDocument/2006/customXml" ds:itemID="{43735CEF-C7F4-49A3-B50F-69AB12BFF167}">
  <ds:schemaRefs>
    <ds:schemaRef ds:uri="0e5fc656-6d02-40c3-8f51-edb14b3b7b28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fccca3f-fc46-4126-8b38-d6abb0c4b53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Exporttarife</vt:lpstr>
      <vt:lpstr>CH-Währungsfloater</vt:lpstr>
      <vt:lpstr>Dieselfloater</vt:lpstr>
      <vt:lpstr>'CH-Währungsfloater'!Druckbereich</vt:lpstr>
      <vt:lpstr>Dieselfloater!Druckbereich</vt:lpstr>
      <vt:lpstr>Exporttarife!Druckbereich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2026-01-06T09:05:24Z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