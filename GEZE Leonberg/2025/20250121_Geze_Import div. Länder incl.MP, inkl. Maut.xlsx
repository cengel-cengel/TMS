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Geze, Leonberg\"/>
    </mc:Choice>
  </mc:AlternateContent>
  <xr:revisionPtr revIDLastSave="0" documentId="13_ncr:1_{FEE0A2D7-2A00-4FC9-AAAB-1B81815A9D58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Import div. Länder" sheetId="1" r:id="rId1"/>
    <sheet name="CH-Währungsfloater" sheetId="4" r:id="rId2"/>
    <sheet name="Dieselfloater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 localSheetId="2">#REF!</definedName>
    <definedName name="a">#REF!</definedName>
    <definedName name="A1Col_Del_Cost_" localSheetId="1">#REF!</definedName>
    <definedName name="A1Col_Del_Cost_" localSheetId="2">#REF!</definedName>
    <definedName name="A1Col_Del_Cost_">#REF!</definedName>
    <definedName name="AB" localSheetId="1">#REF!</definedName>
    <definedName name="AB" localSheetId="2">#REF!</definedName>
    <definedName name="AB">#REF!</definedName>
    <definedName name="abhldm">[4]Basisvereinbarungen!$C$22</definedName>
    <definedName name="ADD" localSheetId="1">#REF!</definedName>
    <definedName name="ADD" localSheetId="2">#REF!</definedName>
    <definedName name="ADD">#REF!</definedName>
    <definedName name="ADRESS" localSheetId="1">#REF!</definedName>
    <definedName name="ADRESS" localSheetId="2">#REF!</definedName>
    <definedName name="ADRESS">#REF!</definedName>
    <definedName name="ADRESSE" localSheetId="1">#REF!</definedName>
    <definedName name="ADRESSE" localSheetId="2">#REF!</definedName>
    <definedName name="ADRESSE">#REF!</definedName>
    <definedName name="ADS">[1]EBARCALL!$L$20:$L$25</definedName>
    <definedName name="aed" localSheetId="1">#REF!</definedName>
    <definedName name="aed" localSheetId="2">#REF!</definedName>
    <definedName name="aed">#REF!</definedName>
    <definedName name="AFF" localSheetId="1">#REF!</definedName>
    <definedName name="AFF" localSheetId="2">#REF!</definedName>
    <definedName name="AFF">#REF!</definedName>
    <definedName name="AgeEst">[5]BASE!$A$9967:$A$9976</definedName>
    <definedName name="AgeIDF">[5]BASE!$A$9978:$A$9990</definedName>
    <definedName name="AGEN">[6]Feuil1!$A$1:$E$65536</definedName>
    <definedName name="ageNCE">[6]Feuil1!$B$1:$E$65536</definedName>
    <definedName name="Agences">OFFSET([7]LISTES!$B$2,0,0,COUNTA([7]LISTES!$B:$B)-1,1)</definedName>
    <definedName name="AgeNord">[5]BASE!$A$9992:$A$10004</definedName>
    <definedName name="AgeO">[5]BASE!$A$10006:$A$10011</definedName>
    <definedName name="AgeRA">[5]BASE!$A$10013:$A$10031</definedName>
    <definedName name="AgeSO">[5]BASE!$A$10033:$A$10041</definedName>
    <definedName name="agree">'[8]List of content'!$A$6</definedName>
    <definedName name="alpha" localSheetId="1">#REF!</definedName>
    <definedName name="alpha" localSheetId="2">#REF!</definedName>
    <definedName name="alpha">#REF!</definedName>
    <definedName name="ARCHI_TEMP" localSheetId="1">#REF!</definedName>
    <definedName name="ARCHI_TEMP" localSheetId="2">#REF!</definedName>
    <definedName name="ARCHI_TEMP">#REF!</definedName>
    <definedName name="as" localSheetId="1">#REF!</definedName>
    <definedName name="as" localSheetId="2">#REF!</definedName>
    <definedName name="as">#REF!</definedName>
    <definedName name="asdas" localSheetId="1">#REF!</definedName>
    <definedName name="asdas" localSheetId="2">#REF!</definedName>
    <definedName name="asdas">#REF!</definedName>
    <definedName name="ase" localSheetId="1">#REF!</definedName>
    <definedName name="ase" localSheetId="2">#REF!</definedName>
    <definedName name="ase">#REF!</definedName>
    <definedName name="ATMA">[9]Feuil1!$B$1:$B$3</definedName>
    <definedName name="Auslastung_HL_Proz">[10]Kalkulation!$G$8</definedName>
    <definedName name="Auswahl_Monatswerte_Abfrage_Team_1" localSheetId="1">#REF!</definedName>
    <definedName name="Auswahl_Monatswerte_Abfrage_Team_1" localSheetId="2">#REF!</definedName>
    <definedName name="Auswahl_Monatswerte_Abfrage_Team_1">#REF!</definedName>
    <definedName name="AutomatisationGroupage" localSheetId="1">'[11]Indicateurs MOA_12 Mois'!#REF!</definedName>
    <definedName name="AutomatisationGroupage" localSheetId="2">'[11]Indicateurs MOA_12 Mois'!#REF!</definedName>
    <definedName name="AutomatisationGroupage">'[11]Indicateurs MOA_12 Mois'!#REF!</definedName>
    <definedName name="AutomatisationLot" localSheetId="1">'[11]Indicateurs MOA_12 Mois'!#REF!</definedName>
    <definedName name="AutomatisationLot" localSheetId="2">'[11]Indicateurs MOA_12 Mois'!#REF!</definedName>
    <definedName name="AutomatisationLot">'[11]Indicateurs MOA_12 Mois'!#REF!</definedName>
    <definedName name="Balkans" localSheetId="1">#REF!</definedName>
    <definedName name="Balkans" localSheetId="2">#REF!</definedName>
    <definedName name="Balkans">#REF!</definedName>
    <definedName name="bas" localSheetId="1">#REF!</definedName>
    <definedName name="bas" localSheetId="2">#REF!</definedName>
    <definedName name="bas">#REF!</definedName>
    <definedName name="BASE10" localSheetId="1">#REF!</definedName>
    <definedName name="BASE10" localSheetId="2">#REF!</definedName>
    <definedName name="BASE10">#REF!</definedName>
    <definedName name="Bouton1">"Bouton 9"</definedName>
    <definedName name="cdd">[9]CDD!$A$1:$B$65536</definedName>
    <definedName name="CDHWL_10" localSheetId="1">#REF!</definedName>
    <definedName name="CDHWL_10" localSheetId="2">#REF!</definedName>
    <definedName name="CDHWL_10">#REF!</definedName>
    <definedName name="CDHWL_11" localSheetId="1">#REF!</definedName>
    <definedName name="CDHWL_11" localSheetId="2">#REF!</definedName>
    <definedName name="CDHWL_11">#REF!</definedName>
    <definedName name="CLIENT" localSheetId="1">#REF!</definedName>
    <definedName name="CLIENT" localSheetId="2">#REF!</definedName>
    <definedName name="CLIENT">#REF!</definedName>
    <definedName name="Co_Del_Costs_SI2" localSheetId="1">#REF!</definedName>
    <definedName name="Co_Del_Costs_SI2" localSheetId="2">#REF!</definedName>
    <definedName name="Co_Del_Costs_SI2">#REF!</definedName>
    <definedName name="CodeAgence">OFFSET([7]LISTES!$C$2,0,0,COUNTA([7]LISTES!$C:$C)-1,1)</definedName>
    <definedName name="Col_Del_Cost_1" localSheetId="1">#REF!</definedName>
    <definedName name="Col_Del_Cost_1" localSheetId="2">#REF!</definedName>
    <definedName name="Col_Del_Cost_1">#REF!</definedName>
    <definedName name="Col_Del_Cost_2" localSheetId="1">#REF!</definedName>
    <definedName name="Col_Del_Cost_2" localSheetId="2">#REF!</definedName>
    <definedName name="Col_Del_Cost_2">#REF!</definedName>
    <definedName name="Col_Del_Cost_HWL" localSheetId="1">#REF!</definedName>
    <definedName name="Col_Del_Cost_HWL" localSheetId="2">#REF!</definedName>
    <definedName name="Col_Del_Cost_HWL">#REF!</definedName>
    <definedName name="Col_Del_Costs_blank" localSheetId="1">#REF!</definedName>
    <definedName name="Col_Del_Costs_blank" localSheetId="2">#REF!</definedName>
    <definedName name="Col_Del_Costs_blank">#REF!</definedName>
    <definedName name="Col_Del_Costs_HR" localSheetId="1">#REF!</definedName>
    <definedName name="Col_Del_Costs_HR" localSheetId="2">#REF!</definedName>
    <definedName name="Col_Del_Costs_HR">#REF!</definedName>
    <definedName name="Col_Del_Costs_HU" localSheetId="1">#REF!</definedName>
    <definedName name="Col_Del_Costs_HU" localSheetId="2">#REF!</definedName>
    <definedName name="Col_Del_Costs_HU">#REF!</definedName>
    <definedName name="Col_Del_Costs_SI" localSheetId="1">#REF!</definedName>
    <definedName name="Col_Del_Costs_SI" localSheetId="2">#REF!</definedName>
    <definedName name="Col_Del_Costs_SI">#REF!</definedName>
    <definedName name="COM" localSheetId="1">#REF!</definedName>
    <definedName name="COM" localSheetId="2">#REF!</definedName>
    <definedName name="COM">#REF!</definedName>
    <definedName name="Commercial">[12]Menus!$C$1:$C$124</definedName>
    <definedName name="ConnexionsTlibox">'[11]Indicateurs MOA_12 Mois'!#REF!</definedName>
    <definedName name="CONTACT">'[13]Hausse 2014 2015'!$CL$12:$CM$23</definedName>
    <definedName name="Création">'[14]valeur liste fiche Env'!$A$1:$A$2</definedName>
    <definedName name="data">OFFSET([7]COTATIONS!$A$1,0,0,COUNTA([7]COTATIONS!$C:$C),COUNTA([7]COTATIONS!$1:$1))</definedName>
    <definedName name="Data_Incident" localSheetId="1">#REF!</definedName>
    <definedName name="Data_Incident" localSheetId="2">#REF!</definedName>
    <definedName name="Data_Incident">#REF!</definedName>
    <definedName name="data2">OFFSET('[7]Rappels aux tarifs'!$A$1,0,0,COUNTA('[7]Rappels aux tarifs'!$B:$B),14)</definedName>
    <definedName name="data8" localSheetId="1">[15]Guide!#REF!</definedName>
    <definedName name="data8" localSheetId="2">[15]Guide!#REF!</definedName>
    <definedName name="data8">[15]Guide!#REF!</definedName>
    <definedName name="Data9" localSheetId="1">[15]Guide!#REF!</definedName>
    <definedName name="Data9" localSheetId="2">[15]Guide!#REF!</definedName>
    <definedName name="Data9">[15]Guide!#REF!</definedName>
    <definedName name="Database_3">[15]Guide!#REF!</definedName>
    <definedName name="Database_4">[15]Guide!#REF!</definedName>
    <definedName name="Database_5">[15]Guide!#REF!</definedName>
    <definedName name="Database1">[15]Guide!#REF!</definedName>
    <definedName name="Database2">[15]Guide!#REF!</definedName>
    <definedName name="DataIncident">[15]Guide!#REF!</definedName>
    <definedName name="Date">[16]PARAMETRES!$A$3</definedName>
    <definedName name="datum">'[17]List of content'!$A$3</definedName>
    <definedName name="DE_Maut">'[18]LKW Maut DE'!#REF!</definedName>
    <definedName name="Del_BA" localSheetId="1">#REF!</definedName>
    <definedName name="Del_BA" localSheetId="2">#REF!</definedName>
    <definedName name="Del_BA">#REF!</definedName>
    <definedName name="Delivery_time_GW" localSheetId="1">'[18]Delivery times GW'!#REF!</definedName>
    <definedName name="Delivery_time_GW" localSheetId="2">'[18]Delivery times GW'!#REF!</definedName>
    <definedName name="Delivery_time_GW">'[18]Delivery times GW'!#REF!</definedName>
    <definedName name="DeploiementLot" localSheetId="1">#REF!</definedName>
    <definedName name="DeploiementLot" localSheetId="2">#REF!</definedName>
    <definedName name="DeploiementLot">#REF!</definedName>
    <definedName name="DerMois" localSheetId="1">[15]Guide!#REF!</definedName>
    <definedName name="DerMois" localSheetId="2">[15]Guide!#REF!</definedName>
    <definedName name="DerMois">[15]Guide!#REF!</definedName>
    <definedName name="det" localSheetId="1">'[18]Delivery times GW'!#REF!</definedName>
    <definedName name="det" localSheetId="2">'[18]Delivery times GW'!#REF!</definedName>
    <definedName name="det">'[18]Delivery times GW'!#REF!</definedName>
    <definedName name="_xlnm.Print_Area" localSheetId="1">'CH-Währungsfloater'!$A$1:$H$58</definedName>
    <definedName name="_xlnm.Print_Area" localSheetId="2">Dieselfloater!$A$1:$M$59</definedName>
    <definedName name="_xlnm.Print_Area" localSheetId="0">'Import div. Länder'!$A$1:$G$48</definedName>
    <definedName name="_xlnm.Print_Area">#REF!</definedName>
    <definedName name="E_Dec" localSheetId="1">#REF!</definedName>
    <definedName name="E_Dec" localSheetId="2">#REF!</definedName>
    <definedName name="E_Dec">#REF!</definedName>
    <definedName name="eda" localSheetId="1">#REF!</definedName>
    <definedName name="eda" localSheetId="2">#REF!</definedName>
    <definedName name="eda">#REF!</definedName>
    <definedName name="edec" localSheetId="1">#REF!</definedName>
    <definedName name="edec" localSheetId="2">#REF!</definedName>
    <definedName name="edec">#REF!</definedName>
    <definedName name="Entfernung_Hauptlauf" localSheetId="1">[19]Kalkulation!#REF!</definedName>
    <definedName name="Entfernung_Hauptlauf" localSheetId="2">[19]Kalkulation!#REF!</definedName>
    <definedName name="Entfernung_Hauptlauf">[19]Kalkulation!#REF!</definedName>
    <definedName name="Est">[5]BASE!$B$9948:$B$9956</definedName>
    <definedName name="EURO" localSheetId="1">#REF!</definedName>
    <definedName name="EURO" localSheetId="2">#REF!</definedName>
    <definedName name="EURO">#REF!</definedName>
    <definedName name="EURO_IMPR" localSheetId="1">#REF!</definedName>
    <definedName name="EURO_IMPR" localSheetId="2">#REF!</definedName>
    <definedName name="EURO_IMPR">#REF!</definedName>
    <definedName name="ewr" localSheetId="1">#REF!</definedName>
    <definedName name="ewr" localSheetId="2">#REF!</definedName>
    <definedName name="ewr">#REF!</definedName>
    <definedName name="Excel_BuiltIn__FilterDatabase_1" localSheetId="1">'[20]2007 in Euro'!#REF!</definedName>
    <definedName name="Excel_BuiltIn__FilterDatabase_1" localSheetId="2">'[20]2007 in Euro'!#REF!</definedName>
    <definedName name="Excel_BuiltIn__FilterDatabase_1">'[20]2007 in Euro'!#REF!</definedName>
    <definedName name="Excel_BuiltIn_Print_Area" localSheetId="1">#REF!</definedName>
    <definedName name="Excel_BuiltIn_Print_Area" localSheetId="2">#REF!</definedName>
    <definedName name="Excel_BuiltIn_Print_Area">#REF!</definedName>
    <definedName name="Excel_BuiltIn_Print_Area_10" localSheetId="1">#REF!</definedName>
    <definedName name="Excel_BuiltIn_Print_Area_10" localSheetId="2">#REF!</definedName>
    <definedName name="Excel_BuiltIn_Print_Area_10">#REF!</definedName>
    <definedName name="Excel_BuiltIn_Print_Area_11" localSheetId="1">#REF!</definedName>
    <definedName name="Excel_BuiltIn_Print_Area_11" localSheetId="2">#REF!</definedName>
    <definedName name="Excel_BuiltIn_Print_Area_11">#REF!</definedName>
    <definedName name="Excel_BuiltIn_Print_Titles_10" localSheetId="1">#REF!</definedName>
    <definedName name="Excel_BuiltIn_Print_Titles_10" localSheetId="2">#REF!</definedName>
    <definedName name="Excel_BuiltIn_Print_Titles_10">#REF!</definedName>
    <definedName name="Excel_BuiltIn_Print_Titles_11" localSheetId="1">#REF!</definedName>
    <definedName name="Excel_BuiltIn_Print_Titles_11" localSheetId="2">#REF!</definedName>
    <definedName name="Excel_BuiltIn_Print_Titles_11">#REF!</definedName>
    <definedName name="Exclusion">[12]Menus!$A$1:$A$16</definedName>
    <definedName name="fact" localSheetId="1">#REF!</definedName>
    <definedName name="fact" localSheetId="2">#REF!</definedName>
    <definedName name="fact">#REF!</definedName>
    <definedName name="FAIT" localSheetId="1">#REF!</definedName>
    <definedName name="FAIT" localSheetId="2">#REF!</definedName>
    <definedName name="FAIT">#REF!</definedName>
    <definedName name="FM" localSheetId="1">#REF!</definedName>
    <definedName name="FM" localSheetId="2">#REF!</definedName>
    <definedName name="FM">#REF!</definedName>
    <definedName name="From">[7]LISTES!$I$1</definedName>
    <definedName name="G" localSheetId="1">#REF!</definedName>
    <definedName name="G" localSheetId="2">#REF!</definedName>
    <definedName name="G">#REF!</definedName>
    <definedName name="Gants" localSheetId="1">#REF!</definedName>
    <definedName name="Gants" localSheetId="2">#REF!</definedName>
    <definedName name="Gants">#REF!</definedName>
    <definedName name="GEN">'[21]Hausse 001'!$A:$IV</definedName>
    <definedName name="genn" localSheetId="1">#REF!</definedName>
    <definedName name="genn" localSheetId="2">#REF!</definedName>
    <definedName name="genn">#REF!</definedName>
    <definedName name="gh" localSheetId="1">#REF!</definedName>
    <definedName name="gh" localSheetId="2">#REF!</definedName>
    <definedName name="gh">#REF!</definedName>
    <definedName name="ghj" localSheetId="1">#REF!</definedName>
    <definedName name="ghj" localSheetId="2">#REF!</definedName>
    <definedName name="ghj">#REF!</definedName>
    <definedName name="GW_an_HWL" localSheetId="1">'[18]GW-HWL'!#REF!</definedName>
    <definedName name="GW_an_HWL" localSheetId="2">'[18]GW-HWL'!#REF!</definedName>
    <definedName name="GW_an_HWL">'[18]GW-HWL'!#REF!</definedName>
    <definedName name="Hauss" localSheetId="1">#REF!</definedName>
    <definedName name="Hauss" localSheetId="2">#REF!</definedName>
    <definedName name="Hauss">#REF!</definedName>
    <definedName name="HAUT">[22]Lots_Final!$N$74</definedName>
    <definedName name="hell" localSheetId="1">#REF!</definedName>
    <definedName name="hell" localSheetId="2">#REF!</definedName>
    <definedName name="hell">#REF!</definedName>
    <definedName name="HGFK">[23]Lots_Final!$N$74</definedName>
    <definedName name="hhh" localSheetId="1">#REF!</definedName>
    <definedName name="hhh" localSheetId="2">#REF!</definedName>
    <definedName name="hhh">#REF!</definedName>
    <definedName name="hj" localSheetId="1">#REF!</definedName>
    <definedName name="hj" localSheetId="2">#REF!</definedName>
    <definedName name="hj">#REF!</definedName>
    <definedName name="HWL_an_GW" localSheetId="1">'[18]HWL-GW'!#REF!</definedName>
    <definedName name="HWL_an_GW" localSheetId="2">'[18]HWL-GW'!#REF!</definedName>
    <definedName name="HWL_an_GW">'[18]HWL-GW'!#REF!</definedName>
    <definedName name="I" localSheetId="1">'[24]Lots_Final gennevilliers'!#REF!</definedName>
    <definedName name="I" localSheetId="2">'[24]Lots_Final gennevilliers'!#REF!</definedName>
    <definedName name="I">'[24]Lots_Final gennevilliers'!#REF!</definedName>
    <definedName name="Idf">[5]BASE!$C$9948:$C$9962</definedName>
    <definedName name="Incidents" localSheetId="1">#REF!</definedName>
    <definedName name="Incidents" localSheetId="2">#REF!</definedName>
    <definedName name="Incidents">#REF!</definedName>
    <definedName name="incidentsCr" localSheetId="1">#REF!</definedName>
    <definedName name="incidentsCr" localSheetId="2">#REF!</definedName>
    <definedName name="incidentsCr">#REF!</definedName>
    <definedName name="incidentscroises" localSheetId="1">[25]Data!#REF!</definedName>
    <definedName name="incidentscroises" localSheetId="2">[25]Data!#REF!</definedName>
    <definedName name="incidentscroises">[25]Data!#REF!</definedName>
    <definedName name="int.freigth_2" localSheetId="1">#REF!</definedName>
    <definedName name="int.freigth_2" localSheetId="2">#REF!</definedName>
    <definedName name="int.freigth_2">#REF!</definedName>
    <definedName name="int_freight_BG" localSheetId="1">#REF!</definedName>
    <definedName name="int_freight_BG" localSheetId="2">#REF!</definedName>
    <definedName name="int_freight_BG">#REF!</definedName>
    <definedName name="int_freight_blank" localSheetId="1">#REF!</definedName>
    <definedName name="int_freight_blank" localSheetId="2">#REF!</definedName>
    <definedName name="int_freight_blank">#REF!</definedName>
    <definedName name="int_freight_HR" localSheetId="1">#REF!</definedName>
    <definedName name="int_freight_HR" localSheetId="2">#REF!</definedName>
    <definedName name="int_freight_HR">#REF!</definedName>
    <definedName name="int_freight_HU" localSheetId="1">#REF!</definedName>
    <definedName name="int_freight_HU" localSheetId="2">#REF!</definedName>
    <definedName name="int_freight_HU">#REF!</definedName>
    <definedName name="int_freight_RO" localSheetId="1">#REF!</definedName>
    <definedName name="int_freight_RO" localSheetId="2">#REF!</definedName>
    <definedName name="int_freight_RO">#REF!</definedName>
    <definedName name="int_freight_SI" localSheetId="1">#REF!</definedName>
    <definedName name="int_freight_SI" localSheetId="2">#REF!</definedName>
    <definedName name="int_freight_SI">#REF!</definedName>
    <definedName name="Int_freight_sk" localSheetId="1">#REF!</definedName>
    <definedName name="Int_freight_sk" localSheetId="2">#REF!</definedName>
    <definedName name="Int_freight_sk">#REF!</definedName>
    <definedName name="Intern_Freight_blank1" localSheetId="1">#REF!</definedName>
    <definedName name="Intern_Freight_blank1" localSheetId="2">#REF!</definedName>
    <definedName name="Intern_Freight_blank1">#REF!</definedName>
    <definedName name="JPP" localSheetId="1">#REF!</definedName>
    <definedName name="JPP" localSheetId="2">#REF!</definedName>
    <definedName name="JPP">#REF!</definedName>
    <definedName name="kgh" localSheetId="1">#REF!</definedName>
    <definedName name="kgh" localSheetId="2">#REF!</definedName>
    <definedName name="kgh">#REF!</definedName>
    <definedName name="khj" localSheetId="1">#REF!</definedName>
    <definedName name="khj" localSheetId="2">#REF!</definedName>
    <definedName name="khj">#REF!</definedName>
    <definedName name="KME" localSheetId="1">#REF!</definedName>
    <definedName name="KME" localSheetId="2">#REF!</definedName>
    <definedName name="KME">#REF!</definedName>
    <definedName name="Kpi_Moa2" localSheetId="1">[15]Guide!#REF!</definedName>
    <definedName name="Kpi_Moa2" localSheetId="2">[15]Guide!#REF!</definedName>
    <definedName name="Kpi_Moa2">[15]Guide!#REF!</definedName>
    <definedName name="Kpi_Moa3" localSheetId="1">[15]Guide!#REF!</definedName>
    <definedName name="Kpi_Moa3" localSheetId="2">[15]Guide!#REF!</definedName>
    <definedName name="Kpi_Moa3">[15]Guide!#REF!</definedName>
    <definedName name="LibAG">'[26]Dossier d''analyse client'!$G$17</definedName>
    <definedName name="LIN">[27]Lots_Final!$N$74</definedName>
    <definedName name="ListeADVs">OFFSET([7]LISTES!$E$2,0,0,COUNTA([7]LISTES!$E:$E)-1,1)</definedName>
    <definedName name="ListeFlux">OFFSET([7]LISTES!$M$2,,,COUNTA([7]LISTES!$M:$M)-1,1)</definedName>
    <definedName name="LOCALIT" localSheetId="1">#REF!</definedName>
    <definedName name="LOCALIT" localSheetId="2">#REF!</definedName>
    <definedName name="LOCALIT">#REF!</definedName>
    <definedName name="LOT" localSheetId="1">#REF!</definedName>
    <definedName name="LOT" localSheetId="2">#REF!</definedName>
    <definedName name="LOT">#REF!</definedName>
    <definedName name="Manager">[12]Menus!$C$126:$C$161</definedName>
    <definedName name="MESS" localSheetId="1">#REF!</definedName>
    <definedName name="MESS" localSheetId="2">#REF!</definedName>
    <definedName name="MESS">#REF!</definedName>
    <definedName name="MESSINTER" localSheetId="1">#REF!</definedName>
    <definedName name="MESSINTER" localSheetId="2">#REF!</definedName>
    <definedName name="MESSINTER">#REF!</definedName>
    <definedName name="MESSNAT" localSheetId="1">#REF!</definedName>
    <definedName name="MESSNAT" localSheetId="2">#REF!</definedName>
    <definedName name="MESSNAT">#REF!</definedName>
    <definedName name="metier" localSheetId="1">#REF!</definedName>
    <definedName name="metier" localSheetId="2">#REF!</definedName>
    <definedName name="metier">#REF!</definedName>
    <definedName name="ML">[28]Feuil2!$A$1:$A$7</definedName>
    <definedName name="MM" localSheetId="1">#REF!</definedName>
    <definedName name="MM" localSheetId="2">#REF!</definedName>
    <definedName name="MM">#REF!</definedName>
    <definedName name="MOEL" localSheetId="1">#REF!</definedName>
    <definedName name="MOEL" localSheetId="2">#REF!</definedName>
    <definedName name="MOEL">#REF!</definedName>
    <definedName name="MOI">'[21]Hausse 024'!$A:$IV</definedName>
    <definedName name="Mois">'[11]Indicateurs MOA_12 Mois'!#REF!</definedName>
    <definedName name="moissy" localSheetId="1">#REF!</definedName>
    <definedName name="moissy" localSheetId="2">#REF!</definedName>
    <definedName name="moissy">#REF!</definedName>
    <definedName name="Motifs_refus">OFFSET([7]LISTES!$K$2,0,0,COUNTA([7]LISTES!$K:$K)-1,1)</definedName>
    <definedName name="NM" localSheetId="1">#REF!</definedName>
    <definedName name="NM" localSheetId="2">#REF!</definedName>
    <definedName name="NM">#REF!</definedName>
    <definedName name="No">[5]BASE!$D$9948:$D$9957</definedName>
    <definedName name="ORL">'[21]Hausse 255'!$A:$IV</definedName>
    <definedName name="Ouest">[5]BASE!$E$9948:$E$9957</definedName>
    <definedName name="OUVERT" localSheetId="1">#REF!</definedName>
    <definedName name="OUVERT" localSheetId="2">#REF!</definedName>
    <definedName name="OUVERT">#REF!</definedName>
    <definedName name="Paletten" localSheetId="1">[19]Kalkulation!#REF!</definedName>
    <definedName name="Paletten" localSheetId="2">[19]Kalkulation!#REF!</definedName>
    <definedName name="Paletten">[19]Kalkulation!#REF!</definedName>
    <definedName name="Pallet_Concept" localSheetId="1">#REF!</definedName>
    <definedName name="Pallet_Concept" localSheetId="2">#REF!</definedName>
    <definedName name="Pallet_Concept">#REF!</definedName>
    <definedName name="PalmaresGroupage" localSheetId="1">'[11]Indicateurs MOA_12 Mois'!#REF!</definedName>
    <definedName name="PalmaresGroupage" localSheetId="2">'[11]Indicateurs MOA_12 Mois'!#REF!</definedName>
    <definedName name="PalmaresGroupage">'[11]Indicateurs MOA_12 Mois'!#REF!</definedName>
    <definedName name="PalmaresLot" localSheetId="1">'[11]Indicateurs MOA_12 Mois'!#REF!</definedName>
    <definedName name="PalmaresLot" localSheetId="2">'[11]Indicateurs MOA_12 Mois'!#REF!</definedName>
    <definedName name="PalmaresLot">'[11]Indicateurs MOA_12 Mois'!#REF!</definedName>
    <definedName name="Porte" localSheetId="1">#REF!</definedName>
    <definedName name="Porte" localSheetId="2">#REF!</definedName>
    <definedName name="Porte">#REF!</definedName>
    <definedName name="PrFact" localSheetId="1">#REF!</definedName>
    <definedName name="PrFact" localSheetId="2">#REF!</definedName>
    <definedName name="PrFact">#REF!</definedName>
    <definedName name="qw" localSheetId="1">#REF!</definedName>
    <definedName name="qw" localSheetId="2">#REF!</definedName>
    <definedName name="qw">#REF!</definedName>
    <definedName name="RA">[5]BASE!$F$9948:$F$9962</definedName>
    <definedName name="RDR">[12]Menus!$C$163:$C$166</definedName>
    <definedName name="réf" localSheetId="1">#REF!</definedName>
    <definedName name="réf" localSheetId="2">#REF!</definedName>
    <definedName name="réf">#REF!</definedName>
    <definedName name="RENTA" localSheetId="1">#REF!</definedName>
    <definedName name="RENTA" localSheetId="2">#REF!</definedName>
    <definedName name="RENTA">#REF!</definedName>
    <definedName name="RENTAMI" localSheetId="1">#REF!</definedName>
    <definedName name="RENTAMI" localSheetId="2">#REF!</definedName>
    <definedName name="RENTAMI">#REF!</definedName>
    <definedName name="RENTAMN" localSheetId="1">#REF!</definedName>
    <definedName name="RENTAMN" localSheetId="2">#REF!</definedName>
    <definedName name="RENTAMN">#REF!</definedName>
    <definedName name="rewt" localSheetId="1">[19]Kalkulation!#REF!</definedName>
    <definedName name="rewt" localSheetId="2">[19]Kalkulation!#REF!</definedName>
    <definedName name="rewt">[19]Kalkulation!#REF!</definedName>
    <definedName name="ROU">'[21]Hausse 022'!$A:$IV</definedName>
    <definedName name="ROUEN" localSheetId="1">#REF!</definedName>
    <definedName name="ROUEN" localSheetId="2">#REF!</definedName>
    <definedName name="ROUEN">#REF!</definedName>
    <definedName name="rtz" localSheetId="1">#REF!</definedName>
    <definedName name="rtz" localSheetId="2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'[14]valeur liste fiche Env'!$E$1:$E$2</definedName>
    <definedName name="Sites">[2]Menu!$C$3:$C$38</definedName>
    <definedName name="SITUATION">[9]Feuil1!$A$1:$A$65536</definedName>
    <definedName name="SM" localSheetId="1">#REF!</definedName>
    <definedName name="SM" localSheetId="2">#REF!</definedName>
    <definedName name="SM">#REF!</definedName>
    <definedName name="SO">[5]BASE!$G$9948:$G$9955</definedName>
    <definedName name="SR" localSheetId="1">#REF!</definedName>
    <definedName name="SR" localSheetId="2">#REF!</definedName>
    <definedName name="SR">#REF!</definedName>
    <definedName name="STIDF" localSheetId="1">#REF!</definedName>
    <definedName name="STIDF" localSheetId="2">#REF!</definedName>
    <definedName name="STIDF">#REF!</definedName>
    <definedName name="T_Incident" localSheetId="1">#REF!</definedName>
    <definedName name="T_Incident" localSheetId="2">#REF!</definedName>
    <definedName name="T_Incident">#REF!</definedName>
    <definedName name="table" localSheetId="1">#REF!</definedName>
    <definedName name="table" localSheetId="2">#REF!</definedName>
    <definedName name="table">#REF!</definedName>
    <definedName name="Taux">[29]PARAMETRES!$B$6</definedName>
    <definedName name="Tel">OFFSET([7]LISTES!$F$2,0,0,COUNTA([7]LISTES!$E:$E)-1,1)</definedName>
    <definedName name="test" localSheetId="1">#REF!</definedName>
    <definedName name="test" localSheetId="2">#REF!</definedName>
    <definedName name="test">#REF!</definedName>
    <definedName name="Tlibox" localSheetId="1">'[11]Indicateurs MOA_12 Mois'!#REF!</definedName>
    <definedName name="Tlibox" localSheetId="2">'[11]Indicateurs MOA_12 Mois'!#REF!</definedName>
    <definedName name="Tlibox">'[11]Indicateurs MOA_12 Mois'!#REF!</definedName>
    <definedName name="TPays" localSheetId="1">#REF!</definedName>
    <definedName name="TPays" localSheetId="2">#REF!</definedName>
    <definedName name="TPays">#REF!</definedName>
    <definedName name="TRO">'[21]Hausse 033'!$A:$IV</definedName>
    <definedName name="troyes" localSheetId="1">#REF!</definedName>
    <definedName name="troyes" localSheetId="2">#REF!</definedName>
    <definedName name="troyes">#REF!</definedName>
    <definedName name="TSGENNA" localSheetId="1">#REF!</definedName>
    <definedName name="TSGENNA" localSheetId="2">#REF!</definedName>
    <definedName name="TSGENNA">#REF!</definedName>
    <definedName name="tsmoiA" localSheetId="1">#REF!</definedName>
    <definedName name="tsmoiA" localSheetId="2">#REF!</definedName>
    <definedName name="tsmoiA">#REF!</definedName>
    <definedName name="TSorl" localSheetId="1">#REF!</definedName>
    <definedName name="TSorl" localSheetId="2">#REF!</definedName>
    <definedName name="TSorl">#REF!</definedName>
    <definedName name="TSorlA" localSheetId="1">#REF!</definedName>
    <definedName name="TSorlA" localSheetId="2">#REF!</definedName>
    <definedName name="TSorlA">#REF!</definedName>
    <definedName name="TSORLEANS" localSheetId="1">#REF!</definedName>
    <definedName name="TSORLEANS" localSheetId="2">#REF!</definedName>
    <definedName name="TSORLEANS">#REF!</definedName>
    <definedName name="TSR" localSheetId="1">#REF!</definedName>
    <definedName name="TSR" localSheetId="2">#REF!</definedName>
    <definedName name="TSR">#REF!</definedName>
    <definedName name="TSROUEN" localSheetId="1">#REF!</definedName>
    <definedName name="TSROUEN" localSheetId="2">#REF!</definedName>
    <definedName name="TSROUEN">#REF!</definedName>
    <definedName name="TSROUENA" localSheetId="1">#REF!</definedName>
    <definedName name="TSROUENA" localSheetId="2">#REF!</definedName>
    <definedName name="TSROUENA">#REF!</definedName>
    <definedName name="tstroyes" localSheetId="1">#REF!</definedName>
    <definedName name="tstroyes" localSheetId="2">#REF!</definedName>
    <definedName name="tstroyes">#REF!</definedName>
    <definedName name="tstroyesa" localSheetId="1">#REF!</definedName>
    <definedName name="tstroyesa" localSheetId="2">#REF!</definedName>
    <definedName name="tstroyesa">#REF!</definedName>
    <definedName name="type">'[30]Simulation Tarif Client'!$CB$2:$CB$4</definedName>
    <definedName name="wer" localSheetId="1">#REF!</definedName>
    <definedName name="wer" localSheetId="2">#REF!</definedName>
    <definedName name="wer">#REF!</definedName>
    <definedName name="YN">[28]Feuil2!$B$1:$B$2</definedName>
    <definedName name="zone" localSheetId="1">#REF!</definedName>
    <definedName name="zone" localSheetId="2">#REF!</definedName>
    <definedName name="zone">#REF!</definedName>
    <definedName name="Zone_impres_MI">[1]EBARCALL!$B$16:$T$102</definedName>
    <definedName name="zonebis">[22]Lots_Final!#REF!</definedName>
    <definedName name="zstldm">[4]Basisvereinbarungen!$H$22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D32" i="4"/>
  <c r="D33" i="4" s="1"/>
  <c r="C32" i="4"/>
  <c r="D30" i="4"/>
  <c r="C31" i="4" s="1"/>
  <c r="D29" i="4"/>
  <c r="C30" i="4" s="1"/>
  <c r="C23" i="4"/>
  <c r="F22" i="4"/>
  <c r="E22" i="4"/>
  <c r="C22" i="4"/>
  <c r="D34" i="4" l="1"/>
  <c r="C34" i="4"/>
  <c r="D28" i="4"/>
  <c r="C33" i="4"/>
  <c r="D27" i="4" l="1"/>
  <c r="C29" i="4"/>
  <c r="D35" i="4"/>
  <c r="C35" i="4"/>
  <c r="C36" i="4" l="1"/>
  <c r="D36" i="4"/>
  <c r="C28" i="4"/>
  <c r="D26" i="4"/>
  <c r="C37" i="4" l="1"/>
  <c r="D37" i="4"/>
  <c r="C27" i="4"/>
  <c r="D25" i="4"/>
  <c r="D24" i="4" l="1"/>
  <c r="C26" i="4"/>
  <c r="D38" i="4"/>
  <c r="C38" i="4"/>
  <c r="D39" i="4" l="1"/>
  <c r="C39" i="4"/>
  <c r="D23" i="4"/>
  <c r="C24" i="4" s="1"/>
  <c r="C25" i="4"/>
  <c r="D40" i="4" l="1"/>
  <c r="C40" i="4"/>
</calcChain>
</file>

<file path=xl/sharedStrings.xml><?xml version="1.0" encoding="utf-8"?>
<sst xmlns="http://schemas.openxmlformats.org/spreadsheetml/2006/main" count="149" uniqueCount="60">
  <si>
    <t>durch Sie gedeckt</t>
  </si>
  <si>
    <t>Motorstraße 8</t>
  </si>
  <si>
    <t>www.spedition-erka.de</t>
  </si>
  <si>
    <t>Transportversicherung</t>
  </si>
  <si>
    <t>Schweiz</t>
  </si>
  <si>
    <t>Spanien</t>
  </si>
  <si>
    <t>Frankreich</t>
  </si>
  <si>
    <t>England</t>
  </si>
  <si>
    <t>Italien</t>
  </si>
  <si>
    <t>Portugal</t>
  </si>
  <si>
    <t>Dieselzuschlag:</t>
  </si>
  <si>
    <t>gem. Vereinbarung</t>
  </si>
  <si>
    <t>Internationale Spedition GmbH</t>
  </si>
  <si>
    <t>Stuttgart, 21.01.2025 / AK</t>
  </si>
  <si>
    <t>Ab Werk Versender genannte Länder bis frei Haus DE-71229 Leonberg:</t>
  </si>
  <si>
    <t>Versandland</t>
  </si>
  <si>
    <t>Österreich</t>
  </si>
  <si>
    <t>Preis je Sendung</t>
  </si>
  <si>
    <t>Frachtofferte Importe &amp; Retouren diverse Länder</t>
  </si>
  <si>
    <t>GEZE GmbH, Reinhold-Vöster-Str. 21-29, DE-71229 Leonberg</t>
  </si>
  <si>
    <t>DE-Maut (seit 01.12.2023):</t>
  </si>
  <si>
    <t>inklusive</t>
  </si>
  <si>
    <t>AT-Maut (ab 01.12.2025):</t>
  </si>
  <si>
    <t>Gültigkeit:</t>
  </si>
  <si>
    <t>01.01.2025 - 31.12.2025</t>
  </si>
  <si>
    <t>Unser Angebot ist freibleibend bis zur endgültigen Auftragserteilung und basiert auf heute gültigen Frachten, Wechselkurse und Treibstoffkosten.</t>
  </si>
  <si>
    <r>
      <rPr>
        <b/>
        <sz val="11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1"/>
        <color theme="1"/>
        <rFont val="Calibri"/>
        <family val="2"/>
        <scheme val="minor"/>
      </rPr>
      <t xml:space="preserve">
Tel.: 0711-95551-0      Fax: 0711-95551-500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</si>
  <si>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Mobility Package:</t>
  </si>
  <si>
    <t>Minimum / bis 100 kg</t>
  </si>
  <si>
    <t>Sendungspreis</t>
  </si>
  <si>
    <t>Frachtberechnungsgrundlage:</t>
  </si>
  <si>
    <r>
      <rPr>
        <b/>
        <i/>
        <sz val="12"/>
        <color theme="1"/>
        <rFont val="Calibri"/>
        <family val="2"/>
        <scheme val="minor"/>
      </rPr>
      <t>ERKA</t>
    </r>
    <r>
      <rPr>
        <i/>
        <sz val="12"/>
        <color theme="1"/>
        <rFont val="Calibri"/>
        <family val="2"/>
        <scheme val="minor"/>
      </rPr>
      <t>-Internationale Spedition GmbH</t>
    </r>
  </si>
  <si>
    <t>DE-70499 Stuttgart</t>
  </si>
  <si>
    <t>Tel.: 0711-95551-0</t>
  </si>
  <si>
    <t>Fax: 0711-95551-640</t>
  </si>
  <si>
    <t>Angebot vom:</t>
  </si>
  <si>
    <t>Währungszuschlag Schweiz</t>
  </si>
  <si>
    <t>GEZE GmbH, Reinhold-Vöster-Straße 21-29, DE-71229 Leonberg</t>
  </si>
  <si>
    <t>CHF / EUR KURS</t>
  </si>
  <si>
    <t>Stückgut-sendungen</t>
  </si>
  <si>
    <t>Teil- und Komplett-partien</t>
  </si>
  <si>
    <t>von CHF</t>
  </si>
  <si>
    <t>bis CHF</t>
  </si>
  <si>
    <t>bis 3000 kg</t>
  </si>
  <si>
    <t>ab 3001 kg</t>
  </si>
  <si>
    <t>Bei der Berechnung des Währungsfloaters wurde der deutsche Streckenanteil, der in € beglichen wird, berücksichtigt.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</si>
  <si>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</si>
  <si>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Währungszuschlag CH:</t>
  </si>
  <si>
    <t>zuzüglich gem. Anlage</t>
  </si>
  <si>
    <t>Stand:</t>
  </si>
  <si>
    <t>Dieselfloater</t>
  </si>
  <si>
    <t>GEZE GmbH &amp; Co., Reinhold-Vöster-Strasse 21 -29, DE-71229 Leonberg</t>
  </si>
  <si>
    <t>Dieselpreis € pro Liter brutto</t>
  </si>
  <si>
    <t>Treibstoffzuschlag</t>
  </si>
  <si>
    <t>bis</t>
  </si>
  <si>
    <r>
      <t>Basis</t>
    </r>
    <r>
      <rPr>
        <sz val="11"/>
        <color theme="1"/>
        <rFont val="Calibri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</si>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</sst>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6" formatCode="#,##0\ &quot;kg&quot;"/>
    <numFmt numFmtId="167" formatCode="0.0000"/>
    <numFmt numFmtId="168" formatCode="0.0%"/>
    <numFmt numFmtId="169" formatCode="#,##0.0000\ &quot;€&quot;;\-#,##0.0000\ &quot;€&quot;"/>
    <numFmt numFmtId="170" formatCode="_-* #,##0.0000\ &quot;€&quot;_-;\-* #,##0.0000\ &quot;€&quot;_-;_-* &quot;-&quot;??\ &quot;€&quot;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8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164" fontId="2" fillId="0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/>
    <xf numFmtId="0" fontId="15" fillId="3" borderId="0" xfId="0" applyFont="1" applyFill="1" applyAlignment="1">
      <alignment horizontal="righ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right" vertical="center"/>
    </xf>
    <xf numFmtId="0" fontId="18" fillId="3" borderId="7" xfId="0" applyFont="1" applyFill="1" applyBorder="1" applyAlignment="1">
      <alignment horizontal="center" wrapText="1"/>
    </xf>
    <xf numFmtId="0" fontId="18" fillId="3" borderId="2" xfId="0" applyFont="1" applyFill="1" applyBorder="1" applyAlignment="1">
      <alignment horizontal="center" wrapText="1"/>
    </xf>
    <xf numFmtId="0" fontId="18" fillId="3" borderId="8" xfId="0" applyFont="1" applyFill="1" applyBorder="1" applyAlignment="1">
      <alignment horizontal="center" wrapText="1"/>
    </xf>
    <xf numFmtId="0" fontId="18" fillId="3" borderId="9" xfId="0" applyFont="1" applyFill="1" applyBorder="1" applyAlignment="1">
      <alignment horizontal="center" wrapText="1"/>
    </xf>
    <xf numFmtId="0" fontId="18" fillId="3" borderId="10" xfId="0" applyFont="1" applyFill="1" applyBorder="1" applyAlignment="1">
      <alignment horizontal="center" wrapText="1"/>
    </xf>
    <xf numFmtId="0" fontId="18" fillId="3" borderId="11" xfId="0" applyFont="1" applyFill="1" applyBorder="1" applyAlignment="1">
      <alignment horizontal="center" wrapText="1"/>
    </xf>
    <xf numFmtId="0" fontId="19" fillId="0" borderId="0" xfId="0" applyFont="1"/>
    <xf numFmtId="0" fontId="20" fillId="3" borderId="12" xfId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0" fillId="3" borderId="12" xfId="1" applyFont="1" applyFill="1" applyBorder="1" applyAlignment="1">
      <alignment horizontal="center" vertical="center" wrapText="1"/>
    </xf>
    <xf numFmtId="49" fontId="20" fillId="3" borderId="13" xfId="1" applyNumberFormat="1" applyFont="1" applyFill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4" fontId="6" fillId="0" borderId="13" xfId="0" applyNumberFormat="1" applyFont="1" applyBorder="1" applyAlignment="1">
      <alignment horizontal="right"/>
    </xf>
    <xf numFmtId="49" fontId="20" fillId="3" borderId="14" xfId="1" applyNumberFormat="1" applyFont="1" applyFill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64" fontId="6" fillId="0" borderId="14" xfId="0" applyNumberFormat="1" applyFont="1" applyBorder="1" applyAlignment="1">
      <alignment horizontal="right"/>
    </xf>
    <xf numFmtId="49" fontId="20" fillId="3" borderId="15" xfId="1" applyNumberFormat="1" applyFont="1" applyFill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64" fontId="6" fillId="0" borderId="15" xfId="0" applyNumberFormat="1" applyFont="1" applyBorder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49" fontId="20" fillId="0" borderId="1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49" fontId="20" fillId="0" borderId="1" xfId="0" applyNumberFormat="1" applyFont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2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14" fontId="23" fillId="0" borderId="0" xfId="0" applyNumberFormat="1" applyFont="1"/>
    <xf numFmtId="0" fontId="24" fillId="3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0" fontId="11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6" fontId="2" fillId="4" borderId="26" xfId="0" applyNumberFormat="1" applyFont="1" applyFill="1" applyBorder="1" applyAlignment="1">
      <alignment horizontal="center" vertical="center" wrapText="1"/>
    </xf>
    <xf numFmtId="166" fontId="2" fillId="4" borderId="8" xfId="0" applyNumberFormat="1" applyFont="1" applyFill="1" applyBorder="1" applyAlignment="1">
      <alignment horizontal="center" vertical="center" wrapText="1"/>
    </xf>
    <xf numFmtId="166" fontId="2" fillId="4" borderId="9" xfId="3" applyNumberFormat="1" applyFont="1" applyFill="1" applyBorder="1" applyAlignment="1">
      <alignment horizontal="center" vertical="center"/>
    </xf>
    <xf numFmtId="166" fontId="2" fillId="4" borderId="11" xfId="3" applyNumberFormat="1" applyFont="1" applyFill="1" applyBorder="1" applyAlignment="1">
      <alignment horizontal="center" vertical="center"/>
    </xf>
    <xf numFmtId="8" fontId="2" fillId="4" borderId="21" xfId="3" applyNumberFormat="1" applyFont="1" applyFill="1" applyBorder="1" applyAlignment="1">
      <alignment horizontal="center" vertical="center"/>
    </xf>
    <xf numFmtId="44" fontId="2" fillId="4" borderId="11" xfId="3" applyFont="1" applyFill="1" applyBorder="1" applyAlignment="1">
      <alignment horizontal="center" vertical="center"/>
    </xf>
    <xf numFmtId="167" fontId="0" fillId="0" borderId="19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167" fontId="0" fillId="0" borderId="27" xfId="0" applyNumberFormat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168" fontId="0" fillId="0" borderId="28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167" fontId="0" fillId="0" borderId="29" xfId="0" applyNumberFormat="1" applyBorder="1" applyAlignment="1">
      <alignment horizontal="center" vertical="center"/>
    </xf>
    <xf numFmtId="167" fontId="0" fillId="0" borderId="30" xfId="0" applyNumberFormat="1" applyBorder="1" applyAlignment="1">
      <alignment horizontal="center" vertical="center"/>
    </xf>
    <xf numFmtId="168" fontId="0" fillId="0" borderId="29" xfId="0" applyNumberFormat="1" applyBorder="1" applyAlignment="1">
      <alignment horizontal="center" vertical="center"/>
    </xf>
    <xf numFmtId="168" fontId="0" fillId="0" borderId="30" xfId="0" applyNumberFormat="1" applyBorder="1" applyAlignment="1">
      <alignment horizontal="center" vertical="center"/>
    </xf>
    <xf numFmtId="0" fontId="23" fillId="0" borderId="0" xfId="0" applyFont="1"/>
    <xf numFmtId="0" fontId="6" fillId="0" borderId="0" xfId="0" applyFont="1" applyAlignment="1">
      <alignment vertical="center" wrapText="1"/>
    </xf>
    <xf numFmtId="0" fontId="21" fillId="0" borderId="0" xfId="0" applyFont="1"/>
    <xf numFmtId="0" fontId="3" fillId="0" borderId="0" xfId="2" applyAlignment="1"/>
    <xf numFmtId="0" fontId="22" fillId="0" borderId="0" xfId="0" applyFont="1"/>
    <xf numFmtId="14" fontId="0" fillId="0" borderId="0" xfId="0" applyNumberFormat="1"/>
    <xf numFmtId="0" fontId="29" fillId="0" borderId="1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0" borderId="4" xfId="0" applyFont="1" applyBorder="1" applyAlignment="1">
      <alignment horizontal="center" wrapText="1"/>
    </xf>
    <xf numFmtId="0" fontId="25" fillId="0" borderId="2" xfId="0" applyFont="1" applyBorder="1" applyAlignment="1">
      <alignment horizontal="center"/>
    </xf>
    <xf numFmtId="0" fontId="25" fillId="0" borderId="0" xfId="0" applyFont="1"/>
    <xf numFmtId="0" fontId="0" fillId="3" borderId="1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" fillId="3" borderId="3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6" fontId="2" fillId="3" borderId="32" xfId="0" applyNumberFormat="1" applyFont="1" applyFill="1" applyBorder="1" applyAlignment="1">
      <alignment horizontal="center" vertical="center"/>
    </xf>
    <xf numFmtId="166" fontId="2" fillId="3" borderId="33" xfId="0" applyNumberFormat="1" applyFont="1" applyFill="1" applyBorder="1" applyAlignment="1">
      <alignment horizontal="center" vertical="center"/>
    </xf>
    <xf numFmtId="169" fontId="1" fillId="0" borderId="34" xfId="3" applyNumberFormat="1" applyFont="1" applyFill="1" applyBorder="1" applyAlignment="1">
      <alignment horizontal="center" vertical="center"/>
    </xf>
    <xf numFmtId="169" fontId="1" fillId="0" borderId="33" xfId="3" applyNumberFormat="1" applyFont="1" applyFill="1" applyBorder="1" applyAlignment="1">
      <alignment horizontal="center" vertical="center"/>
    </xf>
    <xf numFmtId="168" fontId="0" fillId="0" borderId="34" xfId="4" applyNumberFormat="1" applyFont="1" applyFill="1" applyBorder="1" applyAlignment="1">
      <alignment horizontal="center" vertical="center"/>
    </xf>
    <xf numFmtId="168" fontId="0" fillId="0" borderId="35" xfId="4" applyNumberFormat="1" applyFont="1" applyFill="1" applyBorder="1" applyAlignment="1">
      <alignment horizontal="center" vertical="center"/>
    </xf>
    <xf numFmtId="166" fontId="2" fillId="3" borderId="36" xfId="0" applyNumberFormat="1" applyFont="1" applyFill="1" applyBorder="1" applyAlignment="1">
      <alignment horizontal="center" vertical="center"/>
    </xf>
    <xf numFmtId="166" fontId="2" fillId="3" borderId="5" xfId="0" applyNumberFormat="1" applyFont="1" applyFill="1" applyBorder="1" applyAlignment="1">
      <alignment horizontal="center" vertical="center"/>
    </xf>
    <xf numFmtId="169" fontId="1" fillId="0" borderId="6" xfId="3" applyNumberFormat="1" applyFont="1" applyFill="1" applyBorder="1" applyAlignment="1">
      <alignment horizontal="center" vertical="center"/>
    </xf>
    <xf numFmtId="169" fontId="1" fillId="0" borderId="5" xfId="3" applyNumberFormat="1" applyFont="1" applyFill="1" applyBorder="1" applyAlignment="1">
      <alignment horizontal="center" vertical="center"/>
    </xf>
    <xf numFmtId="168" fontId="0" fillId="0" borderId="6" xfId="4" applyNumberFormat="1" applyFont="1" applyFill="1" applyBorder="1" applyAlignment="1">
      <alignment horizontal="center" vertical="center"/>
    </xf>
    <xf numFmtId="168" fontId="0" fillId="0" borderId="37" xfId="4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/>
    <xf numFmtId="166" fontId="2" fillId="3" borderId="38" xfId="0" applyNumberFormat="1" applyFont="1" applyFill="1" applyBorder="1" applyAlignment="1">
      <alignment horizontal="center" vertical="center"/>
    </xf>
    <xf numFmtId="166" fontId="2" fillId="3" borderId="39" xfId="0" applyNumberFormat="1" applyFont="1" applyFill="1" applyBorder="1" applyAlignment="1">
      <alignment horizontal="center" vertical="center"/>
    </xf>
    <xf numFmtId="169" fontId="1" fillId="0" borderId="40" xfId="3" applyNumberFormat="1" applyFont="1" applyFill="1" applyBorder="1" applyAlignment="1">
      <alignment horizontal="center" vertical="center"/>
    </xf>
    <xf numFmtId="169" fontId="1" fillId="0" borderId="39" xfId="3" applyNumberFormat="1" applyFont="1" applyFill="1" applyBorder="1" applyAlignment="1">
      <alignment horizontal="center" vertical="center"/>
    </xf>
    <xf numFmtId="168" fontId="0" fillId="0" borderId="40" xfId="4" applyNumberFormat="1" applyFont="1" applyFill="1" applyBorder="1" applyAlignment="1">
      <alignment horizontal="center" vertical="center"/>
    </xf>
    <xf numFmtId="168" fontId="0" fillId="0" borderId="41" xfId="4" applyNumberFormat="1" applyFont="1" applyFill="1" applyBorder="1" applyAlignment="1">
      <alignment horizontal="center" vertical="center"/>
    </xf>
    <xf numFmtId="170" fontId="0" fillId="0" borderId="0" xfId="3" applyNumberFormat="1" applyFont="1" applyFill="1" applyBorder="1" applyAlignment="1">
      <alignment horizontal="center"/>
    </xf>
    <xf numFmtId="9" fontId="0" fillId="0" borderId="0" xfId="4" applyFont="1" applyFill="1" applyBorder="1" applyAlignment="1">
      <alignment horizontal="center"/>
    </xf>
    <xf numFmtId="9" fontId="0" fillId="0" borderId="0" xfId="4" applyFont="1" applyFill="1" applyBorder="1"/>
    <xf numFmtId="0" fontId="3" fillId="0" borderId="0" xfId="2" applyFill="1" applyBorder="1" applyAlignment="1">
      <alignment horizontal="left"/>
    </xf>
    <xf numFmtId="9" fontId="6" fillId="0" borderId="0" xfId="4" applyFont="1" applyFill="1" applyBorder="1"/>
    <xf numFmtId="0" fontId="0" fillId="0" borderId="0" xfId="0" applyAlignment="1">
      <alignment vertical="center" wrapText="1"/>
    </xf>
  </cellXfs>
  <cellStyles count="5">
    <cellStyle name="20 % - Akzent1" xfId="1" builtinId="30"/>
    <cellStyle name="Link" xfId="2" builtinId="8"/>
    <cellStyle name="Prozent" xfId="4" builtinId="5"/>
    <cellStyle name="Standard" xfId="0" builtinId="0"/>
    <cellStyle name="Währung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962025</xdr:colOff>
      <xdr:row>0</xdr:row>
      <xdr:rowOff>0</xdr:rowOff>
    </xdr:from>
    <xdr:to>
      <xdr:col>6</xdr:col>
      <xdr:colOff>1038225</xdr:colOff>
      <xdr:row>3</xdr:row>
      <xdr:rowOff>2448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9D8A3CF-4140-4E91-B1DE-F1E4F428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700" y="0"/>
          <a:ext cx="2171700" cy="6025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0</xdr:row>
      <xdr:rowOff>190500</xdr:rowOff>
    </xdr:from>
    <xdr:to>
      <xdr:col>7</xdr:col>
      <xdr:colOff>717173</xdr:colOff>
      <xdr:row>2</xdr:row>
      <xdr:rowOff>180902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578DFCC-8FC8-45F2-85DD-0F0C65A0C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190500"/>
          <a:ext cx="1907798" cy="457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62A2043-AB5F-465D-94F7-F399544B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Verkauf\Verkauf_Neu\1.0_Kunden\Angebote\Angebote%202025\Geze,%20Leonberg\20250121_Geze_Export_incl.%20MP_%20PT_GB_IT_FR_AT_ES_CH_inkl.%20Maut%20und%20Zusatzkosten%20IT-00.xlsx" TargetMode="External"/><Relationship Id="rId1" Type="http://schemas.openxmlformats.org/officeDocument/2006/relationships/externalLinkPath" Target="20250121_Geze_Export_incl.%20MP_%20PT_GB_IT_FR_AT_ES_CH_inkl.%20Maut%20und%20Zusatzkosten%20IT-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Verkauf\Verkauf_Neu\1.0_Kunden\Angebote\Angebote%202025\Geze,%20Leonberg\20250121_Export%20Griechenland_inkl.%20Maut.xlsx" TargetMode="External"/><Relationship Id="rId1" Type="http://schemas.openxmlformats.org/officeDocument/2006/relationships/externalLinkPath" Target="20250121_Export%20Griechenland_inkl.%20Ma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tarife"/>
      <sheetName val="CH-Währungsfloater"/>
      <sheetName val="Dieselfloater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Zypern"/>
      <sheetName val="Dieselfloater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pedition-erk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tabSelected="1" workbookViewId="0"/>
  </sheetViews>
  <sheetFormatPr baseColWidth="10" defaultColWidth="11.42578125" defaultRowHeight="12.75" x14ac:dyDescent="0.2"/>
  <cols>
    <col min="1" max="1" width="22.42578125" style="1" customWidth="1"/>
    <col min="2" max="7" width="15.7109375" style="1" customWidth="1"/>
    <col min="8" max="8" width="16.42578125" style="1" bestFit="1" customWidth="1"/>
    <col min="9" max="16384" width="11.42578125" style="1"/>
  </cols>
  <sheetData>
    <row r="1" spans="1:9" s="21" customFormat="1" ht="15.75" customHeight="1" x14ac:dyDescent="0.25"/>
    <row r="2" spans="1:9" s="21" customFormat="1" ht="15.75" customHeight="1" x14ac:dyDescent="0.25"/>
    <row r="3" spans="1:9" s="21" customFormat="1" ht="15.75" customHeight="1" x14ac:dyDescent="0.25">
      <c r="I3" s="22"/>
    </row>
    <row r="4" spans="1:9" s="21" customFormat="1" ht="15.75" customHeight="1" x14ac:dyDescent="0.3">
      <c r="A4" s="23" t="s">
        <v>12</v>
      </c>
      <c r="B4" s="23"/>
      <c r="C4" s="23"/>
      <c r="D4" s="23"/>
      <c r="E4" s="23"/>
      <c r="F4" s="23"/>
      <c r="G4" s="23"/>
    </row>
    <row r="5" spans="1:9" s="21" customFormat="1" ht="15.75" customHeight="1" x14ac:dyDescent="0.25">
      <c r="A5" s="24"/>
      <c r="B5" s="24"/>
      <c r="C5" s="24"/>
      <c r="D5" s="24"/>
      <c r="E5" s="24"/>
      <c r="F5" s="24"/>
    </row>
    <row r="6" spans="1:9" s="21" customFormat="1" ht="15.75" customHeight="1" x14ac:dyDescent="0.25">
      <c r="A6" s="24"/>
      <c r="B6" s="24"/>
      <c r="C6" s="24"/>
      <c r="D6" s="24"/>
      <c r="E6" s="24"/>
      <c r="G6" s="25" t="s">
        <v>13</v>
      </c>
    </row>
    <row r="7" spans="1:9" s="21" customFormat="1" ht="15.75" customHeight="1" x14ac:dyDescent="0.25">
      <c r="A7" s="24"/>
      <c r="B7" s="24"/>
      <c r="C7" s="24"/>
      <c r="D7" s="24"/>
      <c r="E7" s="24"/>
      <c r="F7" s="24"/>
    </row>
    <row r="8" spans="1:9" ht="15.75" thickBot="1" x14ac:dyDescent="0.25">
      <c r="A8" s="4"/>
      <c r="B8" s="4"/>
      <c r="C8" s="4"/>
      <c r="D8" s="4"/>
      <c r="E8" s="4"/>
      <c r="F8" s="4"/>
    </row>
    <row r="9" spans="1:9" s="21" customFormat="1" ht="21" customHeight="1" x14ac:dyDescent="0.35">
      <c r="A9" s="26" t="s">
        <v>18</v>
      </c>
      <c r="B9" s="27"/>
      <c r="C9" s="27"/>
      <c r="D9" s="27"/>
      <c r="E9" s="27"/>
      <c r="F9" s="27"/>
      <c r="G9" s="28"/>
    </row>
    <row r="10" spans="1:9" ht="21.75" customHeight="1" thickBot="1" x14ac:dyDescent="0.4">
      <c r="A10" s="29" t="s">
        <v>19</v>
      </c>
      <c r="B10" s="30"/>
      <c r="C10" s="30"/>
      <c r="D10" s="30"/>
      <c r="E10" s="30"/>
      <c r="F10" s="30"/>
      <c r="G10" s="31"/>
    </row>
    <row r="11" spans="1:9" ht="15.75" x14ac:dyDescent="0.2">
      <c r="A11" s="18"/>
      <c r="B11" s="18"/>
      <c r="C11" s="18"/>
      <c r="D11" s="18"/>
      <c r="E11" s="18"/>
      <c r="F11" s="18"/>
      <c r="G11" s="18"/>
    </row>
    <row r="12" spans="1:9" ht="15.75" x14ac:dyDescent="0.2">
      <c r="A12" s="18"/>
      <c r="B12" s="18"/>
      <c r="C12" s="18"/>
      <c r="D12" s="18"/>
      <c r="E12" s="18"/>
      <c r="F12" s="18"/>
      <c r="G12" s="18"/>
    </row>
    <row r="13" spans="1:9" ht="15.75" x14ac:dyDescent="0.25">
      <c r="A13" s="32" t="s">
        <v>14</v>
      </c>
      <c r="B13" s="6"/>
      <c r="C13" s="6"/>
      <c r="D13" s="6"/>
      <c r="E13" s="6"/>
      <c r="F13" s="6"/>
      <c r="G13" s="6"/>
      <c r="H13" s="2"/>
    </row>
    <row r="14" spans="1:9" ht="15.75" x14ac:dyDescent="0.25">
      <c r="A14" s="6"/>
      <c r="B14" s="6"/>
      <c r="C14" s="6"/>
      <c r="D14" s="6"/>
      <c r="E14" s="6"/>
      <c r="F14" s="6"/>
      <c r="G14" s="6"/>
      <c r="H14" s="2"/>
    </row>
    <row r="15" spans="1:9" ht="16.5" thickBot="1" x14ac:dyDescent="0.3">
      <c r="A15"/>
      <c r="B15" s="6"/>
      <c r="C15" s="6"/>
      <c r="D15" s="6"/>
      <c r="E15" s="6"/>
      <c r="F15" s="6"/>
      <c r="G15" s="6"/>
      <c r="H15" s="2"/>
    </row>
    <row r="16" spans="1:9" ht="25.5" customHeight="1" thickBot="1" x14ac:dyDescent="0.3">
      <c r="A16" s="33" t="s">
        <v>15</v>
      </c>
      <c r="B16" s="34" t="s">
        <v>28</v>
      </c>
      <c r="C16" s="35"/>
      <c r="D16" s="36"/>
      <c r="E16" s="7"/>
      <c r="F16"/>
      <c r="G16"/>
      <c r="H16"/>
    </row>
    <row r="17" spans="1:8" ht="17.100000000000001" customHeight="1" x14ac:dyDescent="0.25">
      <c r="A17" s="37" t="s">
        <v>16</v>
      </c>
      <c r="B17" s="38">
        <v>89.32</v>
      </c>
      <c r="C17" s="39"/>
      <c r="D17" s="40" t="s">
        <v>17</v>
      </c>
      <c r="E17" s="11"/>
      <c r="G17" s="17"/>
      <c r="H17" s="3"/>
    </row>
    <row r="18" spans="1:8" ht="17.100000000000001" customHeight="1" x14ac:dyDescent="0.25">
      <c r="A18" s="41" t="s">
        <v>4</v>
      </c>
      <c r="B18" s="42">
        <v>111.06</v>
      </c>
      <c r="C18" s="43"/>
      <c r="D18" s="44" t="s">
        <v>17</v>
      </c>
      <c r="E18" s="11"/>
      <c r="G18" s="17"/>
      <c r="H18" s="3"/>
    </row>
    <row r="19" spans="1:8" ht="17.100000000000001" customHeight="1" x14ac:dyDescent="0.25">
      <c r="A19" s="41" t="s">
        <v>5</v>
      </c>
      <c r="B19" s="42">
        <v>112.63</v>
      </c>
      <c r="C19" s="43"/>
      <c r="D19" s="44" t="s">
        <v>17</v>
      </c>
      <c r="E19" s="11"/>
      <c r="G19" s="17"/>
      <c r="H19" s="3"/>
    </row>
    <row r="20" spans="1:8" ht="17.100000000000001" customHeight="1" x14ac:dyDescent="0.25">
      <c r="A20" s="41" t="s">
        <v>6</v>
      </c>
      <c r="B20" s="42">
        <v>101.67</v>
      </c>
      <c r="C20" s="43"/>
      <c r="D20" s="44" t="s">
        <v>17</v>
      </c>
      <c r="E20" s="11"/>
      <c r="G20" s="17"/>
      <c r="H20" s="3"/>
    </row>
    <row r="21" spans="1:8" ht="17.100000000000001" customHeight="1" x14ac:dyDescent="0.25">
      <c r="A21" s="41" t="s">
        <v>7</v>
      </c>
      <c r="B21" s="42">
        <v>95.03</v>
      </c>
      <c r="C21" s="43"/>
      <c r="D21" s="44" t="s">
        <v>17</v>
      </c>
      <c r="E21" s="11"/>
      <c r="G21" s="17"/>
      <c r="H21" s="3"/>
    </row>
    <row r="22" spans="1:8" ht="17.100000000000001" customHeight="1" x14ac:dyDescent="0.25">
      <c r="A22" s="41" t="s">
        <v>8</v>
      </c>
      <c r="B22" s="42">
        <v>90.16</v>
      </c>
      <c r="C22" s="43"/>
      <c r="D22" s="44" t="s">
        <v>17</v>
      </c>
      <c r="E22" s="11"/>
      <c r="G22" s="17"/>
      <c r="H22" s="3"/>
    </row>
    <row r="23" spans="1:8" ht="17.100000000000001" customHeight="1" thickBot="1" x14ac:dyDescent="0.3">
      <c r="A23" s="45" t="s">
        <v>9</v>
      </c>
      <c r="B23" s="46">
        <v>111.06</v>
      </c>
      <c r="C23" s="47"/>
      <c r="D23" s="48" t="s">
        <v>17</v>
      </c>
      <c r="E23" s="11"/>
      <c r="G23" s="17"/>
      <c r="H23" s="3"/>
    </row>
    <row r="24" spans="1:8" ht="15" x14ac:dyDescent="0.25">
      <c r="A24" s="10"/>
      <c r="B24" s="11"/>
      <c r="C24" s="9"/>
      <c r="D24" s="8"/>
      <c r="E24" s="3"/>
      <c r="F24" s="9"/>
      <c r="G24" s="3"/>
      <c r="H24" s="3"/>
    </row>
    <row r="25" spans="1:8" ht="15" x14ac:dyDescent="0.25">
      <c r="A25"/>
      <c r="B25" s="11"/>
      <c r="C25" s="9"/>
      <c r="D25" s="8"/>
      <c r="E25" s="3"/>
      <c r="F25" s="9"/>
      <c r="G25" s="3"/>
      <c r="H25" s="3"/>
    </row>
    <row r="26" spans="1:8" ht="15.75" thickBot="1" x14ac:dyDescent="0.3">
      <c r="A26" s="49"/>
      <c r="B26" s="50"/>
      <c r="C26" s="50"/>
      <c r="D26" s="50"/>
      <c r="E26" s="3"/>
      <c r="F26" s="8"/>
      <c r="G26" s="12"/>
      <c r="H26" s="13"/>
    </row>
    <row r="27" spans="1:8" ht="16.5" thickBot="1" x14ac:dyDescent="0.3">
      <c r="A27" s="56" t="s">
        <v>30</v>
      </c>
      <c r="B27" s="57"/>
      <c r="C27" s="52" t="s">
        <v>29</v>
      </c>
      <c r="D27" s="52"/>
      <c r="E27" s="52"/>
      <c r="F27" s="52"/>
    </row>
    <row r="28" spans="1:8" ht="16.5" thickBot="1" x14ac:dyDescent="0.3">
      <c r="A28" s="51" t="s">
        <v>20</v>
      </c>
      <c r="B28" s="51"/>
      <c r="C28" s="52" t="s">
        <v>21</v>
      </c>
      <c r="D28" s="52"/>
      <c r="E28" s="52"/>
      <c r="F28" s="52"/>
    </row>
    <row r="29" spans="1:8" ht="16.5" thickBot="1" x14ac:dyDescent="0.3">
      <c r="A29" s="51" t="s">
        <v>22</v>
      </c>
      <c r="B29" s="51"/>
      <c r="C29" s="52" t="s">
        <v>21</v>
      </c>
      <c r="D29" s="52"/>
      <c r="E29" s="52"/>
      <c r="F29" s="52"/>
    </row>
    <row r="30" spans="1:8" ht="16.5" thickBot="1" x14ac:dyDescent="0.3">
      <c r="A30" s="51" t="s">
        <v>47</v>
      </c>
      <c r="B30" s="51"/>
      <c r="C30" s="52" t="s">
        <v>48</v>
      </c>
      <c r="D30" s="52"/>
      <c r="E30" s="52"/>
      <c r="F30" s="52"/>
    </row>
    <row r="31" spans="1:8" ht="16.5" thickBot="1" x14ac:dyDescent="0.3">
      <c r="A31" s="51" t="s">
        <v>27</v>
      </c>
      <c r="B31" s="51"/>
      <c r="C31" s="52" t="s">
        <v>21</v>
      </c>
      <c r="D31" s="52"/>
      <c r="E31" s="52"/>
      <c r="F31" s="52"/>
    </row>
    <row r="32" spans="1:8" ht="16.5" thickBot="1" x14ac:dyDescent="0.3">
      <c r="A32" s="51" t="s">
        <v>10</v>
      </c>
      <c r="B32" s="51"/>
      <c r="C32" s="52" t="s">
        <v>11</v>
      </c>
      <c r="D32" s="52"/>
      <c r="E32" s="52"/>
      <c r="F32" s="52"/>
    </row>
    <row r="33" spans="1:8" ht="16.5" thickBot="1" x14ac:dyDescent="0.3">
      <c r="A33" s="51" t="s">
        <v>3</v>
      </c>
      <c r="B33" s="51"/>
      <c r="C33" s="52" t="s">
        <v>0</v>
      </c>
      <c r="D33" s="52"/>
      <c r="E33" s="52"/>
      <c r="F33" s="52"/>
    </row>
    <row r="34" spans="1:8" ht="16.5" thickBot="1" x14ac:dyDescent="0.3">
      <c r="A34" s="51" t="s">
        <v>23</v>
      </c>
      <c r="B34" s="51"/>
      <c r="C34" s="53" t="s">
        <v>24</v>
      </c>
      <c r="D34" s="53"/>
      <c r="E34" s="53"/>
      <c r="F34" s="53"/>
    </row>
    <row r="35" spans="1:8" ht="15.75" x14ac:dyDescent="0.25">
      <c r="A35" s="6"/>
      <c r="B35" s="6"/>
      <c r="C35" s="6"/>
      <c r="D35" s="6"/>
      <c r="E35" s="6"/>
      <c r="F35" s="6"/>
    </row>
    <row r="36" spans="1:8" ht="15.75" x14ac:dyDescent="0.2">
      <c r="A36" s="55"/>
      <c r="B36" s="55"/>
      <c r="C36" s="55"/>
      <c r="D36" s="55"/>
      <c r="E36" s="55"/>
      <c r="F36" s="55"/>
    </row>
    <row r="37" spans="1:8" ht="15.75" x14ac:dyDescent="0.2">
      <c r="A37" s="55"/>
      <c r="B37" s="55"/>
      <c r="C37" s="55"/>
      <c r="D37" s="55"/>
      <c r="E37" s="55"/>
      <c r="F37" s="55"/>
    </row>
    <row r="38" spans="1:8" ht="29.25" customHeight="1" x14ac:dyDescent="0.2">
      <c r="A38" s="54" t="s">
        <v>25</v>
      </c>
      <c r="B38" s="54"/>
      <c r="C38" s="54"/>
      <c r="D38" s="54"/>
      <c r="E38" s="54"/>
      <c r="F38" s="54"/>
    </row>
    <row r="39" spans="1:8" ht="15.75" x14ac:dyDescent="0.2">
      <c r="A39" s="55"/>
      <c r="B39" s="55"/>
      <c r="C39" s="55"/>
      <c r="D39" s="55"/>
      <c r="E39" s="55"/>
      <c r="F39" s="55"/>
    </row>
    <row r="40" spans="1:8" ht="15.75" x14ac:dyDescent="0.2">
      <c r="A40" s="55"/>
      <c r="B40" s="55"/>
      <c r="C40" s="55"/>
      <c r="D40" s="55"/>
      <c r="E40" s="55"/>
      <c r="F40" s="55"/>
    </row>
    <row r="41" spans="1:8" ht="15.75" x14ac:dyDescent="0.2">
      <c r="A41" s="55"/>
      <c r="B41" s="55"/>
      <c r="C41" s="55"/>
      <c r="D41" s="55"/>
      <c r="E41" s="55"/>
      <c r="F41" s="55"/>
    </row>
    <row r="42" spans="1:8" ht="15.75" x14ac:dyDescent="0.2">
      <c r="A42" s="5"/>
      <c r="B42" s="5"/>
      <c r="C42" s="5"/>
      <c r="D42" s="5"/>
      <c r="E42" s="5"/>
      <c r="F42" s="5"/>
    </row>
    <row r="43" spans="1:8" customFormat="1" ht="36" customHeight="1" x14ac:dyDescent="0.25">
      <c r="A43" s="19" t="s">
        <v>26</v>
      </c>
      <c r="B43" s="19"/>
      <c r="C43" s="19"/>
      <c r="D43" s="19"/>
      <c r="E43" s="19"/>
      <c r="F43" s="19"/>
      <c r="G43" s="19"/>
    </row>
    <row r="44" spans="1:8" customFormat="1" ht="36" customHeight="1" x14ac:dyDescent="0.25">
      <c r="A44" s="19"/>
      <c r="B44" s="19"/>
      <c r="C44" s="19"/>
      <c r="D44" s="19"/>
      <c r="E44" s="19"/>
      <c r="F44" s="19"/>
      <c r="G44" s="19"/>
    </row>
    <row r="45" spans="1:8" customFormat="1" ht="36" customHeight="1" x14ac:dyDescent="0.25">
      <c r="A45" s="19"/>
      <c r="B45" s="19"/>
      <c r="C45" s="19"/>
      <c r="D45" s="19"/>
      <c r="E45" s="19"/>
      <c r="F45" s="19"/>
      <c r="G45" s="19"/>
    </row>
    <row r="46" spans="1:8" customFormat="1" ht="36" customHeight="1" x14ac:dyDescent="0.25">
      <c r="A46" s="19"/>
      <c r="B46" s="19"/>
      <c r="C46" s="19"/>
      <c r="D46" s="19"/>
      <c r="E46" s="19"/>
      <c r="F46" s="19"/>
      <c r="G46" s="19"/>
    </row>
    <row r="47" spans="1:8" customFormat="1" ht="36" customHeight="1" x14ac:dyDescent="0.25">
      <c r="A47" s="19"/>
      <c r="B47" s="19"/>
      <c r="C47" s="19"/>
      <c r="D47" s="19"/>
      <c r="E47" s="19"/>
      <c r="F47" s="19"/>
      <c r="G47" s="19"/>
    </row>
    <row r="48" spans="1:8" ht="15" x14ac:dyDescent="0.25">
      <c r="A48" s="15"/>
      <c r="B48" s="15"/>
      <c r="C48" s="15"/>
      <c r="D48" s="15"/>
      <c r="E48" s="15"/>
      <c r="F48" s="15"/>
      <c r="G48" s="16"/>
      <c r="H48"/>
    </row>
    <row r="49" spans="1:8" ht="15" x14ac:dyDescent="0.25">
      <c r="H49"/>
    </row>
    <row r="50" spans="1:8" ht="15" x14ac:dyDescent="0.25">
      <c r="A50"/>
      <c r="B50"/>
      <c r="C50"/>
      <c r="D50"/>
      <c r="E50"/>
      <c r="F50"/>
      <c r="G50"/>
      <c r="H50"/>
    </row>
    <row r="51" spans="1:8" ht="15" x14ac:dyDescent="0.25">
      <c r="A51"/>
      <c r="B51"/>
      <c r="C51"/>
      <c r="D51"/>
      <c r="E51"/>
      <c r="F51"/>
      <c r="G51"/>
      <c r="H51"/>
    </row>
    <row r="52" spans="1:8" ht="15" x14ac:dyDescent="0.25">
      <c r="A52"/>
      <c r="B52"/>
      <c r="C52"/>
      <c r="D52"/>
      <c r="E52"/>
      <c r="F52"/>
      <c r="G52"/>
      <c r="H52"/>
    </row>
    <row r="53" spans="1:8" ht="15" x14ac:dyDescent="0.25">
      <c r="A53"/>
      <c r="B53"/>
      <c r="C53"/>
      <c r="D53"/>
      <c r="E53"/>
      <c r="F53"/>
      <c r="G53"/>
      <c r="H53"/>
    </row>
    <row r="54" spans="1:8" ht="15" x14ac:dyDescent="0.25">
      <c r="A54"/>
      <c r="B54"/>
      <c r="C54"/>
      <c r="D54"/>
      <c r="E54"/>
      <c r="F54"/>
      <c r="G54"/>
      <c r="H54"/>
    </row>
    <row r="55" spans="1:8" ht="15" x14ac:dyDescent="0.25">
      <c r="A55"/>
      <c r="B55"/>
      <c r="C55"/>
      <c r="D55"/>
      <c r="E55"/>
      <c r="F55"/>
      <c r="G55"/>
      <c r="H55"/>
    </row>
  </sheetData>
  <mergeCells count="29">
    <mergeCell ref="A30:B30"/>
    <mergeCell ref="C30:F30"/>
    <mergeCell ref="A34:B34"/>
    <mergeCell ref="C34:F34"/>
    <mergeCell ref="A38:F38"/>
    <mergeCell ref="A43:G47"/>
    <mergeCell ref="C31:F31"/>
    <mergeCell ref="A31:B31"/>
    <mergeCell ref="A32:B32"/>
    <mergeCell ref="C32:F32"/>
    <mergeCell ref="A33:B33"/>
    <mergeCell ref="C33:F33"/>
    <mergeCell ref="A27:B27"/>
    <mergeCell ref="C27:F27"/>
    <mergeCell ref="A28:B28"/>
    <mergeCell ref="C28:F28"/>
    <mergeCell ref="A29:B29"/>
    <mergeCell ref="C29:F29"/>
    <mergeCell ref="B17:C17"/>
    <mergeCell ref="B20:C20"/>
    <mergeCell ref="B21:C21"/>
    <mergeCell ref="B22:C22"/>
    <mergeCell ref="B23:C23"/>
    <mergeCell ref="B18:C18"/>
    <mergeCell ref="B19:C19"/>
    <mergeCell ref="B16:C16"/>
    <mergeCell ref="A4:G4"/>
    <mergeCell ref="A9:G9"/>
    <mergeCell ref="A10:G10"/>
  </mergeCells>
  <pageMargins left="0.23622047244094491" right="0.23622047244094491" top="1.1417322834645669" bottom="0.15748031496062992" header="0.15748031496062992" footer="0.15748031496062992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53E-FF64-48BB-A7D9-8B27C81EB393}">
  <sheetPr>
    <pageSetUpPr fitToPage="1"/>
  </sheetPr>
  <dimension ref="A1:H69"/>
  <sheetViews>
    <sheetView zoomScaleNormal="100" workbookViewId="0">
      <selection activeCell="C20" sqref="C20:D20"/>
    </sheetView>
  </sheetViews>
  <sheetFormatPr baseColWidth="10" defaultRowHeight="15" x14ac:dyDescent="0.25"/>
  <cols>
    <col min="1" max="2" width="13.7109375" customWidth="1"/>
    <col min="3" max="4" width="13.28515625" customWidth="1"/>
    <col min="5" max="6" width="16" customWidth="1"/>
  </cols>
  <sheetData>
    <row r="1" spans="1:8" ht="21" customHeight="1" x14ac:dyDescent="0.25">
      <c r="A1" s="58" t="s">
        <v>31</v>
      </c>
      <c r="B1" s="58"/>
      <c r="C1" s="58"/>
      <c r="E1" s="59"/>
    </row>
    <row r="2" spans="1:8" ht="15.75" customHeight="1" x14ac:dyDescent="0.25">
      <c r="A2" s="20" t="s">
        <v>1</v>
      </c>
      <c r="B2" s="20"/>
      <c r="C2" s="20"/>
    </row>
    <row r="3" spans="1:8" ht="15.75" customHeight="1" x14ac:dyDescent="0.25">
      <c r="A3" s="20" t="s">
        <v>32</v>
      </c>
      <c r="B3" s="20"/>
      <c r="C3" s="20"/>
    </row>
    <row r="4" spans="1:8" ht="15.75" customHeight="1" x14ac:dyDescent="0.25">
      <c r="A4" s="20" t="s">
        <v>33</v>
      </c>
      <c r="B4" s="20"/>
      <c r="C4" s="20"/>
    </row>
    <row r="5" spans="1:8" ht="15.75" customHeight="1" x14ac:dyDescent="0.25">
      <c r="A5" s="20" t="s">
        <v>34</v>
      </c>
      <c r="B5" s="20"/>
      <c r="C5" s="20"/>
    </row>
    <row r="6" spans="1:8" ht="15.75" customHeight="1" x14ac:dyDescent="0.25">
      <c r="A6" s="60" t="s">
        <v>2</v>
      </c>
      <c r="B6" s="61"/>
      <c r="C6" s="61"/>
      <c r="G6" s="62" t="s">
        <v>35</v>
      </c>
      <c r="H6" s="63">
        <v>44816</v>
      </c>
    </row>
    <row r="7" spans="1:8" ht="15.75" customHeight="1" x14ac:dyDescent="0.25">
      <c r="A7" s="64" t="s">
        <v>12</v>
      </c>
      <c r="B7" s="64"/>
      <c r="C7" s="64"/>
      <c r="D7" s="64"/>
      <c r="E7" s="64"/>
      <c r="F7" s="64"/>
      <c r="G7" s="64"/>
      <c r="H7" s="64"/>
    </row>
    <row r="10" spans="1:8" ht="16.5" thickBot="1" x14ac:dyDescent="0.3">
      <c r="A10" s="65"/>
      <c r="B10" s="65"/>
      <c r="C10" s="65"/>
      <c r="D10" s="65"/>
      <c r="E10" s="65"/>
      <c r="F10" s="65"/>
      <c r="G10" s="65"/>
      <c r="H10" s="65"/>
    </row>
    <row r="11" spans="1:8" ht="22.5" thickTop="1" thickBot="1" x14ac:dyDescent="0.4">
      <c r="A11" s="66" t="s">
        <v>36</v>
      </c>
      <c r="B11" s="67"/>
      <c r="C11" s="67"/>
      <c r="D11" s="67"/>
      <c r="E11" s="67"/>
      <c r="F11" s="67"/>
      <c r="G11" s="67"/>
      <c r="H11" s="68"/>
    </row>
    <row r="12" spans="1:8" ht="16.5" thickTop="1" x14ac:dyDescent="0.25">
      <c r="A12" s="65"/>
      <c r="B12" s="65"/>
      <c r="C12" s="65"/>
      <c r="D12" s="65"/>
      <c r="E12" s="65"/>
      <c r="F12" s="65"/>
      <c r="G12" s="65"/>
      <c r="H12" s="65"/>
    </row>
    <row r="13" spans="1:8" ht="17.25" x14ac:dyDescent="0.3">
      <c r="A13" s="69" t="s">
        <v>37</v>
      </c>
      <c r="B13" s="69"/>
      <c r="C13" s="69"/>
      <c r="D13" s="69"/>
      <c r="E13" s="69"/>
      <c r="F13" s="69"/>
      <c r="G13" s="69"/>
      <c r="H13" s="69"/>
    </row>
    <row r="14" spans="1:8" ht="15.75" x14ac:dyDescent="0.25">
      <c r="A14" s="65"/>
      <c r="B14" s="65"/>
      <c r="C14" s="65"/>
      <c r="D14" s="65"/>
      <c r="E14" s="65"/>
      <c r="F14" s="65"/>
      <c r="G14" s="65"/>
      <c r="H14" s="65"/>
    </row>
    <row r="15" spans="1:8" s="4" customFormat="1" x14ac:dyDescent="0.25">
      <c r="A15"/>
      <c r="B15"/>
      <c r="C15"/>
      <c r="D15"/>
      <c r="E15"/>
      <c r="F15"/>
      <c r="G15"/>
      <c r="H15"/>
    </row>
    <row r="19" spans="2:8" ht="15.75" thickBot="1" x14ac:dyDescent="0.3">
      <c r="B19" s="70"/>
      <c r="C19" s="70"/>
      <c r="D19" s="70"/>
      <c r="E19" s="70"/>
      <c r="F19" s="70"/>
      <c r="G19" s="70"/>
      <c r="H19" s="70"/>
    </row>
    <row r="20" spans="2:8" s="4" customFormat="1" ht="45" x14ac:dyDescent="0.25">
      <c r="C20" s="71" t="s">
        <v>38</v>
      </c>
      <c r="D20" s="72"/>
      <c r="E20" s="73" t="s">
        <v>39</v>
      </c>
      <c r="F20" s="74" t="s">
        <v>40</v>
      </c>
      <c r="G20"/>
      <c r="H20"/>
    </row>
    <row r="21" spans="2:8" s="4" customFormat="1" ht="20.100000000000001" customHeight="1" thickBot="1" x14ac:dyDescent="0.3">
      <c r="C21" s="75" t="s">
        <v>41</v>
      </c>
      <c r="D21" s="76" t="s">
        <v>42</v>
      </c>
      <c r="E21" s="77" t="s">
        <v>43</v>
      </c>
      <c r="F21" s="78" t="s">
        <v>44</v>
      </c>
      <c r="G21"/>
      <c r="H21"/>
    </row>
    <row r="22" spans="2:8" s="4" customFormat="1" ht="19.5" customHeight="1" x14ac:dyDescent="0.25">
      <c r="C22" s="79">
        <f>+ROUND(D22*0.95,4)</f>
        <v>1.0209999999999999</v>
      </c>
      <c r="D22" s="80">
        <v>1.0747</v>
      </c>
      <c r="E22" s="81">
        <f>+I22</f>
        <v>0</v>
      </c>
      <c r="F22" s="82">
        <f>+L22</f>
        <v>0</v>
      </c>
    </row>
    <row r="23" spans="2:8" s="4" customFormat="1" ht="19.5" customHeight="1" x14ac:dyDescent="0.25">
      <c r="C23" s="83">
        <f>+D22-0.0001</f>
        <v>1.0746</v>
      </c>
      <c r="D23" s="84">
        <f t="shared" ref="D23:D30" si="0">+D24+0.0098</f>
        <v>1.0548000000000002</v>
      </c>
      <c r="E23" s="85">
        <v>8.5000000000000006E-3</v>
      </c>
      <c r="F23" s="86">
        <v>8.9999999999999993E-3</v>
      </c>
    </row>
    <row r="24" spans="2:8" s="4" customFormat="1" ht="19.5" customHeight="1" x14ac:dyDescent="0.25">
      <c r="C24" s="83">
        <f t="shared" ref="C24:C40" si="1">+D23-0.0001</f>
        <v>1.0547000000000002</v>
      </c>
      <c r="D24" s="84">
        <f t="shared" si="0"/>
        <v>1.0450000000000002</v>
      </c>
      <c r="E24" s="85">
        <v>1.7000000000000001E-2</v>
      </c>
      <c r="F24" s="86"/>
    </row>
    <row r="25" spans="2:8" s="4" customFormat="1" ht="19.5" customHeight="1" x14ac:dyDescent="0.25">
      <c r="C25" s="83">
        <f t="shared" si="1"/>
        <v>1.0449000000000002</v>
      </c>
      <c r="D25" s="84">
        <f t="shared" si="0"/>
        <v>1.0352000000000001</v>
      </c>
      <c r="E25" s="85">
        <v>2.5499999999999998E-2</v>
      </c>
      <c r="F25" s="86">
        <v>1.7000000000000001E-2</v>
      </c>
    </row>
    <row r="26" spans="2:8" s="4" customFormat="1" ht="19.5" customHeight="1" x14ac:dyDescent="0.25">
      <c r="B26" s="14"/>
      <c r="C26" s="83">
        <f t="shared" si="1"/>
        <v>1.0351000000000001</v>
      </c>
      <c r="D26" s="84">
        <f t="shared" si="0"/>
        <v>1.0254000000000001</v>
      </c>
      <c r="E26" s="85">
        <v>3.4000000000000002E-2</v>
      </c>
      <c r="F26" s="86"/>
    </row>
    <row r="27" spans="2:8" s="4" customFormat="1" ht="19.5" customHeight="1" x14ac:dyDescent="0.25">
      <c r="C27" s="83">
        <f t="shared" si="1"/>
        <v>1.0253000000000001</v>
      </c>
      <c r="D27" s="84">
        <f t="shared" si="0"/>
        <v>1.0156000000000001</v>
      </c>
      <c r="E27" s="85">
        <v>4.2500000000000003E-2</v>
      </c>
      <c r="F27" s="86">
        <v>2.5999999999999999E-2</v>
      </c>
    </row>
    <row r="28" spans="2:8" s="4" customFormat="1" ht="19.5" customHeight="1" x14ac:dyDescent="0.25">
      <c r="C28" s="83">
        <f t="shared" si="1"/>
        <v>1.0155000000000001</v>
      </c>
      <c r="D28" s="84">
        <f t="shared" si="0"/>
        <v>1.0058</v>
      </c>
      <c r="E28" s="85">
        <v>5.0999999999999997E-2</v>
      </c>
      <c r="F28" s="86"/>
    </row>
    <row r="29" spans="2:8" s="4" customFormat="1" ht="19.5" customHeight="1" x14ac:dyDescent="0.25">
      <c r="C29" s="83">
        <f t="shared" si="1"/>
        <v>1.0057</v>
      </c>
      <c r="D29" s="84">
        <f t="shared" si="0"/>
        <v>0.99600000000000011</v>
      </c>
      <c r="E29" s="85">
        <v>5.9499999999999997E-2</v>
      </c>
      <c r="F29" s="86">
        <v>3.4000000000000002E-2</v>
      </c>
    </row>
    <row r="30" spans="2:8" s="4" customFormat="1" ht="19.5" customHeight="1" x14ac:dyDescent="0.25">
      <c r="C30" s="83">
        <f t="shared" si="1"/>
        <v>0.99590000000000012</v>
      </c>
      <c r="D30" s="84">
        <f t="shared" si="0"/>
        <v>0.98620000000000008</v>
      </c>
      <c r="E30" s="85">
        <v>6.8000000000000005E-2</v>
      </c>
      <c r="F30" s="86"/>
    </row>
    <row r="31" spans="2:8" s="4" customFormat="1" ht="19.5" customHeight="1" x14ac:dyDescent="0.25">
      <c r="C31" s="83">
        <f t="shared" si="1"/>
        <v>0.98610000000000009</v>
      </c>
      <c r="D31" s="84">
        <v>0.97640000000000005</v>
      </c>
      <c r="E31" s="85">
        <v>7.6499999999999999E-2</v>
      </c>
      <c r="F31" s="86">
        <v>4.2999999999999997E-2</v>
      </c>
    </row>
    <row r="32" spans="2:8" s="4" customFormat="1" ht="19.5" customHeight="1" x14ac:dyDescent="0.25">
      <c r="C32" s="83">
        <f t="shared" si="1"/>
        <v>0.97630000000000006</v>
      </c>
      <c r="D32" s="84">
        <f t="shared" ref="D32:D40" si="2">+D31-0.0098</f>
        <v>0.96660000000000001</v>
      </c>
      <c r="E32" s="85">
        <v>8.5000000000000006E-2</v>
      </c>
      <c r="F32" s="86"/>
    </row>
    <row r="33" spans="1:8" s="4" customFormat="1" ht="19.5" customHeight="1" x14ac:dyDescent="0.25">
      <c r="C33" s="83">
        <f t="shared" si="1"/>
        <v>0.96650000000000003</v>
      </c>
      <c r="D33" s="84">
        <f t="shared" si="2"/>
        <v>0.95679999999999998</v>
      </c>
      <c r="E33" s="85">
        <v>9.35E-2</v>
      </c>
      <c r="F33" s="86">
        <v>5.0999999999999997E-2</v>
      </c>
    </row>
    <row r="34" spans="1:8" s="4" customFormat="1" ht="19.5" customHeight="1" x14ac:dyDescent="0.25">
      <c r="C34" s="83">
        <f t="shared" si="1"/>
        <v>0.95669999999999999</v>
      </c>
      <c r="D34" s="84">
        <f t="shared" si="2"/>
        <v>0.94699999999999995</v>
      </c>
      <c r="E34" s="85">
        <v>0.10199999999999999</v>
      </c>
      <c r="F34" s="86"/>
    </row>
    <row r="35" spans="1:8" s="4" customFormat="1" ht="19.5" customHeight="1" x14ac:dyDescent="0.25">
      <c r="A35" s="87"/>
      <c r="B35" s="87"/>
      <c r="C35" s="83">
        <f t="shared" si="1"/>
        <v>0.94689999999999996</v>
      </c>
      <c r="D35" s="84">
        <f t="shared" si="2"/>
        <v>0.93719999999999992</v>
      </c>
      <c r="E35" s="85">
        <v>0.1105</v>
      </c>
      <c r="F35" s="86">
        <v>0.06</v>
      </c>
    </row>
    <row r="36" spans="1:8" s="4" customFormat="1" ht="19.5" customHeight="1" x14ac:dyDescent="0.25">
      <c r="A36" s="87"/>
      <c r="B36" s="87"/>
      <c r="C36" s="83">
        <f t="shared" si="1"/>
        <v>0.93709999999999993</v>
      </c>
      <c r="D36" s="84">
        <f t="shared" si="2"/>
        <v>0.92739999999999989</v>
      </c>
      <c r="E36" s="85">
        <v>0.11899999999999999</v>
      </c>
      <c r="F36" s="86"/>
    </row>
    <row r="37" spans="1:8" s="4" customFormat="1" ht="19.5" customHeight="1" x14ac:dyDescent="0.25">
      <c r="A37" s="87"/>
      <c r="B37" s="87"/>
      <c r="C37" s="83">
        <f t="shared" si="1"/>
        <v>0.9272999999999999</v>
      </c>
      <c r="D37" s="84">
        <f t="shared" si="2"/>
        <v>0.91759999999999986</v>
      </c>
      <c r="E37" s="85">
        <v>0.1275</v>
      </c>
      <c r="F37" s="86">
        <v>6.8000000000000005E-2</v>
      </c>
    </row>
    <row r="38" spans="1:8" s="4" customFormat="1" ht="19.5" customHeight="1" x14ac:dyDescent="0.25">
      <c r="A38" s="87"/>
      <c r="B38" s="87"/>
      <c r="C38" s="83">
        <f t="shared" si="1"/>
        <v>0.91749999999999987</v>
      </c>
      <c r="D38" s="84">
        <f t="shared" si="2"/>
        <v>0.90779999999999983</v>
      </c>
      <c r="E38" s="85">
        <v>0.13600000000000001</v>
      </c>
      <c r="F38" s="86"/>
    </row>
    <row r="39" spans="1:8" s="4" customFormat="1" ht="19.5" customHeight="1" x14ac:dyDescent="0.25">
      <c r="A39" s="87"/>
      <c r="B39" s="87"/>
      <c r="C39" s="83">
        <f t="shared" si="1"/>
        <v>0.90769999999999984</v>
      </c>
      <c r="D39" s="84">
        <f t="shared" si="2"/>
        <v>0.8979999999999998</v>
      </c>
      <c r="E39" s="85">
        <v>0.14449999999999999</v>
      </c>
      <c r="F39" s="86">
        <v>7.6999999999999999E-2</v>
      </c>
    </row>
    <row r="40" spans="1:8" s="4" customFormat="1" ht="19.5" customHeight="1" thickBot="1" x14ac:dyDescent="0.3">
      <c r="A40" s="87"/>
      <c r="B40" s="87"/>
      <c r="C40" s="88">
        <f t="shared" si="1"/>
        <v>0.89789999999999981</v>
      </c>
      <c r="D40" s="89">
        <f t="shared" si="2"/>
        <v>0.88819999999999977</v>
      </c>
      <c r="E40" s="90">
        <v>0.153</v>
      </c>
      <c r="F40" s="91"/>
      <c r="G40" s="5"/>
      <c r="H40" s="5"/>
    </row>
    <row r="41" spans="1:8" x14ac:dyDescent="0.25">
      <c r="A41" s="7"/>
    </row>
    <row r="42" spans="1:8" x14ac:dyDescent="0.25">
      <c r="A42" s="7"/>
    </row>
    <row r="43" spans="1:8" ht="33" customHeight="1" x14ac:dyDescent="0.25">
      <c r="A43" s="19" t="s">
        <v>45</v>
      </c>
      <c r="B43" s="19"/>
      <c r="C43" s="19"/>
      <c r="D43" s="19"/>
      <c r="E43" s="19"/>
      <c r="F43" s="19"/>
      <c r="G43" s="19"/>
      <c r="H43" s="19"/>
    </row>
    <row r="44" spans="1:8" ht="15.75" x14ac:dyDescent="0.25">
      <c r="A44" s="7"/>
      <c r="G44" s="6"/>
      <c r="H44" s="6"/>
    </row>
    <row r="45" spans="1:8" ht="15.75" x14ac:dyDescent="0.25">
      <c r="G45" s="6"/>
      <c r="H45" s="6"/>
    </row>
    <row r="46" spans="1:8" ht="15.75" x14ac:dyDescent="0.25">
      <c r="G46" s="6"/>
      <c r="H46" s="6"/>
    </row>
    <row r="47" spans="1:8" ht="15.75" x14ac:dyDescent="0.25">
      <c r="G47" s="6"/>
      <c r="H47" s="6"/>
    </row>
    <row r="48" spans="1:8" ht="15.75" x14ac:dyDescent="0.25">
      <c r="A48" s="7"/>
      <c r="G48" s="6"/>
      <c r="H48" s="6"/>
    </row>
    <row r="49" spans="1:8" ht="15.75" x14ac:dyDescent="0.25">
      <c r="A49" s="7"/>
      <c r="B49" s="7"/>
      <c r="G49" s="6"/>
      <c r="H49" s="6"/>
    </row>
    <row r="50" spans="1:8" ht="15.75" x14ac:dyDescent="0.25">
      <c r="A50" s="7"/>
      <c r="B50" s="7"/>
      <c r="D50" s="6"/>
      <c r="E50" s="6"/>
      <c r="F50" s="6"/>
      <c r="G50" s="6"/>
      <c r="H50" s="6"/>
    </row>
    <row r="51" spans="1:8" ht="15.75" x14ac:dyDescent="0.25">
      <c r="A51" s="7"/>
      <c r="D51" s="6"/>
      <c r="E51" s="6"/>
      <c r="F51" s="6"/>
      <c r="G51" s="6"/>
      <c r="H51" s="6"/>
    </row>
    <row r="52" spans="1:8" ht="15.75" x14ac:dyDescent="0.25">
      <c r="A52" s="7"/>
      <c r="D52" s="6"/>
      <c r="E52" s="6"/>
      <c r="F52" s="6"/>
      <c r="G52" s="6"/>
      <c r="H52" s="6"/>
    </row>
    <row r="53" spans="1:8" ht="15.75" x14ac:dyDescent="0.25">
      <c r="B53" s="92"/>
      <c r="C53" s="92"/>
      <c r="D53" s="92"/>
      <c r="E53" s="92"/>
      <c r="F53" s="92"/>
      <c r="G53" s="92"/>
      <c r="H53" s="6"/>
    </row>
    <row r="54" spans="1:8" ht="30" customHeight="1" x14ac:dyDescent="0.25">
      <c r="A54" s="19" t="s">
        <v>46</v>
      </c>
      <c r="B54" s="19"/>
      <c r="C54" s="19"/>
      <c r="D54" s="19"/>
      <c r="E54" s="19"/>
      <c r="F54" s="19"/>
      <c r="G54" s="19"/>
      <c r="H54" s="19"/>
    </row>
    <row r="55" spans="1:8" ht="30" customHeight="1" x14ac:dyDescent="0.25">
      <c r="A55" s="19"/>
      <c r="B55" s="19"/>
      <c r="C55" s="19"/>
      <c r="D55" s="19"/>
      <c r="E55" s="19"/>
      <c r="F55" s="19"/>
      <c r="G55" s="19"/>
      <c r="H55" s="19"/>
    </row>
    <row r="56" spans="1:8" ht="30" customHeight="1" x14ac:dyDescent="0.25">
      <c r="A56" s="19"/>
      <c r="B56" s="19"/>
      <c r="C56" s="19"/>
      <c r="D56" s="19"/>
      <c r="E56" s="19"/>
      <c r="F56" s="19"/>
      <c r="G56" s="19"/>
      <c r="H56" s="19"/>
    </row>
    <row r="57" spans="1:8" ht="30" customHeight="1" x14ac:dyDescent="0.25">
      <c r="A57" s="19"/>
      <c r="B57" s="19"/>
      <c r="C57" s="19"/>
      <c r="D57" s="19"/>
      <c r="E57" s="19"/>
      <c r="F57" s="19"/>
      <c r="G57" s="19"/>
      <c r="H57" s="19"/>
    </row>
    <row r="58" spans="1:8" ht="30" customHeight="1" x14ac:dyDescent="0.25">
      <c r="A58" s="19"/>
      <c r="B58" s="19"/>
      <c r="C58" s="19"/>
      <c r="D58" s="19"/>
      <c r="E58" s="19"/>
      <c r="F58" s="19"/>
      <c r="G58" s="19"/>
      <c r="H58" s="19"/>
    </row>
    <row r="59" spans="1:8" ht="15" customHeight="1" x14ac:dyDescent="0.25">
      <c r="A59" s="93"/>
      <c r="B59" s="93"/>
      <c r="C59" s="93"/>
      <c r="D59" s="93"/>
      <c r="E59" s="93"/>
      <c r="F59" s="93"/>
      <c r="G59" s="93"/>
      <c r="H59" s="93"/>
    </row>
    <row r="60" spans="1:8" ht="15" customHeight="1" x14ac:dyDescent="0.25"/>
    <row r="61" spans="1:8" ht="15" customHeight="1" x14ac:dyDescent="0.25"/>
    <row r="62" spans="1:8" ht="15" customHeight="1" x14ac:dyDescent="0.25"/>
    <row r="63" spans="1:8" ht="15" customHeight="1" x14ac:dyDescent="0.25"/>
    <row r="64" spans="1: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1">
    <mergeCell ref="F39:F40"/>
    <mergeCell ref="A43:H43"/>
    <mergeCell ref="A54:H58"/>
    <mergeCell ref="F27:F28"/>
    <mergeCell ref="F29:F30"/>
    <mergeCell ref="F31:F32"/>
    <mergeCell ref="F33:F34"/>
    <mergeCell ref="F35:F36"/>
    <mergeCell ref="F37:F38"/>
    <mergeCell ref="A7:H7"/>
    <mergeCell ref="A11:H11"/>
    <mergeCell ref="A13:H13"/>
    <mergeCell ref="C20:D20"/>
    <mergeCell ref="F23:F24"/>
    <mergeCell ref="F25:F26"/>
    <mergeCell ref="A1:C1"/>
    <mergeCell ref="A2:C2"/>
    <mergeCell ref="A3:C3"/>
    <mergeCell ref="A4:C4"/>
    <mergeCell ref="A5:C5"/>
    <mergeCell ref="A6:C6"/>
  </mergeCells>
  <hyperlinks>
    <hyperlink ref="A6" r:id="rId1" xr:uid="{A2CCBA87-C9BC-42FD-A247-07D341D68B35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4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751F-28D0-4DD9-9933-DA88D770DDFD}">
  <sheetPr>
    <pageSetUpPr fitToPage="1"/>
  </sheetPr>
  <dimension ref="A1:O70"/>
  <sheetViews>
    <sheetView zoomScaleNormal="100" workbookViewId="0"/>
  </sheetViews>
  <sheetFormatPr baseColWidth="10" defaultRowHeight="15" x14ac:dyDescent="0.25"/>
  <cols>
    <col min="1" max="1" width="6" customWidth="1"/>
    <col min="2" max="2" width="5.28515625" customWidth="1"/>
    <col min="3" max="3" width="11.42578125" customWidth="1"/>
    <col min="7" max="7" width="8.7109375" customWidth="1"/>
    <col min="8" max="8" width="4.85546875" customWidth="1"/>
    <col min="9" max="9" width="7.140625" customWidth="1"/>
    <col min="11" max="11" width="9.7109375" customWidth="1"/>
    <col min="13" max="13" width="11" customWidth="1"/>
    <col min="15" max="16" width="11.42578125" customWidth="1"/>
  </cols>
  <sheetData>
    <row r="1" spans="1:13" ht="21" customHeight="1" x14ac:dyDescent="0.25">
      <c r="A1" s="94" t="s">
        <v>31</v>
      </c>
      <c r="B1" s="94"/>
      <c r="C1" s="94"/>
      <c r="G1" s="94"/>
    </row>
    <row r="2" spans="1:13" ht="15.75" customHeight="1" x14ac:dyDescent="0.25">
      <c r="A2" t="s">
        <v>1</v>
      </c>
    </row>
    <row r="3" spans="1:13" ht="15.75" customHeight="1" x14ac:dyDescent="0.25">
      <c r="A3" t="s">
        <v>32</v>
      </c>
    </row>
    <row r="4" spans="1:13" ht="15.75" customHeight="1" x14ac:dyDescent="0.25">
      <c r="A4" t="s">
        <v>33</v>
      </c>
    </row>
    <row r="5" spans="1:13" ht="15.75" customHeight="1" x14ac:dyDescent="0.25">
      <c r="A5" t="s">
        <v>34</v>
      </c>
    </row>
    <row r="6" spans="1:13" ht="15.75" customHeight="1" x14ac:dyDescent="0.25">
      <c r="A6" s="95" t="s">
        <v>2</v>
      </c>
      <c r="B6" s="96"/>
      <c r="C6" s="96"/>
      <c r="G6" s="95"/>
      <c r="L6" s="59" t="s">
        <v>49</v>
      </c>
      <c r="M6" s="97">
        <v>45383</v>
      </c>
    </row>
    <row r="7" spans="1:13" ht="15.75" customHeight="1" x14ac:dyDescent="0.25">
      <c r="A7" s="64" t="s">
        <v>12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</row>
    <row r="8" spans="1:13" ht="16.5" thickBot="1" x14ac:dyDescent="0.3">
      <c r="A8" s="65"/>
      <c r="B8" s="65"/>
      <c r="C8" s="65"/>
      <c r="D8" s="65"/>
      <c r="E8" s="65"/>
      <c r="F8" s="65"/>
      <c r="G8" s="65"/>
      <c r="H8" s="65"/>
      <c r="I8" s="65"/>
    </row>
    <row r="9" spans="1:13" ht="22.15" customHeight="1" thickBot="1" x14ac:dyDescent="0.4">
      <c r="A9" s="98" t="s">
        <v>50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100"/>
    </row>
    <row r="10" spans="1:13" ht="17.25" x14ac:dyDescent="0.3">
      <c r="A10" s="101" t="s">
        <v>51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</row>
    <row r="11" spans="1:13" ht="18" thickBot="1" x14ac:dyDescent="0.35">
      <c r="A11" s="102"/>
      <c r="B11" s="102"/>
      <c r="C11" s="102"/>
      <c r="D11" s="102"/>
      <c r="E11" s="102"/>
      <c r="F11" s="102"/>
      <c r="G11" s="102"/>
      <c r="H11" s="102"/>
      <c r="I11" s="102"/>
    </row>
    <row r="12" spans="1:13" ht="39" customHeight="1" thickBot="1" x14ac:dyDescent="0.3">
      <c r="A12" s="103"/>
      <c r="B12" s="104"/>
      <c r="C12" s="105" t="s">
        <v>52</v>
      </c>
      <c r="D12" s="106"/>
      <c r="E12" s="105" t="s">
        <v>53</v>
      </c>
      <c r="F12" s="107"/>
      <c r="H12" s="103"/>
      <c r="I12" s="104"/>
      <c r="J12" s="105" t="s">
        <v>52</v>
      </c>
      <c r="K12" s="106"/>
      <c r="L12" s="105" t="s">
        <v>53</v>
      </c>
      <c r="M12" s="107"/>
    </row>
    <row r="13" spans="1:13" s="4" customFormat="1" x14ac:dyDescent="0.25">
      <c r="A13" s="108" t="s">
        <v>54</v>
      </c>
      <c r="B13" s="109"/>
      <c r="C13" s="110">
        <v>1.5159</v>
      </c>
      <c r="D13" s="111"/>
      <c r="E13" s="112">
        <v>0</v>
      </c>
      <c r="F13" s="113"/>
      <c r="H13" s="108" t="s">
        <v>54</v>
      </c>
      <c r="I13" s="109"/>
      <c r="J13" s="110">
        <f>+C48+0.025</f>
        <v>2.415899999999997</v>
      </c>
      <c r="K13" s="111"/>
      <c r="L13" s="112">
        <v>0.18</v>
      </c>
      <c r="M13" s="113"/>
    </row>
    <row r="14" spans="1:13" s="4" customFormat="1" x14ac:dyDescent="0.25">
      <c r="A14" s="114" t="s">
        <v>54</v>
      </c>
      <c r="B14" s="115"/>
      <c r="C14" s="116">
        <f>+C13+0.025</f>
        <v>1.5408999999999999</v>
      </c>
      <c r="D14" s="117"/>
      <c r="E14" s="118">
        <v>5.0000000000000001E-3</v>
      </c>
      <c r="F14" s="119"/>
      <c r="G14" s="87"/>
      <c r="H14" s="114" t="s">
        <v>54</v>
      </c>
      <c r="I14" s="115"/>
      <c r="J14" s="116">
        <f>J13+0.025</f>
        <v>2.440899999999997</v>
      </c>
      <c r="K14" s="117"/>
      <c r="L14" s="118">
        <v>0.185</v>
      </c>
      <c r="M14" s="119"/>
    </row>
    <row r="15" spans="1:13" s="4" customFormat="1" x14ac:dyDescent="0.25">
      <c r="A15" s="114" t="s">
        <v>54</v>
      </c>
      <c r="B15" s="115"/>
      <c r="C15" s="116">
        <f t="shared" ref="C15:C48" si="0">+C14+0.025</f>
        <v>1.5658999999999998</v>
      </c>
      <c r="D15" s="117"/>
      <c r="E15" s="118">
        <v>0.01</v>
      </c>
      <c r="F15" s="119"/>
      <c r="G15" s="87"/>
      <c r="H15" s="114" t="s">
        <v>54</v>
      </c>
      <c r="I15" s="115"/>
      <c r="J15" s="116">
        <f t="shared" ref="J15:J48" si="1">J14+0.025</f>
        <v>2.4658999999999969</v>
      </c>
      <c r="K15" s="117"/>
      <c r="L15" s="118">
        <v>0.19</v>
      </c>
      <c r="M15" s="119"/>
    </row>
    <row r="16" spans="1:13" s="4" customFormat="1" x14ac:dyDescent="0.25">
      <c r="A16" s="114" t="s">
        <v>54</v>
      </c>
      <c r="B16" s="115"/>
      <c r="C16" s="116">
        <f t="shared" si="0"/>
        <v>1.5908999999999998</v>
      </c>
      <c r="D16" s="117"/>
      <c r="E16" s="118">
        <v>1.4999999999999999E-2</v>
      </c>
      <c r="F16" s="119"/>
      <c r="G16" s="87"/>
      <c r="H16" s="114" t="s">
        <v>54</v>
      </c>
      <c r="I16" s="115"/>
      <c r="J16" s="116">
        <f t="shared" si="1"/>
        <v>2.4908999999999968</v>
      </c>
      <c r="K16" s="117"/>
      <c r="L16" s="118">
        <v>0.19500000000000001</v>
      </c>
      <c r="M16" s="119"/>
    </row>
    <row r="17" spans="1:15" s="4" customFormat="1" x14ac:dyDescent="0.25">
      <c r="A17" s="114" t="s">
        <v>54</v>
      </c>
      <c r="B17" s="115"/>
      <c r="C17" s="116">
        <f t="shared" si="0"/>
        <v>1.6158999999999997</v>
      </c>
      <c r="D17" s="117"/>
      <c r="E17" s="118">
        <v>0.02</v>
      </c>
      <c r="F17" s="119"/>
      <c r="G17" s="87"/>
      <c r="H17" s="114" t="s">
        <v>54</v>
      </c>
      <c r="I17" s="115"/>
      <c r="J17" s="116">
        <f t="shared" si="1"/>
        <v>2.5158999999999967</v>
      </c>
      <c r="K17" s="117"/>
      <c r="L17" s="118">
        <v>0.2</v>
      </c>
      <c r="M17" s="119"/>
    </row>
    <row r="18" spans="1:15" s="4" customFormat="1" x14ac:dyDescent="0.25">
      <c r="A18" s="114" t="s">
        <v>54</v>
      </c>
      <c r="B18" s="115"/>
      <c r="C18" s="116">
        <f t="shared" si="0"/>
        <v>1.6408999999999996</v>
      </c>
      <c r="D18" s="117"/>
      <c r="E18" s="118">
        <v>2.5000000000000001E-2</v>
      </c>
      <c r="F18" s="119"/>
      <c r="G18" s="120"/>
      <c r="H18" s="114" t="s">
        <v>54</v>
      </c>
      <c r="I18" s="115"/>
      <c r="J18" s="116">
        <f t="shared" si="1"/>
        <v>2.5408999999999966</v>
      </c>
      <c r="K18" s="117"/>
      <c r="L18" s="118">
        <v>0.20499999999999999</v>
      </c>
      <c r="M18" s="119"/>
    </row>
    <row r="19" spans="1:15" s="4" customFormat="1" x14ac:dyDescent="0.25">
      <c r="A19" s="114" t="s">
        <v>54</v>
      </c>
      <c r="B19" s="115"/>
      <c r="C19" s="116">
        <f t="shared" si="0"/>
        <v>1.6658999999999995</v>
      </c>
      <c r="D19" s="117"/>
      <c r="E19" s="118">
        <v>0.03</v>
      </c>
      <c r="F19" s="119"/>
      <c r="G19" s="87"/>
      <c r="H19" s="114" t="s">
        <v>54</v>
      </c>
      <c r="I19" s="115"/>
      <c r="J19" s="116">
        <f t="shared" si="1"/>
        <v>2.5658999999999965</v>
      </c>
      <c r="K19" s="117"/>
      <c r="L19" s="118">
        <v>0.21</v>
      </c>
      <c r="M19" s="119"/>
    </row>
    <row r="20" spans="1:15" s="4" customFormat="1" x14ac:dyDescent="0.25">
      <c r="A20" s="114" t="s">
        <v>54</v>
      </c>
      <c r="B20" s="115"/>
      <c r="C20" s="116">
        <f t="shared" si="0"/>
        <v>1.6908999999999994</v>
      </c>
      <c r="D20" s="117"/>
      <c r="E20" s="118">
        <v>3.5000000000000003E-2</v>
      </c>
      <c r="F20" s="119"/>
      <c r="G20" s="87"/>
      <c r="H20" s="114" t="s">
        <v>54</v>
      </c>
      <c r="I20" s="115"/>
      <c r="J20" s="116">
        <f t="shared" si="1"/>
        <v>2.5908999999999964</v>
      </c>
      <c r="K20" s="117"/>
      <c r="L20" s="118">
        <v>0.215</v>
      </c>
      <c r="M20" s="119"/>
    </row>
    <row r="21" spans="1:15" x14ac:dyDescent="0.25">
      <c r="A21" s="114" t="s">
        <v>54</v>
      </c>
      <c r="B21" s="115"/>
      <c r="C21" s="116">
        <f t="shared" si="0"/>
        <v>1.7158999999999993</v>
      </c>
      <c r="D21" s="117"/>
      <c r="E21" s="118">
        <v>0.04</v>
      </c>
      <c r="F21" s="119"/>
      <c r="G21" s="121"/>
      <c r="H21" s="114" t="s">
        <v>54</v>
      </c>
      <c r="I21" s="115"/>
      <c r="J21" s="116">
        <f t="shared" si="1"/>
        <v>2.6158999999999963</v>
      </c>
      <c r="K21" s="117"/>
      <c r="L21" s="118">
        <v>0.22</v>
      </c>
      <c r="M21" s="119"/>
      <c r="O21" s="4"/>
    </row>
    <row r="22" spans="1:15" x14ac:dyDescent="0.25">
      <c r="A22" s="114" t="s">
        <v>54</v>
      </c>
      <c r="B22" s="115"/>
      <c r="C22" s="116">
        <f t="shared" si="0"/>
        <v>1.7408999999999992</v>
      </c>
      <c r="D22" s="117"/>
      <c r="E22" s="118">
        <v>4.4999999999999998E-2</v>
      </c>
      <c r="F22" s="119"/>
      <c r="H22" s="114" t="s">
        <v>54</v>
      </c>
      <c r="I22" s="115"/>
      <c r="J22" s="116">
        <f t="shared" si="1"/>
        <v>2.6408999999999963</v>
      </c>
      <c r="K22" s="117"/>
      <c r="L22" s="118">
        <v>0.22500000000000001</v>
      </c>
      <c r="M22" s="119"/>
      <c r="O22" s="4"/>
    </row>
    <row r="23" spans="1:15" x14ac:dyDescent="0.25">
      <c r="A23" s="114" t="s">
        <v>54</v>
      </c>
      <c r="B23" s="115"/>
      <c r="C23" s="116">
        <f t="shared" si="0"/>
        <v>1.7658999999999991</v>
      </c>
      <c r="D23" s="117"/>
      <c r="E23" s="118">
        <v>0.05</v>
      </c>
      <c r="F23" s="119"/>
      <c r="G23" s="7"/>
      <c r="H23" s="114" t="s">
        <v>54</v>
      </c>
      <c r="I23" s="115"/>
      <c r="J23" s="116">
        <f t="shared" si="1"/>
        <v>2.6658999999999962</v>
      </c>
      <c r="K23" s="117"/>
      <c r="L23" s="118">
        <v>0.23</v>
      </c>
      <c r="M23" s="119"/>
      <c r="O23" s="4"/>
    </row>
    <row r="24" spans="1:15" x14ac:dyDescent="0.25">
      <c r="A24" s="114" t="s">
        <v>54</v>
      </c>
      <c r="B24" s="115"/>
      <c r="C24" s="116">
        <f t="shared" si="0"/>
        <v>1.790899999999999</v>
      </c>
      <c r="D24" s="117"/>
      <c r="E24" s="118">
        <v>5.5E-2</v>
      </c>
      <c r="F24" s="119"/>
      <c r="H24" s="114" t="s">
        <v>54</v>
      </c>
      <c r="I24" s="115"/>
      <c r="J24" s="116">
        <f t="shared" si="1"/>
        <v>2.6908999999999961</v>
      </c>
      <c r="K24" s="117"/>
      <c r="L24" s="118">
        <v>0.23499999999999999</v>
      </c>
      <c r="M24" s="119"/>
      <c r="O24" s="4"/>
    </row>
    <row r="25" spans="1:15" x14ac:dyDescent="0.25">
      <c r="A25" s="114" t="s">
        <v>54</v>
      </c>
      <c r="B25" s="115"/>
      <c r="C25" s="116">
        <f t="shared" si="0"/>
        <v>1.815899999999999</v>
      </c>
      <c r="D25" s="117"/>
      <c r="E25" s="118">
        <v>0.06</v>
      </c>
      <c r="F25" s="119"/>
      <c r="H25" s="114" t="s">
        <v>54</v>
      </c>
      <c r="I25" s="115"/>
      <c r="J25" s="116">
        <f t="shared" si="1"/>
        <v>2.715899999999996</v>
      </c>
      <c r="K25" s="117"/>
      <c r="L25" s="118">
        <v>0.24</v>
      </c>
      <c r="M25" s="119"/>
      <c r="O25" s="4"/>
    </row>
    <row r="26" spans="1:15" x14ac:dyDescent="0.25">
      <c r="A26" s="114" t="s">
        <v>54</v>
      </c>
      <c r="B26" s="115"/>
      <c r="C26" s="116">
        <f t="shared" si="0"/>
        <v>1.8408999999999989</v>
      </c>
      <c r="D26" s="117"/>
      <c r="E26" s="118">
        <v>6.5000000000000002E-2</v>
      </c>
      <c r="F26" s="119"/>
      <c r="H26" s="114" t="s">
        <v>54</v>
      </c>
      <c r="I26" s="115"/>
      <c r="J26" s="116">
        <f t="shared" si="1"/>
        <v>2.7408999999999959</v>
      </c>
      <c r="K26" s="117"/>
      <c r="L26" s="118">
        <v>0.245</v>
      </c>
      <c r="M26" s="119"/>
      <c r="O26" s="4"/>
    </row>
    <row r="27" spans="1:15" x14ac:dyDescent="0.25">
      <c r="A27" s="114" t="s">
        <v>54</v>
      </c>
      <c r="B27" s="115"/>
      <c r="C27" s="116">
        <f t="shared" si="0"/>
        <v>1.8658999999999988</v>
      </c>
      <c r="D27" s="117"/>
      <c r="E27" s="118">
        <v>7.0000000000000007E-2</v>
      </c>
      <c r="F27" s="119"/>
      <c r="H27" s="114" t="s">
        <v>54</v>
      </c>
      <c r="I27" s="115"/>
      <c r="J27" s="116">
        <f t="shared" si="1"/>
        <v>2.7658999999999958</v>
      </c>
      <c r="K27" s="117"/>
      <c r="L27" s="118">
        <v>0.25</v>
      </c>
      <c r="M27" s="119"/>
      <c r="O27" s="4"/>
    </row>
    <row r="28" spans="1:15" x14ac:dyDescent="0.25">
      <c r="A28" s="114" t="s">
        <v>54</v>
      </c>
      <c r="B28" s="115"/>
      <c r="C28" s="116">
        <f t="shared" si="0"/>
        <v>1.8908999999999987</v>
      </c>
      <c r="D28" s="117"/>
      <c r="E28" s="118">
        <v>7.4999999999999997E-2</v>
      </c>
      <c r="F28" s="119"/>
      <c r="H28" s="114" t="s">
        <v>54</v>
      </c>
      <c r="I28" s="115"/>
      <c r="J28" s="116">
        <f t="shared" si="1"/>
        <v>2.7908999999999957</v>
      </c>
      <c r="K28" s="117"/>
      <c r="L28" s="118">
        <v>0.255</v>
      </c>
      <c r="M28" s="119"/>
      <c r="O28" s="4"/>
    </row>
    <row r="29" spans="1:15" x14ac:dyDescent="0.25">
      <c r="A29" s="114" t="s">
        <v>54</v>
      </c>
      <c r="B29" s="115"/>
      <c r="C29" s="116">
        <f t="shared" si="0"/>
        <v>1.9158999999999986</v>
      </c>
      <c r="D29" s="117"/>
      <c r="E29" s="118">
        <v>0.08</v>
      </c>
      <c r="F29" s="119"/>
      <c r="H29" s="114" t="s">
        <v>54</v>
      </c>
      <c r="I29" s="115"/>
      <c r="J29" s="116">
        <f t="shared" si="1"/>
        <v>2.8158999999999956</v>
      </c>
      <c r="K29" s="117"/>
      <c r="L29" s="118">
        <v>0.26</v>
      </c>
      <c r="M29" s="119"/>
      <c r="O29" s="4"/>
    </row>
    <row r="30" spans="1:15" x14ac:dyDescent="0.25">
      <c r="A30" s="114" t="s">
        <v>54</v>
      </c>
      <c r="B30" s="115"/>
      <c r="C30" s="116">
        <f t="shared" si="0"/>
        <v>1.9408999999999985</v>
      </c>
      <c r="D30" s="117"/>
      <c r="E30" s="118">
        <v>8.5000000000000006E-2</v>
      </c>
      <c r="F30" s="119"/>
      <c r="H30" s="114" t="s">
        <v>54</v>
      </c>
      <c r="I30" s="115"/>
      <c r="J30" s="116">
        <f t="shared" si="1"/>
        <v>2.8408999999999955</v>
      </c>
      <c r="K30" s="117"/>
      <c r="L30" s="118">
        <v>0.26500000000000001</v>
      </c>
      <c r="M30" s="119"/>
      <c r="O30" s="4"/>
    </row>
    <row r="31" spans="1:15" x14ac:dyDescent="0.25">
      <c r="A31" s="114" t="s">
        <v>54</v>
      </c>
      <c r="B31" s="115"/>
      <c r="C31" s="116">
        <f t="shared" si="0"/>
        <v>1.9658999999999984</v>
      </c>
      <c r="D31" s="117"/>
      <c r="E31" s="118">
        <v>0.09</v>
      </c>
      <c r="F31" s="119"/>
      <c r="H31" s="114" t="s">
        <v>54</v>
      </c>
      <c r="I31" s="115"/>
      <c r="J31" s="116">
        <f t="shared" si="1"/>
        <v>2.8658999999999955</v>
      </c>
      <c r="K31" s="117"/>
      <c r="L31" s="118">
        <v>0.27</v>
      </c>
      <c r="M31" s="119"/>
      <c r="O31" s="4"/>
    </row>
    <row r="32" spans="1:15" x14ac:dyDescent="0.25">
      <c r="A32" s="114" t="s">
        <v>54</v>
      </c>
      <c r="B32" s="115"/>
      <c r="C32" s="116">
        <f t="shared" si="0"/>
        <v>1.9908999999999983</v>
      </c>
      <c r="D32" s="117"/>
      <c r="E32" s="118">
        <v>9.5000000000000001E-2</v>
      </c>
      <c r="F32" s="119"/>
      <c r="H32" s="114" t="s">
        <v>54</v>
      </c>
      <c r="I32" s="115"/>
      <c r="J32" s="116">
        <f t="shared" si="1"/>
        <v>2.8908999999999954</v>
      </c>
      <c r="K32" s="117"/>
      <c r="L32" s="118">
        <v>0.27500000000000002</v>
      </c>
      <c r="M32" s="119"/>
      <c r="O32" s="4"/>
    </row>
    <row r="33" spans="1:15" x14ac:dyDescent="0.25">
      <c r="A33" s="114" t="s">
        <v>54</v>
      </c>
      <c r="B33" s="115"/>
      <c r="C33" s="116">
        <f t="shared" si="0"/>
        <v>2.0158999999999985</v>
      </c>
      <c r="D33" s="117"/>
      <c r="E33" s="118">
        <v>0.1</v>
      </c>
      <c r="F33" s="119"/>
      <c r="G33" s="7"/>
      <c r="H33" s="114" t="s">
        <v>54</v>
      </c>
      <c r="I33" s="115"/>
      <c r="J33" s="116">
        <f t="shared" si="1"/>
        <v>2.9158999999999953</v>
      </c>
      <c r="K33" s="117"/>
      <c r="L33" s="118">
        <v>0.28000000000000003</v>
      </c>
      <c r="M33" s="119"/>
      <c r="O33" s="4"/>
    </row>
    <row r="34" spans="1:15" ht="15.75" x14ac:dyDescent="0.25">
      <c r="A34" s="114" t="s">
        <v>54</v>
      </c>
      <c r="B34" s="115"/>
      <c r="C34" s="116">
        <f t="shared" si="0"/>
        <v>2.0408999999999984</v>
      </c>
      <c r="D34" s="117"/>
      <c r="E34" s="118">
        <v>0.105</v>
      </c>
      <c r="F34" s="119"/>
      <c r="G34" s="65"/>
      <c r="H34" s="114" t="s">
        <v>54</v>
      </c>
      <c r="I34" s="115"/>
      <c r="J34" s="116">
        <f t="shared" si="1"/>
        <v>2.9408999999999952</v>
      </c>
      <c r="K34" s="117"/>
      <c r="L34" s="118">
        <v>0.28499999999999998</v>
      </c>
      <c r="M34" s="119"/>
      <c r="O34" s="4"/>
    </row>
    <row r="35" spans="1:15" x14ac:dyDescent="0.25">
      <c r="A35" s="114" t="s">
        <v>54</v>
      </c>
      <c r="B35" s="115"/>
      <c r="C35" s="116">
        <f t="shared" si="0"/>
        <v>2.0658999999999983</v>
      </c>
      <c r="D35" s="117"/>
      <c r="E35" s="118">
        <v>0.11</v>
      </c>
      <c r="F35" s="119"/>
      <c r="G35" s="122"/>
      <c r="H35" s="114" t="s">
        <v>54</v>
      </c>
      <c r="I35" s="115"/>
      <c r="J35" s="116">
        <f t="shared" si="1"/>
        <v>2.9658999999999951</v>
      </c>
      <c r="K35" s="117"/>
      <c r="L35" s="118">
        <v>0.28999999999999998</v>
      </c>
      <c r="M35" s="119"/>
      <c r="O35" s="4"/>
    </row>
    <row r="36" spans="1:15" x14ac:dyDescent="0.25">
      <c r="A36" s="114" t="s">
        <v>54</v>
      </c>
      <c r="B36" s="115"/>
      <c r="C36" s="116">
        <f t="shared" si="0"/>
        <v>2.0908999999999982</v>
      </c>
      <c r="D36" s="117"/>
      <c r="E36" s="118">
        <v>0.115</v>
      </c>
      <c r="F36" s="119"/>
      <c r="G36" s="7"/>
      <c r="H36" s="114" t="s">
        <v>54</v>
      </c>
      <c r="I36" s="115"/>
      <c r="J36" s="116">
        <f t="shared" si="1"/>
        <v>2.990899999999995</v>
      </c>
      <c r="K36" s="117"/>
      <c r="L36" s="118">
        <v>0.29499999999999998</v>
      </c>
      <c r="M36" s="119"/>
      <c r="O36" s="4"/>
    </row>
    <row r="37" spans="1:15" x14ac:dyDescent="0.25">
      <c r="A37" s="114" t="s">
        <v>54</v>
      </c>
      <c r="B37" s="115"/>
      <c r="C37" s="116">
        <f t="shared" si="0"/>
        <v>2.1158999999999981</v>
      </c>
      <c r="D37" s="117"/>
      <c r="E37" s="118">
        <v>0.12</v>
      </c>
      <c r="F37" s="119"/>
      <c r="H37" s="114" t="s">
        <v>54</v>
      </c>
      <c r="I37" s="115"/>
      <c r="J37" s="116">
        <f t="shared" si="1"/>
        <v>3.0158999999999949</v>
      </c>
      <c r="K37" s="117"/>
      <c r="L37" s="118">
        <v>0.3</v>
      </c>
      <c r="M37" s="119"/>
      <c r="O37" s="4"/>
    </row>
    <row r="38" spans="1:15" x14ac:dyDescent="0.25">
      <c r="A38" s="114" t="s">
        <v>54</v>
      </c>
      <c r="B38" s="115"/>
      <c r="C38" s="116">
        <f t="shared" si="0"/>
        <v>2.140899999999998</v>
      </c>
      <c r="D38" s="117"/>
      <c r="E38" s="118">
        <v>0.125</v>
      </c>
      <c r="F38" s="119"/>
      <c r="H38" s="114" t="s">
        <v>54</v>
      </c>
      <c r="I38" s="115"/>
      <c r="J38" s="116">
        <f t="shared" si="1"/>
        <v>3.0408999999999948</v>
      </c>
      <c r="K38" s="117"/>
      <c r="L38" s="118">
        <v>0.30499999999999999</v>
      </c>
      <c r="M38" s="119"/>
      <c r="O38" s="4"/>
    </row>
    <row r="39" spans="1:15" x14ac:dyDescent="0.25">
      <c r="A39" s="114" t="s">
        <v>54</v>
      </c>
      <c r="B39" s="115"/>
      <c r="C39" s="116">
        <f t="shared" si="0"/>
        <v>2.1658999999999979</v>
      </c>
      <c r="D39" s="117"/>
      <c r="E39" s="118">
        <v>0.13</v>
      </c>
      <c r="F39" s="119"/>
      <c r="H39" s="114" t="s">
        <v>54</v>
      </c>
      <c r="I39" s="115"/>
      <c r="J39" s="116">
        <f t="shared" si="1"/>
        <v>3.0658999999999947</v>
      </c>
      <c r="K39" s="117"/>
      <c r="L39" s="118">
        <v>0.31</v>
      </c>
      <c r="M39" s="119"/>
      <c r="O39" s="4"/>
    </row>
    <row r="40" spans="1:15" x14ac:dyDescent="0.25">
      <c r="A40" s="114" t="s">
        <v>54</v>
      </c>
      <c r="B40" s="115"/>
      <c r="C40" s="116">
        <f t="shared" si="0"/>
        <v>2.1908999999999978</v>
      </c>
      <c r="D40" s="117"/>
      <c r="E40" s="118">
        <v>0.13500000000000001</v>
      </c>
      <c r="F40" s="119"/>
      <c r="H40" s="114" t="s">
        <v>54</v>
      </c>
      <c r="I40" s="115"/>
      <c r="J40" s="116">
        <f t="shared" si="1"/>
        <v>3.0908999999999947</v>
      </c>
      <c r="K40" s="117"/>
      <c r="L40" s="118">
        <v>0.315</v>
      </c>
      <c r="M40" s="119"/>
      <c r="O40" s="4"/>
    </row>
    <row r="41" spans="1:15" x14ac:dyDescent="0.25">
      <c r="A41" s="114" t="s">
        <v>54</v>
      </c>
      <c r="B41" s="115"/>
      <c r="C41" s="116">
        <f t="shared" si="0"/>
        <v>2.2158999999999978</v>
      </c>
      <c r="D41" s="117"/>
      <c r="E41" s="118">
        <v>0.14000000000000001</v>
      </c>
      <c r="F41" s="119"/>
      <c r="H41" s="114" t="s">
        <v>54</v>
      </c>
      <c r="I41" s="115"/>
      <c r="J41" s="116">
        <f t="shared" si="1"/>
        <v>3.1158999999999946</v>
      </c>
      <c r="K41" s="117"/>
      <c r="L41" s="118">
        <v>0.32</v>
      </c>
      <c r="M41" s="119"/>
      <c r="O41" s="4"/>
    </row>
    <row r="42" spans="1:15" x14ac:dyDescent="0.25">
      <c r="A42" s="114" t="s">
        <v>54</v>
      </c>
      <c r="B42" s="115"/>
      <c r="C42" s="116">
        <f t="shared" si="0"/>
        <v>2.2408999999999977</v>
      </c>
      <c r="D42" s="117"/>
      <c r="E42" s="118">
        <v>0.14499999999999999</v>
      </c>
      <c r="F42" s="119"/>
      <c r="H42" s="114" t="s">
        <v>54</v>
      </c>
      <c r="I42" s="115"/>
      <c r="J42" s="116">
        <f t="shared" si="1"/>
        <v>3.1408999999999945</v>
      </c>
      <c r="K42" s="117"/>
      <c r="L42" s="118">
        <v>0.32500000000000001</v>
      </c>
      <c r="M42" s="119"/>
      <c r="O42" s="4"/>
    </row>
    <row r="43" spans="1:15" x14ac:dyDescent="0.25">
      <c r="A43" s="114" t="s">
        <v>54</v>
      </c>
      <c r="B43" s="115"/>
      <c r="C43" s="116">
        <f t="shared" si="0"/>
        <v>2.2658999999999976</v>
      </c>
      <c r="D43" s="117"/>
      <c r="E43" s="118">
        <v>0.15</v>
      </c>
      <c r="F43" s="119"/>
      <c r="H43" s="114" t="s">
        <v>54</v>
      </c>
      <c r="I43" s="115"/>
      <c r="J43" s="116">
        <f t="shared" si="1"/>
        <v>3.1658999999999944</v>
      </c>
      <c r="K43" s="117"/>
      <c r="L43" s="118">
        <v>0.33</v>
      </c>
      <c r="M43" s="119"/>
      <c r="O43" s="4"/>
    </row>
    <row r="44" spans="1:15" x14ac:dyDescent="0.25">
      <c r="A44" s="114" t="s">
        <v>54</v>
      </c>
      <c r="B44" s="115"/>
      <c r="C44" s="116">
        <f t="shared" si="0"/>
        <v>2.2908999999999975</v>
      </c>
      <c r="D44" s="117"/>
      <c r="E44" s="118">
        <v>0.155</v>
      </c>
      <c r="F44" s="119"/>
      <c r="H44" s="114" t="s">
        <v>54</v>
      </c>
      <c r="I44" s="115"/>
      <c r="J44" s="116">
        <f t="shared" si="1"/>
        <v>3.1908999999999943</v>
      </c>
      <c r="K44" s="117"/>
      <c r="L44" s="118">
        <v>0.33500000000000002</v>
      </c>
      <c r="M44" s="119"/>
      <c r="O44" s="4"/>
    </row>
    <row r="45" spans="1:15" x14ac:dyDescent="0.25">
      <c r="A45" s="114" t="s">
        <v>54</v>
      </c>
      <c r="B45" s="115"/>
      <c r="C45" s="116">
        <f t="shared" si="0"/>
        <v>2.3158999999999974</v>
      </c>
      <c r="D45" s="117"/>
      <c r="E45" s="118">
        <v>0.16</v>
      </c>
      <c r="F45" s="119"/>
      <c r="H45" s="114" t="s">
        <v>54</v>
      </c>
      <c r="I45" s="115"/>
      <c r="J45" s="116">
        <f t="shared" si="1"/>
        <v>3.2158999999999942</v>
      </c>
      <c r="K45" s="117"/>
      <c r="L45" s="118">
        <v>0.34</v>
      </c>
      <c r="M45" s="119"/>
      <c r="O45" s="4"/>
    </row>
    <row r="46" spans="1:15" x14ac:dyDescent="0.25">
      <c r="A46" s="114" t="s">
        <v>54</v>
      </c>
      <c r="B46" s="115"/>
      <c r="C46" s="116">
        <f t="shared" si="0"/>
        <v>2.3408999999999973</v>
      </c>
      <c r="D46" s="117"/>
      <c r="E46" s="118">
        <v>0.16500000000000001</v>
      </c>
      <c r="F46" s="119"/>
      <c r="H46" s="114" t="s">
        <v>54</v>
      </c>
      <c r="I46" s="115"/>
      <c r="J46" s="116">
        <f t="shared" si="1"/>
        <v>3.2408999999999941</v>
      </c>
      <c r="K46" s="117"/>
      <c r="L46" s="118">
        <v>0.34499999999999997</v>
      </c>
      <c r="M46" s="119"/>
      <c r="O46" s="4"/>
    </row>
    <row r="47" spans="1:15" x14ac:dyDescent="0.25">
      <c r="A47" s="114" t="s">
        <v>54</v>
      </c>
      <c r="B47" s="115"/>
      <c r="C47" s="116">
        <f t="shared" si="0"/>
        <v>2.3658999999999972</v>
      </c>
      <c r="D47" s="117"/>
      <c r="E47" s="118">
        <v>0.17</v>
      </c>
      <c r="F47" s="119"/>
      <c r="H47" s="114" t="s">
        <v>54</v>
      </c>
      <c r="I47" s="115"/>
      <c r="J47" s="116">
        <f t="shared" si="1"/>
        <v>3.265899999999994</v>
      </c>
      <c r="K47" s="117"/>
      <c r="L47" s="118">
        <v>0.35</v>
      </c>
      <c r="M47" s="119"/>
      <c r="O47" s="4"/>
    </row>
    <row r="48" spans="1:15" ht="15.75" thickBot="1" x14ac:dyDescent="0.3">
      <c r="A48" s="123" t="s">
        <v>54</v>
      </c>
      <c r="B48" s="124"/>
      <c r="C48" s="125">
        <f t="shared" si="0"/>
        <v>2.3908999999999971</v>
      </c>
      <c r="D48" s="126"/>
      <c r="E48" s="127">
        <v>0.17499999999999999</v>
      </c>
      <c r="F48" s="128"/>
      <c r="H48" s="123" t="s">
        <v>54</v>
      </c>
      <c r="I48" s="124"/>
      <c r="J48" s="125">
        <f t="shared" si="1"/>
        <v>3.2908999999999939</v>
      </c>
      <c r="K48" s="126"/>
      <c r="L48" s="127">
        <v>0.35499999999999998</v>
      </c>
      <c r="M48" s="128"/>
      <c r="O48" s="4"/>
    </row>
    <row r="49" spans="1:14" x14ac:dyDescent="0.25">
      <c r="B49" s="70"/>
      <c r="C49" s="129"/>
      <c r="D49" s="70"/>
      <c r="E49" s="130"/>
      <c r="F49" s="131"/>
    </row>
    <row r="50" spans="1:14" ht="47.25" customHeight="1" x14ac:dyDescent="0.25">
      <c r="A50" s="87" t="s">
        <v>55</v>
      </c>
      <c r="C50" s="19" t="s">
        <v>56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1:14" x14ac:dyDescent="0.25">
      <c r="A51" s="7"/>
      <c r="E51" s="131"/>
      <c r="F51" s="131"/>
      <c r="G51" s="7"/>
    </row>
    <row r="52" spans="1:14" ht="72" customHeight="1" x14ac:dyDescent="0.25">
      <c r="A52" s="19" t="s">
        <v>57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1:14" ht="16.350000000000001" customHeight="1" x14ac:dyDescent="0.25">
      <c r="A53" s="132" t="s">
        <v>58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</row>
    <row r="54" spans="1:14" ht="15.75" x14ac:dyDescent="0.25">
      <c r="A54" s="7"/>
      <c r="E54" s="131"/>
      <c r="F54" s="133"/>
      <c r="G54" s="7"/>
      <c r="H54" s="6"/>
      <c r="I54" s="6"/>
    </row>
    <row r="55" spans="1:14" ht="30" customHeight="1" x14ac:dyDescent="0.25">
      <c r="A55" s="19" t="s">
        <v>59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34"/>
    </row>
    <row r="56" spans="1:14" ht="30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34"/>
    </row>
    <row r="57" spans="1:14" ht="30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34"/>
    </row>
    <row r="58" spans="1:14" ht="30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34"/>
    </row>
    <row r="59" spans="1:14" ht="30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34"/>
    </row>
    <row r="60" spans="1:14" ht="15" customHeight="1" x14ac:dyDescent="0.25">
      <c r="A60" s="93"/>
      <c r="B60" s="93"/>
      <c r="C60" s="93"/>
      <c r="D60" s="93"/>
      <c r="E60" s="93"/>
      <c r="F60" s="93"/>
      <c r="G60" s="93"/>
      <c r="H60" s="93"/>
      <c r="I60" s="93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9"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3:B13"/>
    <mergeCell ref="C13:D13"/>
    <mergeCell ref="E13:F13"/>
    <mergeCell ref="H13:I13"/>
    <mergeCell ref="J13:K13"/>
    <mergeCell ref="L13:M13"/>
    <mergeCell ref="A7:M7"/>
    <mergeCell ref="A9:M9"/>
    <mergeCell ref="A10:M10"/>
    <mergeCell ref="A12:B12"/>
    <mergeCell ref="C12:D12"/>
    <mergeCell ref="E12:F12"/>
    <mergeCell ref="H12:I12"/>
    <mergeCell ref="J12:K12"/>
    <mergeCell ref="L12:M12"/>
  </mergeCells>
  <hyperlinks>
    <hyperlink ref="A53" r:id="rId1" xr:uid="{0CF61CD5-EE76-46A9-85D4-5667EDA6A77E}"/>
    <hyperlink ref="A6" r:id="rId2" xr:uid="{1332B4E2-7F70-4E71-A7E3-30283CB759DC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5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0BDE1-C24B-44EE-ADE7-AA518A35C4B7}"/>
</file>

<file path=customXml/itemProps2.xml><?xml version="1.0" encoding="utf-8"?>
<ds:datastoreItem xmlns:ds="http://schemas.openxmlformats.org/officeDocument/2006/customXml" ds:itemID="{F7A153B4-8BBD-4CC8-AD02-53D65A3F9C7B}"/>
</file>

<file path=customXml/itemProps3.xml><?xml version="1.0" encoding="utf-8"?>
<ds:datastoreItem xmlns:ds="http://schemas.openxmlformats.org/officeDocument/2006/customXml" ds:itemID="{FC717B37-53C6-41A0-846D-4B7D83A53B3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Import div. Länder</vt:lpstr>
      <vt:lpstr>CH-Währungsfloater</vt:lpstr>
      <vt:lpstr>Dieselfloater</vt:lpstr>
      <vt:lpstr>'CH-Währungsfloater'!Druckbereich</vt:lpstr>
      <vt:lpstr>Dieselfloater!Druckbereich</vt:lpstr>
      <vt:lpstr>'Import div. Länder'!Druckbereich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Schwedler</dc:creator>
  <cp:lastModifiedBy>Kohn Anja</cp:lastModifiedBy>
  <cp:lastPrinted>2025-01-21T09:48:25Z</cp:lastPrinted>
  <dcterms:created xsi:type="dcterms:W3CDTF">2012-05-02T12:19:42Z</dcterms:created>
  <dcterms:modified xsi:type="dcterms:W3CDTF">2025-01-21T09:48:28Z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