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8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Geze, Leonberg\"/>
    </mc:Choice>
  </mc:AlternateContent>
  <xr:revisionPtr revIDLastSave="0" documentId="13_ncr:1_{DE1EA81A-EB68-43E4-A569-E45D38D987A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Export Zypern" sheetId="1" r:id="rId1"/>
    <sheet name="Dieselfloate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>#REF!</definedName>
    <definedName name="A1Col_Del_Cost_" localSheetId="1">#REF!</definedName>
    <definedName name="A1Col_Del_Cost_">#REF!</definedName>
    <definedName name="AB" localSheetId="1">#REF!</definedName>
    <definedName name="AB">#REF!</definedName>
    <definedName name="abhldm">[3]Basisvereinbarungen!$C$22</definedName>
    <definedName name="ADD" localSheetId="1">#REF!</definedName>
    <definedName name="ADD">#REF!</definedName>
    <definedName name="ADRESS" localSheetId="1">#REF!</definedName>
    <definedName name="ADRESS">#REF!</definedName>
    <definedName name="ADRESSE" localSheetId="1">#REF!</definedName>
    <definedName name="ADRESSE">#REF!</definedName>
    <definedName name="ADS">[1]EBARCALL!$L$20:$L$25</definedName>
    <definedName name="aed" localSheetId="1">#REF!</definedName>
    <definedName name="aed">#REF!</definedName>
    <definedName name="AFF" localSheetId="1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>#REF!</definedName>
    <definedName name="ARCHI_TEMP" localSheetId="1">#REF!</definedName>
    <definedName name="ARCHI_TEMP">#REF!</definedName>
    <definedName name="as" localSheetId="1">#REF!</definedName>
    <definedName name="as">#REF!</definedName>
    <definedName name="asdas" localSheetId="1">#REF!</definedName>
    <definedName name="asdas">#REF!</definedName>
    <definedName name="ase" localSheetId="1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>#REF!</definedName>
    <definedName name="AutomatisationGroupage" localSheetId="1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>'[10]Indicateurs MOA_12 Mois'!#REF!</definedName>
    <definedName name="Balkans" localSheetId="1">#REF!</definedName>
    <definedName name="Balkans">#REF!</definedName>
    <definedName name="bas" localSheetId="1">#REF!</definedName>
    <definedName name="bas">#REF!</definedName>
    <definedName name="BASE10" localSheetId="1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>#REF!</definedName>
    <definedName name="CDHWL_11" localSheetId="1">#REF!</definedName>
    <definedName name="CDHWL_11">#REF!</definedName>
    <definedName name="CLIENT" localSheetId="1">#REF!</definedName>
    <definedName name="CLIENT">#REF!</definedName>
    <definedName name="Co_Del_Costs_SI2" localSheetId="1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>#REF!</definedName>
    <definedName name="Col_Del_Cost_2" localSheetId="1">#REF!</definedName>
    <definedName name="Col_Del_Cost_2">#REF!</definedName>
    <definedName name="Col_Del_Cost_HWL" localSheetId="1">#REF!</definedName>
    <definedName name="Col_Del_Cost_HWL">#REF!</definedName>
    <definedName name="Col_Del_Costs_blank" localSheetId="1">#REF!</definedName>
    <definedName name="Col_Del_Costs_blank">#REF!</definedName>
    <definedName name="Col_Del_Costs_HR" localSheetId="1">#REF!</definedName>
    <definedName name="Col_Del_Costs_HR">#REF!</definedName>
    <definedName name="Col_Del_Costs_HU" localSheetId="1">#REF!</definedName>
    <definedName name="Col_Del_Costs_HU">#REF!</definedName>
    <definedName name="Col_Del_Costs_SI" localSheetId="1">#REF!</definedName>
    <definedName name="Col_Del_Costs_SI">#REF!</definedName>
    <definedName name="COM" localSheetId="1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>[14]Guide!#REF!</definedName>
    <definedName name="Data9" localSheetId="1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>#REF!</definedName>
    <definedName name="Delivery_time_GW" localSheetId="1">'[17]Delivery times GW'!#REF!</definedName>
    <definedName name="Delivery_time_GW">'[17]Delivery times GW'!#REF!</definedName>
    <definedName name="DeploiementLot" localSheetId="1">#REF!</definedName>
    <definedName name="DeploiementLot">#REF!</definedName>
    <definedName name="DerMois" localSheetId="1">[14]Guide!#REF!</definedName>
    <definedName name="DerMois">[14]Guide!#REF!</definedName>
    <definedName name="det" localSheetId="1">'[17]Delivery times GW'!#REF!</definedName>
    <definedName name="det">'[17]Delivery times GW'!#REF!</definedName>
    <definedName name="_xlnm.Print_Area" localSheetId="1">Dieselfloater!$A$1:$M$59</definedName>
    <definedName name="_xlnm.Print_Area" localSheetId="0">'Export Zypern'!$A$1:$G$44</definedName>
    <definedName name="_xlnm.Print_Area">#REF!</definedName>
    <definedName name="E_Dec" localSheetId="1">#REF!</definedName>
    <definedName name="E_Dec">#REF!</definedName>
    <definedName name="eda" localSheetId="1">#REF!</definedName>
    <definedName name="eda">#REF!</definedName>
    <definedName name="edec" localSheetId="1">#REF!</definedName>
    <definedName name="edec">#REF!</definedName>
    <definedName name="Entfernung_Hauptlauf" localSheetId="1">[18]Kalkulation!#REF!</definedName>
    <definedName name="Entfernung_Hauptlauf">[18]Kalkulation!#REF!</definedName>
    <definedName name="Est">[4]BASE!$B$9948:$B$9956</definedName>
    <definedName name="EURO" localSheetId="1">#REF!</definedName>
    <definedName name="EURO">#REF!</definedName>
    <definedName name="EURO_IMPR" localSheetId="1">#REF!</definedName>
    <definedName name="EURO_IMPR">#REF!</definedName>
    <definedName name="ewr" localSheetId="1">#REF!</definedName>
    <definedName name="ewr">#REF!</definedName>
    <definedName name="Excel_BuiltIn__FilterDatabase_1" localSheetId="1">'[19]2007 in Euro'!#REF!</definedName>
    <definedName name="Excel_BuiltIn__FilterDatabase_1">'[19]2007 in Euro'!#REF!</definedName>
    <definedName name="Excel_BuiltIn_Print_Area" localSheetId="1">#REF!</definedName>
    <definedName name="Excel_BuiltIn_Print_Area">#REF!</definedName>
    <definedName name="Excel_BuiltIn_Print_Area_10" localSheetId="1">#REF!</definedName>
    <definedName name="Excel_BuiltIn_Print_Area_10">#REF!</definedName>
    <definedName name="Excel_BuiltIn_Print_Area_11" localSheetId="1">#REF!</definedName>
    <definedName name="Excel_BuiltIn_Print_Area_11">#REF!</definedName>
    <definedName name="Excel_BuiltIn_Print_Titles_10" localSheetId="1">#REF!</definedName>
    <definedName name="Excel_BuiltIn_Print_Titles_10">#REF!</definedName>
    <definedName name="Excel_BuiltIn_Print_Titles_11" localSheetId="1">#REF!</definedName>
    <definedName name="Excel_BuiltIn_Print_Titles_11">#REF!</definedName>
    <definedName name="Exclusion">[11]Menus!$A$1:$A$16</definedName>
    <definedName name="fact" localSheetId="1">#REF!</definedName>
    <definedName name="fact">#REF!</definedName>
    <definedName name="FAIT" localSheetId="1">#REF!</definedName>
    <definedName name="FAIT">#REF!</definedName>
    <definedName name="FM" localSheetId="1">#REF!</definedName>
    <definedName name="FM">#REF!</definedName>
    <definedName name="From">[6]LISTES!$I$1</definedName>
    <definedName name="G" localSheetId="1">#REF!</definedName>
    <definedName name="G">#REF!</definedName>
    <definedName name="Gants" localSheetId="1">#REF!</definedName>
    <definedName name="Gants">#REF!</definedName>
    <definedName name="GEN">'[20]Hausse 001'!$A:$IV</definedName>
    <definedName name="genn" localSheetId="1">#REF!</definedName>
    <definedName name="genn">#REF!</definedName>
    <definedName name="gh" localSheetId="1">#REF!</definedName>
    <definedName name="gh">#REF!</definedName>
    <definedName name="ghj" localSheetId="1">#REF!</definedName>
    <definedName name="ghj">#REF!</definedName>
    <definedName name="GW_an_HWL" localSheetId="1">'[17]GW-HWL'!#REF!</definedName>
    <definedName name="GW_an_HWL">'[17]GW-HWL'!#REF!</definedName>
    <definedName name="Hauss" localSheetId="1">#REF!</definedName>
    <definedName name="Hauss">#REF!</definedName>
    <definedName name="HAUT">[21]Lots_Final!$N$74</definedName>
    <definedName name="hell" localSheetId="1">#REF!</definedName>
    <definedName name="hell">#REF!</definedName>
    <definedName name="HGFK">[22]Lots_Final!$N$74</definedName>
    <definedName name="hhh" localSheetId="1">#REF!</definedName>
    <definedName name="hhh">#REF!</definedName>
    <definedName name="hj" localSheetId="1">#REF!</definedName>
    <definedName name="hj">#REF!</definedName>
    <definedName name="HWL_an_GW" localSheetId="1">'[17]HWL-GW'!#REF!</definedName>
    <definedName name="HWL_an_GW">'[17]HWL-GW'!#REF!</definedName>
    <definedName name="I" localSheetId="1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>#REF!</definedName>
    <definedName name="incidentsCr" localSheetId="1">#REF!</definedName>
    <definedName name="incidentsCr">#REF!</definedName>
    <definedName name="incidentscroises" localSheetId="1">[24]Data!#REF!</definedName>
    <definedName name="incidentscroises">[24]Data!#REF!</definedName>
    <definedName name="int.freigth_2" localSheetId="1">#REF!</definedName>
    <definedName name="int.freigth_2">#REF!</definedName>
    <definedName name="int_freight_BG" localSheetId="1">#REF!</definedName>
    <definedName name="int_freight_BG">#REF!</definedName>
    <definedName name="int_freight_blank" localSheetId="1">#REF!</definedName>
    <definedName name="int_freight_blank">#REF!</definedName>
    <definedName name="int_freight_HR" localSheetId="1">#REF!</definedName>
    <definedName name="int_freight_HR">#REF!</definedName>
    <definedName name="int_freight_HU" localSheetId="1">#REF!</definedName>
    <definedName name="int_freight_HU">#REF!</definedName>
    <definedName name="int_freight_RO" localSheetId="1">#REF!</definedName>
    <definedName name="int_freight_RO">#REF!</definedName>
    <definedName name="int_freight_SI" localSheetId="1">#REF!</definedName>
    <definedName name="int_freight_SI">#REF!</definedName>
    <definedName name="Int_freight_sk" localSheetId="1">#REF!</definedName>
    <definedName name="Int_freight_sk">#REF!</definedName>
    <definedName name="Intern_Freight_blank1" localSheetId="1">#REF!</definedName>
    <definedName name="Intern_Freight_blank1">#REF!</definedName>
    <definedName name="JPP" localSheetId="1">#REF!</definedName>
    <definedName name="JPP">#REF!</definedName>
    <definedName name="kgh" localSheetId="1">#REF!</definedName>
    <definedName name="kgh">#REF!</definedName>
    <definedName name="khj" localSheetId="1">#REF!</definedName>
    <definedName name="khj">#REF!</definedName>
    <definedName name="KME" localSheetId="1">#REF!</definedName>
    <definedName name="KME">#REF!</definedName>
    <definedName name="Kpi_Moa2" localSheetId="1">[14]Guide!#REF!</definedName>
    <definedName name="Kpi_Moa2">[14]Guide!#REF!</definedName>
    <definedName name="Kpi_Moa3" localSheetId="1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>#REF!</definedName>
    <definedName name="LOT" localSheetId="1">#REF!</definedName>
    <definedName name="LOT">#REF!</definedName>
    <definedName name="Manager">[11]Menus!$C$126:$C$161</definedName>
    <definedName name="MESS" localSheetId="1">#REF!</definedName>
    <definedName name="MESS">#REF!</definedName>
    <definedName name="MESSINTER" localSheetId="1">#REF!</definedName>
    <definedName name="MESSINTER">#REF!</definedName>
    <definedName name="MESSNAT" localSheetId="1">#REF!</definedName>
    <definedName name="MESSNAT">#REF!</definedName>
    <definedName name="metier" localSheetId="1">#REF!</definedName>
    <definedName name="metier">#REF!</definedName>
    <definedName name="ML">[27]Feuil2!$A$1:$A$7</definedName>
    <definedName name="MM" localSheetId="1">#REF!</definedName>
    <definedName name="MM">#REF!</definedName>
    <definedName name="MOEL" localSheetId="1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>#REF!</definedName>
    <definedName name="Motifs_refus">OFFSET([6]LISTES!$K$2,0,0,COUNTA([6]LISTES!$K:$K)-1,1)</definedName>
    <definedName name="NM" localSheetId="1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>#REF!</definedName>
    <definedName name="Paletten" localSheetId="1">[18]Kalkulation!#REF!</definedName>
    <definedName name="Paletten">[18]Kalkulation!#REF!</definedName>
    <definedName name="Pallet_Concept" localSheetId="1">#REF!</definedName>
    <definedName name="Pallet_Concept">#REF!</definedName>
    <definedName name="PalmaresGroupage" localSheetId="1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>'[10]Indicateurs MOA_12 Mois'!#REF!</definedName>
    <definedName name="Porte" localSheetId="1">#REF!</definedName>
    <definedName name="Porte">#REF!</definedName>
    <definedName name="PrFact" localSheetId="1">#REF!</definedName>
    <definedName name="PrFact">#REF!</definedName>
    <definedName name="qw" localSheetId="1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>#REF!</definedName>
    <definedName name="RENTA" localSheetId="1">#REF!</definedName>
    <definedName name="RENTA">#REF!</definedName>
    <definedName name="RENTAMI" localSheetId="1">#REF!</definedName>
    <definedName name="RENTAMI">#REF!</definedName>
    <definedName name="RENTAMN" localSheetId="1">#REF!</definedName>
    <definedName name="RENTAMN">#REF!</definedName>
    <definedName name="rewt" localSheetId="1">[18]Kalkulation!#REF!</definedName>
    <definedName name="rewt">[18]Kalkulation!#REF!</definedName>
    <definedName name="ROU">'[20]Hausse 022'!$A:$IV</definedName>
    <definedName name="ROUEN" localSheetId="1">#REF!</definedName>
    <definedName name="ROUEN">#REF!</definedName>
    <definedName name="rtz" localSheetId="1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>#REF!</definedName>
    <definedName name="SO">[4]BASE!$G$9948:$G$9955</definedName>
    <definedName name="SR" localSheetId="1">#REF!</definedName>
    <definedName name="SR">#REF!</definedName>
    <definedName name="STIDF" localSheetId="1">#REF!</definedName>
    <definedName name="STIDF">#REF!</definedName>
    <definedName name="T_Incident" localSheetId="1">#REF!</definedName>
    <definedName name="T_Incident">#REF!</definedName>
    <definedName name="table" localSheetId="1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>#REF!</definedName>
    <definedName name="Tlibox" localSheetId="1">'[10]Indicateurs MOA_12 Mois'!#REF!</definedName>
    <definedName name="Tlibox">'[10]Indicateurs MOA_12 Mois'!#REF!</definedName>
    <definedName name="TPays" localSheetId="1">#REF!</definedName>
    <definedName name="TPays">#REF!</definedName>
    <definedName name="TRO">'[20]Hausse 033'!$A:$IV</definedName>
    <definedName name="troyes" localSheetId="1">#REF!</definedName>
    <definedName name="troyes">#REF!</definedName>
    <definedName name="TSGENNA" localSheetId="1">#REF!</definedName>
    <definedName name="TSGENNA">#REF!</definedName>
    <definedName name="tsmoiA" localSheetId="1">#REF!</definedName>
    <definedName name="tsmoiA">#REF!</definedName>
    <definedName name="TSorl" localSheetId="1">#REF!</definedName>
    <definedName name="TSorl">#REF!</definedName>
    <definedName name="TSorlA" localSheetId="1">#REF!</definedName>
    <definedName name="TSorlA">#REF!</definedName>
    <definedName name="TSORLEANS" localSheetId="1">#REF!</definedName>
    <definedName name="TSORLEANS">#REF!</definedName>
    <definedName name="TSR" localSheetId="1">#REF!</definedName>
    <definedName name="TSR">#REF!</definedName>
    <definedName name="TSROUEN" localSheetId="1">#REF!</definedName>
    <definedName name="TSROUEN">#REF!</definedName>
    <definedName name="TSROUENA" localSheetId="1">#REF!</definedName>
    <definedName name="TSROUENA">#REF!</definedName>
    <definedName name="tstroyes" localSheetId="1">#REF!</definedName>
    <definedName name="tstroyes">#REF!</definedName>
    <definedName name="tstroyesa" localSheetId="1">#REF!</definedName>
    <definedName name="tstroyesa">#REF!</definedName>
    <definedName name="type">'[29]Simulation Tarif Client'!$CB$2:$CB$4</definedName>
    <definedName name="wer" localSheetId="1">#REF!</definedName>
    <definedName name="wer">#REF!</definedName>
    <definedName name="YN">[27]Feuil2!$B$1:$B$2</definedName>
    <definedName name="zone" localSheetId="1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</calcChain>
</file>

<file path=xl/sharedStrings.xml><?xml version="1.0" encoding="utf-8"?>
<sst xmlns="http://schemas.openxmlformats.org/spreadsheetml/2006/main" count="137" uniqueCount="49">
  <si>
    <t>per Sendung</t>
  </si>
  <si>
    <t>durch Sie gedeckt</t>
  </si>
  <si>
    <t>Motorstraße 8</t>
  </si>
  <si>
    <t>www.spedition-erka.de</t>
  </si>
  <si>
    <t>Transportversicherung</t>
  </si>
  <si>
    <t xml:space="preserve">Basis </t>
  </si>
  <si>
    <t>Die o.g. Preise sind freibleibend und verstehen sich inklusive LKW-Maut.</t>
  </si>
  <si>
    <t>GEZE Austria, Wiener Bundesstrasse 85, AT-5300 Hallwang</t>
  </si>
  <si>
    <t>Limassol</t>
  </si>
  <si>
    <t>Nicosia &amp; Larnaca</t>
  </si>
  <si>
    <t>Paphos &amp; Famagusta</t>
  </si>
  <si>
    <t>auf Anfrage</t>
  </si>
  <si>
    <t>per 100 kg</t>
  </si>
  <si>
    <t xml:space="preserve"> 1 cbm = 333 kg,        1 Ldm = 1750 kg</t>
  </si>
  <si>
    <t xml:space="preserve">Das Maximum einer Gewichtsstaffel ist jeweils das Minimum der nächst höheren Gewichtsstaffel. </t>
  </si>
  <si>
    <t>Dieselzuschlag:</t>
  </si>
  <si>
    <t>gem. Vereinbarung</t>
  </si>
  <si>
    <t>BAF:</t>
  </si>
  <si>
    <t>Gültigkeit:</t>
  </si>
  <si>
    <t>01.01.2025 - 31.12.2025</t>
  </si>
  <si>
    <t>Unser Angebot ist freibleibend bis zur endgültigen Auftragserteilung und basiert auf heute gültigen Frachten, Wechselkurse und Treibstoffkosten.</t>
  </si>
  <si>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</si>
  <si>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DE-70499 Stuttgart</t>
  </si>
  <si>
    <t>Tel.: 0711-95551-0</t>
  </si>
  <si>
    <t>Fax: 0711-95551-640</t>
  </si>
  <si>
    <t>Stand:</t>
  </si>
  <si>
    <t>Internationale Spedition GmbH</t>
  </si>
  <si>
    <t>Dieselfloater</t>
  </si>
  <si>
    <t>GEZE GmbH &amp; Co., Reinhold-Vöster-Strasse 21 -29, DE-71229 Leonberg</t>
  </si>
  <si>
    <t>Dieselpreis € pro Liter brutto</t>
  </si>
  <si>
    <t>Treibstoffzuschlag</t>
  </si>
  <si>
    <t>bis</t>
  </si>
  <si>
    <r>
      <t>Basis</t>
    </r>
    <r>
      <rPr>
        <sz val="11"/>
        <color theme="1"/>
        <rFont val="Calibri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</si>
  <si>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</si>
  <si>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</si>
  <si>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</si>
  <si>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</si>
  <si>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auf die Frachtkosten</t>
  </si>
  <si>
    <t>inklusive</t>
  </si>
  <si>
    <t>AT-Maut (ab 01.12.2025):</t>
  </si>
  <si>
    <t>DE-Maut (seit 01.12.2023):</t>
  </si>
  <si>
    <t>Stuttgart, 21.01.2025 / AK</t>
  </si>
  <si>
    <t>Frachtofferte Export Zypern</t>
  </si>
  <si>
    <t>ab</t>
  </si>
  <si>
    <t>Gewicht</t>
  </si>
  <si>
    <r>
      <rPr>
        <b/>
        <sz val="11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1"/>
        <color theme="1"/>
        <rFont val="Calibri"/>
        <family val="2"/>
        <scheme val="minor"/>
      </rPr>
      <t xml:space="preserve">
Tel.: 0711-95551-0      Fax: 0711-95551-500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</si>
  <si>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Frachtberechnungs-
grundlage:</t>
  </si>
  <si>
    <t>Ab Werk Leonberg bis frei Haus Zypern (griechischer Landesteil:</t>
  </si>
  <si>
    <t>Mobility Package: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</si>
</sst>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\ &quot;kg&quot;"/>
    <numFmt numFmtId="166" formatCode="#,##0.0000\ &quot;€&quot;;\-#,##0.0000\ &quot;€&quot;"/>
    <numFmt numFmtId="167" formatCode="0.0%"/>
    <numFmt numFmtId="168" formatCode="_-* #,##0.0000\ &quot;€&quot;_-;\-* #,##0.0000\ &quot;€&quot;_-;_-* &quot;-&quot;??\ &quot;€&quot;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/>
    <xf numFmtId="0" fontId="3" fillId="0" borderId="0" xfId="2" applyAlignment="1"/>
    <xf numFmtId="0" fontId="13" fillId="0" borderId="0" xfId="0" applyFont="1"/>
    <xf numFmtId="14" fontId="0" fillId="0" borderId="0" xfId="0" applyNumberFormat="1"/>
    <xf numFmtId="0" fontId="1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168" fontId="0" fillId="0" borderId="0" xfId="3" applyNumberFormat="1" applyFont="1" applyFill="1" applyBorder="1" applyAlignment="1">
      <alignment horizontal="center"/>
    </xf>
    <xf numFmtId="9" fontId="0" fillId="0" borderId="0" xfId="4" applyFont="1" applyFill="1" applyBorder="1" applyAlignment="1">
      <alignment horizontal="center"/>
    </xf>
    <xf numFmtId="9" fontId="0" fillId="0" borderId="0" xfId="4" applyFont="1" applyFill="1" applyBorder="1"/>
    <xf numFmtId="9" fontId="5" fillId="0" borderId="0" xfId="4" applyFont="1" applyFill="1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4" fillId="0" borderId="0" xfId="0" applyFont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horizontal="right"/>
    </xf>
    <xf numFmtId="8" fontId="10" fillId="0" borderId="0" xfId="0" applyNumberFormat="1" applyFont="1"/>
    <xf numFmtId="0" fontId="10" fillId="3" borderId="5" xfId="1" applyFont="1" applyFill="1" applyBorder="1" applyAlignment="1">
      <alignment horizontal="center" vertical="center"/>
    </xf>
    <xf numFmtId="164" fontId="10" fillId="0" borderId="27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 vertical="center"/>
    </xf>
    <xf numFmtId="164" fontId="10" fillId="0" borderId="28" xfId="1" applyNumberFormat="1" applyFont="1" applyFill="1" applyBorder="1" applyAlignment="1">
      <alignment horizontal="center"/>
    </xf>
    <xf numFmtId="49" fontId="10" fillId="3" borderId="1" xfId="1" applyNumberFormat="1" applyFont="1" applyFill="1" applyBorder="1" applyAlignment="1">
      <alignment horizontal="center" vertical="center"/>
    </xf>
    <xf numFmtId="164" fontId="10" fillId="0" borderId="29" xfId="1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9" fontId="5" fillId="0" borderId="4" xfId="0" applyNumberFormat="1" applyFont="1" applyBorder="1" applyAlignment="1">
      <alignment horizontal="right" wrapText="1"/>
    </xf>
    <xf numFmtId="0" fontId="12" fillId="0" borderId="0" xfId="0" applyFont="1" applyAlignment="1">
      <alignment vertical="center"/>
    </xf>
    <xf numFmtId="0" fontId="26" fillId="0" borderId="0" xfId="0" applyFont="1"/>
    <xf numFmtId="165" fontId="21" fillId="3" borderId="31" xfId="3" applyNumberFormat="1" applyFont="1" applyFill="1" applyBorder="1" applyAlignment="1">
      <alignment horizontal="center"/>
    </xf>
    <xf numFmtId="165" fontId="21" fillId="3" borderId="18" xfId="3" applyNumberFormat="1" applyFont="1" applyFill="1" applyBorder="1" applyAlignment="1">
      <alignment horizontal="center"/>
    </xf>
    <xf numFmtId="0" fontId="10" fillId="3" borderId="23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/>
    </xf>
    <xf numFmtId="164" fontId="5" fillId="0" borderId="26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3" borderId="9" xfId="0" applyFont="1" applyFill="1" applyBorder="1"/>
    <xf numFmtId="0" fontId="0" fillId="0" borderId="0" xfId="0" applyAlignment="1">
      <alignment horizontal="left" vertical="center" wrapText="1"/>
    </xf>
    <xf numFmtId="0" fontId="25" fillId="3" borderId="30" xfId="0" applyFont="1" applyFill="1" applyBorder="1" applyAlignment="1">
      <alignment horizontal="center" wrapText="1"/>
    </xf>
    <xf numFmtId="0" fontId="25" fillId="3" borderId="6" xfId="0" applyFont="1" applyFill="1" applyBorder="1" applyAlignment="1">
      <alignment horizontal="center" wrapText="1"/>
    </xf>
    <xf numFmtId="0" fontId="25" fillId="3" borderId="31" xfId="0" applyFont="1" applyFill="1" applyBorder="1" applyAlignment="1">
      <alignment horizontal="center" wrapText="1"/>
    </xf>
    <xf numFmtId="0" fontId="25" fillId="3" borderId="32" xfId="0" applyFont="1" applyFill="1" applyBorder="1" applyAlignment="1">
      <alignment horizontal="center" wrapText="1"/>
    </xf>
    <xf numFmtId="0" fontId="25" fillId="3" borderId="33" xfId="0" applyFont="1" applyFill="1" applyBorder="1" applyAlignment="1">
      <alignment horizontal="center" wrapText="1"/>
    </xf>
    <xf numFmtId="0" fontId="25" fillId="3" borderId="34" xfId="0" applyFont="1" applyFill="1" applyBorder="1" applyAlignment="1">
      <alignment horizontal="center" wrapText="1"/>
    </xf>
    <xf numFmtId="0" fontId="23" fillId="3" borderId="0" xfId="0" applyFont="1" applyFill="1" applyAlignment="1">
      <alignment horizontal="right"/>
    </xf>
    <xf numFmtId="49" fontId="10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wrapText="1"/>
    </xf>
    <xf numFmtId="0" fontId="10" fillId="3" borderId="4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164" fontId="5" fillId="0" borderId="35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0" fillId="0" borderId="9" xfId="0" applyFont="1" applyBorder="1" applyAlignment="1">
      <alignment horizontal="left"/>
    </xf>
    <xf numFmtId="49" fontId="10" fillId="0" borderId="9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2" applyFill="1" applyBorder="1" applyAlignment="1">
      <alignment horizontal="left"/>
    </xf>
    <xf numFmtId="165" fontId="2" fillId="3" borderId="1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166" fontId="1" fillId="0" borderId="21" xfId="3" applyNumberFormat="1" applyFont="1" applyFill="1" applyBorder="1" applyAlignment="1">
      <alignment horizontal="center" vertical="center"/>
    </xf>
    <xf numFmtId="166" fontId="1" fillId="0" borderId="20" xfId="3" applyNumberFormat="1" applyFont="1" applyFill="1" applyBorder="1" applyAlignment="1">
      <alignment horizontal="center" vertical="center"/>
    </xf>
    <xf numFmtId="167" fontId="0" fillId="0" borderId="21" xfId="4" applyNumberFormat="1" applyFont="1" applyFill="1" applyBorder="1" applyAlignment="1">
      <alignment horizontal="center" vertical="center"/>
    </xf>
    <xf numFmtId="167" fontId="0" fillId="0" borderId="22" xfId="4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6" xfId="0" applyNumberFormat="1" applyFont="1" applyFill="1" applyBorder="1" applyAlignment="1">
      <alignment horizontal="center" vertical="center"/>
    </xf>
    <xf numFmtId="166" fontId="1" fillId="0" borderId="17" xfId="3" applyNumberFormat="1" applyFont="1" applyFill="1" applyBorder="1" applyAlignment="1">
      <alignment horizontal="center" vertical="center"/>
    </xf>
    <xf numFmtId="166" fontId="1" fillId="0" borderId="16" xfId="3" applyNumberFormat="1" applyFont="1" applyFill="1" applyBorder="1" applyAlignment="1">
      <alignment horizontal="center" vertical="center"/>
    </xf>
    <xf numFmtId="167" fontId="0" fillId="0" borderId="17" xfId="4" applyNumberFormat="1" applyFont="1" applyFill="1" applyBorder="1" applyAlignment="1">
      <alignment horizontal="center" vertical="center"/>
    </xf>
    <xf numFmtId="167" fontId="0" fillId="0" borderId="18" xfId="4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166" fontId="1" fillId="0" borderId="14" xfId="3" applyNumberFormat="1" applyFont="1" applyFill="1" applyBorder="1" applyAlignment="1">
      <alignment horizontal="center" vertical="center"/>
    </xf>
    <xf numFmtId="166" fontId="1" fillId="0" borderId="13" xfId="3" applyNumberFormat="1" applyFont="1" applyFill="1" applyBorder="1" applyAlignment="1">
      <alignment horizontal="center" vertical="center"/>
    </xf>
    <xf numFmtId="167" fontId="0" fillId="0" borderId="14" xfId="4" applyNumberFormat="1" applyFont="1" applyFill="1" applyBorder="1" applyAlignment="1">
      <alignment horizontal="center" vertical="center"/>
    </xf>
    <xf numFmtId="167" fontId="0" fillId="0" borderId="15" xfId="4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right"/>
    </xf>
    <xf numFmtId="0" fontId="15" fillId="0" borderId="4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6" fillId="0" borderId="6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2" fillId="0" borderId="0" xfId="0" applyFont="1" applyAlignment="1"/>
  </cellXfs>
  <cellStyles count="5">
    <cellStyle name="20 % - Akzent1" xfId="1" builtinId="30"/>
    <cellStyle name="Link" xfId="2" builtinId="8"/>
    <cellStyle name="Prozent" xfId="4" builtinId="5"/>
    <cellStyle name="Standard" xfId="0" builtinId="0"/>
    <cellStyle name="Währung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0</xdr:row>
      <xdr:rowOff>0</xdr:rowOff>
    </xdr:from>
    <xdr:to>
      <xdr:col>6</xdr:col>
      <xdr:colOff>752475</xdr:colOff>
      <xdr:row>3</xdr:row>
      <xdr:rowOff>2448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872F8E0-388F-4FC0-9688-84A6D2F5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0"/>
          <a:ext cx="2171700" cy="602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378C453-3F97-4E64-BD7F-67833E7F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/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Normal="100" workbookViewId="0"/>
  </sheetViews>
  <sheetFormatPr baseColWidth="10" defaultColWidth="11.42578125" defaultRowHeight="12.75" x14ac:dyDescent="0.2"/>
  <cols>
    <col min="1" max="1" width="14.7109375" style="1" customWidth="1"/>
    <col min="2" max="2" width="13" style="1" bestFit="1" customWidth="1"/>
    <col min="3" max="3" width="17.42578125" style="1" customWidth="1"/>
    <col min="4" max="4" width="19.5703125" style="1" customWidth="1"/>
    <col min="5" max="5" width="15.140625" style="1" customWidth="1"/>
    <col min="6" max="6" width="22.28515625" style="1" customWidth="1"/>
    <col min="7" max="16384" width="11.42578125" style="1"/>
  </cols>
  <sheetData>
    <row r="1" spans="1:9" s="26" customFormat="1" ht="15.75" customHeight="1" x14ac:dyDescent="0.25"/>
    <row r="2" spans="1:9" s="26" customFormat="1" ht="15.75" customHeight="1" x14ac:dyDescent="0.25"/>
    <row r="3" spans="1:9" s="26" customFormat="1" ht="15.75" customHeight="1" x14ac:dyDescent="0.25">
      <c r="I3" s="28"/>
    </row>
    <row r="4" spans="1:9" s="26" customFormat="1" ht="15.75" customHeight="1" x14ac:dyDescent="0.3">
      <c r="A4" s="62" t="s">
        <v>26</v>
      </c>
      <c r="B4" s="62"/>
      <c r="C4" s="62"/>
      <c r="D4" s="62"/>
      <c r="E4" s="62"/>
      <c r="F4" s="62"/>
      <c r="G4" s="62"/>
    </row>
    <row r="5" spans="1:9" s="26" customFormat="1" ht="15.75" customHeight="1" x14ac:dyDescent="0.25">
      <c r="A5" s="27"/>
      <c r="B5" s="27"/>
      <c r="C5" s="27"/>
      <c r="D5" s="27"/>
      <c r="E5" s="27"/>
      <c r="F5" s="27"/>
    </row>
    <row r="6" spans="1:9" s="26" customFormat="1" ht="15.75" customHeight="1" x14ac:dyDescent="0.25">
      <c r="A6" s="27"/>
      <c r="B6" s="27"/>
      <c r="C6" s="27"/>
      <c r="D6" s="27"/>
      <c r="E6" s="27"/>
      <c r="G6" s="29" t="s">
        <v>41</v>
      </c>
    </row>
    <row r="7" spans="1:9" s="26" customFormat="1" ht="15.75" customHeight="1" x14ac:dyDescent="0.25">
      <c r="A7" s="27"/>
      <c r="B7" s="27"/>
      <c r="C7" s="27"/>
      <c r="D7" s="27"/>
      <c r="E7" s="27"/>
      <c r="F7" s="27"/>
    </row>
    <row r="8" spans="1:9" ht="15.75" thickBot="1" x14ac:dyDescent="0.25">
      <c r="A8" s="2"/>
      <c r="B8" s="2"/>
      <c r="C8" s="2"/>
      <c r="D8" s="2"/>
      <c r="E8" s="2"/>
      <c r="F8" s="2"/>
    </row>
    <row r="9" spans="1:9" s="26" customFormat="1" ht="21" customHeight="1" x14ac:dyDescent="0.35">
      <c r="A9" s="56" t="s">
        <v>42</v>
      </c>
      <c r="B9" s="57"/>
      <c r="C9" s="57"/>
      <c r="D9" s="57"/>
      <c r="E9" s="57"/>
      <c r="F9" s="57"/>
      <c r="G9" s="58"/>
    </row>
    <row r="10" spans="1:9" ht="21.75" customHeight="1" thickBot="1" x14ac:dyDescent="0.4">
      <c r="A10" s="59" t="s">
        <v>7</v>
      </c>
      <c r="B10" s="60"/>
      <c r="C10" s="60"/>
      <c r="D10" s="60"/>
      <c r="E10" s="60"/>
      <c r="F10" s="60"/>
      <c r="G10" s="61"/>
    </row>
    <row r="11" spans="1:9" ht="15.75" x14ac:dyDescent="0.25">
      <c r="A11" s="106"/>
      <c r="B11" s="107"/>
      <c r="C11" s="107"/>
      <c r="D11" s="107"/>
      <c r="E11" s="107"/>
      <c r="F11" s="107"/>
    </row>
    <row r="12" spans="1:9" ht="15.75" x14ac:dyDescent="0.25">
      <c r="A12" s="4"/>
      <c r="B12" s="4"/>
      <c r="C12" s="4"/>
      <c r="D12" s="4"/>
      <c r="E12" s="4"/>
      <c r="F12" s="4"/>
    </row>
    <row r="13" spans="1:9" ht="15.75" x14ac:dyDescent="0.25">
      <c r="A13" s="45" t="s">
        <v>47</v>
      </c>
      <c r="B13" s="4"/>
      <c r="C13" s="4"/>
      <c r="D13" s="4"/>
      <c r="E13" s="4"/>
      <c r="F13" s="4"/>
    </row>
    <row r="14" spans="1:9" ht="16.5" thickBot="1" x14ac:dyDescent="0.3">
      <c r="A14" s="4"/>
      <c r="B14" s="4"/>
      <c r="C14" s="4"/>
      <c r="D14" s="31"/>
      <c r="E14" s="32"/>
      <c r="F14" s="30"/>
    </row>
    <row r="15" spans="1:9" ht="45.75" customHeight="1" thickBot="1" x14ac:dyDescent="0.3">
      <c r="A15" s="65" t="s">
        <v>44</v>
      </c>
      <c r="B15" s="66"/>
      <c r="C15" s="48" t="s">
        <v>8</v>
      </c>
      <c r="D15" s="49" t="s">
        <v>9</v>
      </c>
      <c r="E15" s="50" t="s">
        <v>10</v>
      </c>
      <c r="F15" s="54"/>
    </row>
    <row r="16" spans="1:9" ht="15.75" x14ac:dyDescent="0.25">
      <c r="A16" s="33" t="s">
        <v>31</v>
      </c>
      <c r="B16" s="46">
        <v>100</v>
      </c>
      <c r="C16" s="51">
        <v>225.62</v>
      </c>
      <c r="D16" s="52">
        <v>237.06</v>
      </c>
      <c r="E16" s="53">
        <v>248.71</v>
      </c>
      <c r="F16" s="34" t="s">
        <v>0</v>
      </c>
    </row>
    <row r="17" spans="1:6" ht="15.75" x14ac:dyDescent="0.25">
      <c r="A17" s="35" t="s">
        <v>31</v>
      </c>
      <c r="B17" s="47">
        <v>300</v>
      </c>
      <c r="C17" s="51">
        <v>127.13</v>
      </c>
      <c r="D17" s="52">
        <v>133.58000000000001</v>
      </c>
      <c r="E17" s="53">
        <v>139.30000000000001</v>
      </c>
      <c r="F17" s="36" t="s">
        <v>12</v>
      </c>
    </row>
    <row r="18" spans="1:6" ht="15.75" x14ac:dyDescent="0.25">
      <c r="A18" s="35" t="s">
        <v>31</v>
      </c>
      <c r="B18" s="47">
        <v>500</v>
      </c>
      <c r="C18" s="51">
        <v>110.59</v>
      </c>
      <c r="D18" s="52">
        <v>116.31</v>
      </c>
      <c r="E18" s="53">
        <v>127.86</v>
      </c>
      <c r="F18" s="36" t="s">
        <v>12</v>
      </c>
    </row>
    <row r="19" spans="1:6" ht="15.75" x14ac:dyDescent="0.25">
      <c r="A19" s="35" t="s">
        <v>31</v>
      </c>
      <c r="B19" s="47">
        <v>1000</v>
      </c>
      <c r="C19" s="51">
        <v>87.51</v>
      </c>
      <c r="D19" s="52">
        <v>93.23</v>
      </c>
      <c r="E19" s="53">
        <v>98.95</v>
      </c>
      <c r="F19" s="36" t="s">
        <v>12</v>
      </c>
    </row>
    <row r="20" spans="1:6" ht="15.75" x14ac:dyDescent="0.25">
      <c r="A20" s="35" t="s">
        <v>31</v>
      </c>
      <c r="B20" s="47">
        <v>1500</v>
      </c>
      <c r="C20" s="51">
        <v>75.959999999999994</v>
      </c>
      <c r="D20" s="52">
        <v>81.790000000000006</v>
      </c>
      <c r="E20" s="53">
        <v>87.51</v>
      </c>
      <c r="F20" s="36" t="s">
        <v>12</v>
      </c>
    </row>
    <row r="21" spans="1:6" ht="15.75" x14ac:dyDescent="0.25">
      <c r="A21" s="37" t="s">
        <v>31</v>
      </c>
      <c r="B21" s="47">
        <v>2000</v>
      </c>
      <c r="C21" s="51">
        <v>69.099999999999994</v>
      </c>
      <c r="D21" s="52">
        <v>75.959999999999994</v>
      </c>
      <c r="E21" s="53">
        <v>81.790000000000006</v>
      </c>
      <c r="F21" s="36" t="s">
        <v>12</v>
      </c>
    </row>
    <row r="22" spans="1:6" ht="15.75" x14ac:dyDescent="0.25">
      <c r="A22" s="37" t="s">
        <v>31</v>
      </c>
      <c r="B22" s="47">
        <v>3000</v>
      </c>
      <c r="C22" s="51">
        <v>64.52</v>
      </c>
      <c r="D22" s="52">
        <v>69.099999999999994</v>
      </c>
      <c r="E22" s="53">
        <v>75.959999999999994</v>
      </c>
      <c r="F22" s="36" t="s">
        <v>12</v>
      </c>
    </row>
    <row r="23" spans="1:6" ht="16.5" thickBot="1" x14ac:dyDescent="0.3">
      <c r="A23" s="35" t="s">
        <v>43</v>
      </c>
      <c r="B23" s="47">
        <v>3001</v>
      </c>
      <c r="C23" s="67" t="s">
        <v>11</v>
      </c>
      <c r="D23" s="68"/>
      <c r="E23" s="69"/>
      <c r="F23" s="38"/>
    </row>
    <row r="24" spans="1:6" ht="15.75" x14ac:dyDescent="0.25">
      <c r="A24" s="31"/>
      <c r="B24" s="39"/>
      <c r="C24" s="40"/>
      <c r="D24" s="41"/>
      <c r="E24" s="40"/>
      <c r="F24" s="42"/>
    </row>
    <row r="25" spans="1:6" ht="15.75" x14ac:dyDescent="0.25">
      <c r="A25" s="4" t="s">
        <v>6</v>
      </c>
      <c r="B25" s="39"/>
      <c r="C25" s="40"/>
      <c r="D25" s="41"/>
      <c r="E25" s="40"/>
      <c r="F25" s="42"/>
    </row>
    <row r="26" spans="1:6" ht="16.5" thickBot="1" x14ac:dyDescent="0.3">
      <c r="A26" s="75"/>
      <c r="B26" s="76"/>
      <c r="C26" s="76"/>
      <c r="D26" s="76"/>
      <c r="E26" s="41"/>
      <c r="F26" s="8"/>
    </row>
    <row r="27" spans="1:6" ht="16.5" thickBot="1" x14ac:dyDescent="0.3">
      <c r="A27" s="71" t="s">
        <v>5</v>
      </c>
      <c r="B27" s="71"/>
      <c r="C27" s="64" t="s">
        <v>13</v>
      </c>
      <c r="D27" s="64"/>
      <c r="E27" s="64"/>
      <c r="F27" s="64"/>
    </row>
    <row r="28" spans="1:6" ht="33.75" customHeight="1" thickBot="1" x14ac:dyDescent="0.3">
      <c r="A28" s="72" t="s">
        <v>46</v>
      </c>
      <c r="B28" s="63"/>
      <c r="C28" s="64" t="s">
        <v>14</v>
      </c>
      <c r="D28" s="64"/>
      <c r="E28" s="64"/>
      <c r="F28" s="64"/>
    </row>
    <row r="29" spans="1:6" ht="16.5" thickBot="1" x14ac:dyDescent="0.3">
      <c r="A29" s="63" t="s">
        <v>40</v>
      </c>
      <c r="B29" s="63"/>
      <c r="C29" s="64" t="s">
        <v>38</v>
      </c>
      <c r="D29" s="64"/>
      <c r="E29" s="64"/>
      <c r="F29" s="64"/>
    </row>
    <row r="30" spans="1:6" ht="16.5" thickBot="1" x14ac:dyDescent="0.3">
      <c r="A30" s="63" t="s">
        <v>39</v>
      </c>
      <c r="B30" s="63"/>
      <c r="C30" s="64" t="s">
        <v>38</v>
      </c>
      <c r="D30" s="64"/>
      <c r="E30" s="64"/>
      <c r="F30" s="64"/>
    </row>
    <row r="31" spans="1:6" ht="16.5" thickBot="1" x14ac:dyDescent="0.3">
      <c r="A31" s="63" t="s">
        <v>17</v>
      </c>
      <c r="B31" s="63"/>
      <c r="C31" s="43">
        <v>7.0000000000000007E-2</v>
      </c>
      <c r="D31" s="74" t="s">
        <v>37</v>
      </c>
      <c r="E31" s="64"/>
      <c r="F31" s="64"/>
    </row>
    <row r="32" spans="1:6" ht="16.5" thickBot="1" x14ac:dyDescent="0.3">
      <c r="A32" s="63" t="s">
        <v>48</v>
      </c>
      <c r="B32" s="63"/>
      <c r="C32" s="64" t="s">
        <v>38</v>
      </c>
      <c r="D32" s="64"/>
      <c r="E32" s="64"/>
      <c r="F32" s="64"/>
    </row>
    <row r="33" spans="1:7" ht="16.5" thickBot="1" x14ac:dyDescent="0.3">
      <c r="A33" s="63" t="s">
        <v>15</v>
      </c>
      <c r="B33" s="63"/>
      <c r="C33" s="64" t="s">
        <v>16</v>
      </c>
      <c r="D33" s="64"/>
      <c r="E33" s="64"/>
      <c r="F33" s="64"/>
    </row>
    <row r="34" spans="1:7" ht="16.5" thickBot="1" x14ac:dyDescent="0.3">
      <c r="A34" s="63" t="s">
        <v>4</v>
      </c>
      <c r="B34" s="63"/>
      <c r="C34" s="64" t="s">
        <v>1</v>
      </c>
      <c r="D34" s="64"/>
      <c r="E34" s="64"/>
      <c r="F34" s="64"/>
    </row>
    <row r="35" spans="1:7" ht="16.5" thickBot="1" x14ac:dyDescent="0.3">
      <c r="A35" s="63" t="s">
        <v>18</v>
      </c>
      <c r="B35" s="63"/>
      <c r="C35" s="73" t="s">
        <v>19</v>
      </c>
      <c r="D35" s="73"/>
      <c r="E35" s="73"/>
      <c r="F35" s="73"/>
    </row>
    <row r="36" spans="1:7" ht="15.75" x14ac:dyDescent="0.25">
      <c r="A36" s="4"/>
      <c r="B36" s="4"/>
      <c r="C36" s="4"/>
      <c r="D36" s="4"/>
      <c r="E36" s="4"/>
      <c r="F36" s="4"/>
    </row>
    <row r="37" spans="1:7" ht="29.25" customHeight="1" x14ac:dyDescent="0.2">
      <c r="A37" s="70" t="s">
        <v>20</v>
      </c>
      <c r="B37" s="70"/>
      <c r="C37" s="70"/>
      <c r="D37" s="70"/>
      <c r="E37" s="70"/>
      <c r="F37" s="70"/>
    </row>
    <row r="38" spans="1:7" ht="15.75" x14ac:dyDescent="0.2">
      <c r="A38" s="44"/>
      <c r="B38" s="44"/>
      <c r="C38" s="44"/>
      <c r="D38" s="44"/>
      <c r="E38" s="44"/>
      <c r="F38" s="44"/>
    </row>
    <row r="39" spans="1:7" ht="15.75" x14ac:dyDescent="0.2">
      <c r="A39" s="3"/>
      <c r="B39" s="3"/>
      <c r="C39" s="3"/>
      <c r="D39" s="3"/>
      <c r="E39" s="3"/>
      <c r="F39" s="3"/>
    </row>
    <row r="40" spans="1:7" customFormat="1" ht="36" customHeight="1" x14ac:dyDescent="0.25">
      <c r="A40" s="55" t="s">
        <v>45</v>
      </c>
      <c r="B40" s="55"/>
      <c r="C40" s="55"/>
      <c r="D40" s="55"/>
      <c r="E40" s="55"/>
      <c r="F40" s="55"/>
      <c r="G40" s="55"/>
    </row>
    <row r="41" spans="1:7" customFormat="1" ht="36" customHeight="1" x14ac:dyDescent="0.25">
      <c r="A41" s="55"/>
      <c r="B41" s="55"/>
      <c r="C41" s="55"/>
      <c r="D41" s="55"/>
      <c r="E41" s="55"/>
      <c r="F41" s="55"/>
      <c r="G41" s="55"/>
    </row>
    <row r="42" spans="1:7" customFormat="1" ht="36" customHeight="1" x14ac:dyDescent="0.25">
      <c r="A42" s="55"/>
      <c r="B42" s="55"/>
      <c r="C42" s="55"/>
      <c r="D42" s="55"/>
      <c r="E42" s="55"/>
      <c r="F42" s="55"/>
      <c r="G42" s="55"/>
    </row>
    <row r="43" spans="1:7" customFormat="1" ht="36" customHeight="1" x14ac:dyDescent="0.25">
      <c r="A43" s="55"/>
      <c r="B43" s="55"/>
      <c r="C43" s="55"/>
      <c r="D43" s="55"/>
      <c r="E43" s="55"/>
      <c r="F43" s="55"/>
      <c r="G43" s="55"/>
    </row>
    <row r="44" spans="1:7" customFormat="1" ht="36" customHeight="1" x14ac:dyDescent="0.25">
      <c r="A44" s="55"/>
      <c r="B44" s="55"/>
      <c r="C44" s="55"/>
      <c r="D44" s="55"/>
      <c r="E44" s="55"/>
      <c r="F44" s="55"/>
      <c r="G44" s="55"/>
    </row>
    <row r="45" spans="1:7" x14ac:dyDescent="0.2">
      <c r="A45" s="6"/>
      <c r="B45" s="6"/>
      <c r="C45" s="6"/>
      <c r="D45" s="6"/>
      <c r="E45" s="6"/>
      <c r="F45" s="7"/>
    </row>
    <row r="47" spans="1:7" ht="15" x14ac:dyDescent="0.25">
      <c r="A47"/>
      <c r="B47"/>
      <c r="C47"/>
      <c r="D47"/>
      <c r="E47"/>
      <c r="F47"/>
    </row>
    <row r="48" spans="1:7" ht="15" x14ac:dyDescent="0.25">
      <c r="A48"/>
      <c r="B48"/>
      <c r="C48"/>
      <c r="D48"/>
      <c r="E48"/>
      <c r="F48"/>
    </row>
    <row r="49" spans="1:6" ht="15" x14ac:dyDescent="0.25">
      <c r="A49"/>
      <c r="B49"/>
      <c r="C49"/>
      <c r="D49"/>
      <c r="E49"/>
      <c r="F49"/>
    </row>
    <row r="50" spans="1:6" ht="15" x14ac:dyDescent="0.25">
      <c r="A50"/>
      <c r="B50"/>
      <c r="C50"/>
      <c r="D50"/>
      <c r="E50"/>
      <c r="F50"/>
    </row>
    <row r="51" spans="1:6" ht="15" x14ac:dyDescent="0.25">
      <c r="A51"/>
      <c r="B51"/>
      <c r="C51"/>
      <c r="D51"/>
      <c r="E51"/>
      <c r="F51"/>
    </row>
    <row r="52" spans="1:6" ht="15" x14ac:dyDescent="0.25">
      <c r="A52"/>
      <c r="B52"/>
      <c r="C52"/>
      <c r="D52"/>
      <c r="E52"/>
      <c r="F52"/>
    </row>
  </sheetData>
  <mergeCells count="26">
    <mergeCell ref="C28:F28"/>
    <mergeCell ref="A26:D26"/>
    <mergeCell ref="A32:B32"/>
    <mergeCell ref="C32:F32"/>
    <mergeCell ref="C33:F33"/>
    <mergeCell ref="C34:F34"/>
    <mergeCell ref="C35:F35"/>
    <mergeCell ref="D31:F31"/>
    <mergeCell ref="A29:B29"/>
    <mergeCell ref="C29:F29"/>
    <mergeCell ref="A40:G44"/>
    <mergeCell ref="A9:G9"/>
    <mergeCell ref="A10:G10"/>
    <mergeCell ref="A4:G4"/>
    <mergeCell ref="A30:B30"/>
    <mergeCell ref="C30:F30"/>
    <mergeCell ref="A15:B15"/>
    <mergeCell ref="C23:E23"/>
    <mergeCell ref="A37:F37"/>
    <mergeCell ref="A27:B27"/>
    <mergeCell ref="A28:B28"/>
    <mergeCell ref="A31:B31"/>
    <mergeCell ref="A33:B33"/>
    <mergeCell ref="A34:B34"/>
    <mergeCell ref="A35:B35"/>
    <mergeCell ref="C27:F27"/>
  </mergeCells>
  <pageMargins left="0.23622047244094491" right="0.23622047244094491" top="1.1417322834645669" bottom="0.15748031496062992" header="0.15748031496062992" footer="0.15748031496062992"/>
  <pageSetup paperSize="9"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2C55-0099-4579-9156-7ECB46CFDE2C}">
  <sheetPr>
    <pageSetUpPr fitToPage="1"/>
  </sheetPr>
  <dimension ref="A1:O70"/>
  <sheetViews>
    <sheetView zoomScaleNormal="100" workbookViewId="0"/>
  </sheetViews>
  <sheetFormatPr baseColWidth="10" defaultRowHeight="15" x14ac:dyDescent="0.25"/>
  <cols>
    <col min="1" max="1" width="6" customWidth="1"/>
    <col min="2" max="2" width="5.28515625" customWidth="1"/>
    <col min="3" max="3" width="11.42578125" customWidth="1"/>
    <col min="7" max="7" width="8.7109375" customWidth="1"/>
    <col min="8" max="8" width="4.85546875" customWidth="1"/>
    <col min="9" max="9" width="7.140625" customWidth="1"/>
    <col min="11" max="11" width="9.7109375" customWidth="1"/>
    <col min="13" max="13" width="11" customWidth="1"/>
    <col min="15" max="16" width="11.42578125" customWidth="1"/>
  </cols>
  <sheetData>
    <row r="1" spans="1:13" ht="21" customHeight="1" x14ac:dyDescent="0.25">
      <c r="A1" s="10" t="s">
        <v>21</v>
      </c>
      <c r="B1" s="10"/>
      <c r="C1" s="10"/>
      <c r="G1" s="10"/>
    </row>
    <row r="2" spans="1:13" ht="15.75" customHeight="1" x14ac:dyDescent="0.25">
      <c r="A2" t="s">
        <v>2</v>
      </c>
    </row>
    <row r="3" spans="1:13" ht="15.75" customHeight="1" x14ac:dyDescent="0.25">
      <c r="A3" t="s">
        <v>22</v>
      </c>
    </row>
    <row r="4" spans="1:13" ht="15.75" customHeight="1" x14ac:dyDescent="0.25">
      <c r="A4" t="s">
        <v>23</v>
      </c>
    </row>
    <row r="5" spans="1:13" ht="15.75" customHeight="1" x14ac:dyDescent="0.25">
      <c r="A5" t="s">
        <v>24</v>
      </c>
    </row>
    <row r="6" spans="1:13" ht="15.75" customHeight="1" x14ac:dyDescent="0.25">
      <c r="A6" s="11" t="s">
        <v>3</v>
      </c>
      <c r="B6" s="12"/>
      <c r="C6" s="12"/>
      <c r="G6" s="11"/>
      <c r="L6" s="9" t="s">
        <v>25</v>
      </c>
      <c r="M6" s="13">
        <v>45383</v>
      </c>
    </row>
    <row r="7" spans="1:13" ht="15.75" customHeight="1" x14ac:dyDescent="0.25">
      <c r="A7" s="96" t="s">
        <v>26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</row>
    <row r="8" spans="1:13" ht="16.5" thickBot="1" x14ac:dyDescent="0.3">
      <c r="A8" s="8"/>
      <c r="B8" s="8"/>
      <c r="C8" s="8"/>
      <c r="D8" s="8"/>
      <c r="E8" s="8"/>
      <c r="F8" s="8"/>
      <c r="G8" s="8"/>
      <c r="H8" s="8"/>
      <c r="I8" s="8"/>
    </row>
    <row r="9" spans="1:13" ht="22.15" customHeight="1" thickBot="1" x14ac:dyDescent="0.4">
      <c r="A9" s="97" t="s">
        <v>27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9"/>
    </row>
    <row r="10" spans="1:13" ht="17.25" x14ac:dyDescent="0.3">
      <c r="A10" s="100" t="s">
        <v>28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spans="1:13" ht="18" thickBot="1" x14ac:dyDescent="0.35">
      <c r="A11" s="14"/>
      <c r="B11" s="14"/>
      <c r="C11" s="14"/>
      <c r="D11" s="14"/>
      <c r="E11" s="14"/>
      <c r="F11" s="14"/>
      <c r="G11" s="14"/>
      <c r="H11" s="14"/>
      <c r="I11" s="14"/>
    </row>
    <row r="12" spans="1:13" ht="39" customHeight="1" thickBot="1" x14ac:dyDescent="0.3">
      <c r="A12" s="101"/>
      <c r="B12" s="102"/>
      <c r="C12" s="103" t="s">
        <v>29</v>
      </c>
      <c r="D12" s="104"/>
      <c r="E12" s="103" t="s">
        <v>30</v>
      </c>
      <c r="F12" s="105"/>
      <c r="H12" s="101"/>
      <c r="I12" s="102"/>
      <c r="J12" s="103" t="s">
        <v>29</v>
      </c>
      <c r="K12" s="104"/>
      <c r="L12" s="103" t="s">
        <v>30</v>
      </c>
      <c r="M12" s="105"/>
    </row>
    <row r="13" spans="1:13" s="2" customFormat="1" x14ac:dyDescent="0.25">
      <c r="A13" s="90" t="s">
        <v>31</v>
      </c>
      <c r="B13" s="91"/>
      <c r="C13" s="92">
        <v>1.5159</v>
      </c>
      <c r="D13" s="93"/>
      <c r="E13" s="94">
        <v>0</v>
      </c>
      <c r="F13" s="95"/>
      <c r="H13" s="90" t="s">
        <v>31</v>
      </c>
      <c r="I13" s="91"/>
      <c r="J13" s="92">
        <f>+C48+0.025</f>
        <v>2.415899999999997</v>
      </c>
      <c r="K13" s="93"/>
      <c r="L13" s="94">
        <v>0.18</v>
      </c>
      <c r="M13" s="95"/>
    </row>
    <row r="14" spans="1:13" s="2" customFormat="1" x14ac:dyDescent="0.25">
      <c r="A14" s="84" t="s">
        <v>31</v>
      </c>
      <c r="B14" s="85"/>
      <c r="C14" s="86">
        <f>+C13+0.025</f>
        <v>1.5408999999999999</v>
      </c>
      <c r="D14" s="87"/>
      <c r="E14" s="88">
        <v>5.0000000000000001E-3</v>
      </c>
      <c r="F14" s="89"/>
      <c r="G14" s="15"/>
      <c r="H14" s="84" t="s">
        <v>31</v>
      </c>
      <c r="I14" s="85"/>
      <c r="J14" s="86">
        <f>J13+0.025</f>
        <v>2.440899999999997</v>
      </c>
      <c r="K14" s="87"/>
      <c r="L14" s="88">
        <v>0.185</v>
      </c>
      <c r="M14" s="89"/>
    </row>
    <row r="15" spans="1:13" s="2" customFormat="1" x14ac:dyDescent="0.25">
      <c r="A15" s="84" t="s">
        <v>31</v>
      </c>
      <c r="B15" s="85"/>
      <c r="C15" s="86">
        <f t="shared" ref="C15:C48" si="0">+C14+0.025</f>
        <v>1.5658999999999998</v>
      </c>
      <c r="D15" s="87"/>
      <c r="E15" s="88">
        <v>0.01</v>
      </c>
      <c r="F15" s="89"/>
      <c r="G15" s="15"/>
      <c r="H15" s="84" t="s">
        <v>31</v>
      </c>
      <c r="I15" s="85"/>
      <c r="J15" s="86">
        <f t="shared" ref="J15:J48" si="1">J14+0.025</f>
        <v>2.4658999999999969</v>
      </c>
      <c r="K15" s="87"/>
      <c r="L15" s="88">
        <v>0.19</v>
      </c>
      <c r="M15" s="89"/>
    </row>
    <row r="16" spans="1:13" s="2" customFormat="1" x14ac:dyDescent="0.25">
      <c r="A16" s="84" t="s">
        <v>31</v>
      </c>
      <c r="B16" s="85"/>
      <c r="C16" s="86">
        <f t="shared" si="0"/>
        <v>1.5908999999999998</v>
      </c>
      <c r="D16" s="87"/>
      <c r="E16" s="88">
        <v>1.4999999999999999E-2</v>
      </c>
      <c r="F16" s="89"/>
      <c r="G16" s="15"/>
      <c r="H16" s="84" t="s">
        <v>31</v>
      </c>
      <c r="I16" s="85"/>
      <c r="J16" s="86">
        <f t="shared" si="1"/>
        <v>2.4908999999999968</v>
      </c>
      <c r="K16" s="87"/>
      <c r="L16" s="88">
        <v>0.19500000000000001</v>
      </c>
      <c r="M16" s="89"/>
    </row>
    <row r="17" spans="1:15" s="2" customFormat="1" x14ac:dyDescent="0.25">
      <c r="A17" s="84" t="s">
        <v>31</v>
      </c>
      <c r="B17" s="85"/>
      <c r="C17" s="86">
        <f t="shared" si="0"/>
        <v>1.6158999999999997</v>
      </c>
      <c r="D17" s="87"/>
      <c r="E17" s="88">
        <v>0.02</v>
      </c>
      <c r="F17" s="89"/>
      <c r="G17" s="15"/>
      <c r="H17" s="84" t="s">
        <v>31</v>
      </c>
      <c r="I17" s="85"/>
      <c r="J17" s="86">
        <f t="shared" si="1"/>
        <v>2.5158999999999967</v>
      </c>
      <c r="K17" s="87"/>
      <c r="L17" s="88">
        <v>0.2</v>
      </c>
      <c r="M17" s="89"/>
    </row>
    <row r="18" spans="1:15" s="2" customFormat="1" x14ac:dyDescent="0.25">
      <c r="A18" s="84" t="s">
        <v>31</v>
      </c>
      <c r="B18" s="85"/>
      <c r="C18" s="86">
        <f t="shared" si="0"/>
        <v>1.6408999999999996</v>
      </c>
      <c r="D18" s="87"/>
      <c r="E18" s="88">
        <v>2.5000000000000001E-2</v>
      </c>
      <c r="F18" s="89"/>
      <c r="G18" s="16"/>
      <c r="H18" s="84" t="s">
        <v>31</v>
      </c>
      <c r="I18" s="85"/>
      <c r="J18" s="86">
        <f t="shared" si="1"/>
        <v>2.5408999999999966</v>
      </c>
      <c r="K18" s="87"/>
      <c r="L18" s="88">
        <v>0.20499999999999999</v>
      </c>
      <c r="M18" s="89"/>
    </row>
    <row r="19" spans="1:15" s="2" customFormat="1" x14ac:dyDescent="0.25">
      <c r="A19" s="84" t="s">
        <v>31</v>
      </c>
      <c r="B19" s="85"/>
      <c r="C19" s="86">
        <f t="shared" si="0"/>
        <v>1.6658999999999995</v>
      </c>
      <c r="D19" s="87"/>
      <c r="E19" s="88">
        <v>0.03</v>
      </c>
      <c r="F19" s="89"/>
      <c r="G19" s="15"/>
      <c r="H19" s="84" t="s">
        <v>31</v>
      </c>
      <c r="I19" s="85"/>
      <c r="J19" s="86">
        <f t="shared" si="1"/>
        <v>2.5658999999999965</v>
      </c>
      <c r="K19" s="87"/>
      <c r="L19" s="88">
        <v>0.21</v>
      </c>
      <c r="M19" s="89"/>
    </row>
    <row r="20" spans="1:15" s="2" customFormat="1" x14ac:dyDescent="0.25">
      <c r="A20" s="84" t="s">
        <v>31</v>
      </c>
      <c r="B20" s="85"/>
      <c r="C20" s="86">
        <f t="shared" si="0"/>
        <v>1.6908999999999994</v>
      </c>
      <c r="D20" s="87"/>
      <c r="E20" s="88">
        <v>3.5000000000000003E-2</v>
      </c>
      <c r="F20" s="89"/>
      <c r="G20" s="15"/>
      <c r="H20" s="84" t="s">
        <v>31</v>
      </c>
      <c r="I20" s="85"/>
      <c r="J20" s="86">
        <f t="shared" si="1"/>
        <v>2.5908999999999964</v>
      </c>
      <c r="K20" s="87"/>
      <c r="L20" s="88">
        <v>0.215</v>
      </c>
      <c r="M20" s="89"/>
    </row>
    <row r="21" spans="1:15" x14ac:dyDescent="0.25">
      <c r="A21" s="84" t="s">
        <v>31</v>
      </c>
      <c r="B21" s="85"/>
      <c r="C21" s="86">
        <f t="shared" si="0"/>
        <v>1.7158999999999993</v>
      </c>
      <c r="D21" s="87"/>
      <c r="E21" s="88">
        <v>0.04</v>
      </c>
      <c r="F21" s="89"/>
      <c r="G21" s="17"/>
      <c r="H21" s="84" t="s">
        <v>31</v>
      </c>
      <c r="I21" s="85"/>
      <c r="J21" s="86">
        <f t="shared" si="1"/>
        <v>2.6158999999999963</v>
      </c>
      <c r="K21" s="87"/>
      <c r="L21" s="88">
        <v>0.22</v>
      </c>
      <c r="M21" s="89"/>
      <c r="O21" s="2"/>
    </row>
    <row r="22" spans="1:15" x14ac:dyDescent="0.25">
      <c r="A22" s="84" t="s">
        <v>31</v>
      </c>
      <c r="B22" s="85"/>
      <c r="C22" s="86">
        <f t="shared" si="0"/>
        <v>1.7408999999999992</v>
      </c>
      <c r="D22" s="87"/>
      <c r="E22" s="88">
        <v>4.4999999999999998E-2</v>
      </c>
      <c r="F22" s="89"/>
      <c r="H22" s="84" t="s">
        <v>31</v>
      </c>
      <c r="I22" s="85"/>
      <c r="J22" s="86">
        <f t="shared" si="1"/>
        <v>2.6408999999999963</v>
      </c>
      <c r="K22" s="87"/>
      <c r="L22" s="88">
        <v>0.22500000000000001</v>
      </c>
      <c r="M22" s="89"/>
      <c r="O22" s="2"/>
    </row>
    <row r="23" spans="1:15" x14ac:dyDescent="0.25">
      <c r="A23" s="84" t="s">
        <v>31</v>
      </c>
      <c r="B23" s="85"/>
      <c r="C23" s="86">
        <f t="shared" si="0"/>
        <v>1.7658999999999991</v>
      </c>
      <c r="D23" s="87"/>
      <c r="E23" s="88">
        <v>0.05</v>
      </c>
      <c r="F23" s="89"/>
      <c r="G23" s="5"/>
      <c r="H23" s="84" t="s">
        <v>31</v>
      </c>
      <c r="I23" s="85"/>
      <c r="J23" s="86">
        <f t="shared" si="1"/>
        <v>2.6658999999999962</v>
      </c>
      <c r="K23" s="87"/>
      <c r="L23" s="88">
        <v>0.23</v>
      </c>
      <c r="M23" s="89"/>
      <c r="O23" s="2"/>
    </row>
    <row r="24" spans="1:15" x14ac:dyDescent="0.25">
      <c r="A24" s="84" t="s">
        <v>31</v>
      </c>
      <c r="B24" s="85"/>
      <c r="C24" s="86">
        <f t="shared" si="0"/>
        <v>1.790899999999999</v>
      </c>
      <c r="D24" s="87"/>
      <c r="E24" s="88">
        <v>5.5E-2</v>
      </c>
      <c r="F24" s="89"/>
      <c r="H24" s="84" t="s">
        <v>31</v>
      </c>
      <c r="I24" s="85"/>
      <c r="J24" s="86">
        <f t="shared" si="1"/>
        <v>2.6908999999999961</v>
      </c>
      <c r="K24" s="87"/>
      <c r="L24" s="88">
        <v>0.23499999999999999</v>
      </c>
      <c r="M24" s="89"/>
      <c r="O24" s="2"/>
    </row>
    <row r="25" spans="1:15" x14ac:dyDescent="0.25">
      <c r="A25" s="84" t="s">
        <v>31</v>
      </c>
      <c r="B25" s="85"/>
      <c r="C25" s="86">
        <f t="shared" si="0"/>
        <v>1.815899999999999</v>
      </c>
      <c r="D25" s="87"/>
      <c r="E25" s="88">
        <v>0.06</v>
      </c>
      <c r="F25" s="89"/>
      <c r="H25" s="84" t="s">
        <v>31</v>
      </c>
      <c r="I25" s="85"/>
      <c r="J25" s="86">
        <f t="shared" si="1"/>
        <v>2.715899999999996</v>
      </c>
      <c r="K25" s="87"/>
      <c r="L25" s="88">
        <v>0.24</v>
      </c>
      <c r="M25" s="89"/>
      <c r="O25" s="2"/>
    </row>
    <row r="26" spans="1:15" x14ac:dyDescent="0.25">
      <c r="A26" s="84" t="s">
        <v>31</v>
      </c>
      <c r="B26" s="85"/>
      <c r="C26" s="86">
        <f t="shared" si="0"/>
        <v>1.8408999999999989</v>
      </c>
      <c r="D26" s="87"/>
      <c r="E26" s="88">
        <v>6.5000000000000002E-2</v>
      </c>
      <c r="F26" s="89"/>
      <c r="H26" s="84" t="s">
        <v>31</v>
      </c>
      <c r="I26" s="85"/>
      <c r="J26" s="86">
        <f t="shared" si="1"/>
        <v>2.7408999999999959</v>
      </c>
      <c r="K26" s="87"/>
      <c r="L26" s="88">
        <v>0.245</v>
      </c>
      <c r="M26" s="89"/>
      <c r="O26" s="2"/>
    </row>
    <row r="27" spans="1:15" x14ac:dyDescent="0.25">
      <c r="A27" s="84" t="s">
        <v>31</v>
      </c>
      <c r="B27" s="85"/>
      <c r="C27" s="86">
        <f t="shared" si="0"/>
        <v>1.8658999999999988</v>
      </c>
      <c r="D27" s="87"/>
      <c r="E27" s="88">
        <v>7.0000000000000007E-2</v>
      </c>
      <c r="F27" s="89"/>
      <c r="H27" s="84" t="s">
        <v>31</v>
      </c>
      <c r="I27" s="85"/>
      <c r="J27" s="86">
        <f t="shared" si="1"/>
        <v>2.7658999999999958</v>
      </c>
      <c r="K27" s="87"/>
      <c r="L27" s="88">
        <v>0.25</v>
      </c>
      <c r="M27" s="89"/>
      <c r="O27" s="2"/>
    </row>
    <row r="28" spans="1:15" x14ac:dyDescent="0.25">
      <c r="A28" s="84" t="s">
        <v>31</v>
      </c>
      <c r="B28" s="85"/>
      <c r="C28" s="86">
        <f t="shared" si="0"/>
        <v>1.8908999999999987</v>
      </c>
      <c r="D28" s="87"/>
      <c r="E28" s="88">
        <v>7.4999999999999997E-2</v>
      </c>
      <c r="F28" s="89"/>
      <c r="H28" s="84" t="s">
        <v>31</v>
      </c>
      <c r="I28" s="85"/>
      <c r="J28" s="86">
        <f t="shared" si="1"/>
        <v>2.7908999999999957</v>
      </c>
      <c r="K28" s="87"/>
      <c r="L28" s="88">
        <v>0.255</v>
      </c>
      <c r="M28" s="89"/>
      <c r="O28" s="2"/>
    </row>
    <row r="29" spans="1:15" x14ac:dyDescent="0.25">
      <c r="A29" s="84" t="s">
        <v>31</v>
      </c>
      <c r="B29" s="85"/>
      <c r="C29" s="86">
        <f t="shared" si="0"/>
        <v>1.9158999999999986</v>
      </c>
      <c r="D29" s="87"/>
      <c r="E29" s="88">
        <v>0.08</v>
      </c>
      <c r="F29" s="89"/>
      <c r="H29" s="84" t="s">
        <v>31</v>
      </c>
      <c r="I29" s="85"/>
      <c r="J29" s="86">
        <f t="shared" si="1"/>
        <v>2.8158999999999956</v>
      </c>
      <c r="K29" s="87"/>
      <c r="L29" s="88">
        <v>0.26</v>
      </c>
      <c r="M29" s="89"/>
      <c r="O29" s="2"/>
    </row>
    <row r="30" spans="1:15" x14ac:dyDescent="0.25">
      <c r="A30" s="84" t="s">
        <v>31</v>
      </c>
      <c r="B30" s="85"/>
      <c r="C30" s="86">
        <f t="shared" si="0"/>
        <v>1.9408999999999985</v>
      </c>
      <c r="D30" s="87"/>
      <c r="E30" s="88">
        <v>8.5000000000000006E-2</v>
      </c>
      <c r="F30" s="89"/>
      <c r="H30" s="84" t="s">
        <v>31</v>
      </c>
      <c r="I30" s="85"/>
      <c r="J30" s="86">
        <f t="shared" si="1"/>
        <v>2.8408999999999955</v>
      </c>
      <c r="K30" s="87"/>
      <c r="L30" s="88">
        <v>0.26500000000000001</v>
      </c>
      <c r="M30" s="89"/>
      <c r="O30" s="2"/>
    </row>
    <row r="31" spans="1:15" x14ac:dyDescent="0.25">
      <c r="A31" s="84" t="s">
        <v>31</v>
      </c>
      <c r="B31" s="85"/>
      <c r="C31" s="86">
        <f t="shared" si="0"/>
        <v>1.9658999999999984</v>
      </c>
      <c r="D31" s="87"/>
      <c r="E31" s="88">
        <v>0.09</v>
      </c>
      <c r="F31" s="89"/>
      <c r="H31" s="84" t="s">
        <v>31</v>
      </c>
      <c r="I31" s="85"/>
      <c r="J31" s="86">
        <f t="shared" si="1"/>
        <v>2.8658999999999955</v>
      </c>
      <c r="K31" s="87"/>
      <c r="L31" s="88">
        <v>0.27</v>
      </c>
      <c r="M31" s="89"/>
      <c r="O31" s="2"/>
    </row>
    <row r="32" spans="1:15" x14ac:dyDescent="0.25">
      <c r="A32" s="84" t="s">
        <v>31</v>
      </c>
      <c r="B32" s="85"/>
      <c r="C32" s="86">
        <f t="shared" si="0"/>
        <v>1.9908999999999983</v>
      </c>
      <c r="D32" s="87"/>
      <c r="E32" s="88">
        <v>9.5000000000000001E-2</v>
      </c>
      <c r="F32" s="89"/>
      <c r="H32" s="84" t="s">
        <v>31</v>
      </c>
      <c r="I32" s="85"/>
      <c r="J32" s="86">
        <f t="shared" si="1"/>
        <v>2.8908999999999954</v>
      </c>
      <c r="K32" s="87"/>
      <c r="L32" s="88">
        <v>0.27500000000000002</v>
      </c>
      <c r="M32" s="89"/>
      <c r="O32" s="2"/>
    </row>
    <row r="33" spans="1:15" x14ac:dyDescent="0.25">
      <c r="A33" s="84" t="s">
        <v>31</v>
      </c>
      <c r="B33" s="85"/>
      <c r="C33" s="86">
        <f t="shared" si="0"/>
        <v>2.0158999999999985</v>
      </c>
      <c r="D33" s="87"/>
      <c r="E33" s="88">
        <v>0.1</v>
      </c>
      <c r="F33" s="89"/>
      <c r="G33" s="5"/>
      <c r="H33" s="84" t="s">
        <v>31</v>
      </c>
      <c r="I33" s="85"/>
      <c r="J33" s="86">
        <f t="shared" si="1"/>
        <v>2.9158999999999953</v>
      </c>
      <c r="K33" s="87"/>
      <c r="L33" s="88">
        <v>0.28000000000000003</v>
      </c>
      <c r="M33" s="89"/>
      <c r="O33" s="2"/>
    </row>
    <row r="34" spans="1:15" ht="15.75" x14ac:dyDescent="0.25">
      <c r="A34" s="84" t="s">
        <v>31</v>
      </c>
      <c r="B34" s="85"/>
      <c r="C34" s="86">
        <f t="shared" si="0"/>
        <v>2.0408999999999984</v>
      </c>
      <c r="D34" s="87"/>
      <c r="E34" s="88">
        <v>0.105</v>
      </c>
      <c r="F34" s="89"/>
      <c r="G34" s="8"/>
      <c r="H34" s="84" t="s">
        <v>31</v>
      </c>
      <c r="I34" s="85"/>
      <c r="J34" s="86">
        <f t="shared" si="1"/>
        <v>2.9408999999999952</v>
      </c>
      <c r="K34" s="87"/>
      <c r="L34" s="88">
        <v>0.28499999999999998</v>
      </c>
      <c r="M34" s="89"/>
      <c r="O34" s="2"/>
    </row>
    <row r="35" spans="1:15" x14ac:dyDescent="0.25">
      <c r="A35" s="84" t="s">
        <v>31</v>
      </c>
      <c r="B35" s="85"/>
      <c r="C35" s="86">
        <f t="shared" si="0"/>
        <v>2.0658999999999983</v>
      </c>
      <c r="D35" s="87"/>
      <c r="E35" s="88">
        <v>0.11</v>
      </c>
      <c r="F35" s="89"/>
      <c r="G35" s="18"/>
      <c r="H35" s="84" t="s">
        <v>31</v>
      </c>
      <c r="I35" s="85"/>
      <c r="J35" s="86">
        <f t="shared" si="1"/>
        <v>2.9658999999999951</v>
      </c>
      <c r="K35" s="87"/>
      <c r="L35" s="88">
        <v>0.28999999999999998</v>
      </c>
      <c r="M35" s="89"/>
      <c r="O35" s="2"/>
    </row>
    <row r="36" spans="1:15" x14ac:dyDescent="0.25">
      <c r="A36" s="84" t="s">
        <v>31</v>
      </c>
      <c r="B36" s="85"/>
      <c r="C36" s="86">
        <f t="shared" si="0"/>
        <v>2.0908999999999982</v>
      </c>
      <c r="D36" s="87"/>
      <c r="E36" s="88">
        <v>0.115</v>
      </c>
      <c r="F36" s="89"/>
      <c r="G36" s="5"/>
      <c r="H36" s="84" t="s">
        <v>31</v>
      </c>
      <c r="I36" s="85"/>
      <c r="J36" s="86">
        <f t="shared" si="1"/>
        <v>2.990899999999995</v>
      </c>
      <c r="K36" s="87"/>
      <c r="L36" s="88">
        <v>0.29499999999999998</v>
      </c>
      <c r="M36" s="89"/>
      <c r="O36" s="2"/>
    </row>
    <row r="37" spans="1:15" x14ac:dyDescent="0.25">
      <c r="A37" s="84" t="s">
        <v>31</v>
      </c>
      <c r="B37" s="85"/>
      <c r="C37" s="86">
        <f t="shared" si="0"/>
        <v>2.1158999999999981</v>
      </c>
      <c r="D37" s="87"/>
      <c r="E37" s="88">
        <v>0.12</v>
      </c>
      <c r="F37" s="89"/>
      <c r="H37" s="84" t="s">
        <v>31</v>
      </c>
      <c r="I37" s="85"/>
      <c r="J37" s="86">
        <f t="shared" si="1"/>
        <v>3.0158999999999949</v>
      </c>
      <c r="K37" s="87"/>
      <c r="L37" s="88">
        <v>0.3</v>
      </c>
      <c r="M37" s="89"/>
      <c r="O37" s="2"/>
    </row>
    <row r="38" spans="1:15" x14ac:dyDescent="0.25">
      <c r="A38" s="84" t="s">
        <v>31</v>
      </c>
      <c r="B38" s="85"/>
      <c r="C38" s="86">
        <f t="shared" si="0"/>
        <v>2.140899999999998</v>
      </c>
      <c r="D38" s="87"/>
      <c r="E38" s="88">
        <v>0.125</v>
      </c>
      <c r="F38" s="89"/>
      <c r="H38" s="84" t="s">
        <v>31</v>
      </c>
      <c r="I38" s="85"/>
      <c r="J38" s="86">
        <f t="shared" si="1"/>
        <v>3.0408999999999948</v>
      </c>
      <c r="K38" s="87"/>
      <c r="L38" s="88">
        <v>0.30499999999999999</v>
      </c>
      <c r="M38" s="89"/>
      <c r="O38" s="2"/>
    </row>
    <row r="39" spans="1:15" x14ac:dyDescent="0.25">
      <c r="A39" s="84" t="s">
        <v>31</v>
      </c>
      <c r="B39" s="85"/>
      <c r="C39" s="86">
        <f t="shared" si="0"/>
        <v>2.1658999999999979</v>
      </c>
      <c r="D39" s="87"/>
      <c r="E39" s="88">
        <v>0.13</v>
      </c>
      <c r="F39" s="89"/>
      <c r="H39" s="84" t="s">
        <v>31</v>
      </c>
      <c r="I39" s="85"/>
      <c r="J39" s="86">
        <f t="shared" si="1"/>
        <v>3.0658999999999947</v>
      </c>
      <c r="K39" s="87"/>
      <c r="L39" s="88">
        <v>0.31</v>
      </c>
      <c r="M39" s="89"/>
      <c r="O39" s="2"/>
    </row>
    <row r="40" spans="1:15" x14ac:dyDescent="0.25">
      <c r="A40" s="84" t="s">
        <v>31</v>
      </c>
      <c r="B40" s="85"/>
      <c r="C40" s="86">
        <f t="shared" si="0"/>
        <v>2.1908999999999978</v>
      </c>
      <c r="D40" s="87"/>
      <c r="E40" s="88">
        <v>0.13500000000000001</v>
      </c>
      <c r="F40" s="89"/>
      <c r="H40" s="84" t="s">
        <v>31</v>
      </c>
      <c r="I40" s="85"/>
      <c r="J40" s="86">
        <f t="shared" si="1"/>
        <v>3.0908999999999947</v>
      </c>
      <c r="K40" s="87"/>
      <c r="L40" s="88">
        <v>0.315</v>
      </c>
      <c r="M40" s="89"/>
      <c r="O40" s="2"/>
    </row>
    <row r="41" spans="1:15" x14ac:dyDescent="0.25">
      <c r="A41" s="84" t="s">
        <v>31</v>
      </c>
      <c r="B41" s="85"/>
      <c r="C41" s="86">
        <f t="shared" si="0"/>
        <v>2.2158999999999978</v>
      </c>
      <c r="D41" s="87"/>
      <c r="E41" s="88">
        <v>0.14000000000000001</v>
      </c>
      <c r="F41" s="89"/>
      <c r="H41" s="84" t="s">
        <v>31</v>
      </c>
      <c r="I41" s="85"/>
      <c r="J41" s="86">
        <f t="shared" si="1"/>
        <v>3.1158999999999946</v>
      </c>
      <c r="K41" s="87"/>
      <c r="L41" s="88">
        <v>0.32</v>
      </c>
      <c r="M41" s="89"/>
      <c r="O41" s="2"/>
    </row>
    <row r="42" spans="1:15" x14ac:dyDescent="0.25">
      <c r="A42" s="84" t="s">
        <v>31</v>
      </c>
      <c r="B42" s="85"/>
      <c r="C42" s="86">
        <f t="shared" si="0"/>
        <v>2.2408999999999977</v>
      </c>
      <c r="D42" s="87"/>
      <c r="E42" s="88">
        <v>0.14499999999999999</v>
      </c>
      <c r="F42" s="89"/>
      <c r="H42" s="84" t="s">
        <v>31</v>
      </c>
      <c r="I42" s="85"/>
      <c r="J42" s="86">
        <f t="shared" si="1"/>
        <v>3.1408999999999945</v>
      </c>
      <c r="K42" s="87"/>
      <c r="L42" s="88">
        <v>0.32500000000000001</v>
      </c>
      <c r="M42" s="89"/>
      <c r="O42" s="2"/>
    </row>
    <row r="43" spans="1:15" x14ac:dyDescent="0.25">
      <c r="A43" s="84" t="s">
        <v>31</v>
      </c>
      <c r="B43" s="85"/>
      <c r="C43" s="86">
        <f t="shared" si="0"/>
        <v>2.2658999999999976</v>
      </c>
      <c r="D43" s="87"/>
      <c r="E43" s="88">
        <v>0.15</v>
      </c>
      <c r="F43" s="89"/>
      <c r="H43" s="84" t="s">
        <v>31</v>
      </c>
      <c r="I43" s="85"/>
      <c r="J43" s="86">
        <f t="shared" si="1"/>
        <v>3.1658999999999944</v>
      </c>
      <c r="K43" s="87"/>
      <c r="L43" s="88">
        <v>0.33</v>
      </c>
      <c r="M43" s="89"/>
      <c r="O43" s="2"/>
    </row>
    <row r="44" spans="1:15" x14ac:dyDescent="0.25">
      <c r="A44" s="84" t="s">
        <v>31</v>
      </c>
      <c r="B44" s="85"/>
      <c r="C44" s="86">
        <f t="shared" si="0"/>
        <v>2.2908999999999975</v>
      </c>
      <c r="D44" s="87"/>
      <c r="E44" s="88">
        <v>0.155</v>
      </c>
      <c r="F44" s="89"/>
      <c r="H44" s="84" t="s">
        <v>31</v>
      </c>
      <c r="I44" s="85"/>
      <c r="J44" s="86">
        <f t="shared" si="1"/>
        <v>3.1908999999999943</v>
      </c>
      <c r="K44" s="87"/>
      <c r="L44" s="88">
        <v>0.33500000000000002</v>
      </c>
      <c r="M44" s="89"/>
      <c r="O44" s="2"/>
    </row>
    <row r="45" spans="1:15" x14ac:dyDescent="0.25">
      <c r="A45" s="84" t="s">
        <v>31</v>
      </c>
      <c r="B45" s="85"/>
      <c r="C45" s="86">
        <f t="shared" si="0"/>
        <v>2.3158999999999974</v>
      </c>
      <c r="D45" s="87"/>
      <c r="E45" s="88">
        <v>0.16</v>
      </c>
      <c r="F45" s="89"/>
      <c r="H45" s="84" t="s">
        <v>31</v>
      </c>
      <c r="I45" s="85"/>
      <c r="J45" s="86">
        <f t="shared" si="1"/>
        <v>3.2158999999999942</v>
      </c>
      <c r="K45" s="87"/>
      <c r="L45" s="88">
        <v>0.34</v>
      </c>
      <c r="M45" s="89"/>
      <c r="O45" s="2"/>
    </row>
    <row r="46" spans="1:15" x14ac:dyDescent="0.25">
      <c r="A46" s="84" t="s">
        <v>31</v>
      </c>
      <c r="B46" s="85"/>
      <c r="C46" s="86">
        <f t="shared" si="0"/>
        <v>2.3408999999999973</v>
      </c>
      <c r="D46" s="87"/>
      <c r="E46" s="88">
        <v>0.16500000000000001</v>
      </c>
      <c r="F46" s="89"/>
      <c r="H46" s="84" t="s">
        <v>31</v>
      </c>
      <c r="I46" s="85"/>
      <c r="J46" s="86">
        <f t="shared" si="1"/>
        <v>3.2408999999999941</v>
      </c>
      <c r="K46" s="87"/>
      <c r="L46" s="88">
        <v>0.34499999999999997</v>
      </c>
      <c r="M46" s="89"/>
      <c r="O46" s="2"/>
    </row>
    <row r="47" spans="1:15" x14ac:dyDescent="0.25">
      <c r="A47" s="84" t="s">
        <v>31</v>
      </c>
      <c r="B47" s="85"/>
      <c r="C47" s="86">
        <f t="shared" si="0"/>
        <v>2.3658999999999972</v>
      </c>
      <c r="D47" s="87"/>
      <c r="E47" s="88">
        <v>0.17</v>
      </c>
      <c r="F47" s="89"/>
      <c r="H47" s="84" t="s">
        <v>31</v>
      </c>
      <c r="I47" s="85"/>
      <c r="J47" s="86">
        <f t="shared" si="1"/>
        <v>3.265899999999994</v>
      </c>
      <c r="K47" s="87"/>
      <c r="L47" s="88">
        <v>0.35</v>
      </c>
      <c r="M47" s="89"/>
      <c r="O47" s="2"/>
    </row>
    <row r="48" spans="1:15" ht="15.75" thickBot="1" x14ac:dyDescent="0.3">
      <c r="A48" s="78" t="s">
        <v>31</v>
      </c>
      <c r="B48" s="79"/>
      <c r="C48" s="80">
        <f t="shared" si="0"/>
        <v>2.3908999999999971</v>
      </c>
      <c r="D48" s="81"/>
      <c r="E48" s="82">
        <v>0.17499999999999999</v>
      </c>
      <c r="F48" s="83"/>
      <c r="H48" s="78" t="s">
        <v>31</v>
      </c>
      <c r="I48" s="79"/>
      <c r="J48" s="80">
        <f t="shared" si="1"/>
        <v>3.2908999999999939</v>
      </c>
      <c r="K48" s="81"/>
      <c r="L48" s="82">
        <v>0.35499999999999998</v>
      </c>
      <c r="M48" s="83"/>
      <c r="O48" s="2"/>
    </row>
    <row r="49" spans="1:14" x14ac:dyDescent="0.25">
      <c r="B49" s="19"/>
      <c r="C49" s="20"/>
      <c r="D49" s="19"/>
      <c r="E49" s="21"/>
      <c r="F49" s="22"/>
    </row>
    <row r="50" spans="1:14" ht="47.25" customHeight="1" x14ac:dyDescent="0.25">
      <c r="A50" s="15" t="s">
        <v>32</v>
      </c>
      <c r="C50" s="55" t="s">
        <v>33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</row>
    <row r="51" spans="1:14" x14ac:dyDescent="0.25">
      <c r="A51" s="5"/>
      <c r="E51" s="22"/>
      <c r="F51" s="22"/>
      <c r="G51" s="5"/>
    </row>
    <row r="52" spans="1:14" ht="72" customHeight="1" x14ac:dyDescent="0.25">
      <c r="A52" s="55" t="s">
        <v>34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</row>
    <row r="53" spans="1:14" ht="16.350000000000001" customHeight="1" x14ac:dyDescent="0.25">
      <c r="A53" s="77" t="s">
        <v>35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</row>
    <row r="54" spans="1:14" ht="15.75" x14ac:dyDescent="0.25">
      <c r="A54" s="5"/>
      <c r="E54" s="22"/>
      <c r="F54" s="23"/>
      <c r="G54" s="5"/>
      <c r="H54" s="4"/>
      <c r="I54" s="4"/>
    </row>
    <row r="55" spans="1:14" ht="30" customHeight="1" x14ac:dyDescent="0.25">
      <c r="A55" s="55" t="s">
        <v>36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24"/>
    </row>
    <row r="56" spans="1:14" ht="30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24"/>
    </row>
    <row r="57" spans="1:14" ht="30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4"/>
    </row>
    <row r="58" spans="1:14" ht="30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4"/>
    </row>
    <row r="59" spans="1:14" ht="30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24"/>
    </row>
    <row r="60" spans="1:14" ht="1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9">
    <mergeCell ref="A13:B13"/>
    <mergeCell ref="C13:D13"/>
    <mergeCell ref="E13:F13"/>
    <mergeCell ref="H13:I13"/>
    <mergeCell ref="J13:K13"/>
    <mergeCell ref="L13:M13"/>
    <mergeCell ref="A7:M7"/>
    <mergeCell ref="A9:M9"/>
    <mergeCell ref="A10:M10"/>
    <mergeCell ref="A12:B12"/>
    <mergeCell ref="C12:D12"/>
    <mergeCell ref="E12:F12"/>
    <mergeCell ref="H12:I12"/>
    <mergeCell ref="J12:K12"/>
    <mergeCell ref="L12:M12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</mergeCells>
  <hyperlinks>
    <hyperlink ref="A53" r:id="rId1" xr:uid="{67A60231-8381-4AAB-A459-DC90B961A27F}"/>
    <hyperlink ref="A6" r:id="rId2" xr:uid="{7157DC52-0CD6-4886-9EEB-F47F725D2E4F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E2060-4080-406A-B94A-AB4258FE336F}"/>
</file>

<file path=customXml/itemProps2.xml><?xml version="1.0" encoding="utf-8"?>
<ds:datastoreItem xmlns:ds="http://schemas.openxmlformats.org/officeDocument/2006/customXml" ds:itemID="{1D4D39AD-46D3-42C7-A2A1-6C2ED93BD0AD}"/>
</file>

<file path=customXml/itemProps3.xml><?xml version="1.0" encoding="utf-8"?>
<ds:datastoreItem xmlns:ds="http://schemas.openxmlformats.org/officeDocument/2006/customXml" ds:itemID="{F216D0A9-CF13-4B61-B3A9-E21A58234C9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Export Zypern</vt:lpstr>
      <vt:lpstr>Dieselfloater</vt:lpstr>
      <vt:lpstr>Dieselfloater!Druckbereich</vt:lpstr>
      <vt:lpstr>'Export Zypern'!Druckbereich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Schwedler</dc:creator>
  <cp:lastModifiedBy>Kohn Anja</cp:lastModifiedBy>
  <cp:lastPrinted>2025-01-21T09:43:40Z</cp:lastPrinted>
  <dcterms:created xsi:type="dcterms:W3CDTF">2012-05-02T12:19:42Z</dcterms:created>
  <dcterms:modified xsi:type="dcterms:W3CDTF">2025-01-21T09:43:45Z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