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xl/externalLinks/externalLink27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Währungsfloate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Währungsfloater!$A$1:$I$58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33" i="1" s="1"/>
  <c r="D32" i="1"/>
  <c r="E30" i="1"/>
  <c r="D31" i="1" s="1"/>
  <c r="E29" i="1"/>
  <c r="E28" i="1" s="1"/>
  <c r="D23" i="1"/>
  <c r="G22" i="1"/>
  <c r="F22" i="1"/>
  <c r="D22" i="1"/>
  <c r="E34" i="1" l="1"/>
  <c r="D34" i="1"/>
  <c r="D29" i="1"/>
  <c r="E27" i="1"/>
  <c r="D30" i="1"/>
  <c r="D33" i="1"/>
  <c r="E35" i="1" l="1"/>
  <c r="D35" i="1"/>
  <c r="E26" i="1"/>
  <c r="D28" i="1"/>
  <c r="E36" i="1" l="1"/>
  <c r="D36" i="1"/>
  <c r="D27" i="1"/>
  <c r="E25" i="1"/>
  <c r="E37" i="1" l="1"/>
  <c r="D37" i="1"/>
  <c r="E24" i="1"/>
  <c r="D26" i="1"/>
  <c r="D25" i="1" l="1"/>
  <c r="E23" i="1"/>
  <c r="D24" i="1" s="1"/>
  <c r="E38" i="1"/>
  <c r="D38" i="1"/>
  <c r="E39" i="1" l="1"/>
  <c r="D39" i="1"/>
  <c r="E40" i="1" l="1"/>
  <c r="D40" i="1"/>
</calcChain>
</file>

<file path=xl/sharedStrings.xml><?xml version="1.0" encoding="utf-8"?>
<sst xmlns="http://schemas.openxmlformats.org/spreadsheetml/2006/main" count="19" uniqueCount="19">
  <si>
    <r>
      <rPr>
        <b/>
        <i/>
        <sz val="12"/>
        <color theme="1"/>
        <rFont val="Calibri"/>
        <family val="2"/>
        <scheme val="minor"/>
      </rPr>
      <t>ERKA</t>
    </r>
    <r>
      <rPr>
        <i/>
        <sz val="12"/>
        <color theme="1"/>
        <rFont val="Calibri"/>
        <family val="2"/>
        <scheme val="minor"/>
      </rPr>
      <t>-Internationale Spedition GmbH</t>
    </r>
  </si>
  <si>
    <t>Motorstraße 8</t>
  </si>
  <si>
    <t>DE-70499 Stuttgart</t>
  </si>
  <si>
    <t>Tel.: 0711-95551-0</t>
  </si>
  <si>
    <t>Fax: 0711-95551-640</t>
  </si>
  <si>
    <t>www.spedition-erka.de</t>
  </si>
  <si>
    <t>Angebot vom:</t>
  </si>
  <si>
    <t>Internationale Spedition GmbH</t>
  </si>
  <si>
    <r>
      <rPr>
        <b/>
        <sz val="10.5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Calibri"/>
        <family val="2"/>
        <scheme val="minor"/>
      </rPr>
      <t xml:space="preserve">
Tel.: 0711-95551-0          Fax: 0711-95551-500          E-Mail: info@spedition-erka.de          www.spedition-erka.de
BW-Bank IBAN: DE93 6005 0101 0002 3117 35  |  SOLADEST600                          |  Geschäftsführer: Erich Klaschka, Jürgen Bauer
Reg.-Gericht Stuttgart HRB 9908                       | UST-IdNr.: DE 147 852 567    | Gerichtsstand und Erfüllungsort ist Stuttgart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</si>
  <si>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Währungszuschlag Schweiz</t>
  </si>
  <si>
    <t>von CHF</t>
  </si>
  <si>
    <t>bis CHF</t>
  </si>
  <si>
    <t>CHF / EUR KURS</t>
  </si>
  <si>
    <t>bis 3000 kg</t>
  </si>
  <si>
    <t>Teil- und Komplett-partien</t>
  </si>
  <si>
    <t>ab 3001 kg</t>
  </si>
  <si>
    <t>Stückgut-sendungen</t>
  </si>
  <si>
    <t>GEZE GmbH, Reinhold-Vöster-Straße 21-29, DE-71229 Leonberg</t>
  </si>
  <si>
    <t>Bei der Berechnung des Währungsfloaters wurde der deutsche Streckenanteil, der in € beglichen wird, berücksichtigt.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</si>
</sst>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\ &quot;kg&quot;"/>
    <numFmt numFmtId="165" formatCode="0.0000"/>
    <numFmt numFmtId="166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14" fontId="7" fillId="0" borderId="0" xfId="0" applyNumberFormat="1" applyFont="1"/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12" fillId="0" borderId="0" xfId="0" applyFont="1"/>
    <xf numFmtId="0" fontId="7" fillId="0" borderId="0" xfId="0" applyFont="1"/>
    <xf numFmtId="0" fontId="12" fillId="0" borderId="0" xfId="0" applyFont="1" applyAlignment="1">
      <alignment vertical="center" wrapText="1"/>
    </xf>
    <xf numFmtId="9" fontId="0" fillId="0" borderId="8" xfId="0" applyNumberFormat="1" applyBorder="1" applyAlignment="1">
      <alignment horizontal="center" vertical="center"/>
    </xf>
    <xf numFmtId="164" fontId="2" fillId="3" borderId="10" xfId="1" applyNumberFormat="1" applyFont="1" applyFill="1" applyBorder="1" applyAlignment="1">
      <alignment horizontal="center" vertical="center"/>
    </xf>
    <xf numFmtId="164" fontId="2" fillId="3" borderId="11" xfId="1" applyNumberFormat="1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8" fontId="2" fillId="3" borderId="15" xfId="1" applyNumberFormat="1" applyFont="1" applyFill="1" applyBorder="1" applyAlignment="1">
      <alignment horizontal="center" vertical="center"/>
    </xf>
    <xf numFmtId="44" fontId="2" fillId="3" borderId="11" xfId="1" applyFont="1" applyFill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5" fontId="0" fillId="0" borderId="9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3" fillId="0" borderId="0" xfId="2" applyAlignment="1">
      <alignment horizontal="left"/>
    </xf>
    <xf numFmtId="0" fontId="6" fillId="0" borderId="0" xfId="0" applyFont="1" applyAlignment="1">
      <alignment horizontal="left"/>
    </xf>
    <xf numFmtId="166" fontId="0" fillId="0" borderId="5" xfId="0" applyNumberForma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166" fontId="0" fillId="0" borderId="7" xfId="0" applyNumberForma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</cellXfs>
  <cellStyles count="3">
    <cellStyle name="Hyper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638175</xdr:colOff>
      <xdr:row>0</xdr:row>
      <xdr:rowOff>190500</xdr:rowOff>
    </xdr:from>
    <xdr:to>
      <xdr:col>8</xdr:col>
      <xdr:colOff>717173</xdr:colOff>
      <xdr:row>2</xdr:row>
      <xdr:rowOff>180902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xmlns="" id="{10355208-3B46-4F18-8728-7682855F9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6425" y="190500"/>
          <a:ext cx="1907798" cy="4571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dition-erka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69"/>
  <sheetViews>
    <sheetView tabSelected="1" zoomScaleNormal="100" workbookViewId="0">
      <selection activeCell="G23" sqref="G23:G24"/>
    </sheetView>
  </sheetViews>
  <sheetFormatPr baseColWidth="10" defaultRowHeight="14.4" x14ac:dyDescent="0.3"/>
  <cols>
    <col min="1" max="1" width="5.6640625" customWidth="1"/>
    <col min="2" max="3" width="13.6640625" customWidth="1"/>
    <col min="4" max="5" width="13.33203125" customWidth="1"/>
    <col min="6" max="7" width="16" customWidth="1"/>
  </cols>
  <sheetData>
    <row r="1" spans="2:9" ht="21" customHeight="1" x14ac:dyDescent="0.25">
      <c r="B1" s="40" t="s">
        <v>0</v>
      </c>
      <c r="C1" s="40"/>
      <c r="D1" s="40"/>
      <c r="F1" s="1"/>
    </row>
    <row r="2" spans="2:9" ht="15.75" customHeight="1" x14ac:dyDescent="0.3">
      <c r="B2" s="41" t="s">
        <v>1</v>
      </c>
      <c r="C2" s="41"/>
      <c r="D2" s="41"/>
    </row>
    <row r="3" spans="2:9" ht="15.75" customHeight="1" x14ac:dyDescent="0.25">
      <c r="B3" s="41" t="s">
        <v>2</v>
      </c>
      <c r="C3" s="41"/>
      <c r="D3" s="41"/>
    </row>
    <row r="4" spans="2:9" ht="15.75" customHeight="1" x14ac:dyDescent="0.25">
      <c r="B4" s="41" t="s">
        <v>3</v>
      </c>
      <c r="C4" s="41"/>
      <c r="D4" s="41"/>
    </row>
    <row r="5" spans="2:9" ht="15.75" customHeight="1" x14ac:dyDescent="0.25">
      <c r="B5" s="41" t="s">
        <v>4</v>
      </c>
      <c r="C5" s="41"/>
      <c r="D5" s="41"/>
    </row>
    <row r="6" spans="2:9" ht="15.75" customHeight="1" x14ac:dyDescent="0.25">
      <c r="B6" s="30" t="s">
        <v>5</v>
      </c>
      <c r="C6" s="31"/>
      <c r="D6" s="31"/>
      <c r="H6" s="2" t="s">
        <v>6</v>
      </c>
      <c r="I6" s="3">
        <v>44816</v>
      </c>
    </row>
    <row r="7" spans="2:9" ht="15.75" customHeight="1" x14ac:dyDescent="0.25">
      <c r="B7" s="35" t="s">
        <v>7</v>
      </c>
      <c r="C7" s="35"/>
      <c r="D7" s="35"/>
      <c r="E7" s="35"/>
      <c r="F7" s="35"/>
      <c r="G7" s="35"/>
      <c r="H7" s="35"/>
      <c r="I7" s="35"/>
    </row>
    <row r="10" spans="2:9" ht="16.5" thickBot="1" x14ac:dyDescent="0.3">
      <c r="B10" s="4"/>
      <c r="C10" s="4"/>
      <c r="D10" s="4"/>
      <c r="E10" s="4"/>
      <c r="F10" s="4"/>
      <c r="G10" s="4"/>
      <c r="H10" s="4"/>
      <c r="I10" s="4"/>
    </row>
    <row r="11" spans="2:9" ht="22.2" thickTop="1" thickBot="1" x14ac:dyDescent="0.45">
      <c r="B11" s="36" t="s">
        <v>9</v>
      </c>
      <c r="C11" s="37"/>
      <c r="D11" s="37"/>
      <c r="E11" s="37"/>
      <c r="F11" s="37"/>
      <c r="G11" s="37"/>
      <c r="H11" s="37"/>
      <c r="I11" s="38"/>
    </row>
    <row r="12" spans="2:9" ht="16.5" thickTop="1" x14ac:dyDescent="0.25">
      <c r="B12" s="4"/>
      <c r="C12" s="4"/>
      <c r="D12" s="4"/>
      <c r="E12" s="4"/>
      <c r="F12" s="4"/>
      <c r="G12" s="4"/>
      <c r="H12" s="4"/>
      <c r="I12" s="4"/>
    </row>
    <row r="13" spans="2:9" ht="17.399999999999999" x14ac:dyDescent="0.35">
      <c r="B13" s="39" t="s">
        <v>17</v>
      </c>
      <c r="C13" s="39"/>
      <c r="D13" s="39"/>
      <c r="E13" s="39"/>
      <c r="F13" s="39"/>
      <c r="G13" s="39"/>
      <c r="H13" s="39"/>
      <c r="I13" s="39"/>
    </row>
    <row r="14" spans="2:9" ht="15.75" x14ac:dyDescent="0.25">
      <c r="B14" s="4"/>
      <c r="C14" s="4"/>
      <c r="D14" s="4"/>
      <c r="E14" s="4"/>
      <c r="F14" s="4"/>
      <c r="G14" s="4"/>
      <c r="H14" s="4"/>
      <c r="I14" s="4"/>
    </row>
    <row r="15" spans="2:9" s="5" customFormat="1" ht="15" x14ac:dyDescent="0.25">
      <c r="B15"/>
      <c r="C15"/>
      <c r="D15"/>
      <c r="E15"/>
      <c r="F15"/>
      <c r="G15"/>
      <c r="H15"/>
      <c r="I15"/>
    </row>
    <row r="19" spans="3:9" ht="15.75" thickBot="1" x14ac:dyDescent="0.3">
      <c r="C19" s="6"/>
      <c r="D19" s="6"/>
      <c r="E19" s="6"/>
      <c r="F19" s="6"/>
      <c r="G19" s="6"/>
      <c r="H19" s="6"/>
      <c r="I19" s="6"/>
    </row>
    <row r="20" spans="3:9" s="5" customFormat="1" ht="28.8" x14ac:dyDescent="0.3">
      <c r="D20" s="33" t="s">
        <v>12</v>
      </c>
      <c r="E20" s="34"/>
      <c r="F20" s="14" t="s">
        <v>16</v>
      </c>
      <c r="G20" s="15" t="s">
        <v>14</v>
      </c>
      <c r="H20"/>
      <c r="I20"/>
    </row>
    <row r="21" spans="3:9" s="5" customFormat="1" ht="20.100000000000001" customHeight="1" thickBot="1" x14ac:dyDescent="0.3">
      <c r="D21" s="12" t="s">
        <v>10</v>
      </c>
      <c r="E21" s="13" t="s">
        <v>11</v>
      </c>
      <c r="F21" s="16" t="s">
        <v>13</v>
      </c>
      <c r="G21" s="17" t="s">
        <v>15</v>
      </c>
      <c r="H21"/>
      <c r="I21"/>
    </row>
    <row r="22" spans="3:9" s="5" customFormat="1" ht="19.5" customHeight="1" x14ac:dyDescent="0.25">
      <c r="D22" s="22">
        <f>+ROUND(E22*0.95,4)</f>
        <v>1.0209999999999999</v>
      </c>
      <c r="E22" s="23">
        <v>1.0747</v>
      </c>
      <c r="F22" s="18">
        <f>+J22</f>
        <v>0</v>
      </c>
      <c r="G22" s="11">
        <f>+M22</f>
        <v>0</v>
      </c>
    </row>
    <row r="23" spans="3:9" s="5" customFormat="1" ht="19.5" customHeight="1" x14ac:dyDescent="0.3">
      <c r="D23" s="24">
        <f>+E22-0.0001</f>
        <v>1.0746</v>
      </c>
      <c r="E23" s="25">
        <f t="shared" ref="E23:E30" si="0">+E24+0.0098</f>
        <v>1.0548000000000002</v>
      </c>
      <c r="F23" s="28">
        <v>8.5000000000000006E-3</v>
      </c>
      <c r="G23" s="32">
        <v>8.9999999999999993E-3</v>
      </c>
    </row>
    <row r="24" spans="3:9" s="5" customFormat="1" ht="19.5" customHeight="1" x14ac:dyDescent="0.3">
      <c r="D24" s="24">
        <f t="shared" ref="D24:D40" si="1">+E23-0.0001</f>
        <v>1.0547000000000002</v>
      </c>
      <c r="E24" s="25">
        <f t="shared" si="0"/>
        <v>1.0450000000000002</v>
      </c>
      <c r="F24" s="28">
        <v>1.7000000000000001E-2</v>
      </c>
      <c r="G24" s="32"/>
    </row>
    <row r="25" spans="3:9" s="5" customFormat="1" ht="19.5" customHeight="1" x14ac:dyDescent="0.3">
      <c r="D25" s="24">
        <f t="shared" si="1"/>
        <v>1.0449000000000002</v>
      </c>
      <c r="E25" s="25">
        <f t="shared" si="0"/>
        <v>1.0352000000000001</v>
      </c>
      <c r="F25" s="28">
        <v>2.5499999999999998E-2</v>
      </c>
      <c r="G25" s="32">
        <v>1.7000000000000001E-2</v>
      </c>
    </row>
    <row r="26" spans="3:9" s="5" customFormat="1" ht="19.5" customHeight="1" x14ac:dyDescent="0.3">
      <c r="C26" s="19"/>
      <c r="D26" s="24">
        <f t="shared" si="1"/>
        <v>1.0351000000000001</v>
      </c>
      <c r="E26" s="25">
        <f t="shared" si="0"/>
        <v>1.0254000000000001</v>
      </c>
      <c r="F26" s="28">
        <v>3.4000000000000002E-2</v>
      </c>
      <c r="G26" s="32"/>
    </row>
    <row r="27" spans="3:9" s="5" customFormat="1" ht="19.5" customHeight="1" x14ac:dyDescent="0.3">
      <c r="D27" s="24">
        <f t="shared" si="1"/>
        <v>1.0253000000000001</v>
      </c>
      <c r="E27" s="25">
        <f t="shared" si="0"/>
        <v>1.0156000000000001</v>
      </c>
      <c r="F27" s="28">
        <v>4.2500000000000003E-2</v>
      </c>
      <c r="G27" s="32">
        <v>2.5999999999999999E-2</v>
      </c>
    </row>
    <row r="28" spans="3:9" s="5" customFormat="1" ht="19.5" customHeight="1" x14ac:dyDescent="0.3">
      <c r="D28" s="24">
        <f t="shared" si="1"/>
        <v>1.0155000000000001</v>
      </c>
      <c r="E28" s="25">
        <f t="shared" si="0"/>
        <v>1.0058</v>
      </c>
      <c r="F28" s="28">
        <v>5.0999999999999997E-2</v>
      </c>
      <c r="G28" s="32"/>
    </row>
    <row r="29" spans="3:9" s="5" customFormat="1" ht="19.5" customHeight="1" x14ac:dyDescent="0.3">
      <c r="D29" s="24">
        <f t="shared" si="1"/>
        <v>1.0057</v>
      </c>
      <c r="E29" s="25">
        <f t="shared" si="0"/>
        <v>0.99600000000000011</v>
      </c>
      <c r="F29" s="28">
        <v>5.9499999999999997E-2</v>
      </c>
      <c r="G29" s="32">
        <v>3.4000000000000002E-2</v>
      </c>
    </row>
    <row r="30" spans="3:9" s="5" customFormat="1" ht="19.5" customHeight="1" x14ac:dyDescent="0.3">
      <c r="D30" s="24">
        <f t="shared" si="1"/>
        <v>0.99590000000000012</v>
      </c>
      <c r="E30" s="25">
        <f t="shared" si="0"/>
        <v>0.98620000000000008</v>
      </c>
      <c r="F30" s="28">
        <v>6.8000000000000005E-2</v>
      </c>
      <c r="G30" s="32"/>
    </row>
    <row r="31" spans="3:9" s="5" customFormat="1" ht="19.5" customHeight="1" x14ac:dyDescent="0.3">
      <c r="D31" s="24">
        <f t="shared" si="1"/>
        <v>0.98610000000000009</v>
      </c>
      <c r="E31" s="25">
        <v>0.97640000000000005</v>
      </c>
      <c r="F31" s="28">
        <v>7.6499999999999999E-2</v>
      </c>
      <c r="G31" s="32">
        <v>4.2999999999999997E-2</v>
      </c>
    </row>
    <row r="32" spans="3:9" s="5" customFormat="1" ht="19.5" customHeight="1" x14ac:dyDescent="0.3">
      <c r="D32" s="24">
        <f t="shared" si="1"/>
        <v>0.97630000000000006</v>
      </c>
      <c r="E32" s="25">
        <f t="shared" ref="E32:E40" si="2">+E31-0.0098</f>
        <v>0.96660000000000001</v>
      </c>
      <c r="F32" s="28">
        <v>8.5000000000000006E-2</v>
      </c>
      <c r="G32" s="32"/>
    </row>
    <row r="33" spans="2:9" s="5" customFormat="1" ht="19.5" customHeight="1" x14ac:dyDescent="0.3">
      <c r="D33" s="24">
        <f t="shared" si="1"/>
        <v>0.96650000000000003</v>
      </c>
      <c r="E33" s="25">
        <f t="shared" si="2"/>
        <v>0.95679999999999998</v>
      </c>
      <c r="F33" s="28">
        <v>9.35E-2</v>
      </c>
      <c r="G33" s="32">
        <v>5.0999999999999997E-2</v>
      </c>
    </row>
    <row r="34" spans="2:9" s="5" customFormat="1" ht="19.5" customHeight="1" x14ac:dyDescent="0.3">
      <c r="D34" s="24">
        <f t="shared" si="1"/>
        <v>0.95669999999999999</v>
      </c>
      <c r="E34" s="25">
        <f t="shared" si="2"/>
        <v>0.94699999999999995</v>
      </c>
      <c r="F34" s="28">
        <v>0.10199999999999999</v>
      </c>
      <c r="G34" s="32"/>
    </row>
    <row r="35" spans="2:9" s="5" customFormat="1" ht="19.5" customHeight="1" x14ac:dyDescent="0.3">
      <c r="B35" s="20"/>
      <c r="C35" s="20"/>
      <c r="D35" s="24">
        <f t="shared" si="1"/>
        <v>0.94689999999999996</v>
      </c>
      <c r="E35" s="25">
        <f t="shared" si="2"/>
        <v>0.93719999999999992</v>
      </c>
      <c r="F35" s="28">
        <v>0.1105</v>
      </c>
      <c r="G35" s="32">
        <v>0.06</v>
      </c>
    </row>
    <row r="36" spans="2:9" s="5" customFormat="1" ht="19.5" customHeight="1" x14ac:dyDescent="0.3">
      <c r="B36" s="20"/>
      <c r="C36" s="20"/>
      <c r="D36" s="24">
        <f t="shared" si="1"/>
        <v>0.93709999999999993</v>
      </c>
      <c r="E36" s="25">
        <f t="shared" si="2"/>
        <v>0.92739999999999989</v>
      </c>
      <c r="F36" s="28">
        <v>0.11899999999999999</v>
      </c>
      <c r="G36" s="32"/>
    </row>
    <row r="37" spans="2:9" s="5" customFormat="1" ht="19.5" customHeight="1" x14ac:dyDescent="0.3">
      <c r="B37" s="20"/>
      <c r="C37" s="20"/>
      <c r="D37" s="24">
        <f t="shared" si="1"/>
        <v>0.9272999999999999</v>
      </c>
      <c r="E37" s="25">
        <f t="shared" si="2"/>
        <v>0.91759999999999986</v>
      </c>
      <c r="F37" s="28">
        <v>0.1275</v>
      </c>
      <c r="G37" s="32">
        <v>6.8000000000000005E-2</v>
      </c>
    </row>
    <row r="38" spans="2:9" s="5" customFormat="1" ht="19.5" customHeight="1" x14ac:dyDescent="0.3">
      <c r="B38" s="20"/>
      <c r="C38" s="20"/>
      <c r="D38" s="24">
        <f t="shared" si="1"/>
        <v>0.91749999999999987</v>
      </c>
      <c r="E38" s="25">
        <f t="shared" si="2"/>
        <v>0.90779999999999983</v>
      </c>
      <c r="F38" s="28">
        <v>0.13600000000000001</v>
      </c>
      <c r="G38" s="32"/>
    </row>
    <row r="39" spans="2:9" s="5" customFormat="1" ht="19.5" customHeight="1" x14ac:dyDescent="0.3">
      <c r="B39" s="20"/>
      <c r="C39" s="20"/>
      <c r="D39" s="24">
        <f t="shared" si="1"/>
        <v>0.90769999999999984</v>
      </c>
      <c r="E39" s="25">
        <f t="shared" si="2"/>
        <v>0.8979999999999998</v>
      </c>
      <c r="F39" s="28">
        <v>0.14449999999999999</v>
      </c>
      <c r="G39" s="32">
        <v>7.6999999999999999E-2</v>
      </c>
    </row>
    <row r="40" spans="2:9" s="5" customFormat="1" ht="19.5" customHeight="1" thickBot="1" x14ac:dyDescent="0.35">
      <c r="B40" s="20"/>
      <c r="C40" s="20"/>
      <c r="D40" s="26">
        <f t="shared" si="1"/>
        <v>0.89789999999999981</v>
      </c>
      <c r="E40" s="27">
        <f t="shared" si="2"/>
        <v>0.88819999999999977</v>
      </c>
      <c r="F40" s="29">
        <v>0.153</v>
      </c>
      <c r="G40" s="43"/>
      <c r="H40" s="21"/>
      <c r="I40" s="21"/>
    </row>
    <row r="41" spans="2:9" x14ac:dyDescent="0.3">
      <c r="B41" s="7"/>
    </row>
    <row r="42" spans="2:9" x14ac:dyDescent="0.3">
      <c r="B42" s="7"/>
    </row>
    <row r="43" spans="2:9" ht="33" customHeight="1" x14ac:dyDescent="0.3">
      <c r="B43" s="44" t="s">
        <v>18</v>
      </c>
      <c r="C43" s="44"/>
      <c r="D43" s="44"/>
      <c r="E43" s="44"/>
      <c r="F43" s="44"/>
      <c r="G43" s="44"/>
      <c r="H43" s="44"/>
      <c r="I43" s="44"/>
    </row>
    <row r="44" spans="2:9" ht="15.6" x14ac:dyDescent="0.3">
      <c r="B44" s="7"/>
      <c r="H44" s="8"/>
      <c r="I44" s="8"/>
    </row>
    <row r="45" spans="2:9" ht="15.6" x14ac:dyDescent="0.3">
      <c r="H45" s="8"/>
      <c r="I45" s="8"/>
    </row>
    <row r="46" spans="2:9" ht="15.6" x14ac:dyDescent="0.3">
      <c r="H46" s="8"/>
      <c r="I46" s="8"/>
    </row>
    <row r="47" spans="2:9" ht="15.6" x14ac:dyDescent="0.3">
      <c r="H47" s="8"/>
      <c r="I47" s="8"/>
    </row>
    <row r="48" spans="2:9" ht="15.6" x14ac:dyDescent="0.3">
      <c r="B48" s="7"/>
      <c r="H48" s="8"/>
      <c r="I48" s="8"/>
    </row>
    <row r="49" spans="2:9" ht="15.6" x14ac:dyDescent="0.3">
      <c r="B49" s="7"/>
      <c r="C49" s="7"/>
      <c r="H49" s="8"/>
      <c r="I49" s="8"/>
    </row>
    <row r="50" spans="2:9" ht="15.6" x14ac:dyDescent="0.3">
      <c r="B50" s="7"/>
      <c r="C50" s="7"/>
      <c r="E50" s="8"/>
      <c r="F50" s="8"/>
      <c r="G50" s="8"/>
      <c r="H50" s="8"/>
      <c r="I50" s="8"/>
    </row>
    <row r="51" spans="2:9" ht="15.6" x14ac:dyDescent="0.3">
      <c r="B51" s="7"/>
      <c r="E51" s="8"/>
      <c r="F51" s="8"/>
      <c r="G51" s="8"/>
      <c r="H51" s="8"/>
      <c r="I51" s="8"/>
    </row>
    <row r="52" spans="2:9" ht="15.6" x14ac:dyDescent="0.3">
      <c r="B52" s="7"/>
      <c r="E52" s="8"/>
      <c r="F52" s="8"/>
      <c r="G52" s="8"/>
      <c r="H52" s="8"/>
      <c r="I52" s="8"/>
    </row>
    <row r="53" spans="2:9" ht="15.6" x14ac:dyDescent="0.3">
      <c r="C53" s="9"/>
      <c r="D53" s="9"/>
      <c r="E53" s="9"/>
      <c r="F53" s="9"/>
      <c r="G53" s="9"/>
      <c r="H53" s="9"/>
      <c r="I53" s="8"/>
    </row>
    <row r="54" spans="2:9" ht="30" customHeight="1" x14ac:dyDescent="0.3">
      <c r="B54" s="42" t="s">
        <v>8</v>
      </c>
      <c r="C54" s="42"/>
      <c r="D54" s="42"/>
      <c r="E54" s="42"/>
      <c r="F54" s="42"/>
      <c r="G54" s="42"/>
      <c r="H54" s="42"/>
      <c r="I54" s="42"/>
    </row>
    <row r="55" spans="2:9" ht="30" customHeight="1" x14ac:dyDescent="0.3">
      <c r="B55" s="42"/>
      <c r="C55" s="42"/>
      <c r="D55" s="42"/>
      <c r="E55" s="42"/>
      <c r="F55" s="42"/>
      <c r="G55" s="42"/>
      <c r="H55" s="42"/>
      <c r="I55" s="42"/>
    </row>
    <row r="56" spans="2:9" ht="30" customHeight="1" x14ac:dyDescent="0.3">
      <c r="B56" s="42"/>
      <c r="C56" s="42"/>
      <c r="D56" s="42"/>
      <c r="E56" s="42"/>
      <c r="F56" s="42"/>
      <c r="G56" s="42"/>
      <c r="H56" s="42"/>
      <c r="I56" s="42"/>
    </row>
    <row r="57" spans="2:9" ht="30" customHeight="1" x14ac:dyDescent="0.3">
      <c r="B57" s="42"/>
      <c r="C57" s="42"/>
      <c r="D57" s="42"/>
      <c r="E57" s="42"/>
      <c r="F57" s="42"/>
      <c r="G57" s="42"/>
      <c r="H57" s="42"/>
      <c r="I57" s="42"/>
    </row>
    <row r="58" spans="2:9" ht="30" customHeight="1" x14ac:dyDescent="0.3">
      <c r="B58" s="42"/>
      <c r="C58" s="42"/>
      <c r="D58" s="42"/>
      <c r="E58" s="42"/>
      <c r="F58" s="42"/>
      <c r="G58" s="42"/>
      <c r="H58" s="42"/>
      <c r="I58" s="42"/>
    </row>
    <row r="59" spans="2:9" ht="15" customHeight="1" x14ac:dyDescent="0.3">
      <c r="B59" s="10"/>
      <c r="C59" s="10"/>
      <c r="D59" s="10"/>
      <c r="E59" s="10"/>
      <c r="F59" s="10"/>
      <c r="G59" s="10"/>
      <c r="H59" s="10"/>
      <c r="I59" s="10"/>
    </row>
    <row r="60" spans="2:9" ht="15" customHeight="1" x14ac:dyDescent="0.3"/>
    <row r="61" spans="2:9" ht="15" customHeight="1" x14ac:dyDescent="0.3"/>
    <row r="62" spans="2:9" ht="15" customHeight="1" x14ac:dyDescent="0.3"/>
    <row r="63" spans="2:9" ht="15" customHeight="1" x14ac:dyDescent="0.3"/>
    <row r="64" spans="2:9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</sheetData>
  <mergeCells count="21">
    <mergeCell ref="B54:I58"/>
    <mergeCell ref="G31:G32"/>
    <mergeCell ref="G33:G34"/>
    <mergeCell ref="G35:G36"/>
    <mergeCell ref="G37:G38"/>
    <mergeCell ref="G39:G40"/>
    <mergeCell ref="B43:I43"/>
    <mergeCell ref="B1:D1"/>
    <mergeCell ref="B2:D2"/>
    <mergeCell ref="B3:D3"/>
    <mergeCell ref="B4:D4"/>
    <mergeCell ref="B5:D5"/>
    <mergeCell ref="B6:D6"/>
    <mergeCell ref="G23:G24"/>
    <mergeCell ref="G25:G26"/>
    <mergeCell ref="G27:G28"/>
    <mergeCell ref="G29:G30"/>
    <mergeCell ref="D20:E20"/>
    <mergeCell ref="B7:I7"/>
    <mergeCell ref="B11:I11"/>
    <mergeCell ref="B13:I13"/>
  </mergeCells>
  <hyperlinks>
    <hyperlink ref="B6" r:id="rId1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75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6" ma:contentTypeDescription="Ein neues Dokument erstellen." ma:contentTypeScope="" ma:versionID="39defdc12135e6b9400da8cbd59c2a5e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391e8d02486de2206a034a11d4a5ed4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779B98-DF37-415D-9141-78B6EC2F5F4E}"/>
</file>

<file path=customXml/itemProps2.xml><?xml version="1.0" encoding="utf-8"?>
<ds:datastoreItem xmlns:ds="http://schemas.openxmlformats.org/officeDocument/2006/customXml" ds:itemID="{09F05AE7-0E4D-4E85-AEC5-DB4AD1AA35C4}"/>
</file>

<file path=customXml/itemProps3.xml><?xml version="1.0" encoding="utf-8"?>
<ds:datastoreItem xmlns:ds="http://schemas.openxmlformats.org/officeDocument/2006/customXml" ds:itemID="{B5F33D97-7454-4CDC-8215-1C9E32A37B6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Währungsfloater</vt:lpstr>
      <vt:lpstr>Währungsfloater!Druckbereich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Kohn</dc:creator>
  <cp:lastModifiedBy>Belinda Schwedler</cp:lastModifiedBy>
  <cp:lastPrinted>2022-09-01T13:30:32Z</cp:lastPrinted>
  <dcterms:created xsi:type="dcterms:W3CDTF">2022-02-03T06:55:00Z</dcterms:created>
  <dcterms:modified xsi:type="dcterms:W3CDTF">2022-09-15T06:23:11Z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