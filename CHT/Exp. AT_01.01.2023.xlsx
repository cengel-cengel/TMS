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X:\Verkauf\Verkauf_Neu\Angebote\Angebote 2023\CHT\"/>
    </mc:Choice>
  </mc:AlternateContent>
  <xr:revisionPtr revIDLastSave="0" documentId="13_ncr:1_{3DF153FB-D469-4614-AD31-5B5627917CB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racht pro Sdg" sheetId="9" r:id="rId1"/>
    <sheet name="Mautkosten" sheetId="10" r:id="rId2"/>
    <sheet name="Tabelle1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0" l="1"/>
  <c r="L28" i="10" s="1"/>
  <c r="E28" i="10"/>
  <c r="K27" i="10"/>
  <c r="L27" i="10" s="1"/>
  <c r="E27" i="10"/>
  <c r="K26" i="10"/>
  <c r="L26" i="10" s="1"/>
  <c r="E26" i="10"/>
  <c r="K25" i="10"/>
  <c r="L25" i="10" s="1"/>
  <c r="E25" i="10"/>
  <c r="K24" i="10"/>
  <c r="L24" i="10" s="1"/>
  <c r="E24" i="10"/>
  <c r="K23" i="10"/>
  <c r="L23" i="10" s="1"/>
  <c r="E23" i="10"/>
  <c r="K22" i="10"/>
  <c r="L22" i="10" s="1"/>
  <c r="E22" i="10"/>
  <c r="K21" i="10"/>
  <c r="L21" i="10" s="1"/>
  <c r="E21" i="10"/>
  <c r="K20" i="10"/>
  <c r="L20" i="10" s="1"/>
  <c r="E20" i="10"/>
  <c r="K19" i="10"/>
  <c r="L19" i="10" s="1"/>
  <c r="E19" i="10"/>
  <c r="K18" i="10"/>
  <c r="L18" i="10" s="1"/>
  <c r="E18" i="10"/>
  <c r="K17" i="10"/>
  <c r="L17" i="10" s="1"/>
  <c r="E17" i="10"/>
  <c r="K16" i="10"/>
  <c r="L16" i="10" s="1"/>
  <c r="E16" i="10"/>
  <c r="K15" i="10"/>
  <c r="L15" i="10" s="1"/>
  <c r="E15" i="10"/>
  <c r="K14" i="10"/>
  <c r="L14" i="10" s="1"/>
  <c r="E14" i="10"/>
  <c r="K13" i="10"/>
  <c r="L13" i="10" s="1"/>
  <c r="E13" i="10"/>
  <c r="K12" i="10"/>
  <c r="L12" i="10" s="1"/>
  <c r="E12" i="10"/>
  <c r="K11" i="10"/>
  <c r="L11" i="10" s="1"/>
  <c r="E11" i="10"/>
  <c r="K10" i="10"/>
  <c r="L10" i="10" s="1"/>
  <c r="E10" i="10"/>
  <c r="K9" i="10"/>
  <c r="L9" i="10" s="1"/>
  <c r="E9" i="10"/>
  <c r="K8" i="10"/>
  <c r="L8" i="10" s="1"/>
  <c r="E8" i="10"/>
  <c r="K7" i="10"/>
  <c r="L7" i="10" s="1"/>
  <c r="E7" i="10"/>
  <c r="K6" i="10"/>
  <c r="L6" i="10" s="1"/>
  <c r="E6" i="10"/>
  <c r="K5" i="10"/>
  <c r="L5" i="10" s="1"/>
  <c r="E5" i="10"/>
  <c r="L4" i="10"/>
  <c r="K4" i="10"/>
  <c r="E4" i="10"/>
  <c r="K3" i="10"/>
  <c r="L3" i="10" s="1"/>
  <c r="E3" i="10"/>
</calcChain>
</file>

<file path=xl/sharedStrings.xml><?xml version="1.0" encoding="utf-8"?>
<sst xmlns="http://schemas.openxmlformats.org/spreadsheetml/2006/main" count="68" uniqueCount="36">
  <si>
    <t>02</t>
  </si>
  <si>
    <t>03</t>
  </si>
  <si>
    <t>04</t>
  </si>
  <si>
    <t>05</t>
  </si>
  <si>
    <t>06</t>
  </si>
  <si>
    <t>Maut mit Barth nach 
AT bis 31.12.2018</t>
  </si>
  <si>
    <t>Maut mit Barth nach 
AT bis 31.12.2018
zzgl. 2,0%</t>
  </si>
  <si>
    <t>Diff. Maut bis 31.12.2018
vs. Email vom 05.12.2018</t>
  </si>
  <si>
    <t>€</t>
  </si>
  <si>
    <t>%</t>
  </si>
  <si>
    <t>67 - 69</t>
  </si>
  <si>
    <t>50 - 54
48 - 49</t>
  </si>
  <si>
    <t>60 - 66
55 - 57
40 - 47</t>
  </si>
  <si>
    <t>10 - 19
22 - 25</t>
  </si>
  <si>
    <t>20 - 21
26 - 28</t>
  </si>
  <si>
    <t>30 - 39
70 - 75
80 - 89
90 - 99</t>
  </si>
  <si>
    <t>Zonen: 01</t>
  </si>
  <si>
    <t>Sendung</t>
  </si>
  <si>
    <t>Gewicht 
bis … kg</t>
  </si>
  <si>
    <t>Kosten 
pro …</t>
  </si>
  <si>
    <t>Maut nach AT 
(301 - 400 km)
pro Sendung</t>
  </si>
  <si>
    <t>Frachtkostenzuschläge bzw. Pauschale für :</t>
  </si>
  <si>
    <t>% - Zuschlag auf 
Frachtkosten</t>
  </si>
  <si>
    <t>Mindestens … € 
pro Sendung</t>
  </si>
  <si>
    <t>Maximal … € 
pro Sendung</t>
  </si>
  <si>
    <t>Pauschal … € 
pro Sendung</t>
  </si>
  <si>
    <t>Gefahrgut-
sendungen</t>
  </si>
  <si>
    <t>Thermo-
sendungen</t>
  </si>
  <si>
    <t>Plz - 
Gebiet:</t>
  </si>
  <si>
    <t>bis ... kg</t>
  </si>
  <si>
    <t>CHT Germany GmbH, D-72072 Tübingen</t>
  </si>
  <si>
    <t>Preise incl. Maut</t>
  </si>
  <si>
    <t>---</t>
  </si>
  <si>
    <t>Dieselzuschlag</t>
  </si>
  <si>
    <t>sonder Dieselfloater</t>
  </si>
  <si>
    <r>
      <t xml:space="preserve">Frachtkosten nach Österreich ex D-72144 Dusslingen - Gültig ab 01.01.2024 - 31.12.2024                            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</si>
</sst>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u/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2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2" fontId="0" fillId="3" borderId="0" xfId="0" applyNumberFormat="1" applyFill="1"/>
    <xf numFmtId="10" fontId="0" fillId="2" borderId="1" xfId="1" applyNumberFormat="1" applyFont="1" applyFill="1" applyBorder="1"/>
    <xf numFmtId="10" fontId="0" fillId="0" borderId="0" xfId="1" applyNumberFormat="1" applyFont="1"/>
    <xf numFmtId="49" fontId="0" fillId="2" borderId="1" xfId="0" applyNumberFormat="1" applyFill="1" applyBorder="1" applyAlignment="1">
      <alignment horizontal="center"/>
    </xf>
    <xf numFmtId="0" fontId="3" fillId="0" borderId="0" xfId="0" applyFont="1"/>
    <xf numFmtId="49" fontId="0" fillId="2" borderId="1" xfId="0" applyNumberFormat="1" applyFill="1" applyBorder="1" applyAlignment="1">
      <alignment wrapText="1"/>
    </xf>
    <xf numFmtId="49" fontId="0" fillId="2" borderId="3" xfId="0" applyNumberFormat="1" applyFill="1" applyBorder="1" applyAlignment="1">
      <alignment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4" xfId="0" applyFont="1" applyBorder="1" applyAlignment="1">
      <alignment horizontal="left" vertical="center" wrapText="1"/>
    </xf>
    <xf numFmtId="4" fontId="0" fillId="0" borderId="4" xfId="0" applyNumberForma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44" fontId="0" fillId="0" borderId="1" xfId="2" applyFont="1" applyBorder="1"/>
    <xf numFmtId="44" fontId="0" fillId="3" borderId="1" xfId="2" applyFont="1" applyFill="1" applyBorder="1"/>
    <xf numFmtId="49" fontId="0" fillId="2" borderId="3" xfId="0" applyNumberForma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0" fillId="0" borderId="4" xfId="0" quotePrefix="1" applyNumberFormat="1" applyBorder="1" applyAlignment="1">
      <alignment horizontal="center" vertical="center"/>
    </xf>
    <xf numFmtId="164" fontId="0" fillId="0" borderId="0" xfId="0" applyNumberFormat="1"/>
    <xf numFmtId="0" fontId="4" fillId="0" borderId="5" xfId="0" applyFont="1" applyBorder="1" applyAlignment="1">
      <alignment horizontal="left" vertical="center" wrapText="1"/>
    </xf>
    <xf numFmtId="2" fontId="7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</cellXfs>
  <cellStyles count="3">
    <cellStyle name="Prozent" xfId="1" builtinId="5"/>
    <cellStyle name="Standard" xfId="0" builtinId="0"/>
    <cellStyle name="Währung" xfId="2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C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581026</xdr:colOff>
      <xdr:row>8</xdr:row>
      <xdr:rowOff>0</xdr:rowOff>
    </xdr:from>
    <xdr:to>
      <xdr:col>14</xdr:col>
      <xdr:colOff>66676</xdr:colOff>
      <xdr:row>12</xdr:row>
      <xdr:rowOff>85725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5A640501-8B54-451D-B0AC-5FDB13585D74}"/>
            </a:ext>
          </a:extLst>
        </xdr:cNvPr>
        <xdr:cNvSpPr txBox="1"/>
      </xdr:nvSpPr>
      <xdr:spPr>
        <a:xfrm>
          <a:off x="2105026" y="2076450"/>
          <a:ext cx="1771650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400" b="1">
              <a:solidFill>
                <a:srgbClr val="FF0000"/>
              </a:solidFill>
            </a:rPr>
            <a:t>Mautkosten</a:t>
          </a:r>
          <a:r>
            <a:rPr lang="de-DE" sz="1400" b="1" baseline="0">
              <a:solidFill>
                <a:srgbClr val="FF0000"/>
              </a:solidFill>
            </a:rPr>
            <a:t> sind in </a:t>
          </a:r>
        </a:p>
        <a:p>
          <a:r>
            <a:rPr lang="de-DE" sz="1400" b="1" baseline="0">
              <a:solidFill>
                <a:srgbClr val="FF0000"/>
              </a:solidFill>
            </a:rPr>
            <a:t>den </a:t>
          </a:r>
          <a:r>
            <a:rPr lang="de-DE" sz="1400" b="1">
              <a:solidFill>
                <a:srgbClr val="FF0000"/>
              </a:solidFill>
            </a:rPr>
            <a:t>Frachtkosten</a:t>
          </a:r>
          <a:r>
            <a:rPr lang="de-DE" sz="1400" b="1" baseline="0">
              <a:solidFill>
                <a:srgbClr val="FF0000"/>
              </a:solidFill>
            </a:rPr>
            <a:t> </a:t>
          </a:r>
        </a:p>
        <a:p>
          <a:r>
            <a:rPr lang="de-DE" sz="1400" b="1" baseline="0">
              <a:solidFill>
                <a:srgbClr val="FF0000"/>
              </a:solidFill>
            </a:rPr>
            <a:t>inkludiert!</a:t>
          </a:r>
          <a:endParaRPr lang="de-DE" sz="14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showGridLines="0" tabSelected="1" zoomScaleNormal="100" workbookViewId="0">
      <selection activeCell="J4" sqref="J4"/>
    </sheetView>
  </sheetViews>
  <sheetFormatPr baseColWidth="10" defaultRowHeight="15" x14ac:dyDescent="0.25"/>
  <cols>
    <col min="1" max="1" width="12.140625" customWidth="1"/>
    <col min="2" max="7" width="10.5703125" style="1" bestFit="1" customWidth="1"/>
    <col min="8" max="8" width="8.7109375" bestFit="1" customWidth="1"/>
  </cols>
  <sheetData>
    <row r="1" spans="1:8" ht="18" customHeight="1" x14ac:dyDescent="0.25">
      <c r="A1" s="25" t="s">
        <v>35</v>
      </c>
      <c r="B1" s="25"/>
      <c r="C1" s="25"/>
      <c r="D1" s="25"/>
      <c r="E1" s="25"/>
      <c r="F1" s="25"/>
      <c r="G1" s="25"/>
      <c r="H1" s="25"/>
    </row>
    <row r="2" spans="1:8" s="8" customFormat="1" x14ac:dyDescent="0.25">
      <c r="A2" s="26" t="s">
        <v>30</v>
      </c>
      <c r="B2" s="26"/>
      <c r="C2" s="26"/>
      <c r="D2" s="26"/>
      <c r="E2" s="26"/>
      <c r="F2" s="26"/>
      <c r="G2" s="26"/>
      <c r="H2" s="26"/>
    </row>
    <row r="3" spans="1:8" ht="55.5" customHeight="1" x14ac:dyDescent="0.25">
      <c r="A3" s="20" t="s">
        <v>28</v>
      </c>
      <c r="B3" s="21" t="s">
        <v>10</v>
      </c>
      <c r="C3" s="21" t="s">
        <v>11</v>
      </c>
      <c r="D3" s="21" t="s">
        <v>12</v>
      </c>
      <c r="E3" s="21" t="s">
        <v>13</v>
      </c>
      <c r="F3" s="21" t="s">
        <v>14</v>
      </c>
      <c r="G3" s="21" t="s">
        <v>15</v>
      </c>
    </row>
    <row r="4" spans="1:8" ht="30" x14ac:dyDescent="0.25">
      <c r="A4" s="10" t="s">
        <v>18</v>
      </c>
      <c r="B4" s="19" t="s">
        <v>16</v>
      </c>
      <c r="C4" s="19" t="s">
        <v>0</v>
      </c>
      <c r="D4" s="19" t="s">
        <v>1</v>
      </c>
      <c r="E4" s="19" t="s">
        <v>2</v>
      </c>
      <c r="F4" s="19" t="s">
        <v>3</v>
      </c>
      <c r="G4" s="19" t="s">
        <v>4</v>
      </c>
      <c r="H4" s="9" t="s">
        <v>19</v>
      </c>
    </row>
    <row r="5" spans="1:8" x14ac:dyDescent="0.25">
      <c r="A5" s="3">
        <v>50</v>
      </c>
      <c r="B5" s="15">
        <v>27.6</v>
      </c>
      <c r="C5" s="15">
        <v>30.3</v>
      </c>
      <c r="D5" s="15">
        <v>32.6</v>
      </c>
      <c r="E5" s="15">
        <v>30.3</v>
      </c>
      <c r="F5" s="15">
        <v>32.6</v>
      </c>
      <c r="G5" s="15">
        <v>38.6</v>
      </c>
      <c r="H5" s="16" t="s">
        <v>17</v>
      </c>
    </row>
    <row r="6" spans="1:8" x14ac:dyDescent="0.25">
      <c r="A6" s="3">
        <v>100</v>
      </c>
      <c r="B6" s="15">
        <v>33.1</v>
      </c>
      <c r="C6" s="15">
        <v>35.9</v>
      </c>
      <c r="D6" s="15">
        <v>38.6</v>
      </c>
      <c r="E6" s="15">
        <v>33.1</v>
      </c>
      <c r="F6" s="15">
        <v>38.6</v>
      </c>
      <c r="G6" s="15">
        <v>49.7</v>
      </c>
      <c r="H6" s="16" t="s">
        <v>17</v>
      </c>
    </row>
    <row r="7" spans="1:8" x14ac:dyDescent="0.25">
      <c r="A7" s="3">
        <v>150</v>
      </c>
      <c r="B7" s="15">
        <v>35.9</v>
      </c>
      <c r="C7" s="15">
        <v>38.6</v>
      </c>
      <c r="D7" s="15">
        <v>41.4</v>
      </c>
      <c r="E7" s="15">
        <v>35.9</v>
      </c>
      <c r="F7" s="15">
        <v>41.4</v>
      </c>
      <c r="G7" s="15">
        <v>52.4</v>
      </c>
      <c r="H7" s="16" t="s">
        <v>17</v>
      </c>
    </row>
    <row r="8" spans="1:8" x14ac:dyDescent="0.25">
      <c r="A8" s="3">
        <v>200</v>
      </c>
      <c r="B8" s="15">
        <v>38.6</v>
      </c>
      <c r="C8" s="15">
        <v>41.4</v>
      </c>
      <c r="D8" s="15">
        <v>43.6</v>
      </c>
      <c r="E8" s="15">
        <v>38.6</v>
      </c>
      <c r="F8" s="15">
        <v>44.1</v>
      </c>
      <c r="G8" s="15">
        <v>55.1</v>
      </c>
      <c r="H8" s="16" t="s">
        <v>17</v>
      </c>
    </row>
    <row r="9" spans="1:8" x14ac:dyDescent="0.25">
      <c r="A9" s="3">
        <v>250</v>
      </c>
      <c r="B9" s="15">
        <v>44.1</v>
      </c>
      <c r="C9" s="15">
        <v>46.9</v>
      </c>
      <c r="D9" s="15">
        <v>49.7</v>
      </c>
      <c r="E9" s="15">
        <v>46.9</v>
      </c>
      <c r="F9" s="15">
        <v>55.1</v>
      </c>
      <c r="G9" s="15">
        <v>66.2</v>
      </c>
      <c r="H9" s="16" t="s">
        <v>17</v>
      </c>
    </row>
    <row r="10" spans="1:8" x14ac:dyDescent="0.25">
      <c r="A10" s="3">
        <v>300</v>
      </c>
      <c r="B10" s="15">
        <v>49.7</v>
      </c>
      <c r="C10" s="15">
        <v>55.1</v>
      </c>
      <c r="D10" s="15">
        <v>60.7</v>
      </c>
      <c r="E10" s="15">
        <v>54.1</v>
      </c>
      <c r="F10" s="15">
        <v>66.2</v>
      </c>
      <c r="G10" s="15">
        <v>71.7</v>
      </c>
      <c r="H10" s="16" t="s">
        <v>17</v>
      </c>
    </row>
    <row r="11" spans="1:8" x14ac:dyDescent="0.25">
      <c r="A11" s="3">
        <v>350</v>
      </c>
      <c r="B11" s="15">
        <v>58</v>
      </c>
      <c r="C11" s="15">
        <v>60.7</v>
      </c>
      <c r="D11" s="15">
        <v>63.4</v>
      </c>
      <c r="E11" s="15">
        <v>60.7</v>
      </c>
      <c r="F11" s="15">
        <v>70.599999999999994</v>
      </c>
      <c r="G11" s="15">
        <v>84.9</v>
      </c>
      <c r="H11" s="16" t="s">
        <v>17</v>
      </c>
    </row>
    <row r="12" spans="1:8" x14ac:dyDescent="0.25">
      <c r="A12" s="3">
        <v>400</v>
      </c>
      <c r="B12" s="15">
        <v>66.2</v>
      </c>
      <c r="C12" s="15">
        <v>69</v>
      </c>
      <c r="D12" s="15">
        <v>70.599999999999994</v>
      </c>
      <c r="E12" s="15">
        <v>66.2</v>
      </c>
      <c r="F12" s="15">
        <v>75</v>
      </c>
      <c r="G12" s="15">
        <v>97</v>
      </c>
      <c r="H12" s="16" t="s">
        <v>17</v>
      </c>
    </row>
    <row r="13" spans="1:8" x14ac:dyDescent="0.25">
      <c r="A13" s="3">
        <v>450</v>
      </c>
      <c r="B13" s="15">
        <v>71.7</v>
      </c>
      <c r="C13" s="15">
        <v>74.400000000000006</v>
      </c>
      <c r="D13" s="15">
        <v>79.400000000000006</v>
      </c>
      <c r="E13" s="15">
        <v>77.2</v>
      </c>
      <c r="F13" s="15">
        <v>83.8</v>
      </c>
      <c r="G13" s="15">
        <v>110.3</v>
      </c>
      <c r="H13" s="16" t="s">
        <v>17</v>
      </c>
    </row>
    <row r="14" spans="1:8" x14ac:dyDescent="0.25">
      <c r="A14" s="3">
        <v>500</v>
      </c>
      <c r="B14" s="15">
        <v>77.2</v>
      </c>
      <c r="C14" s="15">
        <v>82.7</v>
      </c>
      <c r="D14" s="15">
        <v>88.2</v>
      </c>
      <c r="E14" s="15">
        <v>85.5</v>
      </c>
      <c r="F14" s="15">
        <v>93.8</v>
      </c>
      <c r="G14" s="15">
        <v>121.3</v>
      </c>
      <c r="H14" s="16" t="s">
        <v>17</v>
      </c>
    </row>
    <row r="15" spans="1:8" x14ac:dyDescent="0.25">
      <c r="A15" s="3">
        <v>600</v>
      </c>
      <c r="B15" s="15">
        <v>92.6</v>
      </c>
      <c r="C15" s="15">
        <v>99.2</v>
      </c>
      <c r="D15" s="15">
        <v>105.8</v>
      </c>
      <c r="E15" s="15">
        <v>104.8</v>
      </c>
      <c r="F15" s="15">
        <v>112.5</v>
      </c>
      <c r="G15" s="15">
        <v>138.9</v>
      </c>
      <c r="H15" s="16" t="s">
        <v>17</v>
      </c>
    </row>
    <row r="16" spans="1:8" x14ac:dyDescent="0.25">
      <c r="A16" s="3">
        <v>700</v>
      </c>
      <c r="B16" s="15">
        <v>108</v>
      </c>
      <c r="C16" s="15">
        <v>115.8</v>
      </c>
      <c r="D16" s="15">
        <v>123.5</v>
      </c>
      <c r="E16" s="15">
        <v>121.3</v>
      </c>
      <c r="F16" s="15">
        <v>131.30000000000001</v>
      </c>
      <c r="G16" s="15">
        <v>162.1</v>
      </c>
      <c r="H16" s="16" t="s">
        <v>17</v>
      </c>
    </row>
    <row r="17" spans="1:8" x14ac:dyDescent="0.25">
      <c r="A17" s="3">
        <v>800</v>
      </c>
      <c r="B17" s="15">
        <v>123.5</v>
      </c>
      <c r="C17" s="15">
        <v>132.30000000000001</v>
      </c>
      <c r="D17" s="15">
        <v>141.1</v>
      </c>
      <c r="E17" s="15">
        <v>137.9</v>
      </c>
      <c r="F17" s="15">
        <v>149.9</v>
      </c>
      <c r="G17" s="15">
        <v>185.2</v>
      </c>
      <c r="H17" s="16" t="s">
        <v>17</v>
      </c>
    </row>
    <row r="18" spans="1:8" x14ac:dyDescent="0.25">
      <c r="A18" s="3">
        <v>900</v>
      </c>
      <c r="B18" s="15">
        <v>138.9</v>
      </c>
      <c r="C18" s="15">
        <v>148.9</v>
      </c>
      <c r="D18" s="15">
        <v>158.80000000000001</v>
      </c>
      <c r="E18" s="15">
        <v>154.4</v>
      </c>
      <c r="F18" s="15">
        <v>168.7</v>
      </c>
      <c r="G18" s="15">
        <v>208.4</v>
      </c>
      <c r="H18" s="16" t="s">
        <v>17</v>
      </c>
    </row>
    <row r="19" spans="1:8" x14ac:dyDescent="0.25">
      <c r="A19" s="3">
        <v>1000</v>
      </c>
      <c r="B19" s="15">
        <v>154.4</v>
      </c>
      <c r="C19" s="15">
        <v>165.4</v>
      </c>
      <c r="D19" s="15">
        <v>176.4</v>
      </c>
      <c r="E19" s="15">
        <v>165.4</v>
      </c>
      <c r="F19" s="15">
        <v>187.4</v>
      </c>
      <c r="G19" s="15">
        <v>231.5</v>
      </c>
      <c r="H19" s="16" t="s">
        <v>17</v>
      </c>
    </row>
    <row r="20" spans="1:8" x14ac:dyDescent="0.25">
      <c r="A20" s="3">
        <v>1250</v>
      </c>
      <c r="B20" s="15">
        <v>182</v>
      </c>
      <c r="C20" s="15">
        <v>193</v>
      </c>
      <c r="D20" s="15">
        <v>204</v>
      </c>
      <c r="E20" s="15">
        <v>215</v>
      </c>
      <c r="F20" s="15">
        <v>226.1</v>
      </c>
      <c r="G20" s="15">
        <v>264.60000000000002</v>
      </c>
      <c r="H20" s="16" t="s">
        <v>17</v>
      </c>
    </row>
    <row r="21" spans="1:8" x14ac:dyDescent="0.25">
      <c r="A21" s="3">
        <v>1500</v>
      </c>
      <c r="B21" s="15">
        <v>209.5</v>
      </c>
      <c r="C21" s="15">
        <v>220.5</v>
      </c>
      <c r="D21" s="15">
        <v>231.5</v>
      </c>
      <c r="E21" s="15">
        <v>242.6</v>
      </c>
      <c r="F21" s="15">
        <v>259.10000000000002</v>
      </c>
      <c r="G21" s="15">
        <v>297.7</v>
      </c>
      <c r="H21" s="16" t="s">
        <v>17</v>
      </c>
    </row>
    <row r="22" spans="1:8" x14ac:dyDescent="0.25">
      <c r="A22" s="3">
        <v>1750</v>
      </c>
      <c r="B22" s="15">
        <v>237.1</v>
      </c>
      <c r="C22" s="15">
        <v>248.1</v>
      </c>
      <c r="D22" s="15">
        <v>259.10000000000002</v>
      </c>
      <c r="E22" s="15">
        <v>275.60000000000002</v>
      </c>
      <c r="F22" s="15">
        <v>303.2</v>
      </c>
      <c r="G22" s="15">
        <v>358.4</v>
      </c>
      <c r="H22" s="16" t="s">
        <v>17</v>
      </c>
    </row>
    <row r="23" spans="1:8" x14ac:dyDescent="0.25">
      <c r="A23" s="3">
        <v>2000</v>
      </c>
      <c r="B23" s="15">
        <v>264.60000000000002</v>
      </c>
      <c r="C23" s="15">
        <v>275.60000000000002</v>
      </c>
      <c r="D23" s="15">
        <v>286.7</v>
      </c>
      <c r="E23" s="15">
        <v>303.2</v>
      </c>
      <c r="F23" s="15">
        <v>325.3</v>
      </c>
      <c r="G23" s="15">
        <v>396.9</v>
      </c>
      <c r="H23" s="16" t="s">
        <v>17</v>
      </c>
    </row>
    <row r="24" spans="1:8" x14ac:dyDescent="0.25">
      <c r="A24" s="3">
        <v>2500</v>
      </c>
      <c r="B24" s="15">
        <v>319.7</v>
      </c>
      <c r="C24" s="15">
        <v>330.8</v>
      </c>
      <c r="D24" s="15">
        <v>347.3</v>
      </c>
      <c r="E24" s="15">
        <v>363.8</v>
      </c>
      <c r="F24" s="15">
        <v>385.9</v>
      </c>
      <c r="G24" s="15">
        <v>479.6</v>
      </c>
      <c r="H24" s="16" t="s">
        <v>17</v>
      </c>
    </row>
    <row r="25" spans="1:8" x14ac:dyDescent="0.25">
      <c r="A25" s="3">
        <v>3000</v>
      </c>
      <c r="B25" s="15">
        <v>358.4</v>
      </c>
      <c r="C25" s="15">
        <v>385.9</v>
      </c>
      <c r="D25" s="15">
        <v>413.5</v>
      </c>
      <c r="E25" s="15">
        <v>441</v>
      </c>
      <c r="F25" s="15">
        <v>468.6</v>
      </c>
      <c r="G25" s="15">
        <v>545.79999999999995</v>
      </c>
      <c r="H25" s="16" t="s">
        <v>17</v>
      </c>
    </row>
    <row r="26" spans="1:8" x14ac:dyDescent="0.25">
      <c r="A26" s="3">
        <v>5000</v>
      </c>
      <c r="B26" s="15">
        <v>435.5</v>
      </c>
      <c r="C26" s="15">
        <v>468.6</v>
      </c>
      <c r="D26" s="15">
        <v>496.1</v>
      </c>
      <c r="E26" s="15">
        <v>523.70000000000005</v>
      </c>
      <c r="F26" s="15">
        <v>523.70000000000005</v>
      </c>
      <c r="G26" s="15">
        <v>656</v>
      </c>
      <c r="H26" s="16" t="s">
        <v>17</v>
      </c>
    </row>
    <row r="27" spans="1:8" x14ac:dyDescent="0.25">
      <c r="A27" s="3">
        <v>7000</v>
      </c>
      <c r="B27" s="15">
        <v>496.1</v>
      </c>
      <c r="C27" s="15">
        <v>551.29999999999995</v>
      </c>
      <c r="D27" s="15">
        <v>578.9</v>
      </c>
      <c r="E27" s="15">
        <v>606.4</v>
      </c>
      <c r="F27" s="15">
        <v>606.4</v>
      </c>
      <c r="G27" s="15">
        <v>766.3</v>
      </c>
      <c r="H27" s="16" t="s">
        <v>17</v>
      </c>
    </row>
    <row r="28" spans="1:8" x14ac:dyDescent="0.25">
      <c r="A28" s="3">
        <v>10000</v>
      </c>
      <c r="B28" s="15">
        <v>551.29999999999995</v>
      </c>
      <c r="C28" s="15">
        <v>578.9</v>
      </c>
      <c r="D28" s="15">
        <v>606.4</v>
      </c>
      <c r="E28" s="15">
        <v>744.2</v>
      </c>
      <c r="F28" s="15">
        <v>744.2</v>
      </c>
      <c r="G28" s="15">
        <v>826.9</v>
      </c>
      <c r="H28" s="16" t="s">
        <v>17</v>
      </c>
    </row>
    <row r="29" spans="1:8" x14ac:dyDescent="0.25">
      <c r="A29" s="3">
        <v>15000</v>
      </c>
      <c r="B29" s="15">
        <v>661.5</v>
      </c>
      <c r="C29" s="15">
        <v>689.1</v>
      </c>
      <c r="D29" s="15">
        <v>716.6</v>
      </c>
      <c r="E29" s="15">
        <v>854.5</v>
      </c>
      <c r="F29" s="15">
        <v>854.5</v>
      </c>
      <c r="G29" s="15">
        <v>1075</v>
      </c>
      <c r="H29" s="16" t="s">
        <v>17</v>
      </c>
    </row>
    <row r="30" spans="1:8" x14ac:dyDescent="0.25">
      <c r="A30" s="3">
        <v>17000</v>
      </c>
      <c r="B30" s="15">
        <v>716.6</v>
      </c>
      <c r="C30" s="15">
        <v>744.2</v>
      </c>
      <c r="D30" s="15">
        <v>766.3</v>
      </c>
      <c r="E30" s="15">
        <v>937.1</v>
      </c>
      <c r="F30" s="15">
        <v>937.1</v>
      </c>
      <c r="G30" s="15">
        <v>1097</v>
      </c>
      <c r="H30" s="16" t="s">
        <v>17</v>
      </c>
    </row>
    <row r="31" spans="1:8" x14ac:dyDescent="0.25">
      <c r="A31" s="3">
        <v>20000</v>
      </c>
      <c r="B31" s="15">
        <v>766.3</v>
      </c>
      <c r="C31" s="15">
        <v>826.9</v>
      </c>
      <c r="D31" s="15">
        <v>876.5</v>
      </c>
      <c r="E31" s="15">
        <v>1075</v>
      </c>
      <c r="F31" s="15">
        <v>1075</v>
      </c>
      <c r="G31" s="15">
        <v>1212.8</v>
      </c>
      <c r="H31" s="16" t="s">
        <v>17</v>
      </c>
    </row>
    <row r="32" spans="1:8" x14ac:dyDescent="0.25">
      <c r="A32" t="s">
        <v>31</v>
      </c>
    </row>
    <row r="33" spans="1:5" ht="27.75" customHeight="1" x14ac:dyDescent="0.25">
      <c r="A33" s="24" t="s">
        <v>21</v>
      </c>
      <c r="B33" s="24"/>
      <c r="C33" s="24"/>
      <c r="D33" s="24"/>
      <c r="E33" s="24"/>
    </row>
    <row r="34" spans="1:5" ht="84" customHeight="1" x14ac:dyDescent="0.25">
      <c r="A34" s="11"/>
      <c r="B34" s="12" t="s">
        <v>22</v>
      </c>
      <c r="C34" s="12" t="s">
        <v>23</v>
      </c>
      <c r="D34" s="12" t="s">
        <v>24</v>
      </c>
      <c r="E34" s="12" t="s">
        <v>25</v>
      </c>
    </row>
    <row r="35" spans="1:5" ht="27" customHeight="1" x14ac:dyDescent="0.25">
      <c r="A35" s="13" t="s">
        <v>26</v>
      </c>
      <c r="B35" s="22" t="s">
        <v>32</v>
      </c>
      <c r="C35" s="22" t="s">
        <v>32</v>
      </c>
      <c r="D35" s="22" t="s">
        <v>32</v>
      </c>
      <c r="E35" s="14">
        <v>15</v>
      </c>
    </row>
    <row r="36" spans="1:5" ht="26.25" customHeight="1" x14ac:dyDescent="0.25">
      <c r="A36" s="13" t="s">
        <v>27</v>
      </c>
      <c r="B36" s="22" t="s">
        <v>32</v>
      </c>
      <c r="C36" s="22" t="s">
        <v>32</v>
      </c>
      <c r="D36" s="22" t="s">
        <v>32</v>
      </c>
      <c r="E36" s="14">
        <v>95</v>
      </c>
    </row>
    <row r="37" spans="1:5" x14ac:dyDescent="0.25">
      <c r="A37" s="8" t="s">
        <v>33</v>
      </c>
      <c r="C37" s="1" t="s">
        <v>34</v>
      </c>
    </row>
  </sheetData>
  <mergeCells count="3">
    <mergeCell ref="A33:E33"/>
    <mergeCell ref="A1:H1"/>
    <mergeCell ref="A2:H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showGridLines="0" topLeftCell="G1" workbookViewId="0">
      <selection activeCell="Q12" sqref="Q12"/>
    </sheetView>
  </sheetViews>
  <sheetFormatPr baseColWidth="10" defaultRowHeight="15" x14ac:dyDescent="0.25"/>
  <cols>
    <col min="1" max="1" width="13.42578125" hidden="1" customWidth="1"/>
    <col min="2" max="2" width="13.42578125" style="1" hidden="1" customWidth="1"/>
    <col min="3" max="6" width="0" hidden="1" customWidth="1"/>
    <col min="10" max="12" width="0" hidden="1" customWidth="1"/>
  </cols>
  <sheetData>
    <row r="1" spans="1:12" ht="58.5" customHeight="1" x14ac:dyDescent="0.25">
      <c r="A1" s="27" t="s">
        <v>5</v>
      </c>
      <c r="B1" s="28"/>
      <c r="D1" s="27" t="s">
        <v>6</v>
      </c>
      <c r="E1" s="28"/>
      <c r="G1" s="29" t="s">
        <v>20</v>
      </c>
      <c r="H1" s="30"/>
      <c r="J1" s="27" t="s">
        <v>7</v>
      </c>
      <c r="K1" s="27"/>
      <c r="L1" s="27"/>
    </row>
    <row r="2" spans="1:12" x14ac:dyDescent="0.25">
      <c r="A2" s="2"/>
      <c r="B2" s="2"/>
      <c r="D2" s="2"/>
      <c r="E2" s="2"/>
      <c r="G2" s="7" t="s">
        <v>29</v>
      </c>
      <c r="H2" s="7" t="s">
        <v>8</v>
      </c>
      <c r="J2" s="2"/>
      <c r="K2" s="2" t="s">
        <v>8</v>
      </c>
      <c r="L2" s="5" t="s">
        <v>9</v>
      </c>
    </row>
    <row r="3" spans="1:12" x14ac:dyDescent="0.25">
      <c r="A3" s="3">
        <v>50</v>
      </c>
      <c r="B3" s="1">
        <v>1.07</v>
      </c>
      <c r="D3" s="3">
        <v>50</v>
      </c>
      <c r="E3" s="1">
        <f>B3*1.02</f>
        <v>1.0914000000000001</v>
      </c>
      <c r="G3" s="3">
        <v>50</v>
      </c>
      <c r="H3" s="17"/>
      <c r="J3" s="3">
        <v>50</v>
      </c>
      <c r="K3" s="1">
        <f>H3-B3</f>
        <v>-1.07</v>
      </c>
      <c r="L3" s="6">
        <f>K3/B3</f>
        <v>-1</v>
      </c>
    </row>
    <row r="4" spans="1:12" x14ac:dyDescent="0.25">
      <c r="A4" s="3">
        <v>100</v>
      </c>
      <c r="B4" s="4">
        <v>1.07</v>
      </c>
      <c r="D4" s="3">
        <v>100</v>
      </c>
      <c r="E4" s="1">
        <f t="shared" ref="E4:E28" si="0">B4*1.02</f>
        <v>1.0914000000000001</v>
      </c>
      <c r="G4" s="3">
        <v>100</v>
      </c>
      <c r="H4" s="18"/>
      <c r="J4" s="3">
        <v>100</v>
      </c>
      <c r="K4" s="1">
        <f t="shared" ref="K4:K28" si="1">H4-B4</f>
        <v>-1.07</v>
      </c>
      <c r="L4" s="6">
        <f t="shared" ref="L4:L28" si="2">K4/B4</f>
        <v>-1</v>
      </c>
    </row>
    <row r="5" spans="1:12" x14ac:dyDescent="0.25">
      <c r="A5" s="3">
        <v>200</v>
      </c>
      <c r="B5" s="1">
        <v>1.31</v>
      </c>
      <c r="D5" s="3">
        <v>200</v>
      </c>
      <c r="E5" s="1">
        <f t="shared" si="0"/>
        <v>1.3362000000000001</v>
      </c>
      <c r="G5" s="3">
        <v>200</v>
      </c>
      <c r="H5" s="17"/>
      <c r="J5" s="3">
        <v>200</v>
      </c>
      <c r="K5" s="1">
        <f t="shared" si="1"/>
        <v>-1.31</v>
      </c>
      <c r="L5" s="6">
        <f t="shared" si="2"/>
        <v>-1</v>
      </c>
    </row>
    <row r="6" spans="1:12" x14ac:dyDescent="0.25">
      <c r="A6" s="3">
        <v>300</v>
      </c>
      <c r="B6" s="4">
        <v>2.1800000000000002</v>
      </c>
      <c r="D6" s="3">
        <v>300</v>
      </c>
      <c r="E6" s="1">
        <f t="shared" si="0"/>
        <v>2.2236000000000002</v>
      </c>
      <c r="G6" s="3">
        <v>300</v>
      </c>
      <c r="H6" s="18"/>
      <c r="J6" s="3">
        <v>300</v>
      </c>
      <c r="K6" s="1">
        <f t="shared" si="1"/>
        <v>-2.1800000000000002</v>
      </c>
      <c r="L6" s="6">
        <f t="shared" si="2"/>
        <v>-1</v>
      </c>
    </row>
    <row r="7" spans="1:12" x14ac:dyDescent="0.25">
      <c r="A7" s="3">
        <v>400</v>
      </c>
      <c r="B7" s="1">
        <v>3.05</v>
      </c>
      <c r="D7" s="3">
        <v>400</v>
      </c>
      <c r="E7" s="1">
        <f t="shared" si="0"/>
        <v>3.1109999999999998</v>
      </c>
      <c r="G7" s="3">
        <v>400</v>
      </c>
      <c r="H7" s="17"/>
      <c r="J7" s="3">
        <v>400</v>
      </c>
      <c r="K7" s="1">
        <f t="shared" si="1"/>
        <v>-3.05</v>
      </c>
      <c r="L7" s="6">
        <f t="shared" si="2"/>
        <v>-1</v>
      </c>
    </row>
    <row r="8" spans="1:12" x14ac:dyDescent="0.25">
      <c r="A8" s="3">
        <v>500</v>
      </c>
      <c r="B8" s="4">
        <v>3.92</v>
      </c>
      <c r="D8" s="3">
        <v>500</v>
      </c>
      <c r="E8" s="1">
        <f t="shared" si="0"/>
        <v>3.9984000000000002</v>
      </c>
      <c r="G8" s="3">
        <v>500</v>
      </c>
      <c r="H8" s="18"/>
      <c r="J8" s="3">
        <v>500</v>
      </c>
      <c r="K8" s="1">
        <f t="shared" si="1"/>
        <v>-3.92</v>
      </c>
      <c r="L8" s="6">
        <f t="shared" si="2"/>
        <v>-1</v>
      </c>
    </row>
    <row r="9" spans="1:12" x14ac:dyDescent="0.25">
      <c r="A9" s="3">
        <v>600</v>
      </c>
      <c r="B9" s="1">
        <v>4.79</v>
      </c>
      <c r="D9" s="3">
        <v>600</v>
      </c>
      <c r="E9" s="1">
        <f t="shared" si="0"/>
        <v>4.8857999999999997</v>
      </c>
      <c r="G9" s="3">
        <v>600</v>
      </c>
      <c r="H9" s="17"/>
      <c r="J9" s="3">
        <v>600</v>
      </c>
      <c r="K9" s="1">
        <f t="shared" si="1"/>
        <v>-4.79</v>
      </c>
      <c r="L9" s="6">
        <f t="shared" si="2"/>
        <v>-1</v>
      </c>
    </row>
    <row r="10" spans="1:12" x14ac:dyDescent="0.25">
      <c r="A10" s="3">
        <v>700</v>
      </c>
      <c r="B10" s="4">
        <v>5.66</v>
      </c>
      <c r="D10" s="3">
        <v>700</v>
      </c>
      <c r="E10" s="1">
        <f t="shared" si="0"/>
        <v>5.7732000000000001</v>
      </c>
      <c r="G10" s="3">
        <v>700</v>
      </c>
      <c r="H10" s="18"/>
      <c r="J10" s="3">
        <v>700</v>
      </c>
      <c r="K10" s="1">
        <f t="shared" si="1"/>
        <v>-5.66</v>
      </c>
      <c r="L10" s="6">
        <f t="shared" si="2"/>
        <v>-1</v>
      </c>
    </row>
    <row r="11" spans="1:12" x14ac:dyDescent="0.25">
      <c r="A11" s="3">
        <v>800</v>
      </c>
      <c r="B11" s="1">
        <v>6.54</v>
      </c>
      <c r="D11" s="3">
        <v>800</v>
      </c>
      <c r="E11" s="1">
        <f t="shared" si="0"/>
        <v>6.6707999999999998</v>
      </c>
      <c r="G11" s="3">
        <v>800</v>
      </c>
      <c r="H11" s="17"/>
      <c r="J11" s="3">
        <v>800</v>
      </c>
      <c r="K11" s="1">
        <f t="shared" si="1"/>
        <v>-6.54</v>
      </c>
      <c r="L11" s="6">
        <f t="shared" si="2"/>
        <v>-1</v>
      </c>
    </row>
    <row r="12" spans="1:12" x14ac:dyDescent="0.25">
      <c r="A12" s="3">
        <v>900</v>
      </c>
      <c r="B12" s="4">
        <v>7.4</v>
      </c>
      <c r="D12" s="3">
        <v>900</v>
      </c>
      <c r="E12" s="1">
        <f t="shared" si="0"/>
        <v>7.5480000000000009</v>
      </c>
      <c r="G12" s="3">
        <v>900</v>
      </c>
      <c r="H12" s="18"/>
      <c r="J12" s="3">
        <v>900</v>
      </c>
      <c r="K12" s="1">
        <f t="shared" si="1"/>
        <v>-7.4</v>
      </c>
      <c r="L12" s="6">
        <f t="shared" si="2"/>
        <v>-1</v>
      </c>
    </row>
    <row r="13" spans="1:12" x14ac:dyDescent="0.25">
      <c r="A13" s="3">
        <v>1000</v>
      </c>
      <c r="B13" s="1">
        <v>8.27</v>
      </c>
      <c r="D13" s="3">
        <v>1000</v>
      </c>
      <c r="E13" s="1">
        <f t="shared" si="0"/>
        <v>8.4353999999999996</v>
      </c>
      <c r="G13" s="3">
        <v>1000</v>
      </c>
      <c r="H13" s="17"/>
      <c r="J13" s="3">
        <v>1000</v>
      </c>
      <c r="K13" s="1">
        <f t="shared" si="1"/>
        <v>-8.27</v>
      </c>
      <c r="L13" s="6">
        <f t="shared" si="2"/>
        <v>-1</v>
      </c>
    </row>
    <row r="14" spans="1:12" x14ac:dyDescent="0.25">
      <c r="A14" s="3">
        <v>1250</v>
      </c>
      <c r="B14" s="4">
        <v>9.8000000000000007</v>
      </c>
      <c r="D14" s="3">
        <v>1250</v>
      </c>
      <c r="E14" s="1">
        <f t="shared" si="0"/>
        <v>9.9960000000000004</v>
      </c>
      <c r="G14" s="3">
        <v>1250</v>
      </c>
      <c r="H14" s="18"/>
      <c r="J14" s="3">
        <v>1250</v>
      </c>
      <c r="K14" s="1">
        <f t="shared" si="1"/>
        <v>-9.8000000000000007</v>
      </c>
      <c r="L14" s="6">
        <f t="shared" si="2"/>
        <v>-1</v>
      </c>
    </row>
    <row r="15" spans="1:12" x14ac:dyDescent="0.25">
      <c r="A15" s="3">
        <v>1500</v>
      </c>
      <c r="B15" s="1">
        <v>11.97</v>
      </c>
      <c r="D15" s="3">
        <v>1500</v>
      </c>
      <c r="E15" s="1">
        <f t="shared" si="0"/>
        <v>12.2094</v>
      </c>
      <c r="G15" s="3">
        <v>1500</v>
      </c>
      <c r="H15" s="17"/>
      <c r="J15" s="3">
        <v>1500</v>
      </c>
      <c r="K15" s="1">
        <f t="shared" si="1"/>
        <v>-11.97</v>
      </c>
      <c r="L15" s="6">
        <f t="shared" si="2"/>
        <v>-1</v>
      </c>
    </row>
    <row r="16" spans="1:12" x14ac:dyDescent="0.25">
      <c r="A16" s="3">
        <v>2000</v>
      </c>
      <c r="B16" s="4">
        <v>15.25</v>
      </c>
      <c r="D16" s="3">
        <v>2000</v>
      </c>
      <c r="E16" s="1">
        <f t="shared" si="0"/>
        <v>15.555</v>
      </c>
      <c r="G16" s="3">
        <v>2000</v>
      </c>
      <c r="H16" s="18"/>
      <c r="J16" s="3">
        <v>2000</v>
      </c>
      <c r="K16" s="1">
        <f t="shared" si="1"/>
        <v>-15.25</v>
      </c>
      <c r="L16" s="6">
        <f t="shared" si="2"/>
        <v>-1</v>
      </c>
    </row>
    <row r="17" spans="1:12" x14ac:dyDescent="0.25">
      <c r="A17" s="3">
        <v>2500</v>
      </c>
      <c r="B17" s="1">
        <v>19.600000000000001</v>
      </c>
      <c r="D17" s="3">
        <v>2500</v>
      </c>
      <c r="E17" s="1">
        <f t="shared" si="0"/>
        <v>19.992000000000001</v>
      </c>
      <c r="G17" s="3">
        <v>2500</v>
      </c>
      <c r="H17" s="17"/>
      <c r="J17" s="3">
        <v>2500</v>
      </c>
      <c r="K17" s="1">
        <f t="shared" si="1"/>
        <v>-19.600000000000001</v>
      </c>
      <c r="L17" s="6">
        <f t="shared" si="2"/>
        <v>-1</v>
      </c>
    </row>
    <row r="18" spans="1:12" x14ac:dyDescent="0.25">
      <c r="A18" s="3">
        <v>3000</v>
      </c>
      <c r="B18" s="4">
        <v>23.96</v>
      </c>
      <c r="D18" s="3">
        <v>3000</v>
      </c>
      <c r="E18" s="1">
        <f t="shared" si="0"/>
        <v>24.4392</v>
      </c>
      <c r="G18" s="3">
        <v>3000</v>
      </c>
      <c r="H18" s="18"/>
      <c r="J18" s="3">
        <v>3000</v>
      </c>
      <c r="K18" s="1">
        <f t="shared" si="1"/>
        <v>-23.96</v>
      </c>
      <c r="L18" s="6">
        <f t="shared" si="2"/>
        <v>-1</v>
      </c>
    </row>
    <row r="19" spans="1:12" x14ac:dyDescent="0.25">
      <c r="A19" s="3">
        <v>4000</v>
      </c>
      <c r="B19" s="1">
        <v>20.34</v>
      </c>
      <c r="D19" s="3">
        <v>4000</v>
      </c>
      <c r="E19" s="1">
        <f t="shared" si="0"/>
        <v>20.7468</v>
      </c>
      <c r="G19" s="3">
        <v>4000</v>
      </c>
      <c r="H19" s="17"/>
      <c r="J19" s="3">
        <v>4000</v>
      </c>
      <c r="K19" s="1">
        <f t="shared" si="1"/>
        <v>-20.34</v>
      </c>
      <c r="L19" s="6">
        <f t="shared" si="2"/>
        <v>-1</v>
      </c>
    </row>
    <row r="20" spans="1:12" x14ac:dyDescent="0.25">
      <c r="A20" s="3">
        <v>5000</v>
      </c>
      <c r="B20" s="4">
        <v>26.15</v>
      </c>
      <c r="D20" s="3">
        <v>5000</v>
      </c>
      <c r="E20" s="1">
        <f t="shared" si="0"/>
        <v>26.672999999999998</v>
      </c>
      <c r="G20" s="3">
        <v>5000</v>
      </c>
      <c r="H20" s="18"/>
      <c r="J20" s="3">
        <v>5000</v>
      </c>
      <c r="K20" s="1">
        <f t="shared" si="1"/>
        <v>-26.15</v>
      </c>
      <c r="L20" s="6">
        <f t="shared" si="2"/>
        <v>-1</v>
      </c>
    </row>
    <row r="21" spans="1:12" x14ac:dyDescent="0.25">
      <c r="A21" s="3">
        <v>6000</v>
      </c>
      <c r="B21" s="1">
        <v>31.96</v>
      </c>
      <c r="D21" s="3">
        <v>6000</v>
      </c>
      <c r="E21" s="1">
        <f t="shared" si="0"/>
        <v>32.599200000000003</v>
      </c>
      <c r="G21" s="3">
        <v>6000</v>
      </c>
      <c r="H21" s="17"/>
      <c r="J21" s="3">
        <v>6000</v>
      </c>
      <c r="K21" s="1">
        <f t="shared" si="1"/>
        <v>-31.96</v>
      </c>
      <c r="L21" s="6">
        <f t="shared" si="2"/>
        <v>-1</v>
      </c>
    </row>
    <row r="22" spans="1:12" x14ac:dyDescent="0.25">
      <c r="A22" s="3">
        <v>7000</v>
      </c>
      <c r="B22" s="4">
        <v>37.770000000000003</v>
      </c>
      <c r="D22" s="3">
        <v>7000</v>
      </c>
      <c r="E22" s="1">
        <f t="shared" si="0"/>
        <v>38.525400000000005</v>
      </c>
      <c r="G22" s="3">
        <v>7000</v>
      </c>
      <c r="H22" s="18"/>
      <c r="J22" s="3">
        <v>7000</v>
      </c>
      <c r="K22" s="1">
        <f t="shared" si="1"/>
        <v>-37.770000000000003</v>
      </c>
      <c r="L22" s="6">
        <f t="shared" si="2"/>
        <v>-1</v>
      </c>
    </row>
    <row r="23" spans="1:12" x14ac:dyDescent="0.25">
      <c r="A23" s="3">
        <v>8000</v>
      </c>
      <c r="B23" s="1">
        <v>43.58</v>
      </c>
      <c r="D23" s="3">
        <v>8000</v>
      </c>
      <c r="E23" s="1">
        <f t="shared" si="0"/>
        <v>44.451599999999999</v>
      </c>
      <c r="G23" s="3">
        <v>8000</v>
      </c>
      <c r="H23" s="17"/>
      <c r="J23" s="3">
        <v>8000</v>
      </c>
      <c r="K23" s="1">
        <f t="shared" si="1"/>
        <v>-43.58</v>
      </c>
      <c r="L23" s="6">
        <f t="shared" si="2"/>
        <v>-1</v>
      </c>
    </row>
    <row r="24" spans="1:12" x14ac:dyDescent="0.25">
      <c r="A24" s="3">
        <v>9000</v>
      </c>
      <c r="B24" s="4">
        <v>49.39</v>
      </c>
      <c r="D24" s="3">
        <v>9000</v>
      </c>
      <c r="E24" s="1">
        <f t="shared" si="0"/>
        <v>50.377800000000001</v>
      </c>
      <c r="G24" s="3">
        <v>9000</v>
      </c>
      <c r="H24" s="18"/>
      <c r="J24" s="3">
        <v>9000</v>
      </c>
      <c r="K24" s="1">
        <f t="shared" si="1"/>
        <v>-49.39</v>
      </c>
      <c r="L24" s="6">
        <f t="shared" si="2"/>
        <v>-1</v>
      </c>
    </row>
    <row r="25" spans="1:12" x14ac:dyDescent="0.25">
      <c r="A25" s="3">
        <v>10000</v>
      </c>
      <c r="B25" s="1">
        <v>55.2</v>
      </c>
      <c r="D25" s="3">
        <v>10000</v>
      </c>
      <c r="E25" s="1">
        <f t="shared" si="0"/>
        <v>56.304000000000002</v>
      </c>
      <c r="G25" s="3">
        <v>10000</v>
      </c>
      <c r="H25" s="17"/>
      <c r="J25" s="3">
        <v>10000</v>
      </c>
      <c r="K25" s="1">
        <f t="shared" si="1"/>
        <v>-55.2</v>
      </c>
      <c r="L25" s="6">
        <f t="shared" si="2"/>
        <v>-1</v>
      </c>
    </row>
    <row r="26" spans="1:12" x14ac:dyDescent="0.25">
      <c r="A26" s="3">
        <v>11000</v>
      </c>
      <c r="B26" s="4">
        <v>61.01</v>
      </c>
      <c r="D26" s="3">
        <v>11000</v>
      </c>
      <c r="E26" s="1">
        <f t="shared" si="0"/>
        <v>62.230199999999996</v>
      </c>
      <c r="G26" s="3">
        <v>11000</v>
      </c>
      <c r="H26" s="18"/>
      <c r="J26" s="3">
        <v>11000</v>
      </c>
      <c r="K26" s="1">
        <f t="shared" si="1"/>
        <v>-61.01</v>
      </c>
      <c r="L26" s="6">
        <f t="shared" si="2"/>
        <v>-1</v>
      </c>
    </row>
    <row r="27" spans="1:12" x14ac:dyDescent="0.25">
      <c r="A27" s="3">
        <v>12000</v>
      </c>
      <c r="B27" s="1">
        <v>66.819999999999993</v>
      </c>
      <c r="D27" s="3">
        <v>12000</v>
      </c>
      <c r="E27" s="1">
        <f t="shared" si="0"/>
        <v>68.156399999999991</v>
      </c>
      <c r="G27" s="3">
        <v>12000</v>
      </c>
      <c r="H27" s="17"/>
      <c r="J27" s="3">
        <v>12000</v>
      </c>
      <c r="K27" s="1">
        <f t="shared" si="1"/>
        <v>-66.819999999999993</v>
      </c>
      <c r="L27" s="6">
        <f t="shared" si="2"/>
        <v>-1</v>
      </c>
    </row>
    <row r="28" spans="1:12" x14ac:dyDescent="0.25">
      <c r="A28" s="3">
        <v>24000</v>
      </c>
      <c r="B28" s="4">
        <v>69.66</v>
      </c>
      <c r="D28" s="3">
        <v>24000</v>
      </c>
      <c r="E28" s="1">
        <f t="shared" si="0"/>
        <v>71.053200000000004</v>
      </c>
      <c r="G28" s="3">
        <v>24000</v>
      </c>
      <c r="H28" s="18"/>
      <c r="J28" s="3">
        <v>24000</v>
      </c>
      <c r="K28" s="1">
        <f t="shared" si="1"/>
        <v>-69.66</v>
      </c>
      <c r="L28" s="6">
        <f t="shared" si="2"/>
        <v>-1</v>
      </c>
    </row>
  </sheetData>
  <mergeCells count="4">
    <mergeCell ref="A1:B1"/>
    <mergeCell ref="D1:E1"/>
    <mergeCell ref="G1:H1"/>
    <mergeCell ref="J1:L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28"/>
  <sheetViews>
    <sheetView workbookViewId="0">
      <selection activeCell="Q12" sqref="Q12"/>
    </sheetView>
  </sheetViews>
  <sheetFormatPr baseColWidth="10" defaultRowHeight="15" x14ac:dyDescent="0.25"/>
  <sheetData>
    <row r="2" spans="2:14" x14ac:dyDescent="0.25">
      <c r="B2" s="23"/>
      <c r="C2" s="23"/>
      <c r="D2" s="23"/>
      <c r="E2" s="23"/>
      <c r="F2" s="23"/>
      <c r="G2" s="23"/>
      <c r="I2" s="23"/>
      <c r="J2" s="23"/>
      <c r="K2" s="23"/>
      <c r="L2" s="23"/>
      <c r="M2" s="23"/>
      <c r="N2" s="23"/>
    </row>
    <row r="3" spans="2:14" x14ac:dyDescent="0.25">
      <c r="B3" s="23"/>
      <c r="C3" s="23"/>
      <c r="D3" s="23"/>
      <c r="E3" s="23"/>
      <c r="F3" s="23"/>
      <c r="G3" s="23"/>
      <c r="I3" s="23"/>
      <c r="J3" s="23"/>
      <c r="K3" s="23"/>
      <c r="L3" s="23"/>
      <c r="M3" s="23"/>
      <c r="N3" s="23"/>
    </row>
    <row r="4" spans="2:14" x14ac:dyDescent="0.25">
      <c r="B4" s="23"/>
      <c r="C4" s="23"/>
      <c r="D4" s="23"/>
      <c r="E4" s="23"/>
      <c r="F4" s="23"/>
      <c r="G4" s="23"/>
      <c r="I4" s="23"/>
      <c r="J4" s="23"/>
      <c r="K4" s="23"/>
      <c r="L4" s="23"/>
      <c r="M4" s="23"/>
      <c r="N4" s="23"/>
    </row>
    <row r="5" spans="2:14" x14ac:dyDescent="0.25">
      <c r="B5" s="23"/>
      <c r="C5" s="23"/>
      <c r="D5" s="23"/>
      <c r="E5" s="23"/>
      <c r="F5" s="23"/>
      <c r="G5" s="23"/>
      <c r="I5" s="23"/>
      <c r="J5" s="23"/>
      <c r="K5" s="23"/>
      <c r="L5" s="23"/>
      <c r="M5" s="23"/>
      <c r="N5" s="23"/>
    </row>
    <row r="6" spans="2:14" x14ac:dyDescent="0.25">
      <c r="B6" s="23"/>
      <c r="C6" s="23"/>
      <c r="D6" s="23"/>
      <c r="E6" s="23"/>
      <c r="F6" s="23"/>
      <c r="G6" s="23"/>
      <c r="I6" s="23"/>
      <c r="J6" s="23"/>
      <c r="K6" s="23"/>
      <c r="L6" s="23"/>
      <c r="M6" s="23"/>
      <c r="N6" s="23"/>
    </row>
    <row r="7" spans="2:14" x14ac:dyDescent="0.25">
      <c r="B7" s="23"/>
      <c r="C7" s="23"/>
      <c r="D7" s="23"/>
      <c r="E7" s="23"/>
      <c r="F7" s="23"/>
      <c r="G7" s="23"/>
      <c r="I7" s="23"/>
      <c r="J7" s="23"/>
      <c r="K7" s="23"/>
      <c r="L7" s="23"/>
      <c r="M7" s="23"/>
      <c r="N7" s="23"/>
    </row>
    <row r="8" spans="2:14" x14ac:dyDescent="0.25">
      <c r="B8" s="23"/>
      <c r="C8" s="23"/>
      <c r="D8" s="23"/>
      <c r="E8" s="23"/>
      <c r="F8" s="23"/>
      <c r="G8" s="23"/>
      <c r="I8" s="23"/>
      <c r="J8" s="23"/>
      <c r="K8" s="23"/>
      <c r="L8" s="23"/>
      <c r="M8" s="23"/>
      <c r="N8" s="23"/>
    </row>
    <row r="9" spans="2:14" x14ac:dyDescent="0.25">
      <c r="B9" s="23"/>
      <c r="C9" s="23"/>
      <c r="D9" s="23"/>
      <c r="E9" s="23"/>
      <c r="F9" s="23"/>
      <c r="G9" s="23"/>
      <c r="I9" s="23"/>
      <c r="J9" s="23"/>
      <c r="K9" s="23"/>
      <c r="L9" s="23"/>
      <c r="M9" s="23"/>
      <c r="N9" s="23"/>
    </row>
    <row r="10" spans="2:14" x14ac:dyDescent="0.25">
      <c r="B10" s="23"/>
      <c r="C10" s="23"/>
      <c r="D10" s="23"/>
      <c r="E10" s="23"/>
      <c r="F10" s="23"/>
      <c r="G10" s="23"/>
      <c r="I10" s="23"/>
      <c r="J10" s="23"/>
      <c r="K10" s="23"/>
      <c r="L10" s="23"/>
      <c r="M10" s="23"/>
      <c r="N10" s="23"/>
    </row>
    <row r="11" spans="2:14" x14ac:dyDescent="0.25">
      <c r="B11" s="23"/>
      <c r="C11" s="23"/>
      <c r="D11" s="23"/>
      <c r="E11" s="23"/>
      <c r="F11" s="23"/>
      <c r="G11" s="23"/>
      <c r="I11" s="23"/>
      <c r="J11" s="23"/>
      <c r="K11" s="23"/>
      <c r="L11" s="23"/>
      <c r="M11" s="23"/>
      <c r="N11" s="23"/>
    </row>
    <row r="12" spans="2:14" x14ac:dyDescent="0.25">
      <c r="B12" s="23"/>
      <c r="C12" s="23"/>
      <c r="D12" s="23"/>
      <c r="E12" s="23"/>
      <c r="F12" s="23"/>
      <c r="G12" s="23"/>
      <c r="I12" s="23"/>
      <c r="J12" s="23"/>
      <c r="K12" s="23"/>
      <c r="L12" s="23"/>
      <c r="M12" s="23"/>
      <c r="N12" s="23"/>
    </row>
    <row r="13" spans="2:14" x14ac:dyDescent="0.25">
      <c r="B13" s="23"/>
      <c r="C13" s="23"/>
      <c r="D13" s="23"/>
      <c r="E13" s="23"/>
      <c r="F13" s="23"/>
      <c r="G13" s="23"/>
      <c r="I13" s="23"/>
      <c r="J13" s="23"/>
      <c r="K13" s="23"/>
      <c r="L13" s="23"/>
      <c r="M13" s="23"/>
      <c r="N13" s="23"/>
    </row>
    <row r="14" spans="2:14" x14ac:dyDescent="0.25">
      <c r="B14" s="23"/>
      <c r="C14" s="23"/>
      <c r="D14" s="23"/>
      <c r="E14" s="23"/>
      <c r="F14" s="23"/>
      <c r="G14" s="23"/>
      <c r="I14" s="23"/>
      <c r="J14" s="23"/>
      <c r="K14" s="23"/>
      <c r="L14" s="23"/>
      <c r="M14" s="23"/>
      <c r="N14" s="23"/>
    </row>
    <row r="15" spans="2:14" x14ac:dyDescent="0.25">
      <c r="B15" s="23"/>
      <c r="C15" s="23"/>
      <c r="D15" s="23"/>
      <c r="E15" s="23"/>
      <c r="F15" s="23"/>
      <c r="G15" s="23"/>
      <c r="I15" s="23"/>
      <c r="J15" s="23"/>
      <c r="K15" s="23"/>
      <c r="L15" s="23"/>
      <c r="M15" s="23"/>
      <c r="N15" s="23"/>
    </row>
    <row r="16" spans="2:14" x14ac:dyDescent="0.25">
      <c r="B16" s="23"/>
      <c r="C16" s="23"/>
      <c r="D16" s="23"/>
      <c r="E16" s="23"/>
      <c r="F16" s="23"/>
      <c r="G16" s="23"/>
      <c r="I16" s="23"/>
      <c r="J16" s="23"/>
      <c r="K16" s="23"/>
      <c r="L16" s="23"/>
      <c r="M16" s="23"/>
      <c r="N16" s="23"/>
    </row>
    <row r="17" spans="2:14" x14ac:dyDescent="0.25">
      <c r="B17" s="23"/>
      <c r="C17" s="23"/>
      <c r="D17" s="23"/>
      <c r="E17" s="23"/>
      <c r="F17" s="23"/>
      <c r="G17" s="23"/>
      <c r="I17" s="23"/>
      <c r="J17" s="23"/>
      <c r="K17" s="23"/>
      <c r="L17" s="23"/>
      <c r="M17" s="23"/>
      <c r="N17" s="23"/>
    </row>
    <row r="18" spans="2:14" x14ac:dyDescent="0.25">
      <c r="B18" s="23"/>
      <c r="C18" s="23"/>
      <c r="D18" s="23"/>
      <c r="E18" s="23"/>
      <c r="F18" s="23"/>
      <c r="G18" s="23"/>
      <c r="I18" s="23"/>
      <c r="J18" s="23"/>
      <c r="K18" s="23"/>
      <c r="L18" s="23"/>
      <c r="M18" s="23"/>
      <c r="N18" s="23"/>
    </row>
    <row r="19" spans="2:14" x14ac:dyDescent="0.25">
      <c r="B19" s="23"/>
      <c r="C19" s="23"/>
      <c r="D19" s="23"/>
      <c r="E19" s="23"/>
      <c r="F19" s="23"/>
      <c r="G19" s="23"/>
      <c r="I19" s="23"/>
      <c r="J19" s="23"/>
      <c r="K19" s="23"/>
      <c r="L19" s="23"/>
      <c r="M19" s="23"/>
      <c r="N19" s="23"/>
    </row>
    <row r="20" spans="2:14" x14ac:dyDescent="0.25">
      <c r="B20" s="23"/>
      <c r="C20" s="23"/>
      <c r="D20" s="23"/>
      <c r="E20" s="23"/>
      <c r="F20" s="23"/>
      <c r="G20" s="23"/>
      <c r="I20" s="23"/>
      <c r="J20" s="23"/>
      <c r="K20" s="23"/>
      <c r="L20" s="23"/>
      <c r="M20" s="23"/>
      <c r="N20" s="23"/>
    </row>
    <row r="21" spans="2:14" x14ac:dyDescent="0.25">
      <c r="B21" s="23"/>
      <c r="C21" s="23"/>
      <c r="D21" s="23"/>
      <c r="E21" s="23"/>
      <c r="F21" s="23"/>
      <c r="G21" s="23"/>
      <c r="I21" s="23"/>
      <c r="J21" s="23"/>
      <c r="K21" s="23"/>
      <c r="L21" s="23"/>
      <c r="M21" s="23"/>
      <c r="N21" s="23"/>
    </row>
    <row r="22" spans="2:14" x14ac:dyDescent="0.25">
      <c r="B22" s="23"/>
      <c r="C22" s="23"/>
      <c r="D22" s="23"/>
      <c r="E22" s="23"/>
      <c r="F22" s="23"/>
      <c r="G22" s="23"/>
      <c r="I22" s="23"/>
      <c r="J22" s="23"/>
      <c r="K22" s="23"/>
      <c r="L22" s="23"/>
      <c r="M22" s="23"/>
      <c r="N22" s="23"/>
    </row>
    <row r="23" spans="2:14" x14ac:dyDescent="0.25">
      <c r="B23" s="23"/>
      <c r="C23" s="23"/>
      <c r="D23" s="23"/>
      <c r="E23" s="23"/>
      <c r="F23" s="23"/>
      <c r="G23" s="23"/>
      <c r="I23" s="23"/>
      <c r="J23" s="23"/>
      <c r="K23" s="23"/>
      <c r="L23" s="23"/>
      <c r="M23" s="23"/>
      <c r="N23" s="23"/>
    </row>
    <row r="24" spans="2:14" x14ac:dyDescent="0.25">
      <c r="B24" s="23"/>
      <c r="C24" s="23"/>
      <c r="D24" s="23"/>
      <c r="E24" s="23"/>
      <c r="F24" s="23"/>
      <c r="G24" s="23"/>
      <c r="I24" s="23"/>
      <c r="J24" s="23"/>
      <c r="K24" s="23"/>
      <c r="L24" s="23"/>
      <c r="M24" s="23"/>
      <c r="N24" s="23"/>
    </row>
    <row r="25" spans="2:14" x14ac:dyDescent="0.25">
      <c r="B25" s="23"/>
      <c r="C25" s="23"/>
      <c r="D25" s="23"/>
      <c r="E25" s="23"/>
      <c r="F25" s="23"/>
      <c r="G25" s="23"/>
      <c r="I25" s="23"/>
      <c r="J25" s="23"/>
      <c r="K25" s="23"/>
      <c r="L25" s="23"/>
      <c r="M25" s="23"/>
      <c r="N25" s="23"/>
    </row>
    <row r="26" spans="2:14" x14ac:dyDescent="0.25">
      <c r="B26" s="23"/>
      <c r="C26" s="23"/>
      <c r="D26" s="23"/>
      <c r="E26" s="23"/>
      <c r="F26" s="23"/>
      <c r="G26" s="23"/>
      <c r="I26" s="23"/>
      <c r="J26" s="23"/>
      <c r="K26" s="23"/>
      <c r="L26" s="23"/>
      <c r="M26" s="23"/>
      <c r="N26" s="23"/>
    </row>
    <row r="27" spans="2:14" x14ac:dyDescent="0.25">
      <c r="B27" s="23"/>
      <c r="C27" s="23"/>
      <c r="D27" s="23"/>
      <c r="E27" s="23"/>
      <c r="F27" s="23"/>
      <c r="G27" s="23"/>
      <c r="I27" s="23"/>
      <c r="J27" s="23"/>
      <c r="K27" s="23"/>
      <c r="L27" s="23"/>
      <c r="M27" s="23"/>
      <c r="N27" s="23"/>
    </row>
    <row r="28" spans="2:14" x14ac:dyDescent="0.25">
      <c r="B28" s="23"/>
      <c r="C28" s="23"/>
      <c r="D28" s="23"/>
      <c r="E28" s="23"/>
      <c r="F28" s="23"/>
      <c r="G28" s="23"/>
      <c r="I28" s="23"/>
      <c r="J28" s="23"/>
      <c r="K28" s="23"/>
      <c r="L28" s="23"/>
      <c r="M28" s="23"/>
      <c r="N28" s="23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6" ma:contentTypeDescription="Ein neues Dokument erstellen." ma:contentTypeScope="" ma:versionID="39defdc12135e6b9400da8cbd59c2a5e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391e8d02486de2206a034a11d4a5ed4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FF49D4-FDB8-4AC9-90B4-C65AD4CB42F0}"/>
</file>

<file path=customXml/itemProps2.xml><?xml version="1.0" encoding="utf-8"?>
<ds:datastoreItem xmlns:ds="http://schemas.openxmlformats.org/officeDocument/2006/customXml" ds:itemID="{AB21EEB7-EE71-4EAC-BE47-FAEC12219AC8}"/>
</file>

<file path=customXml/itemProps3.xml><?xml version="1.0" encoding="utf-8"?>
<ds:datastoreItem xmlns:ds="http://schemas.openxmlformats.org/officeDocument/2006/customXml" ds:itemID="{6168147D-7CF0-49E2-A88B-492F1FF22E2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Fracht pro Sdg</vt:lpstr>
      <vt:lpstr>Mautkosten</vt:lpstr>
      <vt:lpstr>Tabelle1</vt:lpstr>
    </vt:vector>
  </TitlesOfParts>
  <Company>CHT R. Beitlich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Scherf</dc:creator>
  <cp:lastModifiedBy>Belinda Schwedler</cp:lastModifiedBy>
  <cp:lastPrinted>2022-11-22T15:33:48Z</cp:lastPrinted>
  <dcterms:created xsi:type="dcterms:W3CDTF">2018-12-12T16:10:31Z</dcterms:created>
  <dcterms:modified xsi:type="dcterms:W3CDTF">2024-01-17T12:36:16Z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