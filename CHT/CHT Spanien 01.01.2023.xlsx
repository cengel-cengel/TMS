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filterPrivacy="1" defaultThemeVersion="124226"/>
  <xr:revisionPtr revIDLastSave="0" documentId="13_ncr:1_{8360766E-D120-4402-AB97-9D67FEBC7AD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fferte" sheetId="1" r:id="rId1"/>
    <sheet name="Tabelle1" sheetId="2" r:id="rId2"/>
  </sheets>
  <definedNames>
    <definedName name="_xlnm.Print_Area" localSheetId="0">Offerte!$A$1:$I$74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3" i="2"/>
</calcChain>
</file>

<file path=xl/sharedStrings.xml><?xml version="1.0" encoding="utf-8"?>
<sst xmlns="http://schemas.openxmlformats.org/spreadsheetml/2006/main" count="97" uniqueCount="54">
  <si>
    <t>Verzichtskunde</t>
  </si>
  <si>
    <t>Zone 1</t>
  </si>
  <si>
    <t>Zone 2</t>
  </si>
  <si>
    <t>Zone 3</t>
  </si>
  <si>
    <t>Zone 4</t>
  </si>
  <si>
    <t>Zone 5</t>
  </si>
  <si>
    <t>Zone 6</t>
  </si>
  <si>
    <t>Zoneneinteilung</t>
  </si>
  <si>
    <t>Komplett</t>
  </si>
  <si>
    <t xml:space="preserve">pro 100 kg </t>
  </si>
  <si>
    <t>pro Sendung</t>
  </si>
  <si>
    <t xml:space="preserve"> </t>
  </si>
  <si>
    <t>pro 100 kg</t>
  </si>
  <si>
    <t>pro LKW / Max.</t>
  </si>
  <si>
    <t>1 cbm = 333 kg,     1 Ldm = 1750 kg</t>
  </si>
  <si>
    <t>1 cbm = 250 kg,     1 Ldm = 1250 kg</t>
  </si>
  <si>
    <t>100 : 100 kg</t>
  </si>
  <si>
    <t>08,17, 43</t>
  </si>
  <si>
    <t>02, 46</t>
  </si>
  <si>
    <t>Zone 7</t>
  </si>
  <si>
    <t>07</t>
  </si>
  <si>
    <t>CHT Germany GmbH, Bismarckstraße 102, D-72072 Tübingen</t>
  </si>
  <si>
    <t>Ab Werk D-72072 Tübingen bis frei Haus Spanien Endempfänger (außer Mallorca s.u.):_</t>
  </si>
  <si>
    <t>m/m - 100 kg</t>
  </si>
  <si>
    <t>- 500 kg</t>
  </si>
  <si>
    <t>- 1 000 kg</t>
  </si>
  <si>
    <t>- 2 000 kg</t>
  </si>
  <si>
    <t>- 3 000 kg</t>
  </si>
  <si>
    <t>- 4 000 kg</t>
  </si>
  <si>
    <t>- 5 000 kg</t>
  </si>
  <si>
    <t>- 10 000 kg</t>
  </si>
  <si>
    <t>- 15 000 kg</t>
  </si>
  <si>
    <t>- 20 000 kg</t>
  </si>
  <si>
    <t>- 24 000 kg</t>
  </si>
  <si>
    <t>Volumengewicht:</t>
  </si>
  <si>
    <t>Gewichtsaufrundung:</t>
  </si>
  <si>
    <t>Dieselzuschlag:</t>
  </si>
  <si>
    <t>Transportversicherung:</t>
  </si>
  <si>
    <t>01, 20, 25, 31, 39, 48, 50</t>
  </si>
  <si>
    <t>Internationale Spedition GmbH</t>
  </si>
  <si>
    <t>Ab Werk D-72072 Tübingen bis frei Haus Spanien, Mallorca Endempfänger:</t>
  </si>
  <si>
    <t>- 200 kg</t>
  </si>
  <si>
    <t>- 300 kg</t>
  </si>
  <si>
    <t>- 400 kg</t>
  </si>
  <si>
    <t>- 600 kg</t>
  </si>
  <si>
    <t>- 7 000 kg</t>
  </si>
  <si>
    <t>- 9 000 kg</t>
  </si>
  <si>
    <t>- 10 500 kg</t>
  </si>
  <si>
    <t>- 12 000 kg</t>
  </si>
  <si>
    <t>Gewicht / Zone</t>
  </si>
  <si>
    <t>41, 45</t>
  </si>
  <si>
    <t>Jürgen Bauer</t>
  </si>
  <si>
    <t>sonder Dieselfloater</t>
  </si>
  <si>
    <t>Frachtofferte Spanien - Gültig ab 01.01.2024 - 31.12.2024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</si>
</sst>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\ &quot;kg&quot;"/>
    <numFmt numFmtId="165" formatCode="#,##0.00\ &quot;€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40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vertical="center"/>
    </xf>
    <xf numFmtId="44" fontId="5" fillId="0" borderId="0" xfId="0" applyNumberFormat="1" applyFont="1" applyAlignment="1">
      <alignment horizontal="right" vertical="center"/>
    </xf>
    <xf numFmtId="2" fontId="4" fillId="0" borderId="0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164" fontId="6" fillId="0" borderId="0" xfId="0" applyNumberFormat="1" applyFont="1" applyAlignment="1">
      <alignment horizontal="right" vertical="center"/>
    </xf>
    <xf numFmtId="44" fontId="10" fillId="0" borderId="0" xfId="0" applyNumberFormat="1" applyFont="1" applyAlignment="1">
      <alignment horizontal="center" vertical="center"/>
    </xf>
    <xf numFmtId="44" fontId="10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44" fontId="8" fillId="0" borderId="5" xfId="1" applyFont="1" applyBorder="1" applyAlignment="1">
      <alignment vertical="center"/>
    </xf>
    <xf numFmtId="0" fontId="8" fillId="0" borderId="5" xfId="0" applyFont="1" applyBorder="1" applyAlignment="1">
      <alignment horizontal="right" vertical="center"/>
    </xf>
    <xf numFmtId="44" fontId="13" fillId="0" borderId="5" xfId="1" applyFont="1" applyFill="1" applyBorder="1" applyAlignment="1">
      <alignment vertical="center"/>
    </xf>
    <xf numFmtId="0" fontId="14" fillId="3" borderId="5" xfId="2" applyFont="1" applyFill="1" applyBorder="1" applyAlignment="1">
      <alignment horizontal="center" vertical="center"/>
    </xf>
    <xf numFmtId="49" fontId="14" fillId="3" borderId="5" xfId="2" quotePrefix="1" applyNumberFormat="1" applyFont="1" applyFill="1" applyBorder="1" applyAlignment="1">
      <alignment horizontal="center" vertical="center" wrapText="1"/>
    </xf>
    <xf numFmtId="49" fontId="14" fillId="3" borderId="5" xfId="2" applyNumberFormat="1" applyFont="1" applyFill="1" applyBorder="1" applyAlignment="1">
      <alignment horizontal="center" vertical="center" wrapText="1"/>
    </xf>
    <xf numFmtId="49" fontId="14" fillId="3" borderId="5" xfId="2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44" fontId="13" fillId="0" borderId="5" xfId="1" applyFont="1" applyFill="1" applyBorder="1" applyAlignment="1">
      <alignment horizontal="right" vertical="center"/>
    </xf>
    <xf numFmtId="0" fontId="14" fillId="3" borderId="5" xfId="2" applyFont="1" applyFill="1" applyBorder="1" applyAlignment="1">
      <alignment vertical="center"/>
    </xf>
    <xf numFmtId="44" fontId="8" fillId="0" borderId="0" xfId="1" applyFont="1" applyBorder="1" applyAlignment="1">
      <alignment vertical="center"/>
    </xf>
    <xf numFmtId="44" fontId="13" fillId="0" borderId="0" xfId="1" applyFont="1" applyFill="1" applyBorder="1" applyAlignment="1">
      <alignment vertical="center"/>
    </xf>
    <xf numFmtId="165" fontId="0" fillId="0" borderId="0" xfId="0" applyNumberFormat="1"/>
    <xf numFmtId="0" fontId="7" fillId="3" borderId="0" xfId="0" applyFont="1" applyFill="1" applyAlignment="1">
      <alignment horizontal="right"/>
    </xf>
    <xf numFmtId="164" fontId="0" fillId="0" borderId="0" xfId="0" applyNumberFormat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4" fillId="3" borderId="6" xfId="2" applyFont="1" applyFill="1" applyBorder="1" applyAlignment="1">
      <alignment horizontal="center" vertical="center"/>
    </xf>
    <xf numFmtId="0" fontId="14" fillId="3" borderId="1" xfId="2" applyFont="1" applyFill="1" applyBorder="1" applyAlignment="1">
      <alignment horizontal="center" vertical="center"/>
    </xf>
    <xf numFmtId="0" fontId="14" fillId="3" borderId="7" xfId="2" applyFont="1" applyFill="1" applyBorder="1" applyAlignment="1">
      <alignment horizontal="center" vertical="center"/>
    </xf>
  </cellXfs>
  <cellStyles count="3">
    <cellStyle name="20 % - Akzent1" xfId="2" builtinId="30"/>
    <cellStyle name="Standard" xfId="0" builtinId="0"/>
    <cellStyle name="Währung" xfId="1" builtinId="4"/>
  </cellStyles>
  <dxfs count="5">
    <dxf>
      <font>
        <color rgb="FF7F7F7F"/>
      </font>
    </dxf>
    <dxf>
      <font>
        <color rgb="FFFF0000"/>
      </font>
    </dxf>
    <dxf>
      <font>
        <color rgb="FFFFDB59"/>
      </font>
    </dxf>
    <dxf>
      <font>
        <color rgb="FFFFDB59"/>
      </font>
    </dxf>
    <dxf>
      <font>
        <color rgb="FF00B05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1</xdr:row>
      <xdr:rowOff>123825</xdr:rowOff>
    </xdr:from>
    <xdr:to>
      <xdr:col>9</xdr:col>
      <xdr:colOff>37723</xdr:colOff>
      <xdr:row>3</xdr:row>
      <xdr:rowOff>180902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323850"/>
          <a:ext cx="1904623" cy="457127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66</xdr:row>
      <xdr:rowOff>0</xdr:rowOff>
    </xdr:from>
    <xdr:to>
      <xdr:col>9</xdr:col>
      <xdr:colOff>428625</xdr:colOff>
      <xdr:row>73</xdr:row>
      <xdr:rowOff>114300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09600" y="13344525"/>
          <a:ext cx="8067675" cy="1447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t"/>
        <a:lstStyle/>
        <a:p>
          <a:pPr algn="l"/>
          <a:r>
            <a:rPr lang="de-DE" sz="1050" b="1">
              <a:solidFill>
                <a:schemeClr val="bg1">
                  <a:lumMod val="50000"/>
                </a:schemeClr>
              </a:solidFill>
              <a:latin typeface="+mn-lt"/>
            </a:rPr>
            <a:t>ERKA INTERNATIONALE SPEDITION GMBH, Motorstraße 8, D-70499 Stuttgart-Weilimdorf </a:t>
          </a:r>
        </a:p>
        <a:p>
          <a:pPr algn="l"/>
          <a:endParaRPr lang="de-DE" sz="400" b="1">
            <a:solidFill>
              <a:schemeClr val="bg1">
                <a:lumMod val="50000"/>
              </a:schemeClr>
            </a:solidFill>
            <a:latin typeface="+mn-lt"/>
          </a:endParaRPr>
        </a:p>
        <a:p>
          <a:pPr algn="l"/>
          <a:r>
            <a:rPr lang="de-DE" sz="1050">
              <a:solidFill>
                <a:schemeClr val="bg1">
                  <a:lumMod val="50000"/>
                </a:schemeClr>
              </a:solidFill>
              <a:latin typeface="+mn-lt"/>
            </a:rPr>
            <a:t>Tel.: 0711-95551-0          Fax: 0711-95551-500          E-Mail: info@spedition-erka.de          www.spedition-erka.de</a:t>
          </a:r>
        </a:p>
        <a:p>
          <a:pPr algn="l"/>
          <a:r>
            <a:rPr lang="de-DE" sz="1050">
              <a:solidFill>
                <a:schemeClr val="bg1">
                  <a:lumMod val="50000"/>
                </a:schemeClr>
              </a:solidFill>
              <a:latin typeface="+mn-lt"/>
            </a:rPr>
            <a:t>BW-Bank IBAN: DE93 6005 0101 0002 3117 35  |  SOLADEST600 | Geschäftsführer: Erich Klaschka, Jürgen Bauer</a:t>
          </a:r>
        </a:p>
        <a:p>
          <a:pPr algn="l"/>
          <a:r>
            <a:rPr lang="de-DE" sz="1050">
              <a:solidFill>
                <a:schemeClr val="bg1">
                  <a:lumMod val="50000"/>
                </a:schemeClr>
              </a:solidFill>
              <a:latin typeface="+mn-lt"/>
            </a:rPr>
            <a:t>Reg.-Gericht Stuttgart HRB 9908 | UST-IdNr.: DE 147 852 567 | Gerichtsstand und Erfüllungsort ist Stuttgart</a:t>
          </a:r>
        </a:p>
        <a:p>
          <a:pPr algn="l"/>
          <a:endParaRPr lang="de-DE" sz="400">
            <a:solidFill>
              <a:schemeClr val="bg1">
                <a:lumMod val="50000"/>
              </a:schemeClr>
            </a:solidFill>
            <a:latin typeface="+mn-lt"/>
          </a:endParaRPr>
        </a:p>
        <a:p>
          <a:pPr algn="l"/>
          <a:r>
            <a:rPr lang="de-DE" sz="1000">
              <a:solidFill>
                <a:schemeClr val="bg1">
                  <a:lumMod val="50000"/>
                </a:schemeClr>
              </a:solidFill>
              <a:latin typeface="+mn-lt"/>
            </a:rPr>
            <a:t>Wir arbeiten ausschließlich auf Grundlage der Allgemeinen Deutschen Spediteurbedingungen, jeweils neueste Fassung. Diese beschränken in Ziffer 23</a:t>
          </a:r>
        </a:p>
        <a:p>
          <a:pPr algn="l"/>
          <a:r>
            <a:rPr lang="de-DE" sz="1000">
              <a:solidFill>
                <a:schemeClr val="bg1">
                  <a:lumMod val="50000"/>
                </a:schemeClr>
              </a:solidFill>
              <a:latin typeface="+mn-lt"/>
            </a:rPr>
            <a:t>die gesetzliche</a:t>
          </a:r>
          <a:r>
            <a:rPr lang="de-DE" sz="1000" baseline="0">
              <a:solidFill>
                <a:schemeClr val="bg1">
                  <a:lumMod val="50000"/>
                </a:schemeClr>
              </a:solidFill>
              <a:latin typeface="+mn-lt"/>
            </a:rPr>
            <a:t> </a:t>
          </a:r>
          <a:r>
            <a:rPr lang="de-DE" sz="1000">
              <a:solidFill>
                <a:schemeClr val="bg1">
                  <a:lumMod val="50000"/>
                </a:schemeClr>
              </a:solidFill>
              <a:latin typeface="+mn-lt"/>
            </a:rPr>
            <a:t>Haftung für Güterschäden nach § 431 HGB in Höhe von  8,33 SZR/kg je Schadenfall bzw. je Schadenereignis auf 1 Million bzw. 2 Millionen</a:t>
          </a:r>
        </a:p>
        <a:p>
          <a:pPr algn="l"/>
          <a:r>
            <a:rPr lang="de-DE" sz="1000">
              <a:solidFill>
                <a:schemeClr val="bg1">
                  <a:lumMod val="50000"/>
                </a:schemeClr>
              </a:solidFill>
              <a:latin typeface="+mn-lt"/>
            </a:rPr>
            <a:t>Euro oder 2 SZR/kg, je nachdem,  welcher Betrag höher ist, und bei multimodalen Transporten unter Einschluss einer Seebeförderung generell auf 2 SZR/kg</a:t>
          </a:r>
          <a:r>
            <a:rPr lang="de-DE" sz="1000" baseline="0">
              <a:solidFill>
                <a:schemeClr val="bg1">
                  <a:lumMod val="50000"/>
                </a:schemeClr>
              </a:solidFill>
              <a:latin typeface="+mn-lt"/>
            </a:rPr>
            <a:t>. </a:t>
          </a:r>
        </a:p>
        <a:p>
          <a:pPr algn="l"/>
          <a:r>
            <a:rPr lang="de-DE" sz="1000" baseline="0">
              <a:solidFill>
                <a:schemeClr val="bg1">
                  <a:lumMod val="50000"/>
                </a:schemeClr>
              </a:solidFill>
              <a:latin typeface="+mn-lt"/>
            </a:rPr>
            <a:t>Die ADSp können Sie sich auf </a:t>
          </a:r>
          <a:r>
            <a:rPr lang="de-DE" sz="1000">
              <a:solidFill>
                <a:schemeClr val="bg1">
                  <a:lumMod val="50000"/>
                </a:schemeClr>
              </a:solidFill>
              <a:latin typeface="+mn-lt"/>
            </a:rPr>
            <a:t>unserer Homepage unter http://www.spedition-erka.de/de/Downloads/ADSP.pdf herunterladen.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78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J10" sqref="J10"/>
    </sheetView>
  </sheetViews>
  <sheetFormatPr baseColWidth="10" defaultColWidth="9.140625" defaultRowHeight="15" x14ac:dyDescent="0.25"/>
  <cols>
    <col min="2" max="2" width="18.42578125" customWidth="1"/>
    <col min="3" max="3" width="13.85546875" customWidth="1"/>
    <col min="4" max="4" width="14.28515625" customWidth="1"/>
    <col min="5" max="5" width="13" customWidth="1"/>
    <col min="6" max="6" width="14" customWidth="1"/>
    <col min="7" max="7" width="12.140625" customWidth="1"/>
    <col min="8" max="8" width="12.42578125" customWidth="1"/>
    <col min="9" max="9" width="16.42578125" customWidth="1"/>
    <col min="10" max="10" width="15.5703125" bestFit="1" customWidth="1"/>
  </cols>
  <sheetData>
    <row r="1" spans="1:16" ht="15.75" x14ac:dyDescent="0.25">
      <c r="B1" s="8"/>
      <c r="C1" s="8"/>
      <c r="D1" s="8"/>
      <c r="E1" s="8"/>
      <c r="F1" s="8"/>
      <c r="G1" s="8"/>
      <c r="H1" s="8"/>
      <c r="I1" s="8"/>
      <c r="J1" s="3"/>
      <c r="K1" s="3"/>
      <c r="L1" s="2"/>
    </row>
    <row r="2" spans="1:16" ht="15.75" x14ac:dyDescent="0.25">
      <c r="B2" s="8"/>
      <c r="C2" s="8"/>
      <c r="D2" s="8"/>
      <c r="E2" s="8"/>
      <c r="F2" s="8"/>
      <c r="G2" s="8"/>
      <c r="H2" s="8"/>
      <c r="I2" s="8"/>
      <c r="J2" s="3"/>
      <c r="K2" s="3"/>
      <c r="L2" s="2"/>
    </row>
    <row r="3" spans="1:16" ht="15.75" x14ac:dyDescent="0.25">
      <c r="B3" s="8"/>
      <c r="C3" s="8"/>
      <c r="D3" s="8"/>
      <c r="E3" s="8"/>
      <c r="F3" s="8"/>
      <c r="G3" s="8"/>
      <c r="H3" s="8"/>
      <c r="I3" s="8"/>
      <c r="J3" s="3"/>
      <c r="K3" s="3"/>
      <c r="L3" s="2"/>
    </row>
    <row r="4" spans="1:16" ht="15.75" x14ac:dyDescent="0.25">
      <c r="B4" s="8"/>
      <c r="C4" s="8"/>
      <c r="D4" s="8"/>
      <c r="E4" s="8"/>
      <c r="F4" s="8"/>
      <c r="G4" s="8"/>
      <c r="H4" s="8"/>
      <c r="I4" s="8"/>
      <c r="J4" s="3"/>
      <c r="K4" s="3"/>
      <c r="L4" s="2"/>
    </row>
    <row r="5" spans="1:16" ht="15.75" customHeight="1" x14ac:dyDescent="0.25">
      <c r="A5" s="29" t="s">
        <v>39</v>
      </c>
      <c r="B5" s="29"/>
      <c r="C5" s="29"/>
      <c r="D5" s="29"/>
      <c r="E5" s="29"/>
      <c r="F5" s="29"/>
      <c r="G5" s="29"/>
      <c r="H5" s="29"/>
      <c r="I5" s="29"/>
      <c r="J5" s="3"/>
      <c r="K5" s="3"/>
      <c r="L5" s="2"/>
    </row>
    <row r="6" spans="1:16" ht="15.75" x14ac:dyDescent="0.25">
      <c r="B6" s="8"/>
      <c r="C6" s="8"/>
      <c r="D6" s="8"/>
      <c r="E6" s="8"/>
      <c r="F6" s="8"/>
      <c r="G6" s="8"/>
      <c r="H6" s="8"/>
      <c r="I6" s="8"/>
      <c r="J6" s="3"/>
      <c r="K6" s="3"/>
      <c r="L6" s="2"/>
    </row>
    <row r="7" spans="1:16" ht="16.5" thickBot="1" x14ac:dyDescent="0.3">
      <c r="B7" s="8"/>
      <c r="C7" s="8"/>
      <c r="D7" s="9"/>
      <c r="E7" s="9"/>
      <c r="F7" s="8"/>
      <c r="G7" s="8"/>
      <c r="H7" s="8"/>
      <c r="I7" s="8"/>
      <c r="J7" s="3"/>
      <c r="K7" s="3"/>
      <c r="L7" s="2"/>
    </row>
    <row r="8" spans="1:16" ht="24.75" thickTop="1" thickBot="1" x14ac:dyDescent="0.3">
      <c r="B8" s="31" t="s">
        <v>53</v>
      </c>
      <c r="C8" s="32"/>
      <c r="D8" s="32"/>
      <c r="E8" s="32"/>
      <c r="F8" s="32"/>
      <c r="G8" s="32"/>
      <c r="H8" s="32"/>
      <c r="I8" s="33"/>
      <c r="J8" s="5"/>
      <c r="K8" s="5"/>
      <c r="L8" s="2"/>
    </row>
    <row r="9" spans="1:16" ht="21" thickTop="1" x14ac:dyDescent="0.25">
      <c r="C9" s="8"/>
      <c r="D9" s="8"/>
      <c r="E9" s="8"/>
      <c r="F9" s="8"/>
      <c r="G9" s="8"/>
      <c r="H9" s="8"/>
      <c r="I9" s="8"/>
      <c r="J9" s="1"/>
      <c r="K9" s="1"/>
      <c r="L9" s="2"/>
    </row>
    <row r="10" spans="1:16" ht="15.75" x14ac:dyDescent="0.25">
      <c r="B10" s="36" t="s">
        <v>21</v>
      </c>
      <c r="C10" s="36"/>
      <c r="D10" s="36"/>
      <c r="E10" s="36"/>
      <c r="F10" s="36"/>
      <c r="G10" s="36"/>
      <c r="H10" s="36"/>
      <c r="I10" s="36"/>
      <c r="J10" s="3"/>
      <c r="K10" s="3"/>
      <c r="L10" s="2"/>
    </row>
    <row r="11" spans="1:16" x14ac:dyDescent="0.25">
      <c r="B11" s="10"/>
      <c r="C11" s="10"/>
      <c r="D11" s="10"/>
      <c r="E11" s="10"/>
      <c r="F11" s="10"/>
      <c r="G11" s="10"/>
      <c r="H11" s="10"/>
      <c r="I11" s="10"/>
      <c r="J11" s="2"/>
      <c r="K11" s="2"/>
      <c r="L11" s="2"/>
    </row>
    <row r="12" spans="1:16" ht="15.75" x14ac:dyDescent="0.25">
      <c r="B12" s="14" t="s">
        <v>22</v>
      </c>
      <c r="C12" s="10"/>
      <c r="D12" s="10"/>
      <c r="E12" s="10"/>
      <c r="F12" s="10"/>
      <c r="G12" s="10"/>
      <c r="H12" s="10"/>
      <c r="I12" s="10"/>
      <c r="J12" s="2"/>
      <c r="K12" s="2"/>
      <c r="L12" s="2"/>
    </row>
    <row r="13" spans="1:16" x14ac:dyDescent="0.25">
      <c r="B13" s="10"/>
      <c r="C13" s="30"/>
      <c r="D13" s="30"/>
      <c r="E13" s="11"/>
      <c r="F13" s="12"/>
      <c r="G13" s="13"/>
      <c r="H13" s="13"/>
      <c r="I13" s="13"/>
      <c r="J13" s="6"/>
      <c r="K13" s="7"/>
      <c r="L13" s="2"/>
      <c r="M13" s="4"/>
      <c r="N13" s="4"/>
    </row>
    <row r="14" spans="1:16" ht="15.75" x14ac:dyDescent="0.25">
      <c r="B14" s="18" t="s">
        <v>49</v>
      </c>
      <c r="C14" s="19" t="s">
        <v>1</v>
      </c>
      <c r="D14" s="20" t="s">
        <v>2</v>
      </c>
      <c r="E14" s="20" t="s">
        <v>3</v>
      </c>
      <c r="F14" s="20" t="s">
        <v>4</v>
      </c>
      <c r="G14" s="20" t="s">
        <v>5</v>
      </c>
      <c r="H14" s="20" t="s">
        <v>6</v>
      </c>
      <c r="I14" s="20"/>
      <c r="J14" s="2"/>
      <c r="K14" s="2"/>
      <c r="L14" s="2"/>
      <c r="M14" s="4"/>
      <c r="N14" s="4"/>
    </row>
    <row r="15" spans="1:16" ht="15.75" x14ac:dyDescent="0.25">
      <c r="B15" s="21" t="s">
        <v>23</v>
      </c>
      <c r="C15" s="15">
        <v>34.5</v>
      </c>
      <c r="D15" s="15">
        <v>46.3</v>
      </c>
      <c r="E15" s="15">
        <v>55.6</v>
      </c>
      <c r="F15" s="15">
        <v>52.7</v>
      </c>
      <c r="G15" s="15">
        <v>52.7</v>
      </c>
      <c r="H15" s="15">
        <v>64.400000000000006</v>
      </c>
      <c r="I15" s="16" t="s">
        <v>10</v>
      </c>
      <c r="J15" s="2"/>
      <c r="K15" s="2"/>
      <c r="L15" s="2"/>
      <c r="M15" s="2"/>
      <c r="N15" s="2"/>
      <c r="O15" s="2"/>
      <c r="P15" s="2"/>
    </row>
    <row r="16" spans="1:16" ht="15.75" x14ac:dyDescent="0.25">
      <c r="B16" s="21" t="s">
        <v>24</v>
      </c>
      <c r="C16" s="17">
        <v>19.3</v>
      </c>
      <c r="D16" s="17">
        <v>22.2</v>
      </c>
      <c r="E16" s="17">
        <v>24.6</v>
      </c>
      <c r="F16" s="17">
        <v>29.3</v>
      </c>
      <c r="G16" s="17">
        <v>26.4</v>
      </c>
      <c r="H16" s="17">
        <v>41</v>
      </c>
      <c r="I16" s="16" t="s">
        <v>9</v>
      </c>
      <c r="J16" s="2"/>
      <c r="K16" s="2"/>
      <c r="L16" s="2"/>
      <c r="M16" s="2"/>
      <c r="N16" s="2"/>
      <c r="O16" s="2"/>
      <c r="P16" s="2"/>
    </row>
    <row r="17" spans="2:16" ht="15.75" x14ac:dyDescent="0.25">
      <c r="B17" s="21" t="s">
        <v>25</v>
      </c>
      <c r="C17" s="17">
        <v>16.2</v>
      </c>
      <c r="D17" s="17">
        <v>20</v>
      </c>
      <c r="E17" s="17">
        <v>22.9</v>
      </c>
      <c r="F17" s="17">
        <v>26.9</v>
      </c>
      <c r="G17" s="17">
        <v>24</v>
      </c>
      <c r="H17" s="17">
        <v>34.5</v>
      </c>
      <c r="I17" s="16" t="s">
        <v>9</v>
      </c>
      <c r="J17" s="2"/>
      <c r="K17" s="2"/>
      <c r="L17" s="2"/>
      <c r="M17" s="2"/>
      <c r="N17" s="2"/>
      <c r="O17" s="2"/>
      <c r="P17" s="2"/>
    </row>
    <row r="18" spans="2:16" ht="15.75" x14ac:dyDescent="0.25">
      <c r="B18" s="21" t="s">
        <v>26</v>
      </c>
      <c r="C18" s="17">
        <v>14.2</v>
      </c>
      <c r="D18" s="17">
        <v>17.600000000000001</v>
      </c>
      <c r="E18" s="17">
        <v>20.5</v>
      </c>
      <c r="F18" s="17">
        <v>23.4</v>
      </c>
      <c r="G18" s="17">
        <v>22.9</v>
      </c>
      <c r="H18" s="17">
        <v>33.4</v>
      </c>
      <c r="I18" s="16" t="s">
        <v>9</v>
      </c>
      <c r="J18" s="2"/>
      <c r="K18" s="2"/>
      <c r="L18" s="2"/>
      <c r="M18" s="2"/>
      <c r="N18" s="2"/>
      <c r="O18" s="2"/>
      <c r="P18" s="2"/>
    </row>
    <row r="19" spans="2:16" ht="15.75" x14ac:dyDescent="0.25">
      <c r="B19" s="21" t="s">
        <v>27</v>
      </c>
      <c r="C19" s="17">
        <v>11.6</v>
      </c>
      <c r="D19" s="17">
        <v>16.399999999999999</v>
      </c>
      <c r="E19" s="17">
        <v>17.600000000000001</v>
      </c>
      <c r="F19" s="17">
        <v>22.3</v>
      </c>
      <c r="G19" s="17">
        <v>20.5</v>
      </c>
      <c r="H19" s="17">
        <v>30.5</v>
      </c>
      <c r="I19" s="16" t="s">
        <v>9</v>
      </c>
      <c r="J19" s="2"/>
      <c r="K19" s="2"/>
      <c r="L19" s="2"/>
      <c r="M19" s="2"/>
      <c r="N19" s="2"/>
      <c r="O19" s="2"/>
      <c r="P19" s="2"/>
    </row>
    <row r="20" spans="2:16" ht="15.75" x14ac:dyDescent="0.25">
      <c r="B20" s="21" t="s">
        <v>28</v>
      </c>
      <c r="C20" s="17">
        <v>9.9</v>
      </c>
      <c r="D20" s="17">
        <v>14</v>
      </c>
      <c r="E20" s="17">
        <v>15.8</v>
      </c>
      <c r="F20" s="17">
        <v>19.3</v>
      </c>
      <c r="G20" s="17">
        <v>18.2</v>
      </c>
      <c r="H20" s="17">
        <v>28.7</v>
      </c>
      <c r="I20" s="16" t="s">
        <v>9</v>
      </c>
      <c r="J20" s="2"/>
      <c r="K20" s="2"/>
      <c r="L20" s="2"/>
      <c r="M20" s="2"/>
      <c r="N20" s="2"/>
      <c r="O20" s="2"/>
      <c r="P20" s="2"/>
    </row>
    <row r="21" spans="2:16" ht="15.75" x14ac:dyDescent="0.25">
      <c r="B21" s="21" t="s">
        <v>29</v>
      </c>
      <c r="C21" s="17">
        <v>8.9</v>
      </c>
      <c r="D21" s="17">
        <v>11.8</v>
      </c>
      <c r="E21" s="17">
        <v>14</v>
      </c>
      <c r="F21" s="17">
        <v>15.8</v>
      </c>
      <c r="G21" s="17">
        <v>16.399999999999999</v>
      </c>
      <c r="H21" s="17">
        <v>26.4</v>
      </c>
      <c r="I21" s="16" t="s">
        <v>9</v>
      </c>
      <c r="J21" s="2"/>
      <c r="K21" s="2"/>
      <c r="L21" s="2"/>
      <c r="M21" s="2"/>
      <c r="N21" s="2"/>
      <c r="O21" s="2"/>
      <c r="P21" s="2"/>
    </row>
    <row r="22" spans="2:16" ht="15.75" x14ac:dyDescent="0.25">
      <c r="B22" s="21" t="s">
        <v>30</v>
      </c>
      <c r="C22" s="15">
        <v>7.9</v>
      </c>
      <c r="D22" s="15">
        <v>10</v>
      </c>
      <c r="E22" s="15">
        <v>12.9</v>
      </c>
      <c r="F22" s="15">
        <v>14.7</v>
      </c>
      <c r="G22" s="15">
        <v>14</v>
      </c>
      <c r="H22" s="15">
        <v>19.3</v>
      </c>
      <c r="I22" s="16" t="s">
        <v>9</v>
      </c>
      <c r="J22" s="2"/>
      <c r="K22" s="2"/>
      <c r="L22" s="2"/>
      <c r="M22" s="2"/>
      <c r="N22" s="2"/>
      <c r="O22" s="2"/>
      <c r="P22" s="2"/>
    </row>
    <row r="23" spans="2:16" ht="15.75" x14ac:dyDescent="0.25">
      <c r="B23" s="21" t="s">
        <v>31</v>
      </c>
      <c r="C23" s="15">
        <v>7.5</v>
      </c>
      <c r="D23" s="15">
        <v>8.1999999999999993</v>
      </c>
      <c r="E23" s="15">
        <v>11.8</v>
      </c>
      <c r="F23" s="15">
        <v>13.5</v>
      </c>
      <c r="G23" s="15">
        <v>12.9</v>
      </c>
      <c r="H23" s="15">
        <v>14.7</v>
      </c>
      <c r="I23" s="16" t="s">
        <v>9</v>
      </c>
      <c r="J23" s="2"/>
      <c r="K23" s="2"/>
      <c r="L23" s="2"/>
      <c r="M23" s="2"/>
      <c r="N23" s="2"/>
      <c r="O23" s="2"/>
      <c r="P23" s="2"/>
    </row>
    <row r="24" spans="2:16" ht="15.75" x14ac:dyDescent="0.25">
      <c r="B24" s="21" t="s">
        <v>32</v>
      </c>
      <c r="C24" s="15">
        <v>6.7</v>
      </c>
      <c r="D24" s="15">
        <v>8</v>
      </c>
      <c r="E24" s="15">
        <v>10.5</v>
      </c>
      <c r="F24" s="15">
        <v>12.9</v>
      </c>
      <c r="G24" s="15">
        <v>11.8</v>
      </c>
      <c r="H24" s="15">
        <v>13.5</v>
      </c>
      <c r="I24" s="16" t="s">
        <v>9</v>
      </c>
      <c r="J24" s="2"/>
      <c r="K24" s="2"/>
      <c r="L24" s="2"/>
      <c r="M24" s="2"/>
      <c r="N24" s="2"/>
      <c r="O24" s="2"/>
      <c r="P24" s="2"/>
    </row>
    <row r="25" spans="2:16" ht="15.75" x14ac:dyDescent="0.25">
      <c r="B25" s="21" t="s">
        <v>33</v>
      </c>
      <c r="C25" s="15">
        <v>6</v>
      </c>
      <c r="D25" s="15">
        <v>7.4</v>
      </c>
      <c r="E25" s="15">
        <v>9.9</v>
      </c>
      <c r="F25" s="15">
        <v>12.4</v>
      </c>
      <c r="G25" s="15">
        <v>11.1</v>
      </c>
      <c r="H25" s="15">
        <v>14</v>
      </c>
      <c r="I25" s="16" t="s">
        <v>9</v>
      </c>
      <c r="J25" s="2"/>
      <c r="K25" s="2"/>
      <c r="L25" s="2"/>
      <c r="M25" s="2"/>
      <c r="N25" s="2"/>
      <c r="O25" s="2"/>
      <c r="P25" s="2"/>
    </row>
    <row r="26" spans="2:16" ht="15.75" x14ac:dyDescent="0.25">
      <c r="B26" s="21" t="s">
        <v>8</v>
      </c>
      <c r="C26" s="15">
        <v>1631.9</v>
      </c>
      <c r="D26" s="15">
        <v>1696.2</v>
      </c>
      <c r="E26" s="15">
        <v>2047.1</v>
      </c>
      <c r="F26" s="15">
        <v>2632</v>
      </c>
      <c r="G26" s="15">
        <v>2515</v>
      </c>
      <c r="H26" s="15">
        <v>2895.2</v>
      </c>
      <c r="I26" s="16" t="s">
        <v>13</v>
      </c>
      <c r="J26" s="2"/>
      <c r="K26" s="2"/>
      <c r="L26" s="2"/>
      <c r="M26" s="2"/>
      <c r="N26" s="2"/>
      <c r="O26" s="2"/>
      <c r="P26" s="2"/>
    </row>
    <row r="27" spans="2:16" ht="15.75" x14ac:dyDescent="0.25">
      <c r="B27" s="8" t="s">
        <v>11</v>
      </c>
      <c r="C27" s="8"/>
      <c r="D27" s="8"/>
      <c r="E27" s="8"/>
      <c r="F27" s="8"/>
      <c r="G27" s="8"/>
      <c r="H27" s="8"/>
      <c r="I27" s="8"/>
      <c r="J27" s="2"/>
      <c r="K27" s="2"/>
      <c r="L27" s="2"/>
      <c r="M27" s="4"/>
      <c r="N27" s="4"/>
    </row>
    <row r="28" spans="2:16" ht="15.75" x14ac:dyDescent="0.25">
      <c r="B28" s="37" t="s">
        <v>7</v>
      </c>
      <c r="C28" s="38"/>
      <c r="D28" s="39"/>
      <c r="E28" s="8"/>
      <c r="F28" s="8"/>
      <c r="G28" s="8"/>
      <c r="H28" s="8"/>
      <c r="I28" s="8"/>
      <c r="J28" s="2"/>
      <c r="K28" s="2"/>
      <c r="L28" s="2"/>
    </row>
    <row r="29" spans="2:16" ht="15.75" x14ac:dyDescent="0.25">
      <c r="B29" s="18" t="s">
        <v>1</v>
      </c>
      <c r="C29" s="34" t="s">
        <v>17</v>
      </c>
      <c r="D29" s="34"/>
      <c r="E29" s="8"/>
      <c r="F29" s="8"/>
      <c r="G29" s="8"/>
      <c r="H29" s="8"/>
      <c r="I29" s="8"/>
      <c r="J29" s="2"/>
      <c r="K29" s="2"/>
      <c r="L29" s="2"/>
    </row>
    <row r="30" spans="2:16" ht="15.75" x14ac:dyDescent="0.25">
      <c r="B30" s="18" t="s">
        <v>2</v>
      </c>
      <c r="C30" s="22" t="s">
        <v>38</v>
      </c>
      <c r="D30" s="22"/>
      <c r="E30" s="8"/>
      <c r="F30" s="8"/>
      <c r="G30" s="8"/>
      <c r="H30" s="8"/>
      <c r="I30" s="8"/>
      <c r="J30" s="2"/>
      <c r="K30" s="2"/>
      <c r="L30" s="2"/>
    </row>
    <row r="31" spans="2:16" ht="15.75" x14ac:dyDescent="0.25">
      <c r="B31" s="18" t="s">
        <v>3</v>
      </c>
      <c r="C31" s="34" t="s">
        <v>18</v>
      </c>
      <c r="D31" s="34"/>
      <c r="E31" s="8"/>
      <c r="F31" s="8"/>
      <c r="G31" s="8"/>
      <c r="H31" s="8"/>
      <c r="I31" s="8"/>
      <c r="J31" s="2"/>
      <c r="K31" s="2"/>
      <c r="L31" s="2"/>
    </row>
    <row r="32" spans="2:16" ht="15.75" x14ac:dyDescent="0.25">
      <c r="B32" s="18" t="s">
        <v>4</v>
      </c>
      <c r="C32" s="34">
        <v>15</v>
      </c>
      <c r="D32" s="34"/>
      <c r="E32" s="8"/>
      <c r="F32" s="8"/>
      <c r="G32" s="8"/>
      <c r="H32" s="8"/>
      <c r="I32" s="8"/>
      <c r="J32" s="2"/>
      <c r="K32" s="2"/>
      <c r="L32" s="2"/>
    </row>
    <row r="33" spans="2:12" ht="15.75" x14ac:dyDescent="0.25">
      <c r="B33" s="18" t="s">
        <v>5</v>
      </c>
      <c r="C33" s="34">
        <v>28</v>
      </c>
      <c r="D33" s="34"/>
      <c r="E33" s="8"/>
      <c r="F33" s="8"/>
      <c r="G33" s="8"/>
      <c r="H33" s="8"/>
      <c r="I33" s="8"/>
      <c r="J33" s="2"/>
      <c r="K33" s="2"/>
      <c r="L33" s="2"/>
    </row>
    <row r="34" spans="2:12" ht="15.75" x14ac:dyDescent="0.25">
      <c r="B34" s="18" t="s">
        <v>6</v>
      </c>
      <c r="C34" s="34" t="s">
        <v>50</v>
      </c>
      <c r="D34" s="34"/>
      <c r="E34" s="8"/>
      <c r="F34" s="8"/>
      <c r="G34" s="8"/>
      <c r="H34" s="8"/>
      <c r="I34" s="8"/>
      <c r="J34" s="2"/>
      <c r="K34" s="2"/>
      <c r="L34" s="2"/>
    </row>
    <row r="35" spans="2:12" ht="15.75" x14ac:dyDescent="0.25">
      <c r="B35" s="18" t="s">
        <v>19</v>
      </c>
      <c r="C35" s="35" t="s">
        <v>20</v>
      </c>
      <c r="D35" s="35"/>
      <c r="E35" s="8"/>
      <c r="F35" s="8"/>
      <c r="G35" s="8"/>
      <c r="H35" s="8"/>
      <c r="I35" s="8"/>
      <c r="J35" s="2"/>
      <c r="K35" s="2"/>
      <c r="L35" s="2"/>
    </row>
    <row r="36" spans="2:12" ht="15.75" x14ac:dyDescent="0.25">
      <c r="B36" s="8"/>
      <c r="C36" s="8"/>
      <c r="D36" s="8"/>
      <c r="E36" s="8"/>
      <c r="F36" s="8"/>
      <c r="G36" s="8"/>
      <c r="H36" s="8"/>
      <c r="I36" s="8"/>
      <c r="J36" s="2"/>
      <c r="K36" s="2"/>
      <c r="L36" s="2"/>
    </row>
    <row r="37" spans="2:12" ht="15.75" x14ac:dyDescent="0.25">
      <c r="B37" s="23" t="s">
        <v>34</v>
      </c>
      <c r="C37" s="8"/>
      <c r="D37" s="8" t="s">
        <v>15</v>
      </c>
      <c r="E37" s="8"/>
      <c r="F37" s="8"/>
      <c r="G37" s="8"/>
      <c r="H37" s="8"/>
      <c r="I37" s="8"/>
      <c r="J37" s="2"/>
      <c r="K37" s="2"/>
      <c r="L37" s="2"/>
    </row>
    <row r="38" spans="2:12" ht="15.75" x14ac:dyDescent="0.25">
      <c r="B38" s="23" t="s">
        <v>35</v>
      </c>
      <c r="C38" s="8"/>
      <c r="D38" s="8" t="s">
        <v>16</v>
      </c>
      <c r="E38" s="8"/>
      <c r="F38" s="8"/>
      <c r="G38" s="8"/>
      <c r="H38" s="8"/>
      <c r="I38" s="8"/>
      <c r="J38" s="2"/>
      <c r="K38" s="2"/>
      <c r="L38" s="2"/>
    </row>
    <row r="39" spans="2:12" ht="15.75" x14ac:dyDescent="0.25">
      <c r="B39" s="23" t="s">
        <v>36</v>
      </c>
      <c r="C39" s="8"/>
      <c r="D39" s="8" t="s">
        <v>52</v>
      </c>
      <c r="E39" s="8"/>
      <c r="F39" s="8"/>
      <c r="G39" s="8"/>
      <c r="H39" s="8"/>
      <c r="I39" s="8"/>
      <c r="J39" s="2"/>
      <c r="K39" s="2"/>
      <c r="L39" s="2"/>
    </row>
    <row r="40" spans="2:12" ht="15.75" x14ac:dyDescent="0.25">
      <c r="B40" s="23" t="s">
        <v>37</v>
      </c>
      <c r="C40" s="8"/>
      <c r="D40" s="8" t="s">
        <v>0</v>
      </c>
      <c r="E40" s="8"/>
      <c r="F40" s="8"/>
      <c r="G40" s="8"/>
      <c r="H40" s="8"/>
      <c r="I40" s="8"/>
      <c r="J40" s="2"/>
      <c r="K40" s="2"/>
      <c r="L40" s="2"/>
    </row>
    <row r="41" spans="2:12" ht="15.75" x14ac:dyDescent="0.25">
      <c r="B41" s="8"/>
      <c r="C41" s="8"/>
      <c r="D41" s="8"/>
      <c r="E41" s="8"/>
      <c r="F41" s="8"/>
      <c r="G41" s="8"/>
      <c r="H41" s="8"/>
      <c r="I41" s="8"/>
      <c r="J41" s="2"/>
      <c r="K41" s="2"/>
      <c r="L41" s="2"/>
    </row>
    <row r="42" spans="2:12" ht="15.75" x14ac:dyDescent="0.25">
      <c r="B42" s="14" t="s">
        <v>40</v>
      </c>
      <c r="C42" s="8"/>
      <c r="D42" s="8"/>
      <c r="E42" s="8"/>
      <c r="F42" s="8"/>
      <c r="G42" s="8"/>
      <c r="H42" s="8"/>
      <c r="I42" s="8"/>
      <c r="J42" s="2"/>
      <c r="K42" s="2"/>
      <c r="L42" s="2"/>
    </row>
    <row r="43" spans="2:12" ht="15.75" x14ac:dyDescent="0.25">
      <c r="B43" s="8"/>
      <c r="C43" s="8"/>
      <c r="D43" s="8"/>
      <c r="E43" s="8"/>
      <c r="F43" s="8"/>
      <c r="G43" s="8"/>
      <c r="H43" s="8"/>
      <c r="I43" s="8"/>
      <c r="J43" s="2"/>
      <c r="K43" s="2"/>
      <c r="L43" s="2"/>
    </row>
    <row r="44" spans="2:12" ht="15.75" x14ac:dyDescent="0.25">
      <c r="B44" s="18" t="s">
        <v>49</v>
      </c>
      <c r="C44" s="20" t="s">
        <v>19</v>
      </c>
      <c r="D44" s="25"/>
      <c r="E44" s="8"/>
      <c r="F44" s="8"/>
      <c r="G44" s="8"/>
      <c r="H44" s="8"/>
      <c r="I44" s="8"/>
      <c r="J44" s="2"/>
      <c r="K44" s="2"/>
      <c r="L44" s="2"/>
    </row>
    <row r="45" spans="2:12" ht="15.75" x14ac:dyDescent="0.25">
      <c r="B45" s="21" t="s">
        <v>23</v>
      </c>
      <c r="C45" s="24">
        <v>175.2</v>
      </c>
      <c r="D45" s="16" t="s">
        <v>10</v>
      </c>
      <c r="E45" s="8"/>
      <c r="F45" s="8"/>
      <c r="G45" s="8"/>
      <c r="H45" s="8"/>
      <c r="I45" s="8"/>
      <c r="J45" s="2"/>
      <c r="K45" s="2"/>
      <c r="L45" s="2"/>
    </row>
    <row r="46" spans="2:12" ht="15.75" x14ac:dyDescent="0.25">
      <c r="B46" s="21" t="s">
        <v>41</v>
      </c>
      <c r="C46" s="24">
        <v>204.8</v>
      </c>
      <c r="D46" s="16" t="s">
        <v>10</v>
      </c>
      <c r="E46" s="8"/>
      <c r="F46" s="8"/>
      <c r="G46" s="8"/>
      <c r="H46" s="8"/>
      <c r="I46" s="8"/>
      <c r="J46" s="2"/>
      <c r="K46" s="2"/>
      <c r="L46" s="2"/>
    </row>
    <row r="47" spans="2:12" ht="15.75" x14ac:dyDescent="0.25">
      <c r="B47" s="21" t="s">
        <v>42</v>
      </c>
      <c r="C47" s="24">
        <v>251.6</v>
      </c>
      <c r="D47" s="16" t="s">
        <v>10</v>
      </c>
      <c r="E47" s="8"/>
      <c r="F47" s="8"/>
      <c r="G47" s="8"/>
      <c r="H47" s="8"/>
      <c r="I47" s="8"/>
      <c r="J47" s="2"/>
      <c r="K47" s="2"/>
      <c r="L47" s="2"/>
    </row>
    <row r="48" spans="2:12" ht="15.75" x14ac:dyDescent="0.25">
      <c r="B48" s="21" t="s">
        <v>43</v>
      </c>
      <c r="C48" s="24">
        <v>298.39999999999998</v>
      </c>
      <c r="D48" s="16" t="s">
        <v>10</v>
      </c>
      <c r="E48" s="8"/>
      <c r="F48" s="8"/>
      <c r="G48" s="8"/>
      <c r="H48" s="8"/>
      <c r="I48" s="8"/>
      <c r="J48" s="2"/>
      <c r="K48" s="2"/>
      <c r="L48" s="2"/>
    </row>
    <row r="49" spans="2:12" ht="15.75" x14ac:dyDescent="0.25">
      <c r="B49" s="21" t="s">
        <v>24</v>
      </c>
      <c r="C49" s="24">
        <v>351</v>
      </c>
      <c r="D49" s="16" t="s">
        <v>10</v>
      </c>
      <c r="E49" s="8"/>
      <c r="F49" s="8"/>
      <c r="G49" s="8"/>
      <c r="H49" s="8"/>
      <c r="I49" s="8"/>
      <c r="J49" s="2"/>
      <c r="K49" s="2"/>
      <c r="L49" s="2"/>
    </row>
    <row r="50" spans="2:12" ht="15.75" x14ac:dyDescent="0.25">
      <c r="B50" s="21" t="s">
        <v>44</v>
      </c>
      <c r="C50" s="24">
        <v>380.2</v>
      </c>
      <c r="D50" s="16" t="s">
        <v>10</v>
      </c>
      <c r="E50" s="8"/>
      <c r="F50" s="8"/>
      <c r="G50" s="8"/>
      <c r="H50" s="8"/>
      <c r="I50" s="8"/>
      <c r="J50" s="2"/>
      <c r="K50" s="2"/>
      <c r="L50" s="2"/>
    </row>
    <row r="51" spans="2:12" ht="15.75" x14ac:dyDescent="0.25">
      <c r="B51" s="21" t="s">
        <v>25</v>
      </c>
      <c r="C51" s="24">
        <v>52.7</v>
      </c>
      <c r="D51" s="16" t="s">
        <v>12</v>
      </c>
      <c r="E51" s="8"/>
      <c r="F51" s="8"/>
      <c r="G51" s="8"/>
      <c r="H51" s="8"/>
      <c r="I51" s="8"/>
      <c r="J51" s="2"/>
      <c r="K51" s="2"/>
      <c r="L51" s="2"/>
    </row>
    <row r="52" spans="2:12" ht="15.75" x14ac:dyDescent="0.25">
      <c r="B52" s="21" t="s">
        <v>26</v>
      </c>
      <c r="C52" s="24">
        <v>44.5</v>
      </c>
      <c r="D52" s="16" t="s">
        <v>12</v>
      </c>
      <c r="E52" s="8"/>
      <c r="F52" s="8"/>
      <c r="G52" s="8"/>
      <c r="H52" s="8"/>
      <c r="I52" s="8"/>
      <c r="J52" s="2"/>
      <c r="K52" s="2"/>
      <c r="L52" s="2"/>
    </row>
    <row r="53" spans="2:12" ht="15.75" x14ac:dyDescent="0.25">
      <c r="B53" s="21" t="s">
        <v>27</v>
      </c>
      <c r="C53" s="24">
        <v>42.1</v>
      </c>
      <c r="D53" s="16" t="s">
        <v>12</v>
      </c>
      <c r="E53" s="8"/>
      <c r="F53" s="8"/>
      <c r="G53" s="8"/>
      <c r="H53" s="8"/>
      <c r="I53" s="8"/>
      <c r="J53" s="2"/>
      <c r="K53" s="2"/>
      <c r="L53" s="2"/>
    </row>
    <row r="54" spans="2:12" ht="15.75" x14ac:dyDescent="0.25">
      <c r="B54" s="21" t="s">
        <v>28</v>
      </c>
      <c r="C54" s="24">
        <v>39.799999999999997</v>
      </c>
      <c r="D54" s="16" t="s">
        <v>12</v>
      </c>
      <c r="E54" s="8"/>
      <c r="F54" s="8"/>
      <c r="G54" s="8"/>
      <c r="H54" s="8"/>
      <c r="I54" s="8"/>
      <c r="J54" s="2"/>
      <c r="K54" s="2"/>
      <c r="L54" s="2"/>
    </row>
    <row r="55" spans="2:12" ht="15.75" x14ac:dyDescent="0.25">
      <c r="B55" s="21" t="s">
        <v>29</v>
      </c>
      <c r="C55" s="24">
        <v>39.799999999999997</v>
      </c>
      <c r="D55" s="16" t="s">
        <v>12</v>
      </c>
      <c r="E55" s="8"/>
      <c r="F55" s="8"/>
      <c r="G55" s="8"/>
      <c r="H55" s="8"/>
      <c r="I55" s="8"/>
      <c r="J55" s="2"/>
      <c r="K55" s="2"/>
      <c r="L55" s="2"/>
    </row>
    <row r="56" spans="2:12" ht="15.75" x14ac:dyDescent="0.25">
      <c r="B56" s="21" t="s">
        <v>45</v>
      </c>
      <c r="C56" s="15">
        <v>36.299999999999997</v>
      </c>
      <c r="D56" s="16" t="s">
        <v>12</v>
      </c>
      <c r="E56" s="8"/>
      <c r="F56" s="8"/>
      <c r="G56" s="8"/>
      <c r="H56" s="8"/>
      <c r="I56" s="8"/>
      <c r="J56" s="2"/>
      <c r="K56" s="2"/>
      <c r="L56" s="2"/>
    </row>
    <row r="57" spans="2:12" ht="15.75" x14ac:dyDescent="0.25">
      <c r="B57" s="21" t="s">
        <v>46</v>
      </c>
      <c r="C57" s="15">
        <v>3146.7</v>
      </c>
      <c r="D57" s="16" t="s">
        <v>10</v>
      </c>
      <c r="E57" s="8"/>
      <c r="F57" s="8"/>
      <c r="G57" s="8"/>
      <c r="H57" s="8"/>
      <c r="I57" s="8"/>
      <c r="J57" s="2"/>
      <c r="K57" s="2"/>
      <c r="L57" s="2"/>
    </row>
    <row r="58" spans="2:12" ht="15.75" x14ac:dyDescent="0.25">
      <c r="B58" s="21" t="s">
        <v>30</v>
      </c>
      <c r="C58" s="15">
        <v>3977.2</v>
      </c>
      <c r="D58" s="16" t="s">
        <v>10</v>
      </c>
      <c r="E58" s="8"/>
      <c r="F58" s="8"/>
      <c r="G58" s="8"/>
      <c r="H58" s="8"/>
      <c r="I58" s="8"/>
      <c r="J58" s="2"/>
      <c r="K58" s="2"/>
      <c r="L58" s="2"/>
    </row>
    <row r="59" spans="2:12" ht="15.75" x14ac:dyDescent="0.25">
      <c r="B59" s="21" t="s">
        <v>47</v>
      </c>
      <c r="C59" s="15">
        <v>3977.2</v>
      </c>
      <c r="D59" s="16" t="s">
        <v>10</v>
      </c>
      <c r="E59" s="8"/>
      <c r="F59" s="8"/>
      <c r="G59" s="8"/>
      <c r="H59" s="8"/>
      <c r="I59" s="8"/>
      <c r="J59" s="2"/>
      <c r="K59" s="2"/>
      <c r="L59" s="2"/>
    </row>
    <row r="60" spans="2:12" ht="15.75" x14ac:dyDescent="0.25">
      <c r="B60" s="21" t="s">
        <v>48</v>
      </c>
      <c r="C60" s="15">
        <v>4070.8</v>
      </c>
      <c r="D60" s="16" t="s">
        <v>10</v>
      </c>
      <c r="E60" s="8"/>
      <c r="F60" s="8"/>
      <c r="G60" s="8"/>
      <c r="H60" s="8"/>
      <c r="I60" s="8"/>
      <c r="J60" s="2"/>
      <c r="K60" s="2"/>
      <c r="L60" s="2"/>
    </row>
    <row r="61" spans="2:12" ht="15.75" x14ac:dyDescent="0.25">
      <c r="B61" s="21" t="s">
        <v>8</v>
      </c>
      <c r="C61" s="15">
        <v>4152.6000000000004</v>
      </c>
      <c r="D61" s="16" t="s">
        <v>10</v>
      </c>
      <c r="E61" s="8"/>
      <c r="F61" s="8"/>
      <c r="G61" s="8"/>
      <c r="H61" s="8"/>
      <c r="I61" s="8"/>
      <c r="J61" s="2"/>
      <c r="K61" s="2"/>
      <c r="L61" s="2"/>
    </row>
    <row r="62" spans="2:12" ht="15.75" x14ac:dyDescent="0.25">
      <c r="B62" s="8"/>
      <c r="C62" s="8"/>
      <c r="D62" s="8"/>
      <c r="E62" s="8"/>
      <c r="F62" s="8"/>
      <c r="G62" s="8"/>
      <c r="H62" s="8"/>
      <c r="I62" s="8"/>
      <c r="J62" s="2"/>
      <c r="K62" s="2"/>
      <c r="L62" s="2"/>
    </row>
    <row r="63" spans="2:12" ht="15.75" x14ac:dyDescent="0.25">
      <c r="B63" s="23" t="s">
        <v>34</v>
      </c>
      <c r="C63" s="8"/>
      <c r="D63" s="8" t="s">
        <v>14</v>
      </c>
      <c r="E63" s="8"/>
      <c r="F63" s="8"/>
      <c r="G63" s="8"/>
      <c r="H63" s="8"/>
      <c r="I63" s="8"/>
      <c r="J63" s="2"/>
      <c r="K63" s="2"/>
      <c r="L63" s="2"/>
    </row>
    <row r="64" spans="2:12" x14ac:dyDescent="0.25">
      <c r="B64" s="10"/>
      <c r="C64" s="10"/>
      <c r="D64" s="10"/>
      <c r="E64" s="10"/>
      <c r="F64" s="10"/>
      <c r="G64" s="10"/>
      <c r="H64" s="10"/>
      <c r="I64" s="10"/>
      <c r="J64" s="2"/>
      <c r="K64" s="2"/>
      <c r="L64" s="2"/>
    </row>
    <row r="65" spans="2:12" x14ac:dyDescent="0.25">
      <c r="B65" s="10" t="s">
        <v>51</v>
      </c>
      <c r="J65" s="2"/>
      <c r="K65" s="2"/>
      <c r="L65" s="2"/>
    </row>
    <row r="66" spans="2:12" x14ac:dyDescent="0.25">
      <c r="J66" s="2"/>
      <c r="K66" s="2"/>
      <c r="L66" s="2"/>
    </row>
    <row r="67" spans="2:12" x14ac:dyDescent="0.25">
      <c r="J67" s="2"/>
      <c r="K67" s="2"/>
      <c r="L67" s="2"/>
    </row>
    <row r="68" spans="2:12" x14ac:dyDescent="0.25">
      <c r="J68" s="2"/>
      <c r="K68" s="2"/>
      <c r="L68" s="2"/>
    </row>
    <row r="69" spans="2:12" x14ac:dyDescent="0.25">
      <c r="J69" s="2"/>
      <c r="K69" s="2"/>
      <c r="L69" s="2"/>
    </row>
    <row r="70" spans="2:12" x14ac:dyDescent="0.25">
      <c r="J70" s="2"/>
      <c r="K70" s="2"/>
      <c r="L70" s="2"/>
    </row>
    <row r="71" spans="2:12" x14ac:dyDescent="0.25">
      <c r="J71" s="2"/>
      <c r="K71" s="3"/>
      <c r="L71" s="2"/>
    </row>
    <row r="72" spans="2:12" x14ac:dyDescent="0.25">
      <c r="J72" s="2"/>
      <c r="K72" s="2"/>
      <c r="L72" s="2"/>
    </row>
    <row r="73" spans="2:12" x14ac:dyDescent="0.25">
      <c r="J73" s="2"/>
      <c r="K73" s="2"/>
      <c r="L73" s="2"/>
    </row>
    <row r="74" spans="2:12" x14ac:dyDescent="0.25">
      <c r="J74" s="2"/>
      <c r="K74" s="2"/>
      <c r="L74" s="2"/>
    </row>
    <row r="75" spans="2:12" x14ac:dyDescent="0.25">
      <c r="B75" s="10"/>
      <c r="C75" s="10"/>
      <c r="D75" s="10"/>
      <c r="E75" s="10"/>
      <c r="F75" s="10"/>
      <c r="G75" s="10"/>
      <c r="H75" s="10"/>
      <c r="I75" s="10"/>
      <c r="J75" s="2"/>
      <c r="K75" s="2"/>
      <c r="L75" s="2"/>
    </row>
    <row r="76" spans="2:12" x14ac:dyDescent="0.25">
      <c r="B76" s="10"/>
      <c r="C76" s="10"/>
      <c r="D76" s="10"/>
      <c r="E76" s="10"/>
      <c r="F76" s="10"/>
      <c r="G76" s="10"/>
      <c r="H76" s="10"/>
      <c r="I76" s="10"/>
      <c r="J76" s="2"/>
      <c r="K76" s="2"/>
      <c r="L76" s="2"/>
    </row>
    <row r="77" spans="2:12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2:12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</sheetData>
  <mergeCells count="11">
    <mergeCell ref="A5:I5"/>
    <mergeCell ref="C13:D13"/>
    <mergeCell ref="B8:I8"/>
    <mergeCell ref="C33:D33"/>
    <mergeCell ref="C35:D35"/>
    <mergeCell ref="C31:D31"/>
    <mergeCell ref="C32:D32"/>
    <mergeCell ref="C29:D29"/>
    <mergeCell ref="C34:D34"/>
    <mergeCell ref="B10:I10"/>
    <mergeCell ref="B28:D28"/>
  </mergeCells>
  <conditionalFormatting sqref="F13:J13">
    <cfRule type="cellIs" dxfId="4" priority="1" operator="equal">
      <formula>"ê"</formula>
    </cfRule>
    <cfRule type="cellIs" dxfId="3" priority="2" operator="equal">
      <formula>"î"</formula>
    </cfRule>
    <cfRule type="cellIs" dxfId="2" priority="3" operator="equal">
      <formula>"ì"</formula>
    </cfRule>
    <cfRule type="cellIs" dxfId="1" priority="4" operator="equal">
      <formula>"é"</formula>
    </cfRule>
    <cfRule type="cellIs" dxfId="0" priority="5" operator="equal">
      <formula>"è"</formula>
    </cfRule>
  </conditionalFormatting>
  <pageMargins left="0.98425196850393704" right="0" top="0" bottom="0" header="0.31496062992125984" footer="0.31496062992125984"/>
  <pageSetup paperSize="9" scale="69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G28"/>
  <sheetViews>
    <sheetView workbookViewId="0">
      <selection activeCell="D3" sqref="D3:D19"/>
    </sheetView>
  </sheetViews>
  <sheetFormatPr baseColWidth="10" defaultRowHeight="15" x14ac:dyDescent="0.25"/>
  <sheetData>
    <row r="3" spans="2:7" ht="15.75" x14ac:dyDescent="0.25">
      <c r="B3" s="26">
        <v>160.46576000000002</v>
      </c>
      <c r="C3" s="26"/>
      <c r="D3" s="26">
        <f>ROUNDUP(B3*1.05,1)</f>
        <v>168.5</v>
      </c>
      <c r="E3" s="26"/>
      <c r="F3" s="26"/>
      <c r="G3" s="26"/>
    </row>
    <row r="4" spans="2:7" ht="15.75" x14ac:dyDescent="0.25">
      <c r="B4" s="27">
        <v>187.46</v>
      </c>
      <c r="C4" s="27"/>
      <c r="D4" s="26">
        <f t="shared" ref="D4:D19" si="0">ROUNDUP(B4*1.05,1)</f>
        <v>196.9</v>
      </c>
      <c r="E4" s="27"/>
      <c r="F4" s="27"/>
      <c r="G4" s="27"/>
    </row>
    <row r="5" spans="2:7" ht="15.75" x14ac:dyDescent="0.25">
      <c r="B5" s="27">
        <v>230.30799999999999</v>
      </c>
      <c r="C5" s="27"/>
      <c r="D5" s="26">
        <f t="shared" si="0"/>
        <v>241.9</v>
      </c>
      <c r="E5" s="27"/>
      <c r="F5" s="27"/>
      <c r="G5" s="27"/>
    </row>
    <row r="6" spans="2:7" ht="15.75" x14ac:dyDescent="0.25">
      <c r="B6" s="27">
        <v>273.15600000000001</v>
      </c>
      <c r="C6" s="27"/>
      <c r="D6" s="26">
        <f t="shared" si="0"/>
        <v>286.90000000000003</v>
      </c>
      <c r="E6" s="27"/>
      <c r="F6" s="27"/>
      <c r="G6" s="27"/>
    </row>
    <row r="7" spans="2:7" ht="15.75" x14ac:dyDescent="0.25">
      <c r="B7" s="27">
        <v>321.36</v>
      </c>
      <c r="C7" s="27"/>
      <c r="D7" s="26">
        <f t="shared" si="0"/>
        <v>337.5</v>
      </c>
      <c r="E7" s="27"/>
      <c r="F7" s="27"/>
      <c r="G7" s="27"/>
    </row>
    <row r="8" spans="2:7" ht="15.75" x14ac:dyDescent="0.25">
      <c r="B8" s="27">
        <v>348.14</v>
      </c>
      <c r="C8" s="27"/>
      <c r="D8" s="26">
        <f t="shared" si="0"/>
        <v>365.6</v>
      </c>
      <c r="E8" s="27"/>
      <c r="F8" s="27"/>
      <c r="G8" s="27"/>
    </row>
    <row r="9" spans="2:7" ht="15.75" x14ac:dyDescent="0.25">
      <c r="B9" s="27">
        <v>48.204000000000001</v>
      </c>
      <c r="C9" s="27"/>
      <c r="D9" s="26">
        <f t="shared" si="0"/>
        <v>50.7</v>
      </c>
      <c r="E9" s="27"/>
      <c r="F9" s="27"/>
      <c r="G9" s="27"/>
    </row>
    <row r="10" spans="2:7" ht="15.75" x14ac:dyDescent="0.25">
      <c r="B10" s="26">
        <v>40.705599999999997</v>
      </c>
      <c r="C10" s="26"/>
      <c r="D10" s="26">
        <f t="shared" si="0"/>
        <v>42.800000000000004</v>
      </c>
      <c r="E10" s="26"/>
      <c r="F10" s="26"/>
      <c r="G10" s="26"/>
    </row>
    <row r="11" spans="2:7" ht="15.75" x14ac:dyDescent="0.25">
      <c r="B11" s="26">
        <v>38.563200000000002</v>
      </c>
      <c r="C11" s="26"/>
      <c r="D11" s="26">
        <f t="shared" si="0"/>
        <v>40.5</v>
      </c>
      <c r="E11" s="26"/>
      <c r="F11" s="26"/>
      <c r="G11" s="26"/>
    </row>
    <row r="12" spans="2:7" ht="15.75" x14ac:dyDescent="0.25">
      <c r="B12" s="26">
        <v>36.4208</v>
      </c>
      <c r="C12" s="26"/>
      <c r="D12" s="26">
        <f t="shared" si="0"/>
        <v>38.300000000000004</v>
      </c>
      <c r="E12" s="26"/>
      <c r="F12" s="26"/>
      <c r="G12" s="26"/>
    </row>
    <row r="13" spans="2:7" ht="15.75" x14ac:dyDescent="0.25">
      <c r="B13" s="26">
        <v>36.4208</v>
      </c>
      <c r="C13" s="26"/>
      <c r="D13" s="26">
        <f t="shared" si="0"/>
        <v>38.300000000000004</v>
      </c>
      <c r="E13" s="26"/>
      <c r="F13" s="26"/>
      <c r="G13" s="26"/>
    </row>
    <row r="14" spans="2:7" ht="15.75" x14ac:dyDescent="0.25">
      <c r="B14" s="26">
        <v>33.2072</v>
      </c>
      <c r="C14" s="26"/>
      <c r="D14" s="26">
        <f t="shared" si="0"/>
        <v>34.9</v>
      </c>
      <c r="E14" s="26"/>
      <c r="F14" s="26"/>
      <c r="G14" s="26"/>
    </row>
    <row r="15" spans="2:7" ht="15.75" x14ac:dyDescent="0.25">
      <c r="B15">
        <v>2881.5279999999998</v>
      </c>
      <c r="D15" s="26">
        <f t="shared" si="0"/>
        <v>3025.7</v>
      </c>
    </row>
    <row r="16" spans="2:7" ht="15.75" x14ac:dyDescent="0.25">
      <c r="B16">
        <v>3642.08</v>
      </c>
      <c r="D16" s="26">
        <f t="shared" si="0"/>
        <v>3824.2</v>
      </c>
    </row>
    <row r="17" spans="2:7" ht="15.75" x14ac:dyDescent="0.25">
      <c r="B17" s="28">
        <v>3642.08</v>
      </c>
      <c r="C17" s="28"/>
      <c r="D17" s="26">
        <f t="shared" si="0"/>
        <v>3824.2</v>
      </c>
      <c r="E17" s="28"/>
      <c r="F17" s="28"/>
      <c r="G17" s="28"/>
    </row>
    <row r="18" spans="2:7" ht="15.75" x14ac:dyDescent="0.25">
      <c r="B18" s="28">
        <v>3727.7759999999998</v>
      </c>
      <c r="C18" s="28"/>
      <c r="D18" s="26">
        <f t="shared" si="0"/>
        <v>3914.2</v>
      </c>
      <c r="E18" s="28"/>
      <c r="F18" s="28"/>
      <c r="G18" s="28"/>
    </row>
    <row r="19" spans="2:7" ht="15.75" x14ac:dyDescent="0.25">
      <c r="B19" s="28">
        <v>3802.76</v>
      </c>
      <c r="C19" s="28"/>
      <c r="D19" s="26">
        <f t="shared" si="0"/>
        <v>3992.9</v>
      </c>
      <c r="E19" s="28"/>
      <c r="F19" s="28"/>
      <c r="G19" s="28"/>
    </row>
    <row r="20" spans="2:7" x14ac:dyDescent="0.25">
      <c r="B20" s="28"/>
      <c r="C20" s="28"/>
      <c r="D20" s="28"/>
      <c r="E20" s="28"/>
      <c r="F20" s="28"/>
      <c r="G20" s="28"/>
    </row>
    <row r="21" spans="2:7" x14ac:dyDescent="0.25">
      <c r="B21" s="28"/>
      <c r="C21" s="28"/>
      <c r="D21" s="28"/>
      <c r="E21" s="28"/>
      <c r="F21" s="28"/>
      <c r="G21" s="28"/>
    </row>
    <row r="22" spans="2:7" x14ac:dyDescent="0.25">
      <c r="B22" s="28"/>
      <c r="C22" s="28"/>
      <c r="D22" s="28"/>
      <c r="E22" s="28"/>
      <c r="F22" s="28"/>
      <c r="G22" s="28"/>
    </row>
    <row r="23" spans="2:7" x14ac:dyDescent="0.25">
      <c r="B23" s="28"/>
      <c r="C23" s="28"/>
      <c r="D23" s="28"/>
      <c r="E23" s="28"/>
      <c r="F23" s="28"/>
      <c r="G23" s="28"/>
    </row>
    <row r="24" spans="2:7" x14ac:dyDescent="0.25">
      <c r="B24" s="28"/>
      <c r="C24" s="28"/>
      <c r="D24" s="28"/>
      <c r="E24" s="28"/>
      <c r="F24" s="28"/>
      <c r="G24" s="28"/>
    </row>
    <row r="25" spans="2:7" x14ac:dyDescent="0.25">
      <c r="B25" s="28"/>
      <c r="C25" s="28"/>
      <c r="D25" s="28"/>
      <c r="E25" s="28"/>
      <c r="F25" s="28"/>
      <c r="G25" s="28"/>
    </row>
    <row r="26" spans="2:7" x14ac:dyDescent="0.25">
      <c r="B26" s="28"/>
      <c r="C26" s="28"/>
      <c r="D26" s="28"/>
      <c r="E26" s="28"/>
      <c r="F26" s="28"/>
      <c r="G26" s="28"/>
    </row>
    <row r="27" spans="2:7" x14ac:dyDescent="0.25">
      <c r="B27" s="28"/>
      <c r="C27" s="28"/>
      <c r="D27" s="28"/>
      <c r="E27" s="28"/>
      <c r="F27" s="28"/>
      <c r="G27" s="28"/>
    </row>
    <row r="28" spans="2:7" x14ac:dyDescent="0.25">
      <c r="B28" s="28"/>
      <c r="C28" s="28"/>
      <c r="D28" s="28"/>
      <c r="E28" s="28"/>
      <c r="F28" s="28"/>
      <c r="G28" s="28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6" ma:contentTypeDescription="Ein neues Dokument erstellen." ma:contentTypeScope="" ma:versionID="39defdc12135e6b9400da8cbd59c2a5e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391e8d02486de2206a034a11d4a5ed4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67B138-F9CB-4AA1-826E-1E7893E6A9B5}"/>
</file>

<file path=customXml/itemProps2.xml><?xml version="1.0" encoding="utf-8"?>
<ds:datastoreItem xmlns:ds="http://schemas.openxmlformats.org/officeDocument/2006/customXml" ds:itemID="{8D2EAB56-1246-45A5-9179-A3B76ABB2FD1}"/>
</file>

<file path=customXml/itemProps3.xml><?xml version="1.0" encoding="utf-8"?>
<ds:datastoreItem xmlns:ds="http://schemas.openxmlformats.org/officeDocument/2006/customXml" ds:itemID="{F2C43AE1-8384-456B-A036-E65FBBA8018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Offerte</vt:lpstr>
      <vt:lpstr>Tabelle1</vt:lpstr>
      <vt:lpstr>Offerte!Druckbereich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2024-01-17T12:35:46Z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