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erpel.sharepoint.com/sites/Vertrieb446-STR/Freigegebene Dokumente/Stuttgart/Kundenkonditionen/C/CHT/2026/"/>
    </mc:Choice>
  </mc:AlternateContent>
  <xr:revisionPtr revIDLastSave="12" documentId="8_{91983ACC-8000-4363-8F58-FCA3F107EC9E}" xr6:coauthVersionLast="47" xr6:coauthVersionMax="47" xr10:uidLastSave="{504BBF84-8E4B-4BC7-822D-73F9140E3A6D}"/>
  <bookViews>
    <workbookView xWindow="-120" yWindow="-120" windowWidth="29040" windowHeight="15720" xr2:uid="{58DEAE26-E793-4565-A3BD-510988C90771}"/>
  </bookViews>
  <sheets>
    <sheet name="Export Österreich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'Export Österreich'!$A$1:$J$68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N20" i="1"/>
  <c r="N19" i="1"/>
  <c r="N16" i="1"/>
</calcChain>
</file>

<file path=xl/sharedStrings.xml><?xml version="1.0" encoding="utf-8"?>
<sst xmlns="http://schemas.openxmlformats.org/spreadsheetml/2006/main" count="79" uniqueCount="41">
  <si>
    <t>Internationale Spedition GmbH</t>
  </si>
  <si>
    <t>CHT R. Beitlich GmbH, Bismarckstrasse 102, DE-72072 Tübingen</t>
  </si>
  <si>
    <t>Zone 1</t>
  </si>
  <si>
    <t>Zone 2</t>
  </si>
  <si>
    <t>Zone 3</t>
  </si>
  <si>
    <t>Zone 4</t>
  </si>
  <si>
    <t>bis</t>
  </si>
  <si>
    <t>pro Sendung</t>
  </si>
  <si>
    <t>Gewichtsrundung:</t>
  </si>
  <si>
    <t>100:100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</si>
  <si>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</si>
  <si>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</si>
  <si>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</si>
  <si>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</si>
  <si>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</si>
  <si>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t>Jürgen Bauer</t>
  </si>
  <si>
    <t>Volumenberechnung:</t>
  </si>
  <si>
    <t xml:space="preserve">per 100 kg </t>
  </si>
  <si>
    <t>ADR-Zuschlag:</t>
  </si>
  <si>
    <t>Thermozuschlag:</t>
  </si>
  <si>
    <t>je Sendung</t>
  </si>
  <si>
    <t>DE-Maut ab 01.12.2023</t>
  </si>
  <si>
    <t>Frachtofferte Export Griechenland</t>
  </si>
  <si>
    <t>Minimum</t>
  </si>
  <si>
    <t>ab</t>
  </si>
  <si>
    <t>Maximum</t>
  </si>
  <si>
    <t>per 100 kg</t>
  </si>
  <si>
    <t>Ab Speditionspartner GR-Athen / GR-Thessaloniki bis frei Haus Endempfänger Griechenland:</t>
  </si>
  <si>
    <t>Ab Werk DE-72072 Tübingen // DE-72144 Dußlingen bis frei Haus Speditionspartner GR-Athen / GR-Thessaloniki (= Hauptlauf):</t>
  </si>
  <si>
    <t>Zoneneinteilung Griechenland:</t>
  </si>
  <si>
    <t>bis 50 km</t>
  </si>
  <si>
    <t>46000 - 46999</t>
  </si>
  <si>
    <t>Postleitzahlen Griechenland</t>
  </si>
  <si>
    <t>je Sendung bis max. 21.000 kg</t>
  </si>
  <si>
    <t>Athen
Thessaloniki</t>
  </si>
  <si>
    <t>auf Anfrage</t>
  </si>
  <si>
    <t>Sonder Dieselfloater Griechenland + (%-Wert durch CHT)</t>
  </si>
  <si>
    <t>auf Basis Effektivgewicht
-&gt; wenn das Effektivgewicht nicht im Verhältnis zum Laderaum steht, z. B. bei 10 LM = 10 Tonnen darf ERKA sich melden und wir bekommen z. B. 15 Tonnen gutgeschrieben</t>
  </si>
  <si>
    <t>Stuttgart, 12.01.2026 / KS</t>
  </si>
  <si>
    <t>01.01.2026 - 31.12.2026</t>
  </si>
  <si>
    <r>
      <rPr>
        <b/>
        <sz val="11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1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                                                                                                                   Geschäftsführer: Stefan Noerpel-Schneider, Borek Heiringhoff, Christian Enchelmaier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</si>
</sst>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9" fillId="0" borderId="0" xfId="0" applyNumberFormat="1" applyFont="1" applyAlignment="1">
      <alignment horizontal="center" vertical="center"/>
    </xf>
    <xf numFmtId="44" fontId="9" fillId="0" borderId="0" xfId="0" applyNumberFormat="1" applyFont="1" applyAlignment="1">
      <alignment horizontal="right" vertical="center"/>
    </xf>
    <xf numFmtId="44" fontId="5" fillId="0" borderId="7" xfId="1" applyFont="1" applyBorder="1" applyAlignment="1">
      <alignment vertical="center"/>
    </xf>
    <xf numFmtId="44" fontId="10" fillId="0" borderId="7" xfId="1" applyFont="1" applyFill="1" applyBorder="1" applyAlignment="1">
      <alignment vertical="center"/>
    </xf>
    <xf numFmtId="0" fontId="11" fillId="0" borderId="0" xfId="3"/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165" fontId="5" fillId="0" borderId="8" xfId="0" applyNumberFormat="1" applyFont="1" applyBorder="1" applyAlignment="1">
      <alignment vertical="center"/>
    </xf>
    <xf numFmtId="0" fontId="3" fillId="3" borderId="10" xfId="2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12" xfId="1" applyNumberFormat="1" applyFont="1" applyFill="1" applyBorder="1" applyAlignment="1">
      <alignment horizontal="center"/>
    </xf>
    <xf numFmtId="1" fontId="5" fillId="0" borderId="19" xfId="0" quotePrefix="1" applyNumberFormat="1" applyFont="1" applyBorder="1" applyAlignment="1">
      <alignment horizontal="center" vertical="center"/>
    </xf>
    <xf numFmtId="0" fontId="3" fillId="3" borderId="17" xfId="2" applyFont="1" applyFill="1" applyBorder="1" applyAlignment="1">
      <alignment vertical="center"/>
    </xf>
    <xf numFmtId="0" fontId="3" fillId="3" borderId="17" xfId="2" applyFont="1" applyFill="1" applyBorder="1" applyAlignment="1">
      <alignment horizontal="center" vertical="center"/>
    </xf>
    <xf numFmtId="49" fontId="5" fillId="3" borderId="20" xfId="2" applyNumberFormat="1" applyFont="1" applyFill="1" applyBorder="1" applyAlignment="1">
      <alignment horizontal="center" vertical="center"/>
    </xf>
    <xf numFmtId="164" fontId="3" fillId="3" borderId="21" xfId="2" applyNumberFormat="1" applyFont="1" applyFill="1" applyBorder="1" applyAlignment="1">
      <alignment horizontal="center" vertical="center"/>
    </xf>
    <xf numFmtId="49" fontId="5" fillId="3" borderId="22" xfId="2" applyNumberFormat="1" applyFont="1" applyFill="1" applyBorder="1" applyAlignment="1">
      <alignment horizontal="center" vertical="center"/>
    </xf>
    <xf numFmtId="44" fontId="5" fillId="0" borderId="16" xfId="1" applyFont="1" applyBorder="1" applyAlignment="1">
      <alignment vertical="center"/>
    </xf>
    <xf numFmtId="44" fontId="10" fillId="0" borderId="16" xfId="1" applyFont="1" applyFill="1" applyBorder="1" applyAlignment="1">
      <alignment vertical="center"/>
    </xf>
    <xf numFmtId="44" fontId="5" fillId="0" borderId="14" xfId="1" applyFont="1" applyBorder="1" applyAlignment="1">
      <alignment vertical="center"/>
    </xf>
    <xf numFmtId="44" fontId="5" fillId="0" borderId="15" xfId="1" applyFont="1" applyBorder="1" applyAlignment="1">
      <alignment vertical="center"/>
    </xf>
    <xf numFmtId="49" fontId="5" fillId="3" borderId="24" xfId="2" applyNumberFormat="1" applyFont="1" applyFill="1" applyBorder="1" applyAlignment="1">
      <alignment horizontal="center" vertical="center"/>
    </xf>
    <xf numFmtId="164" fontId="3" fillId="3" borderId="25" xfId="2" applyNumberFormat="1" applyFont="1" applyFill="1" applyBorder="1" applyAlignment="1">
      <alignment horizontal="center" vertical="center"/>
    </xf>
    <xf numFmtId="44" fontId="5" fillId="0" borderId="26" xfId="1" applyFont="1" applyBorder="1" applyAlignment="1">
      <alignment vertical="center"/>
    </xf>
    <xf numFmtId="0" fontId="3" fillId="3" borderId="8" xfId="2" applyFont="1" applyFill="1" applyBorder="1" applyAlignment="1">
      <alignment horizontal="center" vertical="center"/>
    </xf>
    <xf numFmtId="49" fontId="3" fillId="3" borderId="11" xfId="2" quotePrefix="1" applyNumberFormat="1" applyFont="1" applyFill="1" applyBorder="1" applyAlignment="1">
      <alignment horizontal="center" vertical="center" wrapText="1"/>
    </xf>
    <xf numFmtId="49" fontId="3" fillId="3" borderId="17" xfId="2" applyNumberFormat="1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/>
    </xf>
    <xf numFmtId="164" fontId="3" fillId="3" borderId="23" xfId="2" applyNumberFormat="1" applyFont="1" applyFill="1" applyBorder="1" applyAlignment="1">
      <alignment horizontal="center" vertical="center"/>
    </xf>
    <xf numFmtId="44" fontId="3" fillId="0" borderId="0" xfId="1" applyFont="1" applyFill="1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5" fillId="0" borderId="28" xfId="0" applyFont="1" applyBorder="1" applyAlignment="1">
      <alignment horizontal="left" vertical="center"/>
    </xf>
    <xf numFmtId="49" fontId="3" fillId="3" borderId="12" xfId="2" quotePrefix="1" applyNumberFormat="1" applyFont="1" applyFill="1" applyBorder="1" applyAlignment="1">
      <alignment horizontal="center" vertical="center" wrapText="1"/>
    </xf>
    <xf numFmtId="49" fontId="3" fillId="3" borderId="13" xfId="2" quotePrefix="1" applyNumberFormat="1" applyFont="1" applyFill="1" applyBorder="1" applyAlignment="1">
      <alignment horizontal="center" vertical="center" wrapText="1"/>
    </xf>
    <xf numFmtId="44" fontId="10" fillId="0" borderId="30" xfId="1" applyFont="1" applyFill="1" applyBorder="1" applyAlignment="1">
      <alignment vertical="center"/>
    </xf>
    <xf numFmtId="49" fontId="5" fillId="3" borderId="31" xfId="2" applyNumberFormat="1" applyFont="1" applyFill="1" applyBorder="1" applyAlignment="1">
      <alignment horizontal="center" vertical="center"/>
    </xf>
    <xf numFmtId="164" fontId="3" fillId="3" borderId="32" xfId="2" applyNumberFormat="1" applyFont="1" applyFill="1" applyBorder="1" applyAlignment="1">
      <alignment horizontal="center" vertical="center"/>
    </xf>
    <xf numFmtId="44" fontId="5" fillId="0" borderId="33" xfId="1" applyFont="1" applyBorder="1" applyAlignment="1">
      <alignment vertical="center"/>
    </xf>
    <xf numFmtId="44" fontId="5" fillId="0" borderId="34" xfId="1" applyFont="1" applyBorder="1" applyAlignment="1">
      <alignment vertical="center"/>
    </xf>
    <xf numFmtId="44" fontId="5" fillId="0" borderId="35" xfId="1" applyFont="1" applyBorder="1" applyAlignment="1">
      <alignment vertical="center"/>
    </xf>
    <xf numFmtId="0" fontId="5" fillId="0" borderId="29" xfId="0" applyFont="1" applyBorder="1" applyAlignment="1">
      <alignment horizontal="left" vertical="center"/>
    </xf>
    <xf numFmtId="1" fontId="5" fillId="0" borderId="37" xfId="0" quotePrefix="1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 vertical="center"/>
    </xf>
    <xf numFmtId="1" fontId="5" fillId="0" borderId="38" xfId="1" applyNumberFormat="1" applyFont="1" applyFill="1" applyBorder="1" applyAlignment="1">
      <alignment horizontal="center"/>
    </xf>
    <xf numFmtId="1" fontId="5" fillId="0" borderId="39" xfId="0" quotePrefix="1" applyNumberFormat="1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40" xfId="1" applyNumberFormat="1" applyFont="1" applyFill="1" applyBorder="1" applyAlignment="1">
      <alignment horizontal="center"/>
    </xf>
    <xf numFmtId="44" fontId="0" fillId="0" borderId="0" xfId="0" applyNumberFormat="1" applyAlignment="1">
      <alignment vertical="center"/>
    </xf>
    <xf numFmtId="44" fontId="5" fillId="0" borderId="0" xfId="0" applyNumberFormat="1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4" borderId="8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3" fillId="3" borderId="9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3" fillId="3" borderId="36" xfId="2" applyFont="1" applyFill="1" applyBorder="1" applyAlignment="1">
      <alignment horizontal="center" vertical="center"/>
    </xf>
    <xf numFmtId="0" fontId="3" fillId="3" borderId="28" xfId="2" applyFont="1" applyFill="1" applyBorder="1" applyAlignment="1">
      <alignment horizontal="center" vertical="center"/>
    </xf>
    <xf numFmtId="1" fontId="5" fillId="0" borderId="18" xfId="1" applyNumberFormat="1" applyFont="1" applyFill="1" applyBorder="1" applyAlignment="1">
      <alignment horizontal="center"/>
    </xf>
    <xf numFmtId="1" fontId="5" fillId="0" borderId="19" xfId="1" applyNumberFormat="1" applyFont="1" applyFill="1" applyBorder="1" applyAlignment="1">
      <alignment horizontal="center"/>
    </xf>
    <xf numFmtId="44" fontId="10" fillId="0" borderId="41" xfId="1" applyFont="1" applyFill="1" applyBorder="1" applyAlignment="1">
      <alignment horizontal="center" vertical="center"/>
    </xf>
    <xf numFmtId="44" fontId="10" fillId="0" borderId="42" xfId="1" applyFont="1" applyFill="1" applyBorder="1" applyAlignment="1">
      <alignment horizontal="center" vertical="center"/>
    </xf>
    <xf numFmtId="44" fontId="10" fillId="0" borderId="43" xfId="1" applyFont="1" applyFill="1" applyBorder="1" applyAlignment="1">
      <alignment horizontal="center" vertical="center"/>
    </xf>
    <xf numFmtId="44" fontId="10" fillId="0" borderId="44" xfId="1" applyFont="1" applyFill="1" applyBorder="1" applyAlignment="1">
      <alignment horizontal="center" vertical="center"/>
    </xf>
    <xf numFmtId="44" fontId="10" fillId="0" borderId="45" xfId="1" applyFont="1" applyFill="1" applyBorder="1" applyAlignment="1">
      <alignment horizontal="center" vertical="center"/>
    </xf>
    <xf numFmtId="44" fontId="10" fillId="0" borderId="6" xfId="1" applyFont="1" applyFill="1" applyBorder="1" applyAlignment="1">
      <alignment horizontal="center" vertical="center"/>
    </xf>
  </cellXfs>
  <cellStyles count="4">
    <cellStyle name="20 % - Akzent1" xfId="2" builtinId="30"/>
    <cellStyle name="Link" xfId="3" builtinId="8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0</xdr:row>
      <xdr:rowOff>9525</xdr:rowOff>
    </xdr:from>
    <xdr:to>
      <xdr:col>9</xdr:col>
      <xdr:colOff>865697</xdr:colOff>
      <xdr:row>2</xdr:row>
      <xdr:rowOff>152400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9525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sheetPr>
    <pageSetUpPr fitToPage="1"/>
  </sheetPr>
  <dimension ref="A1:V79"/>
  <sheetViews>
    <sheetView tabSelected="1" zoomScaleNormal="100" workbookViewId="0">
      <selection activeCell="N19" sqref="N19"/>
    </sheetView>
  </sheetViews>
  <sheetFormatPr baseColWidth="10" defaultRowHeight="15" x14ac:dyDescent="0.25"/>
  <cols>
    <col min="1" max="1" width="7.7109375" customWidth="1"/>
    <col min="2" max="2" width="12.85546875" customWidth="1"/>
    <col min="3" max="3" width="13" customWidth="1"/>
    <col min="4" max="8" width="12.140625" customWidth="1"/>
    <col min="9" max="9" width="11.140625" customWidth="1"/>
    <col min="10" max="10" width="13.42578125" customWidth="1"/>
  </cols>
  <sheetData>
    <row r="1" spans="1:14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4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4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4" ht="15.75" customHeight="1" x14ac:dyDescent="0.3">
      <c r="A4" s="88" t="s">
        <v>0</v>
      </c>
      <c r="B4" s="88"/>
      <c r="C4" s="88"/>
      <c r="D4" s="88"/>
      <c r="E4" s="88"/>
      <c r="F4" s="88"/>
      <c r="G4" s="88"/>
      <c r="H4" s="88"/>
      <c r="I4" s="88"/>
      <c r="J4" s="88"/>
    </row>
    <row r="5" spans="1:14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4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4" ht="15.75" x14ac:dyDescent="0.25">
      <c r="A7" s="1"/>
      <c r="B7" s="1"/>
      <c r="C7" s="1"/>
      <c r="D7" s="1"/>
      <c r="E7" s="1"/>
      <c r="F7" s="1"/>
      <c r="G7" s="1"/>
      <c r="H7" s="1"/>
      <c r="I7" s="3"/>
      <c r="J7" s="4" t="s">
        <v>38</v>
      </c>
    </row>
    <row r="8" spans="1:14" ht="16.5" thickBot="1" x14ac:dyDescent="0.3">
      <c r="A8" s="1"/>
      <c r="B8" s="1"/>
      <c r="C8" s="1"/>
      <c r="D8" s="1"/>
      <c r="E8" s="1"/>
      <c r="F8" s="1"/>
      <c r="G8" s="5"/>
      <c r="H8" s="1"/>
      <c r="I8" s="1"/>
      <c r="J8" s="1"/>
    </row>
    <row r="9" spans="1:14" ht="21" x14ac:dyDescent="0.35">
      <c r="A9" s="89" t="s">
        <v>22</v>
      </c>
      <c r="B9" s="90"/>
      <c r="C9" s="90"/>
      <c r="D9" s="90"/>
      <c r="E9" s="90"/>
      <c r="F9" s="90"/>
      <c r="G9" s="90"/>
      <c r="H9" s="90"/>
      <c r="I9" s="90"/>
      <c r="J9" s="91"/>
    </row>
    <row r="10" spans="1:14" ht="21.75" thickBot="1" x14ac:dyDescent="0.4">
      <c r="A10" s="92" t="s">
        <v>1</v>
      </c>
      <c r="B10" s="93"/>
      <c r="C10" s="94"/>
      <c r="D10" s="94"/>
      <c r="E10" s="94"/>
      <c r="F10" s="94"/>
      <c r="G10" s="94"/>
      <c r="H10" s="94"/>
      <c r="I10" s="94"/>
      <c r="J10" s="95"/>
    </row>
    <row r="11" spans="1:14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4" ht="15.75" customHeight="1" x14ac:dyDescent="0.25">
      <c r="A12" s="6"/>
      <c r="B12" s="1"/>
      <c r="C12" s="1"/>
      <c r="D12" s="1"/>
      <c r="E12" s="1"/>
      <c r="F12" s="1"/>
      <c r="G12" s="1"/>
      <c r="H12" s="1"/>
      <c r="I12" s="1"/>
      <c r="J12" s="1"/>
    </row>
    <row r="13" spans="1:14" ht="15.75" customHeight="1" x14ac:dyDescent="0.25">
      <c r="A13" s="50" t="s">
        <v>28</v>
      </c>
      <c r="B13" s="7"/>
      <c r="C13" s="8"/>
      <c r="D13" s="8"/>
      <c r="E13" s="8"/>
      <c r="F13" s="8"/>
      <c r="G13" s="8"/>
      <c r="H13" s="8"/>
      <c r="I13" s="3"/>
      <c r="J13" s="3"/>
    </row>
    <row r="14" spans="1:14" ht="15.75" customHeight="1" thickBot="1" x14ac:dyDescent="0.3">
      <c r="A14" s="8"/>
      <c r="B14" s="8"/>
      <c r="C14" s="96"/>
      <c r="D14" s="96"/>
      <c r="E14" s="9"/>
      <c r="F14" s="10"/>
      <c r="G14" s="11"/>
      <c r="H14" s="11"/>
      <c r="I14" s="3"/>
      <c r="J14" s="3"/>
    </row>
    <row r="15" spans="1:14" s="8" customFormat="1" ht="33" customHeight="1" thickBot="1" x14ac:dyDescent="0.3">
      <c r="A15" s="41"/>
      <c r="B15" s="25"/>
      <c r="C15" s="42" t="s">
        <v>34</v>
      </c>
      <c r="D15" s="43"/>
      <c r="I15" s="3"/>
      <c r="J15" s="3"/>
    </row>
    <row r="16" spans="1:14" s="8" customFormat="1" ht="15.75" customHeight="1" x14ac:dyDescent="0.25">
      <c r="A16" s="38"/>
      <c r="B16" s="39" t="s">
        <v>23</v>
      </c>
      <c r="C16" s="40">
        <v>46.627249999999997</v>
      </c>
      <c r="D16" s="44" t="s">
        <v>7</v>
      </c>
      <c r="F16" s="67"/>
      <c r="I16" s="3"/>
      <c r="J16" s="3"/>
      <c r="L16" s="8">
        <v>2769.42</v>
      </c>
      <c r="M16" s="8">
        <v>224.7</v>
      </c>
      <c r="N16" s="8">
        <f>L16+M16</f>
        <v>2994.12</v>
      </c>
    </row>
    <row r="17" spans="1:22" s="8" customFormat="1" ht="15.75" customHeight="1" x14ac:dyDescent="0.25">
      <c r="A17" s="31" t="s">
        <v>6</v>
      </c>
      <c r="B17" s="32">
        <v>1000</v>
      </c>
      <c r="C17" s="35">
        <v>20.592249999999996</v>
      </c>
      <c r="D17" s="44" t="s">
        <v>26</v>
      </c>
      <c r="F17" s="67"/>
      <c r="I17" s="3"/>
      <c r="J17" s="3"/>
    </row>
    <row r="18" spans="1:22" s="8" customFormat="1" ht="15.75" customHeight="1" x14ac:dyDescent="0.25">
      <c r="A18" s="31" t="s">
        <v>6</v>
      </c>
      <c r="B18" s="32">
        <v>3000</v>
      </c>
      <c r="C18" s="35">
        <v>19.966999999999999</v>
      </c>
      <c r="D18" s="44" t="s">
        <v>26</v>
      </c>
      <c r="F18" s="67"/>
      <c r="I18" s="3"/>
      <c r="J18" s="3"/>
      <c r="L18" s="8">
        <v>20.58</v>
      </c>
      <c r="N18" s="67">
        <f>20.58/559.16*N19</f>
        <v>22.046687531296943</v>
      </c>
    </row>
    <row r="19" spans="1:22" s="8" customFormat="1" ht="15.75" customHeight="1" x14ac:dyDescent="0.25">
      <c r="A19" s="31" t="s">
        <v>6</v>
      </c>
      <c r="B19" s="32">
        <v>5000</v>
      </c>
      <c r="C19" s="35">
        <v>19.659499999999998</v>
      </c>
      <c r="D19" s="44" t="s">
        <v>26</v>
      </c>
      <c r="F19" s="67"/>
      <c r="I19" s="3"/>
      <c r="J19" s="3"/>
      <c r="L19" s="8">
        <v>559.16</v>
      </c>
      <c r="N19" s="67">
        <f>30*C18</f>
        <v>599.01</v>
      </c>
    </row>
    <row r="20" spans="1:22" s="8" customFormat="1" ht="15.75" customHeight="1" x14ac:dyDescent="0.25">
      <c r="A20" s="31" t="s">
        <v>6</v>
      </c>
      <c r="B20" s="32">
        <v>7500</v>
      </c>
      <c r="C20" s="35">
        <v>19.341750000000001</v>
      </c>
      <c r="D20" s="44" t="s">
        <v>26</v>
      </c>
      <c r="F20" s="67"/>
      <c r="I20" s="3"/>
      <c r="J20" s="3"/>
      <c r="L20" s="8">
        <v>15.68</v>
      </c>
      <c r="N20" s="8">
        <f>0.56*30</f>
        <v>16.8</v>
      </c>
    </row>
    <row r="21" spans="1:22" s="8" customFormat="1" ht="15.75" customHeight="1" x14ac:dyDescent="0.25">
      <c r="A21" s="31" t="s">
        <v>6</v>
      </c>
      <c r="B21" s="32">
        <v>10000</v>
      </c>
      <c r="C21" s="35">
        <v>19.136749999999999</v>
      </c>
      <c r="D21" s="44" t="s">
        <v>26</v>
      </c>
      <c r="F21" s="67"/>
      <c r="I21" s="3"/>
      <c r="J21" s="3"/>
      <c r="L21" s="8">
        <v>150</v>
      </c>
      <c r="N21" s="8">
        <v>150</v>
      </c>
      <c r="V21" s="14"/>
    </row>
    <row r="22" spans="1:22" s="8" customFormat="1" ht="15.75" customHeight="1" x14ac:dyDescent="0.25">
      <c r="A22" s="31" t="s">
        <v>6</v>
      </c>
      <c r="B22" s="32">
        <v>12500</v>
      </c>
      <c r="C22" s="35">
        <v>18.501249999999999</v>
      </c>
      <c r="D22" s="44" t="s">
        <v>26</v>
      </c>
      <c r="F22" s="67"/>
      <c r="I22" s="3"/>
      <c r="J22" s="3"/>
    </row>
    <row r="23" spans="1:22" s="8" customFormat="1" ht="15.75" customHeight="1" x14ac:dyDescent="0.25">
      <c r="A23" s="31" t="s">
        <v>6</v>
      </c>
      <c r="B23" s="32">
        <v>15000</v>
      </c>
      <c r="C23" s="34">
        <v>17.876000000000001</v>
      </c>
      <c r="D23" s="44" t="s">
        <v>26</v>
      </c>
      <c r="F23" s="67"/>
      <c r="I23" s="3"/>
      <c r="J23" s="3"/>
    </row>
    <row r="24" spans="1:22" s="8" customFormat="1" ht="15.75" customHeight="1" x14ac:dyDescent="0.25">
      <c r="A24" s="31" t="s">
        <v>6</v>
      </c>
      <c r="B24" s="32">
        <v>20000</v>
      </c>
      <c r="C24" s="34">
        <v>17.670999999999996</v>
      </c>
      <c r="D24" s="44" t="s">
        <v>26</v>
      </c>
      <c r="F24" s="67"/>
      <c r="I24" s="3"/>
      <c r="J24" s="3"/>
    </row>
    <row r="25" spans="1:22" s="8" customFormat="1" ht="15.75" customHeight="1" x14ac:dyDescent="0.25">
      <c r="A25" s="31" t="s">
        <v>24</v>
      </c>
      <c r="B25" s="32">
        <v>20001</v>
      </c>
      <c r="C25" s="34">
        <v>17.455749999999998</v>
      </c>
      <c r="D25" s="44" t="s">
        <v>26</v>
      </c>
      <c r="F25" s="67"/>
      <c r="I25" s="3"/>
      <c r="J25" s="3"/>
    </row>
    <row r="26" spans="1:22" s="8" customFormat="1" ht="15.75" customHeight="1" thickBot="1" x14ac:dyDescent="0.3">
      <c r="A26" s="33"/>
      <c r="B26" s="45" t="s">
        <v>25</v>
      </c>
      <c r="C26" s="36">
        <v>3809.48425</v>
      </c>
      <c r="D26" s="51" t="s">
        <v>7</v>
      </c>
      <c r="F26" s="67"/>
      <c r="I26" s="3"/>
      <c r="J26" s="3"/>
    </row>
    <row r="27" spans="1:22" s="8" customFormat="1" ht="15.75" customHeight="1" x14ac:dyDescent="0.25">
      <c r="I27" s="3"/>
      <c r="J27" s="3"/>
    </row>
    <row r="28" spans="1:22" s="8" customFormat="1" ht="15.75" customHeight="1" x14ac:dyDescent="0.25">
      <c r="A28" s="50" t="s">
        <v>27</v>
      </c>
      <c r="I28" s="3"/>
      <c r="J28" s="3"/>
    </row>
    <row r="29" spans="1:22" s="8" customFormat="1" ht="15.75" customHeight="1" thickBot="1" x14ac:dyDescent="0.3">
      <c r="I29" s="3"/>
      <c r="J29" s="3"/>
    </row>
    <row r="30" spans="1:22" s="8" customFormat="1" ht="15.75" customHeight="1" thickBot="1" x14ac:dyDescent="0.3">
      <c r="A30" s="41"/>
      <c r="B30" s="25"/>
      <c r="C30" s="42" t="s">
        <v>2</v>
      </c>
      <c r="D30" s="52" t="s">
        <v>3</v>
      </c>
      <c r="E30" s="52" t="s">
        <v>4</v>
      </c>
      <c r="F30" s="53" t="s">
        <v>5</v>
      </c>
      <c r="G30" s="43"/>
      <c r="I30" s="3"/>
      <c r="J30" s="3"/>
    </row>
    <row r="31" spans="1:22" s="8" customFormat="1" ht="15.75" customHeight="1" x14ac:dyDescent="0.25">
      <c r="A31" s="55"/>
      <c r="B31" s="56" t="s">
        <v>23</v>
      </c>
      <c r="C31" s="57">
        <v>39.933999999999997</v>
      </c>
      <c r="D31" s="58">
        <v>61.479499999999994</v>
      </c>
      <c r="E31" s="58">
        <v>79.878249999999994</v>
      </c>
      <c r="F31" s="59">
        <v>100.47049999999999</v>
      </c>
      <c r="G31" s="60" t="s">
        <v>7</v>
      </c>
      <c r="I31" s="68"/>
      <c r="J31" s="68"/>
      <c r="K31" s="68"/>
      <c r="L31" s="68"/>
    </row>
    <row r="32" spans="1:22" s="8" customFormat="1" ht="15.75" customHeight="1" x14ac:dyDescent="0.25">
      <c r="A32" s="31" t="s">
        <v>6</v>
      </c>
      <c r="B32" s="32">
        <v>1000</v>
      </c>
      <c r="C32" s="35">
        <v>7.1135000000000002</v>
      </c>
      <c r="D32" s="13">
        <v>10.034749999999999</v>
      </c>
      <c r="E32" s="13">
        <v>14.31925</v>
      </c>
      <c r="F32" s="54">
        <v>16.523</v>
      </c>
      <c r="G32" s="44" t="s">
        <v>26</v>
      </c>
      <c r="I32" s="68"/>
      <c r="J32" s="68"/>
      <c r="K32" s="68"/>
      <c r="L32" s="68"/>
    </row>
    <row r="33" spans="1:14" s="8" customFormat="1" ht="15.75" customHeight="1" x14ac:dyDescent="0.25">
      <c r="A33" s="31" t="s">
        <v>6</v>
      </c>
      <c r="B33" s="32">
        <v>2000</v>
      </c>
      <c r="C33" s="35">
        <v>6.4779999999999998</v>
      </c>
      <c r="D33" s="13">
        <v>9.3069999999999986</v>
      </c>
      <c r="E33" s="13">
        <v>11.705499999999999</v>
      </c>
      <c r="F33" s="54">
        <v>15.887499999999999</v>
      </c>
      <c r="G33" s="44" t="s">
        <v>26</v>
      </c>
      <c r="I33" s="68"/>
      <c r="J33" s="68"/>
      <c r="K33" s="68"/>
      <c r="L33" s="68"/>
    </row>
    <row r="34" spans="1:14" s="8" customFormat="1" ht="15.75" customHeight="1" x14ac:dyDescent="0.25">
      <c r="A34" s="31" t="s">
        <v>6</v>
      </c>
      <c r="B34" s="32">
        <v>3000</v>
      </c>
      <c r="C34" s="35">
        <v>6.1704999999999988</v>
      </c>
      <c r="D34" s="13">
        <v>8.5689999999999991</v>
      </c>
      <c r="E34" s="13">
        <v>11.080249999999999</v>
      </c>
      <c r="F34" s="54">
        <v>15.364749999999999</v>
      </c>
      <c r="G34" s="44" t="s">
        <v>26</v>
      </c>
      <c r="I34" s="68"/>
      <c r="J34" s="68"/>
      <c r="K34" s="68"/>
      <c r="L34" s="68"/>
    </row>
    <row r="35" spans="1:14" s="8" customFormat="1" ht="15.75" customHeight="1" x14ac:dyDescent="0.25">
      <c r="A35" s="31" t="s">
        <v>6</v>
      </c>
      <c r="B35" s="32">
        <v>4000</v>
      </c>
      <c r="C35" s="35">
        <v>5.9552499999999995</v>
      </c>
      <c r="D35" s="13">
        <v>8.0462499999999988</v>
      </c>
      <c r="E35" s="13">
        <v>10.557499999999999</v>
      </c>
      <c r="F35" s="54">
        <v>14.841999999999999</v>
      </c>
      <c r="G35" s="44" t="s">
        <v>26</v>
      </c>
      <c r="I35" s="68"/>
      <c r="J35" s="68"/>
      <c r="K35" s="68"/>
      <c r="L35" s="68"/>
    </row>
    <row r="36" spans="1:14" s="8" customFormat="1" ht="15.75" customHeight="1" x14ac:dyDescent="0.25">
      <c r="A36" s="31" t="s">
        <v>6</v>
      </c>
      <c r="B36" s="32">
        <v>5000</v>
      </c>
      <c r="C36" s="35">
        <v>5.2274999999999991</v>
      </c>
      <c r="D36" s="13">
        <v>8.0462499999999988</v>
      </c>
      <c r="E36" s="13">
        <v>9.932249999999998</v>
      </c>
      <c r="F36" s="54">
        <v>14.31925</v>
      </c>
      <c r="G36" s="44" t="s">
        <v>26</v>
      </c>
      <c r="I36" s="68"/>
      <c r="J36" s="68"/>
      <c r="K36" s="68"/>
      <c r="L36" s="68"/>
    </row>
    <row r="37" spans="1:14" s="8" customFormat="1" ht="15.75" customHeight="1" x14ac:dyDescent="0.25">
      <c r="A37" s="31" t="s">
        <v>6</v>
      </c>
      <c r="B37" s="32">
        <v>7500</v>
      </c>
      <c r="C37" s="35">
        <v>4.1819999999999995</v>
      </c>
      <c r="D37" s="13">
        <v>7.3184999999999993</v>
      </c>
      <c r="E37" s="104" t="s">
        <v>35</v>
      </c>
      <c r="F37" s="105"/>
      <c r="G37" s="44" t="s">
        <v>26</v>
      </c>
      <c r="I37" s="68"/>
      <c r="J37" s="68"/>
      <c r="K37" s="68"/>
      <c r="L37" s="68"/>
    </row>
    <row r="38" spans="1:14" s="8" customFormat="1" ht="15.75" customHeight="1" x14ac:dyDescent="0.25">
      <c r="A38" s="31" t="s">
        <v>6</v>
      </c>
      <c r="B38" s="32">
        <v>10000</v>
      </c>
      <c r="C38" s="34">
        <v>3.1364999999999998</v>
      </c>
      <c r="D38" s="12">
        <v>6.590749999999999</v>
      </c>
      <c r="E38" s="106"/>
      <c r="F38" s="107"/>
      <c r="G38" s="44" t="s">
        <v>26</v>
      </c>
      <c r="I38" s="68"/>
      <c r="J38" s="68"/>
      <c r="K38" s="68"/>
      <c r="L38" s="68"/>
      <c r="M38" s="16"/>
      <c r="N38" s="16"/>
    </row>
    <row r="39" spans="1:14" s="8" customFormat="1" ht="15.75" customHeight="1" thickBot="1" x14ac:dyDescent="0.3">
      <c r="A39" s="33" t="s">
        <v>24</v>
      </c>
      <c r="B39" s="45">
        <v>10001</v>
      </c>
      <c r="C39" s="36">
        <v>2.8187499999999996</v>
      </c>
      <c r="D39" s="37">
        <v>5.9552499999999995</v>
      </c>
      <c r="E39" s="108"/>
      <c r="F39" s="109"/>
      <c r="G39" s="51" t="s">
        <v>26</v>
      </c>
      <c r="I39" s="68"/>
      <c r="J39" s="68"/>
      <c r="K39" s="68"/>
      <c r="L39" s="68"/>
      <c r="M39" s="16"/>
      <c r="N39" s="16"/>
    </row>
    <row r="40" spans="1:14" s="8" customFormat="1" ht="15.75" customHeight="1" x14ac:dyDescent="0.25">
      <c r="I40" s="3"/>
      <c r="J40" s="3"/>
      <c r="L40" s="16"/>
      <c r="M40" s="16"/>
      <c r="N40" s="16"/>
    </row>
    <row r="41" spans="1:14" ht="15.75" customHeight="1" x14ac:dyDescent="0.25">
      <c r="A41" s="46" t="s">
        <v>29</v>
      </c>
      <c r="B41" s="15"/>
      <c r="C41" s="15"/>
      <c r="D41" s="15"/>
      <c r="E41" s="16"/>
      <c r="F41" s="16"/>
      <c r="G41" s="16"/>
      <c r="H41" s="16"/>
      <c r="I41" s="15"/>
      <c r="J41" s="15"/>
      <c r="K41" s="8"/>
      <c r="L41" s="16"/>
      <c r="M41" s="16"/>
      <c r="N41" s="16"/>
    </row>
    <row r="42" spans="1:14" ht="15.75" customHeight="1" thickBot="1" x14ac:dyDescent="0.3">
      <c r="A42" s="15"/>
      <c r="B42" s="15"/>
      <c r="C42" s="15"/>
      <c r="D42" s="15"/>
      <c r="E42" s="16"/>
      <c r="F42" s="16"/>
      <c r="G42" s="16"/>
      <c r="H42" s="16"/>
      <c r="I42" s="15"/>
      <c r="J42" s="15"/>
      <c r="K42" s="8"/>
      <c r="L42" s="16"/>
      <c r="M42" s="16"/>
      <c r="N42" s="16"/>
    </row>
    <row r="43" spans="1:14" s="8" customFormat="1" ht="15.75" customHeight="1" thickBot="1" x14ac:dyDescent="0.3">
      <c r="A43" s="29"/>
      <c r="B43" s="97" t="s">
        <v>32</v>
      </c>
      <c r="C43" s="97"/>
      <c r="D43" s="97"/>
      <c r="E43" s="97"/>
      <c r="F43" s="97"/>
      <c r="G43" s="97"/>
      <c r="H43" s="98"/>
      <c r="I43" s="3"/>
      <c r="J43" s="3"/>
      <c r="L43" s="16"/>
      <c r="M43" s="16"/>
      <c r="N43" s="16"/>
    </row>
    <row r="44" spans="1:14" s="8" customFormat="1" ht="15.75" customHeight="1" thickBot="1" x14ac:dyDescent="0.3">
      <c r="A44" s="30" t="s">
        <v>2</v>
      </c>
      <c r="B44" s="28" t="s">
        <v>30</v>
      </c>
      <c r="C44" s="26"/>
      <c r="D44" s="27"/>
      <c r="E44" s="27"/>
      <c r="F44" s="27"/>
      <c r="G44" s="27"/>
      <c r="H44" s="27"/>
      <c r="I44" s="15"/>
      <c r="J44" s="15"/>
      <c r="L44" s="16"/>
      <c r="M44" s="16"/>
      <c r="N44" s="16"/>
    </row>
    <row r="45" spans="1:14" s="8" customFormat="1" ht="15.75" customHeight="1" x14ac:dyDescent="0.25">
      <c r="A45" s="100" t="s">
        <v>3</v>
      </c>
      <c r="B45" s="61">
        <v>21200</v>
      </c>
      <c r="C45" s="62">
        <v>32000</v>
      </c>
      <c r="D45" s="63">
        <v>35300</v>
      </c>
      <c r="E45" s="63">
        <v>41110</v>
      </c>
      <c r="F45" s="63">
        <v>41500</v>
      </c>
      <c r="G45" s="63">
        <v>52100</v>
      </c>
      <c r="H45" s="63">
        <v>58100</v>
      </c>
      <c r="I45" s="15"/>
      <c r="J45" s="15"/>
      <c r="L45" s="16"/>
      <c r="M45" s="16"/>
      <c r="N45" s="16"/>
    </row>
    <row r="46" spans="1:14" s="8" customFormat="1" ht="15.75" customHeight="1" thickBot="1" x14ac:dyDescent="0.3">
      <c r="A46" s="101"/>
      <c r="B46" s="64">
        <v>60062</v>
      </c>
      <c r="C46" s="65">
        <v>61100</v>
      </c>
      <c r="D46" s="66">
        <v>67100</v>
      </c>
      <c r="E46" s="66">
        <v>69100</v>
      </c>
      <c r="F46" s="66"/>
      <c r="G46" s="66"/>
      <c r="H46" s="66"/>
      <c r="I46" s="15"/>
      <c r="J46" s="15"/>
      <c r="L46" s="16"/>
      <c r="M46" s="16"/>
      <c r="N46" s="16"/>
    </row>
    <row r="47" spans="1:14" s="8" customFormat="1" ht="15.75" customHeight="1" thickBot="1" x14ac:dyDescent="0.3">
      <c r="A47" s="30" t="s">
        <v>4</v>
      </c>
      <c r="B47" s="28">
        <v>20003</v>
      </c>
      <c r="C47" s="26">
        <v>27050</v>
      </c>
      <c r="D47" s="102" t="s">
        <v>31</v>
      </c>
      <c r="E47" s="103"/>
      <c r="F47" s="27"/>
      <c r="G47" s="27"/>
      <c r="H47" s="27"/>
      <c r="I47" s="15"/>
      <c r="J47" s="15"/>
      <c r="L47" s="16"/>
      <c r="M47" s="16"/>
      <c r="N47" s="16"/>
    </row>
    <row r="48" spans="1:14" s="8" customFormat="1" ht="15.75" customHeight="1" thickBot="1" x14ac:dyDescent="0.3">
      <c r="A48" s="30" t="s">
        <v>5</v>
      </c>
      <c r="B48" s="28">
        <v>29100</v>
      </c>
      <c r="C48" s="26">
        <v>68400</v>
      </c>
      <c r="D48" s="27">
        <v>73100</v>
      </c>
      <c r="E48" s="27">
        <v>84000</v>
      </c>
      <c r="F48" s="27"/>
      <c r="G48" s="27"/>
      <c r="H48" s="27"/>
      <c r="I48" s="15"/>
      <c r="J48" s="15"/>
      <c r="L48" s="16"/>
      <c r="M48" s="16"/>
      <c r="N48" s="16"/>
    </row>
    <row r="49" spans="1:14" s="8" customFormat="1" ht="15.75" customHeight="1" x14ac:dyDescent="0.25">
      <c r="A49" s="15"/>
      <c r="B49" s="15"/>
      <c r="C49" s="15"/>
      <c r="D49" s="15"/>
      <c r="E49" s="16"/>
      <c r="F49" s="16"/>
      <c r="G49" s="16"/>
      <c r="H49" s="16"/>
      <c r="I49" s="15"/>
      <c r="J49" s="15"/>
      <c r="L49" s="16"/>
      <c r="M49" s="16"/>
      <c r="N49" s="16"/>
    </row>
    <row r="50" spans="1:14" ht="15.75" customHeight="1" x14ac:dyDescent="0.25">
      <c r="A50" s="17"/>
      <c r="B50" s="17"/>
      <c r="C50" s="16"/>
      <c r="D50" s="16"/>
      <c r="E50" s="16"/>
      <c r="F50" s="16"/>
      <c r="G50" s="16"/>
      <c r="H50" s="16"/>
      <c r="I50" s="15"/>
      <c r="J50" s="15"/>
      <c r="K50" s="15"/>
    </row>
    <row r="51" spans="1:14" ht="15.75" customHeight="1" x14ac:dyDescent="0.25">
      <c r="A51" s="18" t="s">
        <v>15</v>
      </c>
      <c r="B51" s="18"/>
      <c r="C51" s="18"/>
      <c r="D51" s="19"/>
      <c r="E51" s="19"/>
      <c r="F51" s="19"/>
      <c r="G51" s="19"/>
      <c r="H51" s="19"/>
      <c r="I51" s="15"/>
      <c r="J51" s="15"/>
    </row>
    <row r="52" spans="1:14" ht="15.75" customHeight="1" thickBot="1" x14ac:dyDescent="0.3">
      <c r="A52" s="20"/>
      <c r="B52" s="20"/>
      <c r="C52" s="20"/>
      <c r="D52" s="19"/>
      <c r="E52" s="19"/>
      <c r="F52" s="19"/>
      <c r="G52" s="19"/>
      <c r="H52" s="19"/>
      <c r="I52" s="19"/>
      <c r="J52" s="19"/>
    </row>
    <row r="53" spans="1:14" ht="66.75" customHeight="1" thickBot="1" x14ac:dyDescent="0.3">
      <c r="A53" s="47" t="s">
        <v>16</v>
      </c>
      <c r="B53" s="48"/>
      <c r="C53" s="48"/>
      <c r="D53" s="49"/>
      <c r="E53" s="99" t="s">
        <v>37</v>
      </c>
      <c r="F53" s="74"/>
      <c r="G53" s="74"/>
      <c r="H53" s="74"/>
      <c r="I53" s="74"/>
      <c r="J53" s="75"/>
    </row>
    <row r="54" spans="1:14" ht="15.75" customHeight="1" thickBot="1" x14ac:dyDescent="0.3">
      <c r="A54" s="71" t="s">
        <v>8</v>
      </c>
      <c r="B54" s="72"/>
      <c r="C54" s="72"/>
      <c r="D54" s="73"/>
      <c r="E54" s="82" t="s">
        <v>9</v>
      </c>
      <c r="F54" s="83"/>
      <c r="G54" s="83"/>
      <c r="H54" s="83"/>
      <c r="I54" s="83"/>
      <c r="J54" s="84"/>
    </row>
    <row r="55" spans="1:14" ht="15.75" customHeight="1" thickBot="1" x14ac:dyDescent="0.3">
      <c r="A55" s="71" t="s">
        <v>21</v>
      </c>
      <c r="B55" s="72"/>
      <c r="C55" s="72"/>
      <c r="D55" s="73"/>
      <c r="E55" s="24">
        <v>0.56000000000000005</v>
      </c>
      <c r="F55" s="74" t="s">
        <v>17</v>
      </c>
      <c r="G55" s="74"/>
      <c r="H55" s="74"/>
      <c r="I55" s="74"/>
      <c r="J55" s="75"/>
    </row>
    <row r="56" spans="1:14" ht="15.75" customHeight="1" thickBot="1" x14ac:dyDescent="0.3">
      <c r="A56" s="71" t="s">
        <v>18</v>
      </c>
      <c r="B56" s="72"/>
      <c r="C56" s="72"/>
      <c r="D56" s="73"/>
      <c r="E56" s="24">
        <v>125</v>
      </c>
      <c r="F56" s="74" t="s">
        <v>20</v>
      </c>
      <c r="G56" s="74"/>
      <c r="H56" s="74"/>
      <c r="I56" s="74"/>
      <c r="J56" s="75"/>
    </row>
    <row r="57" spans="1:14" ht="15.75" customHeight="1" thickBot="1" x14ac:dyDescent="0.3">
      <c r="A57" s="71" t="s">
        <v>19</v>
      </c>
      <c r="B57" s="72"/>
      <c r="C57" s="72"/>
      <c r="D57" s="73"/>
      <c r="E57" s="24">
        <v>150</v>
      </c>
      <c r="F57" s="74" t="s">
        <v>33</v>
      </c>
      <c r="G57" s="74"/>
      <c r="H57" s="74"/>
      <c r="I57" s="74"/>
      <c r="J57" s="75"/>
    </row>
    <row r="58" spans="1:14" ht="15.75" customHeight="1" thickBot="1" x14ac:dyDescent="0.3">
      <c r="A58" s="76" t="s">
        <v>10</v>
      </c>
      <c r="B58" s="77"/>
      <c r="C58" s="77"/>
      <c r="D58" s="78"/>
      <c r="E58" s="79" t="s">
        <v>36</v>
      </c>
      <c r="F58" s="80"/>
      <c r="G58" s="80"/>
      <c r="H58" s="80"/>
      <c r="I58" s="80"/>
      <c r="J58" s="81"/>
    </row>
    <row r="59" spans="1:14" ht="15.75" customHeight="1" thickBot="1" x14ac:dyDescent="0.3">
      <c r="A59" s="71" t="s">
        <v>11</v>
      </c>
      <c r="B59" s="72"/>
      <c r="C59" s="72"/>
      <c r="D59" s="73"/>
      <c r="E59" s="82" t="s">
        <v>12</v>
      </c>
      <c r="F59" s="83"/>
      <c r="G59" s="83"/>
      <c r="H59" s="83"/>
      <c r="I59" s="83"/>
      <c r="J59" s="84"/>
    </row>
    <row r="60" spans="1:14" ht="15.75" customHeight="1" thickBot="1" x14ac:dyDescent="0.3">
      <c r="A60" s="71" t="s">
        <v>13</v>
      </c>
      <c r="B60" s="72"/>
      <c r="C60" s="72"/>
      <c r="D60" s="73"/>
      <c r="E60" s="85" t="s">
        <v>39</v>
      </c>
      <c r="F60" s="86"/>
      <c r="G60" s="86"/>
      <c r="H60" s="86"/>
      <c r="I60" s="86"/>
      <c r="J60" s="87"/>
    </row>
    <row r="61" spans="1:14" ht="15.75" customHeight="1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spans="1:14" ht="46.5" customHeight="1" x14ac:dyDescent="0.25">
      <c r="A62" s="69" t="s">
        <v>14</v>
      </c>
      <c r="B62" s="69"/>
      <c r="C62" s="69"/>
      <c r="D62" s="69"/>
      <c r="E62" s="69"/>
      <c r="F62" s="69"/>
      <c r="G62" s="69"/>
      <c r="H62" s="69"/>
      <c r="I62" s="69"/>
      <c r="J62" s="69"/>
    </row>
    <row r="63" spans="1:14" ht="15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spans="1:14" ht="39" customHeight="1" x14ac:dyDescent="0.25">
      <c r="A64" s="70" t="s">
        <v>40</v>
      </c>
      <c r="B64" s="70"/>
      <c r="C64" s="70"/>
      <c r="D64" s="70"/>
      <c r="E64" s="70"/>
      <c r="F64" s="70"/>
      <c r="G64" s="70"/>
      <c r="H64" s="70"/>
      <c r="I64" s="70"/>
      <c r="J64" s="70"/>
    </row>
    <row r="65" spans="1:10" ht="39" customHeight="1" x14ac:dyDescent="0.25">
      <c r="A65" s="70"/>
      <c r="B65" s="70"/>
      <c r="C65" s="70"/>
      <c r="D65" s="70"/>
      <c r="E65" s="70"/>
      <c r="F65" s="70"/>
      <c r="G65" s="70"/>
      <c r="H65" s="70"/>
      <c r="I65" s="70"/>
      <c r="J65" s="70"/>
    </row>
    <row r="66" spans="1:10" ht="39" customHeight="1" x14ac:dyDescent="0.25">
      <c r="A66" s="70"/>
      <c r="B66" s="70"/>
      <c r="C66" s="70"/>
      <c r="D66" s="70"/>
      <c r="E66" s="70"/>
      <c r="F66" s="70"/>
      <c r="G66" s="70"/>
      <c r="H66" s="70"/>
      <c r="I66" s="70"/>
      <c r="J66" s="70"/>
    </row>
    <row r="67" spans="1:10" ht="39" customHeight="1" x14ac:dyDescent="0.25">
      <c r="A67" s="70"/>
      <c r="B67" s="70"/>
      <c r="C67" s="70"/>
      <c r="D67" s="70"/>
      <c r="E67" s="70"/>
      <c r="F67" s="70"/>
      <c r="G67" s="70"/>
      <c r="H67" s="70"/>
      <c r="I67" s="70"/>
      <c r="J67" s="70"/>
    </row>
    <row r="68" spans="1:10" ht="39" customHeight="1" x14ac:dyDescent="0.25">
      <c r="A68" s="70"/>
      <c r="B68" s="70"/>
      <c r="C68" s="70"/>
      <c r="D68" s="70"/>
      <c r="E68" s="70"/>
      <c r="F68" s="70"/>
      <c r="G68" s="70"/>
      <c r="H68" s="70"/>
      <c r="I68" s="70"/>
      <c r="J68" s="70"/>
    </row>
    <row r="69" spans="1:10" ht="15" customHeight="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</row>
    <row r="70" spans="1:10" ht="15" customHeight="1" x14ac:dyDescent="0.25"/>
    <row r="71" spans="1:10" ht="15" customHeight="1" x14ac:dyDescent="0.25"/>
    <row r="72" spans="1:10" ht="15" customHeight="1" x14ac:dyDescent="0.25"/>
    <row r="73" spans="1:10" ht="15" customHeight="1" x14ac:dyDescent="0.25"/>
    <row r="74" spans="1:10" ht="15" customHeight="1" x14ac:dyDescent="0.25"/>
    <row r="75" spans="1:10" ht="15" customHeight="1" x14ac:dyDescent="0.25"/>
    <row r="76" spans="1:10" ht="15" customHeight="1" x14ac:dyDescent="0.25"/>
    <row r="77" spans="1:10" ht="15" customHeight="1" x14ac:dyDescent="0.25"/>
    <row r="78" spans="1:10" ht="15" customHeight="1" x14ac:dyDescent="0.25"/>
    <row r="79" spans="1:10" ht="15" customHeight="1" x14ac:dyDescent="0.25"/>
  </sheetData>
  <mergeCells count="25">
    <mergeCell ref="E54:J54"/>
    <mergeCell ref="A4:J4"/>
    <mergeCell ref="A9:J9"/>
    <mergeCell ref="A10:J10"/>
    <mergeCell ref="C14:D14"/>
    <mergeCell ref="B43:H43"/>
    <mergeCell ref="E53:J53"/>
    <mergeCell ref="A45:A46"/>
    <mergeCell ref="D47:E47"/>
    <mergeCell ref="E37:F39"/>
    <mergeCell ref="A54:D54"/>
    <mergeCell ref="A62:J62"/>
    <mergeCell ref="A64:J68"/>
    <mergeCell ref="A55:D55"/>
    <mergeCell ref="F55:J55"/>
    <mergeCell ref="A58:D58"/>
    <mergeCell ref="E58:J58"/>
    <mergeCell ref="A59:D59"/>
    <mergeCell ref="E59:J59"/>
    <mergeCell ref="A56:D56"/>
    <mergeCell ref="F56:J56"/>
    <mergeCell ref="A57:D57"/>
    <mergeCell ref="F57:J57"/>
    <mergeCell ref="A60:D60"/>
    <mergeCell ref="E60:J60"/>
  </mergeCells>
  <phoneticPr fontId="16" type="noConversion"/>
  <conditionalFormatting sqref="F14:H14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6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0ff00fcdda76c5c95017fa9db154cf84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cdf12e6b43570dbaf2970657e6cc1406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3256E9-72ED-44BA-8DC0-DA618D30DFC3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0e5fc656-6d02-40c3-8f51-edb14b3b7b28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7fccca3f-fc46-4126-8b38-d6abb0c4b531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4D1C862-AC13-4D60-BD61-460091C1F764}"/>
</file>

<file path=customXml/itemProps3.xml><?xml version="1.0" encoding="utf-8"?>
<ds:datastoreItem xmlns:ds="http://schemas.openxmlformats.org/officeDocument/2006/customXml" ds:itemID="{D75A64B1-0BB5-4993-BE2B-9819BD0CC9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 Österreich</vt:lpstr>
      <vt:lpstr>'Export Österreich'!Druckbereich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Maletzki Jan</cp:lastModifiedBy>
  <cp:lastPrinted>2025-03-27T09:35:35Z</cp:lastPrinted>
  <dcterms:created xsi:type="dcterms:W3CDTF">2024-12-16T07:40:51Z</dcterms:created>
  <dcterms:modified xsi:type="dcterms:W3CDTF">2026-02-17T05:59:05Z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  <property fmtid="{D5CDD505-2E9C-101B-9397-08002B2CF9AE}" pid="3" name="MediaServiceImageTags">
    <vt:lpwstr/>
  </property>
</Properties>
</file>